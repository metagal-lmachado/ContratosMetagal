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rive-git\ContratosMetagal\"/>
    </mc:Choice>
  </mc:AlternateContent>
  <xr:revisionPtr revIDLastSave="0" documentId="13_ncr:1_{1A6B19FB-8970-43B7-A61B-C2E2CAB0C709}" xr6:coauthVersionLast="47" xr6:coauthVersionMax="47" xr10:uidLastSave="{00000000-0000-0000-0000-000000000000}"/>
  <bookViews>
    <workbookView xWindow="-108" yWindow="-108" windowWidth="23256" windowHeight="12456" activeTab="1" xr2:uid="{E691B971-D655-475F-8B47-A72AB80D4732}"/>
  </bookViews>
  <sheets>
    <sheet name="Faturado mensal" sheetId="13" r:id="rId1"/>
    <sheet name="DADOS" sheetId="14" r:id="rId2"/>
    <sheet name="calendário" sheetId="20" r:id="rId3"/>
    <sheet name="BASE DADOS" sheetId="19" r:id="rId4"/>
  </sheets>
  <definedNames>
    <definedName name="DadosExternos_1" localSheetId="3" hidden="1">'BASE DADOS'!$A$1:$R$4881</definedName>
    <definedName name="DadosExternos_1" localSheetId="0" hidden="1">'Faturado mensal'!$A$2:$L$362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20" l="1" a="1"/>
  <c r="B11" i="20" a="1"/>
  <c r="B9" i="20"/>
  <c r="C8" i="20" a="1"/>
  <c r="B8" i="20" a="1"/>
  <c r="D9" i="20"/>
  <c r="E8" i="20" a="1"/>
  <c r="D8" i="20" a="1"/>
  <c r="D6" i="20"/>
  <c r="B6" i="20"/>
  <c r="F3" i="20"/>
  <c r="D3" i="20"/>
  <c r="G5" i="20" a="1"/>
  <c r="F5" i="20" a="1"/>
  <c r="E5" i="20" a="1"/>
  <c r="D5" i="20" a="1"/>
  <c r="C5" i="20" a="1"/>
  <c r="B5" i="20" a="1"/>
  <c r="AL362" i="13"/>
  <c r="AK362" i="13"/>
  <c r="AJ362" i="13"/>
  <c r="AI362" i="13"/>
  <c r="AH362" i="13"/>
  <c r="AG362" i="13"/>
  <c r="AF362" i="13"/>
  <c r="AE362" i="13"/>
  <c r="AD362" i="13"/>
  <c r="AC362" i="13"/>
  <c r="AB362" i="13"/>
  <c r="AA362" i="13"/>
  <c r="Z362" i="13"/>
  <c r="Y362" i="13"/>
  <c r="X362" i="13"/>
  <c r="W362" i="13"/>
  <c r="V362" i="13"/>
  <c r="U362" i="13"/>
  <c r="T362" i="13"/>
  <c r="S362" i="13"/>
  <c r="R362" i="13"/>
  <c r="Q362" i="13"/>
  <c r="P362" i="13"/>
  <c r="O362" i="13"/>
  <c r="N362" i="13"/>
  <c r="M362" i="13"/>
  <c r="AL361" i="13"/>
  <c r="AK361" i="13"/>
  <c r="AJ361" i="13"/>
  <c r="AI361" i="13"/>
  <c r="AH361" i="13"/>
  <c r="AG361" i="13"/>
  <c r="AF361" i="13"/>
  <c r="AE361" i="13"/>
  <c r="AD361" i="13"/>
  <c r="AC361" i="13"/>
  <c r="AB361" i="13"/>
  <c r="AA361" i="13"/>
  <c r="Z361" i="13"/>
  <c r="Y361" i="13"/>
  <c r="X361" i="13"/>
  <c r="W361" i="13"/>
  <c r="V361" i="13"/>
  <c r="U361" i="13"/>
  <c r="T361" i="13"/>
  <c r="S361" i="13"/>
  <c r="R361" i="13"/>
  <c r="Q361" i="13"/>
  <c r="P361" i="13"/>
  <c r="O361" i="13"/>
  <c r="N361" i="13"/>
  <c r="M361" i="13"/>
  <c r="AL360" i="13"/>
  <c r="AK360" i="13"/>
  <c r="AJ360" i="13"/>
  <c r="AI360" i="13"/>
  <c r="AH360" i="13"/>
  <c r="AG360" i="13"/>
  <c r="AF360" i="13"/>
  <c r="AE360" i="13"/>
  <c r="AD360" i="13"/>
  <c r="AC360" i="13"/>
  <c r="AB360" i="13"/>
  <c r="AA360" i="13"/>
  <c r="Z360" i="13"/>
  <c r="Y360" i="13"/>
  <c r="X360" i="13"/>
  <c r="W360" i="13"/>
  <c r="V360" i="13"/>
  <c r="U360" i="13"/>
  <c r="T360" i="13"/>
  <c r="S360" i="13"/>
  <c r="R360" i="13"/>
  <c r="Q360" i="13"/>
  <c r="P360" i="13"/>
  <c r="O360" i="13"/>
  <c r="N360" i="13"/>
  <c r="M360" i="13"/>
  <c r="AL359" i="13"/>
  <c r="AK359" i="13"/>
  <c r="AJ359" i="13"/>
  <c r="AI359" i="13"/>
  <c r="AH359" i="13"/>
  <c r="AG359" i="13"/>
  <c r="AF359" i="13"/>
  <c r="AE359" i="13"/>
  <c r="AD359" i="13"/>
  <c r="AC359" i="13"/>
  <c r="AB359" i="13"/>
  <c r="AA359" i="13"/>
  <c r="Z359" i="13"/>
  <c r="Y359" i="13"/>
  <c r="X359" i="13"/>
  <c r="W359" i="13"/>
  <c r="V359" i="13"/>
  <c r="U359" i="13"/>
  <c r="T359" i="13"/>
  <c r="S359" i="13"/>
  <c r="R359" i="13"/>
  <c r="Q359" i="13"/>
  <c r="P359" i="13"/>
  <c r="O359" i="13"/>
  <c r="N359" i="13"/>
  <c r="M359" i="13"/>
  <c r="AL358" i="13"/>
  <c r="AK358" i="13"/>
  <c r="AJ358" i="13"/>
  <c r="AI358" i="13"/>
  <c r="AH358" i="13"/>
  <c r="AG358" i="13"/>
  <c r="AF358" i="13"/>
  <c r="AE358" i="13"/>
  <c r="AD358" i="13"/>
  <c r="AC358" i="13"/>
  <c r="AB358" i="13"/>
  <c r="AA358" i="13"/>
  <c r="Z358" i="13"/>
  <c r="Y358" i="13"/>
  <c r="X358" i="13"/>
  <c r="W358" i="13"/>
  <c r="V358" i="13"/>
  <c r="U358" i="13"/>
  <c r="T358" i="13"/>
  <c r="S358" i="13"/>
  <c r="R358" i="13"/>
  <c r="Q358" i="13"/>
  <c r="P358" i="13"/>
  <c r="O358" i="13"/>
  <c r="N358" i="13"/>
  <c r="M358" i="13"/>
  <c r="AL357" i="13"/>
  <c r="AK357" i="13"/>
  <c r="AJ357" i="13"/>
  <c r="AI357" i="13"/>
  <c r="AH357" i="13"/>
  <c r="AG357" i="13"/>
  <c r="AF357" i="13"/>
  <c r="AE357" i="13"/>
  <c r="AD357" i="13"/>
  <c r="AC357" i="13"/>
  <c r="AB357" i="13"/>
  <c r="AA357" i="13"/>
  <c r="Z357" i="13"/>
  <c r="Y357" i="13"/>
  <c r="X357" i="13"/>
  <c r="W357" i="13"/>
  <c r="V357" i="13"/>
  <c r="U357" i="13"/>
  <c r="T357" i="13"/>
  <c r="S357" i="13"/>
  <c r="R357" i="13"/>
  <c r="Q357" i="13"/>
  <c r="P357" i="13"/>
  <c r="O357" i="13"/>
  <c r="N357" i="13"/>
  <c r="M357" i="13"/>
  <c r="AL356" i="13"/>
  <c r="AK356" i="13"/>
  <c r="AJ356" i="13"/>
  <c r="AI356" i="13"/>
  <c r="AH356" i="13"/>
  <c r="AG356" i="13"/>
  <c r="AF356" i="13"/>
  <c r="AE356" i="13"/>
  <c r="AD356" i="13"/>
  <c r="AC356" i="13"/>
  <c r="AB356" i="13"/>
  <c r="AA356" i="13"/>
  <c r="Z356" i="13"/>
  <c r="Y356" i="13"/>
  <c r="X356" i="13"/>
  <c r="W356" i="13"/>
  <c r="V356" i="13"/>
  <c r="U356" i="13"/>
  <c r="T356" i="13"/>
  <c r="S356" i="13"/>
  <c r="R356" i="13"/>
  <c r="Q356" i="13"/>
  <c r="P356" i="13"/>
  <c r="O356" i="13"/>
  <c r="N356" i="13"/>
  <c r="M356" i="13"/>
  <c r="AL355" i="13"/>
  <c r="AK355" i="13"/>
  <c r="AJ355" i="13"/>
  <c r="AI355" i="13"/>
  <c r="AH355" i="13"/>
  <c r="AG355" i="13"/>
  <c r="AF355" i="13"/>
  <c r="AE355" i="13"/>
  <c r="AD355" i="13"/>
  <c r="AC355" i="13"/>
  <c r="AB355" i="13"/>
  <c r="AA355" i="13"/>
  <c r="Z355" i="13"/>
  <c r="Y355" i="13"/>
  <c r="X355" i="13"/>
  <c r="W355" i="13"/>
  <c r="V355" i="13"/>
  <c r="U355" i="13"/>
  <c r="T355" i="13"/>
  <c r="S355" i="13"/>
  <c r="R355" i="13"/>
  <c r="Q355" i="13"/>
  <c r="P355" i="13"/>
  <c r="O355" i="13"/>
  <c r="N355" i="13"/>
  <c r="M355" i="13"/>
  <c r="AL354" i="13"/>
  <c r="AK354" i="13"/>
  <c r="AJ354" i="13"/>
  <c r="AI354" i="13"/>
  <c r="AH354" i="13"/>
  <c r="AG354" i="13"/>
  <c r="AF354" i="13"/>
  <c r="AE354" i="13"/>
  <c r="AD354" i="13"/>
  <c r="AC354" i="13"/>
  <c r="AB354" i="13"/>
  <c r="AA354" i="13"/>
  <c r="Z354" i="13"/>
  <c r="Y354" i="13"/>
  <c r="X354" i="13"/>
  <c r="W354" i="13"/>
  <c r="V354" i="13"/>
  <c r="U354" i="13"/>
  <c r="T354" i="13"/>
  <c r="S354" i="13"/>
  <c r="R354" i="13"/>
  <c r="Q354" i="13"/>
  <c r="P354" i="13"/>
  <c r="O354" i="13"/>
  <c r="N354" i="13"/>
  <c r="M354" i="13"/>
  <c r="AL353" i="13"/>
  <c r="AK353" i="13"/>
  <c r="AJ353" i="13"/>
  <c r="AI353" i="13"/>
  <c r="AH353" i="13"/>
  <c r="AG353" i="13"/>
  <c r="AF353" i="13"/>
  <c r="AE353" i="13"/>
  <c r="AD353" i="13"/>
  <c r="AC353" i="13"/>
  <c r="AB353" i="13"/>
  <c r="AA353" i="13"/>
  <c r="Z353" i="13"/>
  <c r="Y353" i="13"/>
  <c r="X353" i="13"/>
  <c r="W353" i="13"/>
  <c r="V353" i="13"/>
  <c r="U353" i="13"/>
  <c r="T353" i="13"/>
  <c r="S353" i="13"/>
  <c r="R353" i="13"/>
  <c r="Q353" i="13"/>
  <c r="P353" i="13"/>
  <c r="O353" i="13"/>
  <c r="N353" i="13"/>
  <c r="M353" i="13"/>
  <c r="AL352" i="13"/>
  <c r="AK352" i="13"/>
  <c r="AJ352" i="13"/>
  <c r="AI352" i="13"/>
  <c r="AH352" i="13"/>
  <c r="AG352" i="13"/>
  <c r="AF352" i="13"/>
  <c r="AE352" i="13"/>
  <c r="AD352" i="13"/>
  <c r="AC352" i="13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AL351" i="13"/>
  <c r="AK351" i="13"/>
  <c r="AJ351" i="13"/>
  <c r="AI351" i="13"/>
  <c r="AH351" i="13"/>
  <c r="AG351" i="13"/>
  <c r="AF351" i="13"/>
  <c r="AE351" i="13"/>
  <c r="AD351" i="13"/>
  <c r="AC351" i="13"/>
  <c r="AB351" i="13"/>
  <c r="AA351" i="13"/>
  <c r="Z351" i="13"/>
  <c r="Y351" i="13"/>
  <c r="X351" i="13"/>
  <c r="W351" i="13"/>
  <c r="V351" i="13"/>
  <c r="U351" i="13"/>
  <c r="T351" i="13"/>
  <c r="S351" i="13"/>
  <c r="R351" i="13"/>
  <c r="Q351" i="13"/>
  <c r="P351" i="13"/>
  <c r="O351" i="13"/>
  <c r="N351" i="13"/>
  <c r="M351" i="13"/>
  <c r="AL350" i="13"/>
  <c r="AK350" i="13"/>
  <c r="AJ350" i="13"/>
  <c r="AI350" i="13"/>
  <c r="AH350" i="13"/>
  <c r="AG350" i="13"/>
  <c r="AF350" i="13"/>
  <c r="AE350" i="13"/>
  <c r="AD350" i="13"/>
  <c r="AC350" i="13"/>
  <c r="AB350" i="13"/>
  <c r="AA350" i="13"/>
  <c r="Z350" i="13"/>
  <c r="Y350" i="13"/>
  <c r="X350" i="13"/>
  <c r="W350" i="13"/>
  <c r="V350" i="13"/>
  <c r="U350" i="13"/>
  <c r="T350" i="13"/>
  <c r="S350" i="13"/>
  <c r="R350" i="13"/>
  <c r="Q350" i="13"/>
  <c r="P350" i="13"/>
  <c r="O350" i="13"/>
  <c r="N350" i="13"/>
  <c r="M350" i="13"/>
  <c r="AL349" i="13"/>
  <c r="AK349" i="13"/>
  <c r="AJ349" i="13"/>
  <c r="AI349" i="13"/>
  <c r="AH349" i="13"/>
  <c r="AG349" i="13"/>
  <c r="AF349" i="13"/>
  <c r="AE349" i="13"/>
  <c r="AD349" i="13"/>
  <c r="AC349" i="13"/>
  <c r="AB349" i="13"/>
  <c r="AA349" i="13"/>
  <c r="Z349" i="13"/>
  <c r="Y349" i="13"/>
  <c r="X349" i="13"/>
  <c r="W349" i="13"/>
  <c r="V349" i="13"/>
  <c r="U349" i="13"/>
  <c r="T349" i="13"/>
  <c r="S349" i="13"/>
  <c r="R349" i="13"/>
  <c r="Q349" i="13"/>
  <c r="P349" i="13"/>
  <c r="O349" i="13"/>
  <c r="N349" i="13"/>
  <c r="M349" i="13"/>
  <c r="AL348" i="13"/>
  <c r="AK348" i="13"/>
  <c r="AJ348" i="13"/>
  <c r="AI348" i="13"/>
  <c r="AH348" i="13"/>
  <c r="AG348" i="13"/>
  <c r="AF348" i="13"/>
  <c r="AE348" i="13"/>
  <c r="AD348" i="13"/>
  <c r="AC348" i="13"/>
  <c r="AB348" i="13"/>
  <c r="AA348" i="13"/>
  <c r="Z348" i="13"/>
  <c r="Y348" i="13"/>
  <c r="X348" i="13"/>
  <c r="W348" i="13"/>
  <c r="V348" i="13"/>
  <c r="U348" i="13"/>
  <c r="T348" i="13"/>
  <c r="S348" i="13"/>
  <c r="R348" i="13"/>
  <c r="Q348" i="13"/>
  <c r="P348" i="13"/>
  <c r="O348" i="13"/>
  <c r="N348" i="13"/>
  <c r="M348" i="13"/>
  <c r="AL347" i="13"/>
  <c r="AK347" i="13"/>
  <c r="AJ347" i="13"/>
  <c r="AI347" i="13"/>
  <c r="AH347" i="13"/>
  <c r="AG347" i="13"/>
  <c r="AF347" i="13"/>
  <c r="AE347" i="13"/>
  <c r="AD347" i="13"/>
  <c r="AC347" i="13"/>
  <c r="AB347" i="13"/>
  <c r="AA347" i="13"/>
  <c r="Z347" i="13"/>
  <c r="Y347" i="13"/>
  <c r="X347" i="13"/>
  <c r="W347" i="13"/>
  <c r="V347" i="13"/>
  <c r="U347" i="13"/>
  <c r="T347" i="13"/>
  <c r="S347" i="13"/>
  <c r="R347" i="13"/>
  <c r="Q347" i="13"/>
  <c r="P347" i="13"/>
  <c r="O347" i="13"/>
  <c r="N347" i="13"/>
  <c r="M347" i="13"/>
  <c r="AL346" i="13"/>
  <c r="AK346" i="13"/>
  <c r="AJ346" i="13"/>
  <c r="AI346" i="13"/>
  <c r="AH346" i="13"/>
  <c r="AG346" i="13"/>
  <c r="AF346" i="13"/>
  <c r="AE346" i="13"/>
  <c r="AD346" i="13"/>
  <c r="AC346" i="13"/>
  <c r="AB346" i="13"/>
  <c r="AA346" i="13"/>
  <c r="Z346" i="13"/>
  <c r="Y346" i="13"/>
  <c r="X346" i="13"/>
  <c r="W346" i="13"/>
  <c r="V346" i="13"/>
  <c r="U346" i="13"/>
  <c r="T346" i="13"/>
  <c r="S346" i="13"/>
  <c r="R346" i="13"/>
  <c r="Q346" i="13"/>
  <c r="P346" i="13"/>
  <c r="O346" i="13"/>
  <c r="N346" i="13"/>
  <c r="M346" i="13"/>
  <c r="AL345" i="13"/>
  <c r="AK345" i="13"/>
  <c r="AJ345" i="13"/>
  <c r="AI345" i="13"/>
  <c r="AH345" i="13"/>
  <c r="AG345" i="13"/>
  <c r="AF345" i="13"/>
  <c r="AE345" i="13"/>
  <c r="AD345" i="13"/>
  <c r="AC345" i="13"/>
  <c r="AB345" i="13"/>
  <c r="AA345" i="13"/>
  <c r="Z345" i="13"/>
  <c r="Y345" i="13"/>
  <c r="X345" i="13"/>
  <c r="W345" i="13"/>
  <c r="V345" i="13"/>
  <c r="U345" i="13"/>
  <c r="T345" i="13"/>
  <c r="S345" i="13"/>
  <c r="R345" i="13"/>
  <c r="Q345" i="13"/>
  <c r="P345" i="13"/>
  <c r="O345" i="13"/>
  <c r="N345" i="13"/>
  <c r="M345" i="13"/>
  <c r="AL344" i="13"/>
  <c r="AK344" i="13"/>
  <c r="AJ344" i="13"/>
  <c r="AI344" i="13"/>
  <c r="AH344" i="13"/>
  <c r="AG344" i="13"/>
  <c r="AF344" i="13"/>
  <c r="AE344" i="13"/>
  <c r="AD344" i="13"/>
  <c r="AC344" i="13"/>
  <c r="AB344" i="13"/>
  <c r="AA344" i="13"/>
  <c r="Z344" i="13"/>
  <c r="Y344" i="13"/>
  <c r="X344" i="13"/>
  <c r="W344" i="13"/>
  <c r="V344" i="13"/>
  <c r="U344" i="13"/>
  <c r="T344" i="13"/>
  <c r="S344" i="13"/>
  <c r="R344" i="13"/>
  <c r="Q344" i="13"/>
  <c r="P344" i="13"/>
  <c r="O344" i="13"/>
  <c r="N344" i="13"/>
  <c r="M344" i="13"/>
  <c r="AL343" i="13"/>
  <c r="AK343" i="13"/>
  <c r="AJ343" i="13"/>
  <c r="AI343" i="13"/>
  <c r="AH343" i="13"/>
  <c r="AG343" i="13"/>
  <c r="AF343" i="13"/>
  <c r="AE343" i="13"/>
  <c r="AD343" i="13"/>
  <c r="AC343" i="13"/>
  <c r="AB343" i="13"/>
  <c r="AA343" i="13"/>
  <c r="Z343" i="13"/>
  <c r="Y343" i="13"/>
  <c r="X343" i="13"/>
  <c r="W343" i="13"/>
  <c r="V343" i="13"/>
  <c r="U343" i="13"/>
  <c r="T343" i="13"/>
  <c r="S343" i="13"/>
  <c r="R343" i="13"/>
  <c r="Q343" i="13"/>
  <c r="P343" i="13"/>
  <c r="O343" i="13"/>
  <c r="N343" i="13"/>
  <c r="M343" i="13"/>
  <c r="AL342" i="13"/>
  <c r="AK342" i="13"/>
  <c r="AJ342" i="13"/>
  <c r="AI342" i="13"/>
  <c r="AH342" i="13"/>
  <c r="AG342" i="13"/>
  <c r="AF342" i="13"/>
  <c r="AE342" i="13"/>
  <c r="AD342" i="13"/>
  <c r="AC342" i="13"/>
  <c r="AB342" i="13"/>
  <c r="AA342" i="13"/>
  <c r="Z342" i="13"/>
  <c r="Y342" i="13"/>
  <c r="X342" i="13"/>
  <c r="W342" i="13"/>
  <c r="V342" i="13"/>
  <c r="U342" i="13"/>
  <c r="T342" i="13"/>
  <c r="S342" i="13"/>
  <c r="R342" i="13"/>
  <c r="Q342" i="13"/>
  <c r="P342" i="13"/>
  <c r="O342" i="13"/>
  <c r="N342" i="13"/>
  <c r="M342" i="13"/>
  <c r="AL341" i="13"/>
  <c r="AK341" i="13"/>
  <c r="AJ341" i="13"/>
  <c r="AI341" i="13"/>
  <c r="AH341" i="13"/>
  <c r="AG341" i="13"/>
  <c r="AF341" i="13"/>
  <c r="AE341" i="13"/>
  <c r="AD341" i="13"/>
  <c r="AC341" i="13"/>
  <c r="AB341" i="13"/>
  <c r="AA341" i="13"/>
  <c r="Z341" i="13"/>
  <c r="Y341" i="13"/>
  <c r="X341" i="13"/>
  <c r="W341" i="13"/>
  <c r="V341" i="13"/>
  <c r="U341" i="13"/>
  <c r="T341" i="13"/>
  <c r="S341" i="13"/>
  <c r="R341" i="13"/>
  <c r="Q341" i="13"/>
  <c r="P341" i="13"/>
  <c r="O341" i="13"/>
  <c r="N341" i="13"/>
  <c r="M341" i="13"/>
  <c r="AL340" i="13"/>
  <c r="AK340" i="13"/>
  <c r="AJ340" i="13"/>
  <c r="AI340" i="13"/>
  <c r="AH340" i="13"/>
  <c r="AG340" i="13"/>
  <c r="AF340" i="13"/>
  <c r="AE340" i="13"/>
  <c r="AD340" i="13"/>
  <c r="AC340" i="13"/>
  <c r="AB340" i="13"/>
  <c r="AA340" i="13"/>
  <c r="Z340" i="13"/>
  <c r="Y340" i="13"/>
  <c r="X340" i="13"/>
  <c r="W340" i="13"/>
  <c r="V340" i="13"/>
  <c r="U340" i="13"/>
  <c r="T340" i="13"/>
  <c r="S340" i="13"/>
  <c r="R340" i="13"/>
  <c r="Q340" i="13"/>
  <c r="P340" i="13"/>
  <c r="O340" i="13"/>
  <c r="N340" i="13"/>
  <c r="M340" i="13"/>
  <c r="AL339" i="13"/>
  <c r="AK339" i="13"/>
  <c r="AJ339" i="13"/>
  <c r="AI339" i="13"/>
  <c r="AH339" i="13"/>
  <c r="AG339" i="13"/>
  <c r="AF339" i="13"/>
  <c r="AE339" i="13"/>
  <c r="AD339" i="13"/>
  <c r="AC339" i="13"/>
  <c r="AB339" i="13"/>
  <c r="AA339" i="13"/>
  <c r="Z339" i="13"/>
  <c r="Y339" i="13"/>
  <c r="X339" i="13"/>
  <c r="W339" i="13"/>
  <c r="V339" i="13"/>
  <c r="U339" i="13"/>
  <c r="T339" i="13"/>
  <c r="S339" i="13"/>
  <c r="R339" i="13"/>
  <c r="Q339" i="13"/>
  <c r="P339" i="13"/>
  <c r="O339" i="13"/>
  <c r="N339" i="13"/>
  <c r="M339" i="13"/>
  <c r="AL338" i="13"/>
  <c r="AK338" i="13"/>
  <c r="AJ338" i="13"/>
  <c r="AI338" i="13"/>
  <c r="AH338" i="13"/>
  <c r="AG338" i="13"/>
  <c r="AF338" i="13"/>
  <c r="AE338" i="13"/>
  <c r="AD338" i="13"/>
  <c r="AC338" i="13"/>
  <c r="AB338" i="13"/>
  <c r="AA338" i="13"/>
  <c r="Z338" i="13"/>
  <c r="Y338" i="13"/>
  <c r="X338" i="13"/>
  <c r="W338" i="13"/>
  <c r="V338" i="13"/>
  <c r="U338" i="13"/>
  <c r="T338" i="13"/>
  <c r="S338" i="13"/>
  <c r="R338" i="13"/>
  <c r="Q338" i="13"/>
  <c r="P338" i="13"/>
  <c r="O338" i="13"/>
  <c r="N338" i="13"/>
  <c r="M338" i="13"/>
  <c r="AL337" i="13"/>
  <c r="AK337" i="13"/>
  <c r="AJ337" i="13"/>
  <c r="AI337" i="13"/>
  <c r="AH337" i="13"/>
  <c r="AG337" i="13"/>
  <c r="AF337" i="13"/>
  <c r="AE337" i="13"/>
  <c r="AD337" i="13"/>
  <c r="AC337" i="13"/>
  <c r="AB337" i="13"/>
  <c r="AA337" i="13"/>
  <c r="Z337" i="13"/>
  <c r="Y337" i="13"/>
  <c r="X337" i="13"/>
  <c r="W337" i="13"/>
  <c r="V337" i="13"/>
  <c r="U337" i="13"/>
  <c r="T337" i="13"/>
  <c r="S337" i="13"/>
  <c r="R337" i="13"/>
  <c r="Q337" i="13"/>
  <c r="P337" i="13"/>
  <c r="O337" i="13"/>
  <c r="N337" i="13"/>
  <c r="M337" i="13"/>
  <c r="AL336" i="13"/>
  <c r="AK336" i="13"/>
  <c r="AJ336" i="13"/>
  <c r="AI336" i="13"/>
  <c r="AH336" i="13"/>
  <c r="AG336" i="13"/>
  <c r="AF336" i="13"/>
  <c r="AE336" i="13"/>
  <c r="AD336" i="13"/>
  <c r="AC336" i="13"/>
  <c r="AB336" i="13"/>
  <c r="AA336" i="13"/>
  <c r="Z336" i="13"/>
  <c r="Y336" i="13"/>
  <c r="X336" i="13"/>
  <c r="W336" i="13"/>
  <c r="V336" i="13"/>
  <c r="U336" i="13"/>
  <c r="T336" i="13"/>
  <c r="S336" i="13"/>
  <c r="R336" i="13"/>
  <c r="Q336" i="13"/>
  <c r="P336" i="13"/>
  <c r="O336" i="13"/>
  <c r="N336" i="13"/>
  <c r="M336" i="13"/>
  <c r="AL335" i="13"/>
  <c r="AK335" i="13"/>
  <c r="AJ335" i="13"/>
  <c r="AI335" i="13"/>
  <c r="AH335" i="13"/>
  <c r="AG335" i="13"/>
  <c r="AF335" i="13"/>
  <c r="AE335" i="13"/>
  <c r="AD335" i="13"/>
  <c r="AC335" i="13"/>
  <c r="AB335" i="13"/>
  <c r="AA335" i="13"/>
  <c r="Z335" i="13"/>
  <c r="Y335" i="13"/>
  <c r="X335" i="13"/>
  <c r="W335" i="13"/>
  <c r="V335" i="13"/>
  <c r="U335" i="13"/>
  <c r="T335" i="13"/>
  <c r="S335" i="13"/>
  <c r="R335" i="13"/>
  <c r="Q335" i="13"/>
  <c r="P335" i="13"/>
  <c r="O335" i="13"/>
  <c r="N335" i="13"/>
  <c r="M335" i="13"/>
  <c r="AL334" i="13"/>
  <c r="AK334" i="13"/>
  <c r="AJ334" i="13"/>
  <c r="AI334" i="13"/>
  <c r="AH334" i="13"/>
  <c r="AG334" i="13"/>
  <c r="AF334" i="13"/>
  <c r="AE334" i="13"/>
  <c r="AD334" i="13"/>
  <c r="AC334" i="13"/>
  <c r="AB334" i="13"/>
  <c r="AA334" i="13"/>
  <c r="Z334" i="13"/>
  <c r="Y334" i="13"/>
  <c r="X334" i="13"/>
  <c r="W334" i="13"/>
  <c r="V334" i="13"/>
  <c r="U334" i="13"/>
  <c r="T334" i="13"/>
  <c r="S334" i="13"/>
  <c r="R334" i="13"/>
  <c r="Q334" i="13"/>
  <c r="P334" i="13"/>
  <c r="O334" i="13"/>
  <c r="N334" i="13"/>
  <c r="M334" i="13"/>
  <c r="AL333" i="13"/>
  <c r="AK333" i="13"/>
  <c r="AJ333" i="13"/>
  <c r="AI333" i="13"/>
  <c r="AH333" i="13"/>
  <c r="AG333" i="13"/>
  <c r="AF333" i="13"/>
  <c r="AE333" i="13"/>
  <c r="AD333" i="13"/>
  <c r="AC333" i="13"/>
  <c r="AB333" i="13"/>
  <c r="AA333" i="13"/>
  <c r="Z333" i="13"/>
  <c r="Y333" i="13"/>
  <c r="X333" i="13"/>
  <c r="W333" i="13"/>
  <c r="V333" i="13"/>
  <c r="U333" i="13"/>
  <c r="T333" i="13"/>
  <c r="S333" i="13"/>
  <c r="R333" i="13"/>
  <c r="Q333" i="13"/>
  <c r="P333" i="13"/>
  <c r="O333" i="13"/>
  <c r="N333" i="13"/>
  <c r="M333" i="13"/>
  <c r="AL332" i="13"/>
  <c r="AK332" i="13"/>
  <c r="AJ332" i="13"/>
  <c r="AI332" i="13"/>
  <c r="AH332" i="13"/>
  <c r="AG332" i="13"/>
  <c r="AF332" i="13"/>
  <c r="AE332" i="13"/>
  <c r="AD332" i="13"/>
  <c r="AC332" i="13"/>
  <c r="AB332" i="13"/>
  <c r="AA332" i="13"/>
  <c r="Z332" i="13"/>
  <c r="Y332" i="13"/>
  <c r="X332" i="13"/>
  <c r="W332" i="13"/>
  <c r="V332" i="13"/>
  <c r="U332" i="13"/>
  <c r="T332" i="13"/>
  <c r="S332" i="13"/>
  <c r="R332" i="13"/>
  <c r="Q332" i="13"/>
  <c r="P332" i="13"/>
  <c r="O332" i="13"/>
  <c r="N332" i="13"/>
  <c r="M332" i="13"/>
  <c r="AL331" i="13"/>
  <c r="AK331" i="13"/>
  <c r="AJ331" i="13"/>
  <c r="AI331" i="13"/>
  <c r="AH331" i="13"/>
  <c r="AG331" i="13"/>
  <c r="AF331" i="13"/>
  <c r="AE331" i="13"/>
  <c r="AD331" i="13"/>
  <c r="AC331" i="13"/>
  <c r="AB331" i="13"/>
  <c r="AA331" i="13"/>
  <c r="Z331" i="13"/>
  <c r="Y331" i="13"/>
  <c r="X331" i="13"/>
  <c r="W331" i="13"/>
  <c r="V331" i="13"/>
  <c r="U331" i="13"/>
  <c r="T331" i="13"/>
  <c r="S331" i="13"/>
  <c r="R331" i="13"/>
  <c r="Q331" i="13"/>
  <c r="P331" i="13"/>
  <c r="O331" i="13"/>
  <c r="N331" i="13"/>
  <c r="M331" i="13"/>
  <c r="AL330" i="13"/>
  <c r="AK330" i="13"/>
  <c r="AJ330" i="13"/>
  <c r="AI330" i="13"/>
  <c r="AH330" i="13"/>
  <c r="AG330" i="13"/>
  <c r="AF330" i="13"/>
  <c r="AE330" i="13"/>
  <c r="AD330" i="13"/>
  <c r="AC330" i="13"/>
  <c r="AB330" i="13"/>
  <c r="AA330" i="13"/>
  <c r="Z330" i="13"/>
  <c r="Y330" i="13"/>
  <c r="X330" i="13"/>
  <c r="W330" i="13"/>
  <c r="V330" i="13"/>
  <c r="U330" i="13"/>
  <c r="T330" i="13"/>
  <c r="S330" i="13"/>
  <c r="R330" i="13"/>
  <c r="Q330" i="13"/>
  <c r="P330" i="13"/>
  <c r="O330" i="13"/>
  <c r="N330" i="13"/>
  <c r="M330" i="13"/>
  <c r="AL329" i="13"/>
  <c r="AK329" i="13"/>
  <c r="AJ329" i="13"/>
  <c r="AI329" i="13"/>
  <c r="AH329" i="13"/>
  <c r="AG329" i="13"/>
  <c r="AF329" i="13"/>
  <c r="AE329" i="13"/>
  <c r="AD329" i="13"/>
  <c r="AC329" i="13"/>
  <c r="AB329" i="13"/>
  <c r="AA329" i="13"/>
  <c r="Z329" i="13"/>
  <c r="Y329" i="13"/>
  <c r="X329" i="13"/>
  <c r="W329" i="13"/>
  <c r="V329" i="13"/>
  <c r="U329" i="13"/>
  <c r="T329" i="13"/>
  <c r="S329" i="13"/>
  <c r="R329" i="13"/>
  <c r="Q329" i="13"/>
  <c r="P329" i="13"/>
  <c r="O329" i="13"/>
  <c r="N329" i="13"/>
  <c r="M329" i="13"/>
  <c r="AL328" i="13"/>
  <c r="AK328" i="13"/>
  <c r="AJ328" i="13"/>
  <c r="AI328" i="13"/>
  <c r="AH328" i="13"/>
  <c r="AG328" i="13"/>
  <c r="AF328" i="13"/>
  <c r="AE328" i="13"/>
  <c r="AD328" i="13"/>
  <c r="AC328" i="13"/>
  <c r="AB328" i="13"/>
  <c r="AA328" i="13"/>
  <c r="Z328" i="13"/>
  <c r="Y328" i="13"/>
  <c r="X328" i="13"/>
  <c r="W328" i="13"/>
  <c r="V328" i="13"/>
  <c r="U328" i="13"/>
  <c r="T328" i="13"/>
  <c r="S328" i="13"/>
  <c r="R328" i="13"/>
  <c r="Q328" i="13"/>
  <c r="P328" i="13"/>
  <c r="O328" i="13"/>
  <c r="N328" i="13"/>
  <c r="M328" i="13"/>
  <c r="AL327" i="13"/>
  <c r="AK327" i="13"/>
  <c r="AJ327" i="13"/>
  <c r="AI327" i="13"/>
  <c r="AH327" i="13"/>
  <c r="AG327" i="13"/>
  <c r="AF327" i="13"/>
  <c r="AE327" i="13"/>
  <c r="AD327" i="13"/>
  <c r="AC327" i="13"/>
  <c r="AB327" i="13"/>
  <c r="AA327" i="13"/>
  <c r="Z327" i="13"/>
  <c r="Y327" i="13"/>
  <c r="X327" i="13"/>
  <c r="W327" i="13"/>
  <c r="V327" i="13"/>
  <c r="U327" i="13"/>
  <c r="T327" i="13"/>
  <c r="S327" i="13"/>
  <c r="R327" i="13"/>
  <c r="Q327" i="13"/>
  <c r="P327" i="13"/>
  <c r="O327" i="13"/>
  <c r="N327" i="13"/>
  <c r="M327" i="13"/>
  <c r="AL326" i="13"/>
  <c r="AK326" i="13"/>
  <c r="AJ326" i="13"/>
  <c r="AI326" i="13"/>
  <c r="AH326" i="13"/>
  <c r="AG326" i="13"/>
  <c r="AF326" i="13"/>
  <c r="AE326" i="13"/>
  <c r="AD326" i="13"/>
  <c r="AC326" i="13"/>
  <c r="AB326" i="13"/>
  <c r="AA326" i="13"/>
  <c r="Z326" i="13"/>
  <c r="Y326" i="13"/>
  <c r="X326" i="13"/>
  <c r="W326" i="13"/>
  <c r="V326" i="13"/>
  <c r="U326" i="13"/>
  <c r="T326" i="13"/>
  <c r="S326" i="13"/>
  <c r="R326" i="13"/>
  <c r="Q326" i="13"/>
  <c r="P326" i="13"/>
  <c r="O326" i="13"/>
  <c r="N326" i="13"/>
  <c r="M326" i="13"/>
  <c r="AL325" i="13"/>
  <c r="AK325" i="13"/>
  <c r="AJ325" i="13"/>
  <c r="AI325" i="13"/>
  <c r="AH325" i="13"/>
  <c r="AG325" i="13"/>
  <c r="AF325" i="13"/>
  <c r="AE325" i="13"/>
  <c r="AD325" i="13"/>
  <c r="AC325" i="13"/>
  <c r="AB325" i="13"/>
  <c r="AA325" i="13"/>
  <c r="Z325" i="13"/>
  <c r="Y325" i="13"/>
  <c r="X325" i="13"/>
  <c r="W325" i="13"/>
  <c r="V325" i="13"/>
  <c r="U325" i="13"/>
  <c r="T325" i="13"/>
  <c r="S325" i="13"/>
  <c r="R325" i="13"/>
  <c r="Q325" i="13"/>
  <c r="P325" i="13"/>
  <c r="O325" i="13"/>
  <c r="N325" i="13"/>
  <c r="M325" i="13"/>
  <c r="AL324" i="13"/>
  <c r="AK324" i="13"/>
  <c r="AJ324" i="13"/>
  <c r="AI324" i="13"/>
  <c r="AH324" i="13"/>
  <c r="AG324" i="13"/>
  <c r="AF324" i="13"/>
  <c r="AE324" i="13"/>
  <c r="AD324" i="13"/>
  <c r="AC324" i="13"/>
  <c r="AB324" i="13"/>
  <c r="AA324" i="13"/>
  <c r="Z324" i="13"/>
  <c r="Y324" i="13"/>
  <c r="X324" i="13"/>
  <c r="W324" i="13"/>
  <c r="V324" i="13"/>
  <c r="U324" i="13"/>
  <c r="T324" i="13"/>
  <c r="S324" i="13"/>
  <c r="R324" i="13"/>
  <c r="Q324" i="13"/>
  <c r="P324" i="13"/>
  <c r="O324" i="13"/>
  <c r="N324" i="13"/>
  <c r="M324" i="13"/>
  <c r="AL323" i="13"/>
  <c r="AK323" i="13"/>
  <c r="AJ323" i="13"/>
  <c r="AI323" i="13"/>
  <c r="AH323" i="13"/>
  <c r="AG323" i="13"/>
  <c r="AF323" i="13"/>
  <c r="AE323" i="13"/>
  <c r="AD323" i="13"/>
  <c r="AC323" i="13"/>
  <c r="AB323" i="13"/>
  <c r="AA323" i="13"/>
  <c r="Z323" i="13"/>
  <c r="Y323" i="13"/>
  <c r="X323" i="13"/>
  <c r="W323" i="13"/>
  <c r="V323" i="13"/>
  <c r="U323" i="13"/>
  <c r="T323" i="13"/>
  <c r="S323" i="13"/>
  <c r="R323" i="13"/>
  <c r="Q323" i="13"/>
  <c r="P323" i="13"/>
  <c r="O323" i="13"/>
  <c r="N323" i="13"/>
  <c r="M323" i="13"/>
  <c r="AL322" i="13"/>
  <c r="AK322" i="13"/>
  <c r="AJ322" i="13"/>
  <c r="AI322" i="13"/>
  <c r="AH322" i="13"/>
  <c r="AG322" i="13"/>
  <c r="AF322" i="13"/>
  <c r="AE322" i="13"/>
  <c r="AD322" i="13"/>
  <c r="AC322" i="13"/>
  <c r="AB322" i="13"/>
  <c r="AA322" i="13"/>
  <c r="Z322" i="13"/>
  <c r="Y322" i="13"/>
  <c r="X322" i="13"/>
  <c r="W322" i="13"/>
  <c r="V322" i="13"/>
  <c r="U322" i="13"/>
  <c r="T322" i="13"/>
  <c r="S322" i="13"/>
  <c r="R322" i="13"/>
  <c r="Q322" i="13"/>
  <c r="P322" i="13"/>
  <c r="O322" i="13"/>
  <c r="N322" i="13"/>
  <c r="M322" i="13"/>
  <c r="AL321" i="13"/>
  <c r="AK321" i="13"/>
  <c r="AJ321" i="13"/>
  <c r="AI321" i="13"/>
  <c r="AH321" i="13"/>
  <c r="AG321" i="13"/>
  <c r="AF321" i="13"/>
  <c r="AE321" i="13"/>
  <c r="AD321" i="13"/>
  <c r="AC321" i="13"/>
  <c r="AB321" i="13"/>
  <c r="AA321" i="13"/>
  <c r="Z321" i="13"/>
  <c r="Y321" i="13"/>
  <c r="X321" i="13"/>
  <c r="W321" i="13"/>
  <c r="V321" i="13"/>
  <c r="U321" i="13"/>
  <c r="T321" i="13"/>
  <c r="S321" i="13"/>
  <c r="R321" i="13"/>
  <c r="Q321" i="13"/>
  <c r="P321" i="13"/>
  <c r="O321" i="13"/>
  <c r="N321" i="13"/>
  <c r="M321" i="13"/>
  <c r="AL320" i="13"/>
  <c r="AK320" i="13"/>
  <c r="AJ320" i="13"/>
  <c r="AI320" i="13"/>
  <c r="AH320" i="13"/>
  <c r="AG320" i="13"/>
  <c r="AF320" i="13"/>
  <c r="AE320" i="13"/>
  <c r="AD320" i="13"/>
  <c r="AC320" i="13"/>
  <c r="AB320" i="13"/>
  <c r="AA320" i="13"/>
  <c r="Z320" i="13"/>
  <c r="Y320" i="13"/>
  <c r="X320" i="13"/>
  <c r="W320" i="13"/>
  <c r="V320" i="13"/>
  <c r="U320" i="13"/>
  <c r="T320" i="13"/>
  <c r="S320" i="13"/>
  <c r="R320" i="13"/>
  <c r="Q320" i="13"/>
  <c r="P320" i="13"/>
  <c r="O320" i="13"/>
  <c r="N320" i="13"/>
  <c r="M320" i="13"/>
  <c r="AL319" i="13"/>
  <c r="AK319" i="13"/>
  <c r="AJ319" i="13"/>
  <c r="AI319" i="13"/>
  <c r="AH319" i="13"/>
  <c r="AG319" i="13"/>
  <c r="AF319" i="13"/>
  <c r="AE319" i="13"/>
  <c r="AD319" i="13"/>
  <c r="AC319" i="13"/>
  <c r="AB319" i="13"/>
  <c r="AA319" i="13"/>
  <c r="Z319" i="13"/>
  <c r="Y319" i="13"/>
  <c r="X319" i="13"/>
  <c r="W319" i="13"/>
  <c r="V319" i="13"/>
  <c r="U319" i="13"/>
  <c r="T319" i="13"/>
  <c r="S319" i="13"/>
  <c r="R319" i="13"/>
  <c r="Q319" i="13"/>
  <c r="P319" i="13"/>
  <c r="O319" i="13"/>
  <c r="N319" i="13"/>
  <c r="M319" i="13"/>
  <c r="AL318" i="13"/>
  <c r="AK318" i="13"/>
  <c r="AJ318" i="13"/>
  <c r="AI318" i="13"/>
  <c r="AH318" i="13"/>
  <c r="AG318" i="13"/>
  <c r="AF318" i="13"/>
  <c r="AE318" i="13"/>
  <c r="AD318" i="13"/>
  <c r="AC318" i="13"/>
  <c r="AB318" i="13"/>
  <c r="AA318" i="13"/>
  <c r="Z318" i="13"/>
  <c r="Y318" i="13"/>
  <c r="X318" i="13"/>
  <c r="W318" i="13"/>
  <c r="V318" i="13"/>
  <c r="U318" i="13"/>
  <c r="T318" i="13"/>
  <c r="S318" i="13"/>
  <c r="R318" i="13"/>
  <c r="Q318" i="13"/>
  <c r="P318" i="13"/>
  <c r="O318" i="13"/>
  <c r="N318" i="13"/>
  <c r="M318" i="13"/>
  <c r="AL317" i="13"/>
  <c r="AK317" i="13"/>
  <c r="AJ317" i="13"/>
  <c r="AI317" i="13"/>
  <c r="AH317" i="13"/>
  <c r="AG317" i="13"/>
  <c r="AF317" i="13"/>
  <c r="AE317" i="13"/>
  <c r="AD317" i="13"/>
  <c r="AC317" i="13"/>
  <c r="AB317" i="13"/>
  <c r="AA317" i="13"/>
  <c r="Z317" i="13"/>
  <c r="Y317" i="13"/>
  <c r="X317" i="13"/>
  <c r="W317" i="13"/>
  <c r="V317" i="13"/>
  <c r="U317" i="13"/>
  <c r="T317" i="13"/>
  <c r="S317" i="13"/>
  <c r="R317" i="13"/>
  <c r="Q317" i="13"/>
  <c r="P317" i="13"/>
  <c r="O317" i="13"/>
  <c r="N317" i="13"/>
  <c r="M317" i="13"/>
  <c r="AL316" i="13"/>
  <c r="AK316" i="13"/>
  <c r="AJ316" i="13"/>
  <c r="AI316" i="13"/>
  <c r="AH316" i="13"/>
  <c r="AG316" i="13"/>
  <c r="AF316" i="13"/>
  <c r="AE316" i="13"/>
  <c r="AD316" i="13"/>
  <c r="AC316" i="13"/>
  <c r="AB316" i="13"/>
  <c r="AA316" i="13"/>
  <c r="Z316" i="13"/>
  <c r="Y316" i="13"/>
  <c r="X316" i="13"/>
  <c r="W316" i="13"/>
  <c r="V316" i="13"/>
  <c r="U316" i="13"/>
  <c r="T316" i="13"/>
  <c r="S316" i="13"/>
  <c r="R316" i="13"/>
  <c r="Q316" i="13"/>
  <c r="P316" i="13"/>
  <c r="O316" i="13"/>
  <c r="N316" i="13"/>
  <c r="M316" i="13"/>
  <c r="AL315" i="13"/>
  <c r="AK315" i="13"/>
  <c r="AJ315" i="13"/>
  <c r="AI315" i="13"/>
  <c r="AH315" i="13"/>
  <c r="AG315" i="13"/>
  <c r="AF315" i="13"/>
  <c r="AE315" i="13"/>
  <c r="AD315" i="13"/>
  <c r="AC315" i="13"/>
  <c r="AB315" i="13"/>
  <c r="AA315" i="13"/>
  <c r="Z315" i="13"/>
  <c r="Y315" i="13"/>
  <c r="X315" i="13"/>
  <c r="W315" i="13"/>
  <c r="V315" i="13"/>
  <c r="U315" i="13"/>
  <c r="T315" i="13"/>
  <c r="S315" i="13"/>
  <c r="R315" i="13"/>
  <c r="Q315" i="13"/>
  <c r="P315" i="13"/>
  <c r="O315" i="13"/>
  <c r="N315" i="13"/>
  <c r="M315" i="13"/>
  <c r="AL314" i="13"/>
  <c r="AK314" i="13"/>
  <c r="AJ314" i="13"/>
  <c r="AI314" i="13"/>
  <c r="AH314" i="13"/>
  <c r="AG314" i="13"/>
  <c r="AF314" i="13"/>
  <c r="AE314" i="13"/>
  <c r="AD314" i="13"/>
  <c r="AC314" i="13"/>
  <c r="AB314" i="13"/>
  <c r="AA314" i="13"/>
  <c r="Z314" i="13"/>
  <c r="Y314" i="13"/>
  <c r="X314" i="13"/>
  <c r="W314" i="13"/>
  <c r="V314" i="13"/>
  <c r="U314" i="13"/>
  <c r="T314" i="13"/>
  <c r="S314" i="13"/>
  <c r="R314" i="13"/>
  <c r="Q314" i="13"/>
  <c r="P314" i="13"/>
  <c r="O314" i="13"/>
  <c r="N314" i="13"/>
  <c r="M314" i="13"/>
  <c r="AL313" i="13"/>
  <c r="AK313" i="13"/>
  <c r="AJ313" i="13"/>
  <c r="AI313" i="13"/>
  <c r="AH313" i="13"/>
  <c r="AG313" i="13"/>
  <c r="AF313" i="13"/>
  <c r="AE313" i="13"/>
  <c r="AD313" i="13"/>
  <c r="AC313" i="13"/>
  <c r="AB313" i="13"/>
  <c r="AA313" i="13"/>
  <c r="Z313" i="13"/>
  <c r="Y313" i="13"/>
  <c r="X313" i="13"/>
  <c r="W313" i="13"/>
  <c r="V313" i="13"/>
  <c r="U313" i="13"/>
  <c r="T313" i="13"/>
  <c r="S313" i="13"/>
  <c r="R313" i="13"/>
  <c r="Q313" i="13"/>
  <c r="P313" i="13"/>
  <c r="O313" i="13"/>
  <c r="N313" i="13"/>
  <c r="M313" i="13"/>
  <c r="AL312" i="13"/>
  <c r="AK312" i="13"/>
  <c r="AJ312" i="13"/>
  <c r="AI312" i="13"/>
  <c r="AH312" i="13"/>
  <c r="AG312" i="13"/>
  <c r="AF312" i="13"/>
  <c r="AE312" i="13"/>
  <c r="AD312" i="13"/>
  <c r="AC312" i="13"/>
  <c r="AB312" i="13"/>
  <c r="AA312" i="13"/>
  <c r="Z312" i="13"/>
  <c r="Y312" i="13"/>
  <c r="X312" i="13"/>
  <c r="W312" i="13"/>
  <c r="V312" i="13"/>
  <c r="U312" i="13"/>
  <c r="T312" i="13"/>
  <c r="S312" i="13"/>
  <c r="R312" i="13"/>
  <c r="Q312" i="13"/>
  <c r="P312" i="13"/>
  <c r="O312" i="13"/>
  <c r="N312" i="13"/>
  <c r="M312" i="13"/>
  <c r="AL311" i="13"/>
  <c r="AK311" i="13"/>
  <c r="AJ311" i="13"/>
  <c r="AI311" i="13"/>
  <c r="AH311" i="13"/>
  <c r="AG311" i="13"/>
  <c r="AF311" i="13"/>
  <c r="AE311" i="13"/>
  <c r="AD311" i="13"/>
  <c r="AC311" i="13"/>
  <c r="AB311" i="13"/>
  <c r="AA311" i="13"/>
  <c r="Z311" i="13"/>
  <c r="Y311" i="13"/>
  <c r="X311" i="13"/>
  <c r="W311" i="13"/>
  <c r="V311" i="13"/>
  <c r="U311" i="13"/>
  <c r="T311" i="13"/>
  <c r="S311" i="13"/>
  <c r="R311" i="13"/>
  <c r="Q311" i="13"/>
  <c r="P311" i="13"/>
  <c r="O311" i="13"/>
  <c r="N311" i="13"/>
  <c r="M311" i="13"/>
  <c r="AL310" i="13"/>
  <c r="AK310" i="13"/>
  <c r="AJ310" i="13"/>
  <c r="AI310" i="13"/>
  <c r="AH310" i="13"/>
  <c r="AG310" i="13"/>
  <c r="AF310" i="13"/>
  <c r="AE310" i="13"/>
  <c r="AD310" i="13"/>
  <c r="AC310" i="13"/>
  <c r="AB310" i="13"/>
  <c r="AA310" i="13"/>
  <c r="Z310" i="13"/>
  <c r="Y310" i="13"/>
  <c r="X310" i="13"/>
  <c r="W310" i="13"/>
  <c r="V310" i="13"/>
  <c r="U310" i="13"/>
  <c r="T310" i="13"/>
  <c r="S310" i="13"/>
  <c r="R310" i="13"/>
  <c r="Q310" i="13"/>
  <c r="P310" i="13"/>
  <c r="O310" i="13"/>
  <c r="N310" i="13"/>
  <c r="M310" i="13"/>
  <c r="AL309" i="13"/>
  <c r="AK309" i="13"/>
  <c r="AJ309" i="13"/>
  <c r="AI309" i="13"/>
  <c r="AH309" i="13"/>
  <c r="AG309" i="13"/>
  <c r="AF309" i="13"/>
  <c r="AE309" i="13"/>
  <c r="AD309" i="13"/>
  <c r="AC309" i="13"/>
  <c r="AB309" i="13"/>
  <c r="AA309" i="13"/>
  <c r="Z309" i="13"/>
  <c r="Y309" i="13"/>
  <c r="X309" i="13"/>
  <c r="W309" i="13"/>
  <c r="V309" i="13"/>
  <c r="U309" i="13"/>
  <c r="T309" i="13"/>
  <c r="S309" i="13"/>
  <c r="R309" i="13"/>
  <c r="Q309" i="13"/>
  <c r="P309" i="13"/>
  <c r="O309" i="13"/>
  <c r="N309" i="13"/>
  <c r="M309" i="13"/>
  <c r="AL308" i="13"/>
  <c r="AK308" i="13"/>
  <c r="AJ308" i="13"/>
  <c r="AI308" i="13"/>
  <c r="AH308" i="13"/>
  <c r="AG308" i="13"/>
  <c r="AF308" i="13"/>
  <c r="AE308" i="13"/>
  <c r="AD308" i="13"/>
  <c r="AC308" i="13"/>
  <c r="AB308" i="13"/>
  <c r="AA308" i="13"/>
  <c r="Z308" i="13"/>
  <c r="Y308" i="13"/>
  <c r="X308" i="13"/>
  <c r="W308" i="13"/>
  <c r="V308" i="13"/>
  <c r="U308" i="13"/>
  <c r="T308" i="13"/>
  <c r="S308" i="13"/>
  <c r="R308" i="13"/>
  <c r="Q308" i="13"/>
  <c r="P308" i="13"/>
  <c r="O308" i="13"/>
  <c r="N308" i="13"/>
  <c r="M308" i="13"/>
  <c r="AL307" i="13"/>
  <c r="AK307" i="13"/>
  <c r="AJ307" i="13"/>
  <c r="AI307" i="13"/>
  <c r="AH307" i="13"/>
  <c r="AG307" i="13"/>
  <c r="AF307" i="13"/>
  <c r="AE307" i="13"/>
  <c r="AD307" i="13"/>
  <c r="AC307" i="13"/>
  <c r="AB307" i="13"/>
  <c r="AA307" i="13"/>
  <c r="Z307" i="13"/>
  <c r="Y307" i="13"/>
  <c r="X307" i="13"/>
  <c r="W307" i="13"/>
  <c r="V307" i="13"/>
  <c r="U307" i="13"/>
  <c r="T307" i="13"/>
  <c r="S307" i="13"/>
  <c r="R307" i="13"/>
  <c r="Q307" i="13"/>
  <c r="P307" i="13"/>
  <c r="O307" i="13"/>
  <c r="N307" i="13"/>
  <c r="M307" i="13"/>
  <c r="AL306" i="13"/>
  <c r="AK306" i="13"/>
  <c r="AJ306" i="13"/>
  <c r="AI306" i="13"/>
  <c r="AH306" i="13"/>
  <c r="AG306" i="13"/>
  <c r="AF306" i="13"/>
  <c r="AE306" i="13"/>
  <c r="AD306" i="13"/>
  <c r="AC306" i="13"/>
  <c r="AB306" i="13"/>
  <c r="AA306" i="13"/>
  <c r="Z306" i="13"/>
  <c r="Y306" i="13"/>
  <c r="X306" i="13"/>
  <c r="W306" i="13"/>
  <c r="V306" i="13"/>
  <c r="U306" i="13"/>
  <c r="T306" i="13"/>
  <c r="S306" i="13"/>
  <c r="R306" i="13"/>
  <c r="Q306" i="13"/>
  <c r="P306" i="13"/>
  <c r="O306" i="13"/>
  <c r="N306" i="13"/>
  <c r="M306" i="13"/>
  <c r="AL305" i="13"/>
  <c r="AK305" i="13"/>
  <c r="AJ305" i="13"/>
  <c r="AI305" i="13"/>
  <c r="AH305" i="13"/>
  <c r="AG305" i="13"/>
  <c r="AF305" i="13"/>
  <c r="AE305" i="13"/>
  <c r="AD305" i="13"/>
  <c r="AC305" i="13"/>
  <c r="AB305" i="13"/>
  <c r="AA305" i="13"/>
  <c r="Z305" i="13"/>
  <c r="Y305" i="13"/>
  <c r="X305" i="13"/>
  <c r="W305" i="13"/>
  <c r="V305" i="13"/>
  <c r="U305" i="13"/>
  <c r="T305" i="13"/>
  <c r="S305" i="13"/>
  <c r="R305" i="13"/>
  <c r="Q305" i="13"/>
  <c r="P305" i="13"/>
  <c r="O305" i="13"/>
  <c r="N305" i="13"/>
  <c r="M305" i="13"/>
  <c r="AL304" i="13"/>
  <c r="AK304" i="13"/>
  <c r="AJ304" i="13"/>
  <c r="AI304" i="13"/>
  <c r="AH304" i="13"/>
  <c r="AG304" i="13"/>
  <c r="AF304" i="13"/>
  <c r="AE304" i="13"/>
  <c r="AD304" i="13"/>
  <c r="AC304" i="13"/>
  <c r="AB304" i="13"/>
  <c r="AA304" i="13"/>
  <c r="Z304" i="13"/>
  <c r="Y304" i="13"/>
  <c r="X304" i="13"/>
  <c r="W304" i="13"/>
  <c r="V304" i="13"/>
  <c r="U304" i="13"/>
  <c r="T304" i="13"/>
  <c r="S304" i="13"/>
  <c r="R304" i="13"/>
  <c r="Q304" i="13"/>
  <c r="P304" i="13"/>
  <c r="O304" i="13"/>
  <c r="N304" i="13"/>
  <c r="M304" i="13"/>
  <c r="AL303" i="13"/>
  <c r="AK303" i="13"/>
  <c r="AJ303" i="13"/>
  <c r="AI303" i="13"/>
  <c r="AH303" i="13"/>
  <c r="AG303" i="13"/>
  <c r="AF303" i="13"/>
  <c r="AE303" i="13"/>
  <c r="AD303" i="13"/>
  <c r="AC303" i="13"/>
  <c r="AB303" i="13"/>
  <c r="AA303" i="13"/>
  <c r="Z303" i="13"/>
  <c r="Y303" i="13"/>
  <c r="X303" i="13"/>
  <c r="W303" i="13"/>
  <c r="V303" i="13"/>
  <c r="U303" i="13"/>
  <c r="T303" i="13"/>
  <c r="S303" i="13"/>
  <c r="R303" i="13"/>
  <c r="Q303" i="13"/>
  <c r="P303" i="13"/>
  <c r="O303" i="13"/>
  <c r="N303" i="13"/>
  <c r="M303" i="13"/>
  <c r="AL302" i="13"/>
  <c r="AK302" i="13"/>
  <c r="AJ302" i="13"/>
  <c r="AI302" i="13"/>
  <c r="AH302" i="13"/>
  <c r="AG302" i="13"/>
  <c r="AF302" i="13"/>
  <c r="AE302" i="13"/>
  <c r="AD302" i="13"/>
  <c r="AC302" i="13"/>
  <c r="AB302" i="13"/>
  <c r="AA302" i="13"/>
  <c r="Z302" i="13"/>
  <c r="Y302" i="13"/>
  <c r="X302" i="13"/>
  <c r="W302" i="13"/>
  <c r="V302" i="13"/>
  <c r="U302" i="13"/>
  <c r="T302" i="13"/>
  <c r="S302" i="13"/>
  <c r="R302" i="13"/>
  <c r="Q302" i="13"/>
  <c r="P302" i="13"/>
  <c r="O302" i="13"/>
  <c r="N302" i="13"/>
  <c r="M302" i="13"/>
  <c r="AL301" i="13"/>
  <c r="AK301" i="13"/>
  <c r="AJ301" i="13"/>
  <c r="AI301" i="13"/>
  <c r="AH301" i="13"/>
  <c r="AG301" i="13"/>
  <c r="AF301" i="13"/>
  <c r="AE301" i="13"/>
  <c r="AD301" i="13"/>
  <c r="AC301" i="13"/>
  <c r="AB301" i="13"/>
  <c r="AA301" i="13"/>
  <c r="Z301" i="13"/>
  <c r="Y301" i="13"/>
  <c r="X301" i="13"/>
  <c r="W301" i="13"/>
  <c r="V301" i="13"/>
  <c r="U301" i="13"/>
  <c r="T301" i="13"/>
  <c r="S301" i="13"/>
  <c r="R301" i="13"/>
  <c r="Q301" i="13"/>
  <c r="P301" i="13"/>
  <c r="O301" i="13"/>
  <c r="N301" i="13"/>
  <c r="M301" i="13"/>
  <c r="AL300" i="13"/>
  <c r="AK300" i="13"/>
  <c r="AJ300" i="13"/>
  <c r="AI300" i="13"/>
  <c r="AH300" i="13"/>
  <c r="AG300" i="13"/>
  <c r="AF300" i="13"/>
  <c r="AE300" i="13"/>
  <c r="AD300" i="13"/>
  <c r="AC300" i="13"/>
  <c r="AB300" i="13"/>
  <c r="AA300" i="13"/>
  <c r="Z300" i="13"/>
  <c r="Y300" i="13"/>
  <c r="X300" i="13"/>
  <c r="W300" i="13"/>
  <c r="V300" i="13"/>
  <c r="U300" i="13"/>
  <c r="T300" i="13"/>
  <c r="S300" i="13"/>
  <c r="R300" i="13"/>
  <c r="Q300" i="13"/>
  <c r="P300" i="13"/>
  <c r="O300" i="13"/>
  <c r="N300" i="13"/>
  <c r="M300" i="13"/>
  <c r="AL299" i="13"/>
  <c r="AK299" i="13"/>
  <c r="AJ299" i="13"/>
  <c r="AI299" i="13"/>
  <c r="AH299" i="13"/>
  <c r="AG299" i="13"/>
  <c r="AF299" i="13"/>
  <c r="AE299" i="13"/>
  <c r="AD299" i="13"/>
  <c r="AC299" i="13"/>
  <c r="AB299" i="13"/>
  <c r="AA299" i="13"/>
  <c r="Z299" i="13"/>
  <c r="Y299" i="13"/>
  <c r="X299" i="13"/>
  <c r="W299" i="13"/>
  <c r="V299" i="13"/>
  <c r="U299" i="13"/>
  <c r="T299" i="13"/>
  <c r="S299" i="13"/>
  <c r="R299" i="13"/>
  <c r="Q299" i="13"/>
  <c r="P299" i="13"/>
  <c r="O299" i="13"/>
  <c r="N299" i="13"/>
  <c r="M299" i="13"/>
  <c r="AL298" i="13"/>
  <c r="AK298" i="13"/>
  <c r="AJ298" i="13"/>
  <c r="AI298" i="13"/>
  <c r="AH298" i="13"/>
  <c r="AG298" i="13"/>
  <c r="AF298" i="13"/>
  <c r="AE298" i="13"/>
  <c r="AD298" i="13"/>
  <c r="AC298" i="13"/>
  <c r="AB298" i="13"/>
  <c r="AA298" i="13"/>
  <c r="Z298" i="13"/>
  <c r="Y298" i="13"/>
  <c r="X298" i="13"/>
  <c r="W298" i="13"/>
  <c r="V298" i="13"/>
  <c r="U298" i="13"/>
  <c r="T298" i="13"/>
  <c r="S298" i="13"/>
  <c r="R298" i="13"/>
  <c r="Q298" i="13"/>
  <c r="P298" i="13"/>
  <c r="O298" i="13"/>
  <c r="N298" i="13"/>
  <c r="M298" i="13"/>
  <c r="AL297" i="13"/>
  <c r="AK297" i="13"/>
  <c r="AJ297" i="13"/>
  <c r="AI297" i="13"/>
  <c r="AH297" i="13"/>
  <c r="AG297" i="13"/>
  <c r="AF297" i="13"/>
  <c r="AE297" i="13"/>
  <c r="AD297" i="13"/>
  <c r="AC297" i="13"/>
  <c r="AB297" i="13"/>
  <c r="AA297" i="13"/>
  <c r="Z297" i="13"/>
  <c r="Y297" i="13"/>
  <c r="X297" i="13"/>
  <c r="W297" i="13"/>
  <c r="V297" i="13"/>
  <c r="U297" i="13"/>
  <c r="T297" i="13"/>
  <c r="S297" i="13"/>
  <c r="R297" i="13"/>
  <c r="Q297" i="13"/>
  <c r="P297" i="13"/>
  <c r="O297" i="13"/>
  <c r="N297" i="13"/>
  <c r="M297" i="13"/>
  <c r="AL296" i="13"/>
  <c r="AK296" i="13"/>
  <c r="AJ296" i="13"/>
  <c r="AI296" i="13"/>
  <c r="AH296" i="13"/>
  <c r="AG296" i="13"/>
  <c r="AF296" i="13"/>
  <c r="AE296" i="13"/>
  <c r="AD296" i="13"/>
  <c r="AC296" i="13"/>
  <c r="AB296" i="13"/>
  <c r="AA296" i="13"/>
  <c r="Z296" i="13"/>
  <c r="Y296" i="13"/>
  <c r="X296" i="13"/>
  <c r="W296" i="13"/>
  <c r="V296" i="13"/>
  <c r="U296" i="13"/>
  <c r="T296" i="13"/>
  <c r="S296" i="13"/>
  <c r="R296" i="13"/>
  <c r="Q296" i="13"/>
  <c r="P296" i="13"/>
  <c r="O296" i="13"/>
  <c r="N296" i="13"/>
  <c r="M296" i="13"/>
  <c r="AL295" i="13"/>
  <c r="AK295" i="13"/>
  <c r="AJ295" i="13"/>
  <c r="AI295" i="13"/>
  <c r="AH295" i="13"/>
  <c r="AG295" i="13"/>
  <c r="AF295" i="13"/>
  <c r="AE295" i="13"/>
  <c r="AD295" i="13"/>
  <c r="AC295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O295" i="13"/>
  <c r="N295" i="13"/>
  <c r="M295" i="13"/>
  <c r="AL294" i="13"/>
  <c r="AK294" i="13"/>
  <c r="AJ294" i="13"/>
  <c r="AI294" i="13"/>
  <c r="AH294" i="13"/>
  <c r="AG294" i="13"/>
  <c r="AF294" i="13"/>
  <c r="AE294" i="13"/>
  <c r="AD294" i="13"/>
  <c r="AC294" i="13"/>
  <c r="AB294" i="13"/>
  <c r="AA294" i="13"/>
  <c r="Z294" i="13"/>
  <c r="Y294" i="13"/>
  <c r="X294" i="13"/>
  <c r="W294" i="13"/>
  <c r="V294" i="13"/>
  <c r="U294" i="13"/>
  <c r="T294" i="13"/>
  <c r="S294" i="13"/>
  <c r="R294" i="13"/>
  <c r="Q294" i="13"/>
  <c r="P294" i="13"/>
  <c r="O294" i="13"/>
  <c r="N294" i="13"/>
  <c r="M294" i="13"/>
  <c r="AL293" i="13"/>
  <c r="AK293" i="13"/>
  <c r="AJ293" i="13"/>
  <c r="AI293" i="13"/>
  <c r="AH293" i="13"/>
  <c r="AG293" i="13"/>
  <c r="AF293" i="13"/>
  <c r="AE293" i="13"/>
  <c r="AD293" i="13"/>
  <c r="AC293" i="13"/>
  <c r="AB293" i="13"/>
  <c r="AA293" i="13"/>
  <c r="Z293" i="13"/>
  <c r="Y293" i="13"/>
  <c r="X293" i="13"/>
  <c r="W293" i="13"/>
  <c r="V293" i="13"/>
  <c r="U293" i="13"/>
  <c r="T293" i="13"/>
  <c r="S293" i="13"/>
  <c r="R293" i="13"/>
  <c r="Q293" i="13"/>
  <c r="P293" i="13"/>
  <c r="O293" i="13"/>
  <c r="N293" i="13"/>
  <c r="M293" i="13"/>
  <c r="AL292" i="13"/>
  <c r="AK292" i="13"/>
  <c r="AJ292" i="13"/>
  <c r="AI292" i="13"/>
  <c r="AH292" i="13"/>
  <c r="AG292" i="13"/>
  <c r="AF292" i="13"/>
  <c r="AE292" i="13"/>
  <c r="AD292" i="13"/>
  <c r="AC292" i="13"/>
  <c r="AB292" i="13"/>
  <c r="AA292" i="13"/>
  <c r="Z292" i="13"/>
  <c r="Y292" i="13"/>
  <c r="X292" i="13"/>
  <c r="W292" i="13"/>
  <c r="V292" i="13"/>
  <c r="U292" i="13"/>
  <c r="T292" i="13"/>
  <c r="S292" i="13"/>
  <c r="R292" i="13"/>
  <c r="Q292" i="13"/>
  <c r="P292" i="13"/>
  <c r="O292" i="13"/>
  <c r="N292" i="13"/>
  <c r="M292" i="13"/>
  <c r="AL291" i="13"/>
  <c r="AK291" i="13"/>
  <c r="AJ291" i="13"/>
  <c r="AI291" i="13"/>
  <c r="AH291" i="13"/>
  <c r="AG291" i="13"/>
  <c r="AF291" i="13"/>
  <c r="AE291" i="13"/>
  <c r="AD291" i="13"/>
  <c r="AC291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O291" i="13"/>
  <c r="N291" i="13"/>
  <c r="M291" i="13"/>
  <c r="AL290" i="13"/>
  <c r="AK290" i="13"/>
  <c r="AJ290" i="13"/>
  <c r="AI290" i="13"/>
  <c r="AH290" i="13"/>
  <c r="AG290" i="13"/>
  <c r="AF290" i="13"/>
  <c r="AE290" i="13"/>
  <c r="AD290" i="13"/>
  <c r="AC290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O290" i="13"/>
  <c r="N290" i="13"/>
  <c r="M290" i="13"/>
  <c r="AL289" i="13"/>
  <c r="AK289" i="13"/>
  <c r="AJ289" i="13"/>
  <c r="AI289" i="13"/>
  <c r="AH289" i="13"/>
  <c r="AG289" i="13"/>
  <c r="AF289" i="13"/>
  <c r="AE289" i="13"/>
  <c r="AD289" i="13"/>
  <c r="AC289" i="13"/>
  <c r="AB289" i="13"/>
  <c r="AA289" i="13"/>
  <c r="Z289" i="13"/>
  <c r="Y289" i="13"/>
  <c r="X289" i="13"/>
  <c r="W289" i="13"/>
  <c r="V289" i="13"/>
  <c r="U289" i="13"/>
  <c r="T289" i="13"/>
  <c r="S289" i="13"/>
  <c r="R289" i="13"/>
  <c r="Q289" i="13"/>
  <c r="P289" i="13"/>
  <c r="O289" i="13"/>
  <c r="N289" i="13"/>
  <c r="M289" i="13"/>
  <c r="AL288" i="13"/>
  <c r="AK288" i="13"/>
  <c r="AJ288" i="13"/>
  <c r="AI288" i="13"/>
  <c r="AH288" i="13"/>
  <c r="AG288" i="13"/>
  <c r="AF288" i="13"/>
  <c r="AE288" i="13"/>
  <c r="AD288" i="13"/>
  <c r="AC288" i="13"/>
  <c r="AB288" i="13"/>
  <c r="AA288" i="13"/>
  <c r="Z288" i="13"/>
  <c r="Y288" i="13"/>
  <c r="X288" i="13"/>
  <c r="W288" i="13"/>
  <c r="V288" i="13"/>
  <c r="U288" i="13"/>
  <c r="T288" i="13"/>
  <c r="S288" i="13"/>
  <c r="R288" i="13"/>
  <c r="Q288" i="13"/>
  <c r="P288" i="13"/>
  <c r="O288" i="13"/>
  <c r="N288" i="13"/>
  <c r="M288" i="13"/>
  <c r="AL287" i="13"/>
  <c r="AK287" i="13"/>
  <c r="AJ287" i="13"/>
  <c r="AI287" i="13"/>
  <c r="AH287" i="13"/>
  <c r="AG287" i="13"/>
  <c r="AF287" i="13"/>
  <c r="AE287" i="13"/>
  <c r="AD287" i="13"/>
  <c r="AC287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O287" i="13"/>
  <c r="N287" i="13"/>
  <c r="M287" i="13"/>
  <c r="AL286" i="13"/>
  <c r="AK286" i="13"/>
  <c r="AJ286" i="13"/>
  <c r="AI286" i="13"/>
  <c r="AH286" i="13"/>
  <c r="AG286" i="13"/>
  <c r="AF286" i="13"/>
  <c r="AE286" i="13"/>
  <c r="AD286" i="13"/>
  <c r="AC286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O286" i="13"/>
  <c r="N286" i="13"/>
  <c r="M286" i="13"/>
  <c r="AL285" i="13"/>
  <c r="AK285" i="13"/>
  <c r="AJ285" i="13"/>
  <c r="AI285" i="13"/>
  <c r="AH285" i="13"/>
  <c r="AG285" i="13"/>
  <c r="AF285" i="13"/>
  <c r="AE285" i="13"/>
  <c r="AD285" i="13"/>
  <c r="AC285" i="13"/>
  <c r="AB285" i="13"/>
  <c r="AA285" i="13"/>
  <c r="Z285" i="13"/>
  <c r="Y285" i="13"/>
  <c r="X285" i="13"/>
  <c r="W285" i="13"/>
  <c r="V285" i="13"/>
  <c r="U285" i="13"/>
  <c r="T285" i="13"/>
  <c r="S285" i="13"/>
  <c r="R285" i="13"/>
  <c r="Q285" i="13"/>
  <c r="P285" i="13"/>
  <c r="O285" i="13"/>
  <c r="N285" i="13"/>
  <c r="M285" i="13"/>
  <c r="AL284" i="13"/>
  <c r="AK284" i="13"/>
  <c r="AJ284" i="13"/>
  <c r="AI284" i="13"/>
  <c r="AH284" i="13"/>
  <c r="AG284" i="13"/>
  <c r="AF284" i="13"/>
  <c r="AE284" i="13"/>
  <c r="AD284" i="13"/>
  <c r="AC284" i="13"/>
  <c r="AB284" i="13"/>
  <c r="AA284" i="13"/>
  <c r="Z284" i="13"/>
  <c r="Y284" i="13"/>
  <c r="X284" i="13"/>
  <c r="W284" i="13"/>
  <c r="V284" i="13"/>
  <c r="U284" i="13"/>
  <c r="T284" i="13"/>
  <c r="S284" i="13"/>
  <c r="R284" i="13"/>
  <c r="Q284" i="13"/>
  <c r="P284" i="13"/>
  <c r="O284" i="13"/>
  <c r="N284" i="13"/>
  <c r="M284" i="13"/>
  <c r="AL283" i="13"/>
  <c r="AK283" i="13"/>
  <c r="AJ283" i="13"/>
  <c r="AI283" i="13"/>
  <c r="AH283" i="13"/>
  <c r="AG283" i="13"/>
  <c r="AF283" i="13"/>
  <c r="AE283" i="13"/>
  <c r="AD283" i="13"/>
  <c r="AC283" i="13"/>
  <c r="AB283" i="13"/>
  <c r="AA283" i="13"/>
  <c r="Z283" i="13"/>
  <c r="Y283" i="13"/>
  <c r="X283" i="13"/>
  <c r="W283" i="13"/>
  <c r="V283" i="13"/>
  <c r="U283" i="13"/>
  <c r="T283" i="13"/>
  <c r="S283" i="13"/>
  <c r="R283" i="13"/>
  <c r="Q283" i="13"/>
  <c r="P283" i="13"/>
  <c r="O283" i="13"/>
  <c r="N283" i="13"/>
  <c r="M283" i="13"/>
  <c r="AL282" i="13"/>
  <c r="AK282" i="13"/>
  <c r="AJ282" i="13"/>
  <c r="AI282" i="13"/>
  <c r="AH282" i="13"/>
  <c r="AG282" i="13"/>
  <c r="AF282" i="13"/>
  <c r="AE282" i="13"/>
  <c r="AD282" i="13"/>
  <c r="AC282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AL281" i="13"/>
  <c r="AK281" i="13"/>
  <c r="AJ281" i="13"/>
  <c r="AI281" i="13"/>
  <c r="AH281" i="13"/>
  <c r="AG281" i="13"/>
  <c r="AF281" i="13"/>
  <c r="AE281" i="13"/>
  <c r="AD281" i="13"/>
  <c r="AC281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O281" i="13"/>
  <c r="N281" i="13"/>
  <c r="M281" i="13"/>
  <c r="AL280" i="13"/>
  <c r="AK280" i="13"/>
  <c r="AJ280" i="13"/>
  <c r="AI280" i="13"/>
  <c r="AH280" i="13"/>
  <c r="AG280" i="13"/>
  <c r="AF280" i="13"/>
  <c r="AE280" i="13"/>
  <c r="AD280" i="13"/>
  <c r="AC280" i="13"/>
  <c r="AB280" i="13"/>
  <c r="AA280" i="13"/>
  <c r="Z280" i="13"/>
  <c r="Y280" i="13"/>
  <c r="X280" i="13"/>
  <c r="W280" i="13"/>
  <c r="V280" i="13"/>
  <c r="U280" i="13"/>
  <c r="T280" i="13"/>
  <c r="S280" i="13"/>
  <c r="R280" i="13"/>
  <c r="Q280" i="13"/>
  <c r="P280" i="13"/>
  <c r="O280" i="13"/>
  <c r="N280" i="13"/>
  <c r="M280" i="13"/>
  <c r="AL279" i="13"/>
  <c r="AK279" i="13"/>
  <c r="AJ279" i="13"/>
  <c r="AI279" i="13"/>
  <c r="AH279" i="13"/>
  <c r="AG279" i="13"/>
  <c r="AF279" i="13"/>
  <c r="AE279" i="13"/>
  <c r="AD279" i="13"/>
  <c r="AC279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O279" i="13"/>
  <c r="N279" i="13"/>
  <c r="M279" i="13"/>
  <c r="AL278" i="13"/>
  <c r="AK278" i="13"/>
  <c r="AJ278" i="13"/>
  <c r="AI278" i="13"/>
  <c r="AH278" i="13"/>
  <c r="AG278" i="13"/>
  <c r="AF278" i="13"/>
  <c r="AE278" i="13"/>
  <c r="AD278" i="13"/>
  <c r="AC278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O278" i="13"/>
  <c r="N278" i="13"/>
  <c r="M278" i="13"/>
  <c r="AL277" i="13"/>
  <c r="AK277" i="13"/>
  <c r="AJ277" i="13"/>
  <c r="AI277" i="13"/>
  <c r="AH277" i="13"/>
  <c r="AG277" i="13"/>
  <c r="AF277" i="13"/>
  <c r="AE277" i="13"/>
  <c r="AD277" i="13"/>
  <c r="AC277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O277" i="13"/>
  <c r="N277" i="13"/>
  <c r="M277" i="13"/>
  <c r="AL276" i="13"/>
  <c r="AK276" i="13"/>
  <c r="AJ276" i="13"/>
  <c r="AI276" i="13"/>
  <c r="AH276" i="13"/>
  <c r="AG276" i="13"/>
  <c r="AF276" i="13"/>
  <c r="AE276" i="13"/>
  <c r="AD276" i="13"/>
  <c r="AC276" i="13"/>
  <c r="AB276" i="13"/>
  <c r="AA276" i="13"/>
  <c r="Z276" i="13"/>
  <c r="Y276" i="13"/>
  <c r="X276" i="13"/>
  <c r="W276" i="13"/>
  <c r="V276" i="13"/>
  <c r="U276" i="13"/>
  <c r="T276" i="13"/>
  <c r="S276" i="13"/>
  <c r="R276" i="13"/>
  <c r="Q276" i="13"/>
  <c r="P276" i="13"/>
  <c r="O276" i="13"/>
  <c r="N276" i="13"/>
  <c r="M276" i="13"/>
  <c r="AL275" i="13"/>
  <c r="AK275" i="13"/>
  <c r="AJ275" i="13"/>
  <c r="AI275" i="13"/>
  <c r="AH275" i="13"/>
  <c r="AG275" i="13"/>
  <c r="AF275" i="13"/>
  <c r="AE275" i="13"/>
  <c r="AD275" i="13"/>
  <c r="AC275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O275" i="13"/>
  <c r="N275" i="13"/>
  <c r="M275" i="13"/>
  <c r="AL274" i="13"/>
  <c r="AK274" i="13"/>
  <c r="AJ274" i="13"/>
  <c r="AI274" i="13"/>
  <c r="AH274" i="13"/>
  <c r="AG274" i="13"/>
  <c r="AF274" i="13"/>
  <c r="AE274" i="13"/>
  <c r="AD274" i="13"/>
  <c r="AC274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O274" i="13"/>
  <c r="N274" i="13"/>
  <c r="M274" i="13"/>
  <c r="AL273" i="13"/>
  <c r="AK273" i="13"/>
  <c r="AJ273" i="13"/>
  <c r="AI273" i="13"/>
  <c r="AH273" i="13"/>
  <c r="AG273" i="13"/>
  <c r="AF273" i="13"/>
  <c r="AE273" i="13"/>
  <c r="AD273" i="13"/>
  <c r="AC273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O273" i="13"/>
  <c r="N273" i="13"/>
  <c r="M273" i="13"/>
  <c r="AL272" i="13"/>
  <c r="AK272" i="13"/>
  <c r="AJ272" i="13"/>
  <c r="AI272" i="13"/>
  <c r="AH272" i="13"/>
  <c r="AG272" i="13"/>
  <c r="AF272" i="13"/>
  <c r="AE272" i="13"/>
  <c r="AD272" i="13"/>
  <c r="AC272" i="13"/>
  <c r="AB272" i="13"/>
  <c r="AA272" i="13"/>
  <c r="Z272" i="13"/>
  <c r="Y272" i="13"/>
  <c r="X272" i="13"/>
  <c r="W272" i="13"/>
  <c r="V272" i="13"/>
  <c r="U272" i="13"/>
  <c r="T272" i="13"/>
  <c r="S272" i="13"/>
  <c r="R272" i="13"/>
  <c r="Q272" i="13"/>
  <c r="P272" i="13"/>
  <c r="O272" i="13"/>
  <c r="N272" i="13"/>
  <c r="M272" i="13"/>
  <c r="AL271" i="13"/>
  <c r="AK271" i="13"/>
  <c r="AJ271" i="13"/>
  <c r="AI271" i="13"/>
  <c r="AH271" i="13"/>
  <c r="AG271" i="13"/>
  <c r="AF271" i="13"/>
  <c r="AE271" i="13"/>
  <c r="AD271" i="13"/>
  <c r="AC271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O271" i="13"/>
  <c r="N271" i="13"/>
  <c r="M271" i="13"/>
  <c r="AL270" i="13"/>
  <c r="AK270" i="13"/>
  <c r="AJ270" i="13"/>
  <c r="AI270" i="13"/>
  <c r="AH270" i="13"/>
  <c r="AG270" i="13"/>
  <c r="AF270" i="13"/>
  <c r="AE270" i="13"/>
  <c r="AD270" i="13"/>
  <c r="AC270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O270" i="13"/>
  <c r="N270" i="13"/>
  <c r="M270" i="13"/>
  <c r="AL269" i="13"/>
  <c r="AK269" i="13"/>
  <c r="AJ269" i="13"/>
  <c r="AI269" i="13"/>
  <c r="AH269" i="13"/>
  <c r="AG269" i="13"/>
  <c r="AF269" i="13"/>
  <c r="AE269" i="13"/>
  <c r="AD269" i="13"/>
  <c r="AC269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O269" i="13"/>
  <c r="N269" i="13"/>
  <c r="M269" i="13"/>
  <c r="AL268" i="13"/>
  <c r="AK268" i="13"/>
  <c r="AJ268" i="13"/>
  <c r="AI268" i="13"/>
  <c r="AH268" i="13"/>
  <c r="AG268" i="13"/>
  <c r="AF268" i="13"/>
  <c r="AE268" i="13"/>
  <c r="AD268" i="13"/>
  <c r="AC268" i="13"/>
  <c r="AB268" i="13"/>
  <c r="AA268" i="13"/>
  <c r="Z268" i="13"/>
  <c r="Y268" i="13"/>
  <c r="X268" i="13"/>
  <c r="W268" i="13"/>
  <c r="V268" i="13"/>
  <c r="U268" i="13"/>
  <c r="T268" i="13"/>
  <c r="S268" i="13"/>
  <c r="R268" i="13"/>
  <c r="Q268" i="13"/>
  <c r="P268" i="13"/>
  <c r="O268" i="13"/>
  <c r="N268" i="13"/>
  <c r="M268" i="13"/>
  <c r="AL267" i="13"/>
  <c r="AK267" i="13"/>
  <c r="AJ267" i="13"/>
  <c r="AI267" i="13"/>
  <c r="AH267" i="13"/>
  <c r="AG267" i="13"/>
  <c r="AF267" i="13"/>
  <c r="AE267" i="13"/>
  <c r="AD267" i="13"/>
  <c r="AC267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O267" i="13"/>
  <c r="N267" i="13"/>
  <c r="M267" i="13"/>
  <c r="AL266" i="13"/>
  <c r="AK266" i="13"/>
  <c r="AJ266" i="13"/>
  <c r="AI266" i="13"/>
  <c r="AH266" i="13"/>
  <c r="AG266" i="13"/>
  <c r="AF266" i="13"/>
  <c r="AE266" i="13"/>
  <c r="AD266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AL265" i="13"/>
  <c r="AK265" i="13"/>
  <c r="AJ265" i="13"/>
  <c r="AI265" i="13"/>
  <c r="AH265" i="13"/>
  <c r="AG265" i="13"/>
  <c r="AF265" i="13"/>
  <c r="AE265" i="13"/>
  <c r="AD265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AL264" i="13"/>
  <c r="AK264" i="13"/>
  <c r="AJ264" i="13"/>
  <c r="AI264" i="13"/>
  <c r="AH264" i="13"/>
  <c r="AG264" i="13"/>
  <c r="AF264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AL263" i="13"/>
  <c r="AK263" i="13"/>
  <c r="AJ263" i="13"/>
  <c r="AI263" i="13"/>
  <c r="AH263" i="13"/>
  <c r="AG263" i="13"/>
  <c r="AF263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M263" i="13"/>
  <c r="AL262" i="13"/>
  <c r="AK262" i="13"/>
  <c r="AJ262" i="13"/>
  <c r="AI262" i="13"/>
  <c r="AH262" i="13"/>
  <c r="AG262" i="13"/>
  <c r="AF262" i="13"/>
  <c r="AE262" i="13"/>
  <c r="AD262" i="13"/>
  <c r="AC262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O262" i="13"/>
  <c r="N262" i="13"/>
  <c r="M262" i="13"/>
  <c r="AL261" i="13"/>
  <c r="AK261" i="13"/>
  <c r="AJ261" i="13"/>
  <c r="AI261" i="13"/>
  <c r="AH261" i="13"/>
  <c r="AG261" i="13"/>
  <c r="AF261" i="13"/>
  <c r="AE261" i="13"/>
  <c r="AD261" i="13"/>
  <c r="AC261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O261" i="13"/>
  <c r="N261" i="13"/>
  <c r="M261" i="13"/>
  <c r="AL260" i="13"/>
  <c r="AK260" i="13"/>
  <c r="AJ260" i="13"/>
  <c r="AI260" i="13"/>
  <c r="AH260" i="13"/>
  <c r="AG260" i="13"/>
  <c r="AF260" i="13"/>
  <c r="AE260" i="13"/>
  <c r="AD260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AL259" i="13"/>
  <c r="AK259" i="13"/>
  <c r="AJ259" i="13"/>
  <c r="AI259" i="13"/>
  <c r="AH259" i="13"/>
  <c r="AG259" i="13"/>
  <c r="AF259" i="13"/>
  <c r="AE259" i="13"/>
  <c r="AD259" i="13"/>
  <c r="AC259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AL258" i="13"/>
  <c r="AK258" i="13"/>
  <c r="AJ258" i="13"/>
  <c r="AI258" i="13"/>
  <c r="AH258" i="13"/>
  <c r="AG258" i="13"/>
  <c r="AF258" i="13"/>
  <c r="AE258" i="13"/>
  <c r="AD258" i="13"/>
  <c r="AC258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AL257" i="13"/>
  <c r="AK257" i="13"/>
  <c r="AJ257" i="13"/>
  <c r="AI257" i="13"/>
  <c r="AH257" i="13"/>
  <c r="AG257" i="13"/>
  <c r="AF257" i="13"/>
  <c r="AE257" i="13"/>
  <c r="AD257" i="13"/>
  <c r="AC257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AL256" i="13"/>
  <c r="AK256" i="13"/>
  <c r="AJ256" i="13"/>
  <c r="AI256" i="13"/>
  <c r="AH256" i="13"/>
  <c r="AG256" i="13"/>
  <c r="AF256" i="13"/>
  <c r="AE256" i="13"/>
  <c r="AD256" i="13"/>
  <c r="AC256" i="13"/>
  <c r="AB256" i="13"/>
  <c r="AA256" i="13"/>
  <c r="Z256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AL255" i="13"/>
  <c r="AK255" i="13"/>
  <c r="AJ255" i="13"/>
  <c r="AI255" i="13"/>
  <c r="AH255" i="13"/>
  <c r="AG255" i="13"/>
  <c r="AF255" i="13"/>
  <c r="AE255" i="13"/>
  <c r="AD255" i="13"/>
  <c r="AC255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AL254" i="13"/>
  <c r="AK254" i="13"/>
  <c r="AJ254" i="13"/>
  <c r="AI254" i="13"/>
  <c r="AH254" i="13"/>
  <c r="AG254" i="13"/>
  <c r="AF254" i="13"/>
  <c r="AE254" i="13"/>
  <c r="AD254" i="13"/>
  <c r="AC254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AL253" i="13"/>
  <c r="AK253" i="13"/>
  <c r="AJ253" i="13"/>
  <c r="AI253" i="13"/>
  <c r="AH253" i="13"/>
  <c r="AG253" i="13"/>
  <c r="AF253" i="13"/>
  <c r="AE253" i="13"/>
  <c r="AD253" i="13"/>
  <c r="AC253" i="13"/>
  <c r="AB253" i="13"/>
  <c r="AA253" i="13"/>
  <c r="Z253" i="13"/>
  <c r="Y253" i="13"/>
  <c r="X253" i="13"/>
  <c r="W253" i="13"/>
  <c r="V253" i="13"/>
  <c r="U253" i="13"/>
  <c r="T253" i="13"/>
  <c r="S253" i="13"/>
  <c r="R253" i="13"/>
  <c r="Q253" i="13"/>
  <c r="P253" i="13"/>
  <c r="O253" i="13"/>
  <c r="N253" i="13"/>
  <c r="M253" i="13"/>
  <c r="AL252" i="13"/>
  <c r="AK252" i="13"/>
  <c r="AJ252" i="13"/>
  <c r="AI252" i="13"/>
  <c r="AH252" i="13"/>
  <c r="AG252" i="13"/>
  <c r="AF252" i="13"/>
  <c r="AE252" i="13"/>
  <c r="AD252" i="13"/>
  <c r="AC252" i="13"/>
  <c r="AB252" i="13"/>
  <c r="AA252" i="13"/>
  <c r="Z252" i="13"/>
  <c r="Y252" i="13"/>
  <c r="X252" i="13"/>
  <c r="W252" i="13"/>
  <c r="V252" i="13"/>
  <c r="U252" i="13"/>
  <c r="T252" i="13"/>
  <c r="S252" i="13"/>
  <c r="R252" i="13"/>
  <c r="Q252" i="13"/>
  <c r="P252" i="13"/>
  <c r="O252" i="13"/>
  <c r="N252" i="13"/>
  <c r="M252" i="13"/>
  <c r="AL251" i="13"/>
  <c r="AK251" i="13"/>
  <c r="AJ251" i="13"/>
  <c r="AI251" i="13"/>
  <c r="AH251" i="13"/>
  <c r="AG251" i="13"/>
  <c r="AF251" i="13"/>
  <c r="AE251" i="13"/>
  <c r="AD251" i="13"/>
  <c r="AC251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O251" i="13"/>
  <c r="N251" i="13"/>
  <c r="M251" i="13"/>
  <c r="AL250" i="13"/>
  <c r="AK250" i="13"/>
  <c r="AJ250" i="13"/>
  <c r="AI250" i="13"/>
  <c r="AH250" i="13"/>
  <c r="AG250" i="13"/>
  <c r="AF250" i="13"/>
  <c r="AE250" i="13"/>
  <c r="AD250" i="13"/>
  <c r="AC250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AL249" i="13"/>
  <c r="AK249" i="13"/>
  <c r="AJ249" i="13"/>
  <c r="AI249" i="13"/>
  <c r="AH249" i="13"/>
  <c r="AG249" i="13"/>
  <c r="AF249" i="13"/>
  <c r="AE249" i="13"/>
  <c r="AD249" i="13"/>
  <c r="AC249" i="13"/>
  <c r="AB249" i="13"/>
  <c r="AA249" i="13"/>
  <c r="Z249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AL248" i="13"/>
  <c r="AK248" i="13"/>
  <c r="AJ248" i="13"/>
  <c r="AI248" i="13"/>
  <c r="AH248" i="13"/>
  <c r="AG248" i="13"/>
  <c r="AF248" i="13"/>
  <c r="AE248" i="13"/>
  <c r="AD248" i="13"/>
  <c r="AC248" i="13"/>
  <c r="AB248" i="13"/>
  <c r="AA248" i="13"/>
  <c r="Z248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AL247" i="13"/>
  <c r="AK247" i="13"/>
  <c r="AJ247" i="13"/>
  <c r="AI247" i="13"/>
  <c r="AH247" i="13"/>
  <c r="AG247" i="13"/>
  <c r="AF247" i="13"/>
  <c r="AE247" i="13"/>
  <c r="AD247" i="13"/>
  <c r="AC247" i="13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AL246" i="13"/>
  <c r="AK246" i="13"/>
  <c r="AJ246" i="13"/>
  <c r="AI246" i="13"/>
  <c r="AH246" i="13"/>
  <c r="AG246" i="13"/>
  <c r="AF246" i="13"/>
  <c r="AE246" i="13"/>
  <c r="AD246" i="13"/>
  <c r="AC246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AL245" i="13"/>
  <c r="AK245" i="13"/>
  <c r="AJ245" i="13"/>
  <c r="AI245" i="13"/>
  <c r="AH245" i="13"/>
  <c r="AG245" i="13"/>
  <c r="AF245" i="13"/>
  <c r="AE245" i="13"/>
  <c r="AD245" i="13"/>
  <c r="AC245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AL244" i="13"/>
  <c r="AK244" i="13"/>
  <c r="AJ244" i="13"/>
  <c r="AI244" i="13"/>
  <c r="AH244" i="13"/>
  <c r="AG244" i="13"/>
  <c r="AF244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AL243" i="13"/>
  <c r="AK243" i="13"/>
  <c r="AJ243" i="13"/>
  <c r="AI243" i="13"/>
  <c r="AH243" i="13"/>
  <c r="AG243" i="13"/>
  <c r="AF243" i="13"/>
  <c r="AE243" i="13"/>
  <c r="AD243" i="13"/>
  <c r="AC243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O243" i="13"/>
  <c r="N243" i="13"/>
  <c r="M243" i="13"/>
  <c r="AL242" i="13"/>
  <c r="AK242" i="13"/>
  <c r="AJ242" i="13"/>
  <c r="AI242" i="13"/>
  <c r="AH242" i="13"/>
  <c r="AG242" i="13"/>
  <c r="AF242" i="13"/>
  <c r="AE242" i="13"/>
  <c r="AD242" i="13"/>
  <c r="AC242" i="13"/>
  <c r="AB242" i="13"/>
  <c r="AA242" i="13"/>
  <c r="Z242" i="13"/>
  <c r="Y242" i="13"/>
  <c r="X242" i="13"/>
  <c r="W242" i="13"/>
  <c r="V242" i="13"/>
  <c r="U242" i="13"/>
  <c r="T242" i="13"/>
  <c r="S242" i="13"/>
  <c r="R242" i="13"/>
  <c r="Q242" i="13"/>
  <c r="P242" i="13"/>
  <c r="O242" i="13"/>
  <c r="N242" i="13"/>
  <c r="M242" i="13"/>
  <c r="AL241" i="13"/>
  <c r="AK241" i="13"/>
  <c r="AJ241" i="13"/>
  <c r="AI241" i="13"/>
  <c r="AH241" i="13"/>
  <c r="AG241" i="13"/>
  <c r="AF241" i="13"/>
  <c r="AE241" i="13"/>
  <c r="AD241" i="13"/>
  <c r="AC241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O241" i="13"/>
  <c r="N241" i="13"/>
  <c r="M241" i="13"/>
  <c r="AL240" i="13"/>
  <c r="AK240" i="13"/>
  <c r="AJ240" i="13"/>
  <c r="AI240" i="13"/>
  <c r="AH240" i="13"/>
  <c r="AG240" i="13"/>
  <c r="AF240" i="13"/>
  <c r="AE240" i="13"/>
  <c r="AD240" i="13"/>
  <c r="AC240" i="13"/>
  <c r="AB240" i="13"/>
  <c r="AA240" i="13"/>
  <c r="Z240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AL239" i="13"/>
  <c r="AK239" i="13"/>
  <c r="AJ239" i="13"/>
  <c r="AI239" i="13"/>
  <c r="AH239" i="13"/>
  <c r="AG239" i="13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AL238" i="13"/>
  <c r="AK238" i="13"/>
  <c r="AJ238" i="13"/>
  <c r="AI238" i="13"/>
  <c r="AH238" i="13"/>
  <c r="AG238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AL237" i="13"/>
  <c r="AK237" i="13"/>
  <c r="AJ237" i="13"/>
  <c r="AI237" i="13"/>
  <c r="AH237" i="13"/>
  <c r="AG237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AL236" i="13"/>
  <c r="AK236" i="13"/>
  <c r="AJ236" i="13"/>
  <c r="AI236" i="13"/>
  <c r="AH236" i="13"/>
  <c r="AG236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AL235" i="13"/>
  <c r="AK235" i="13"/>
  <c r="AJ235" i="13"/>
  <c r="AI235" i="13"/>
  <c r="AH235" i="13"/>
  <c r="AG235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AL234" i="13"/>
  <c r="AK234" i="13"/>
  <c r="AJ234" i="13"/>
  <c r="AI234" i="13"/>
  <c r="AH234" i="13"/>
  <c r="AG234" i="13"/>
  <c r="AF234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AL233" i="13"/>
  <c r="AK233" i="13"/>
  <c r="AJ233" i="13"/>
  <c r="AI233" i="13"/>
  <c r="AH233" i="13"/>
  <c r="AG233" i="13"/>
  <c r="AF233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N233" i="13"/>
  <c r="M233" i="13"/>
  <c r="AL232" i="13"/>
  <c r="AK232" i="13"/>
  <c r="AJ232" i="13"/>
  <c r="AI232" i="13"/>
  <c r="AH232" i="13"/>
  <c r="AG232" i="13"/>
  <c r="AF232" i="13"/>
  <c r="AE232" i="13"/>
  <c r="AD232" i="13"/>
  <c r="AC232" i="13"/>
  <c r="AB232" i="13"/>
  <c r="AA232" i="13"/>
  <c r="Z232" i="13"/>
  <c r="Y232" i="13"/>
  <c r="X232" i="13"/>
  <c r="W232" i="13"/>
  <c r="V232" i="13"/>
  <c r="U232" i="13"/>
  <c r="T232" i="13"/>
  <c r="S232" i="13"/>
  <c r="R232" i="13"/>
  <c r="Q232" i="13"/>
  <c r="P232" i="13"/>
  <c r="O232" i="13"/>
  <c r="N232" i="13"/>
  <c r="M232" i="13"/>
  <c r="AL231" i="13"/>
  <c r="AK231" i="13"/>
  <c r="AJ231" i="13"/>
  <c r="AI231" i="13"/>
  <c r="AH231" i="13"/>
  <c r="AG231" i="13"/>
  <c r="AF231" i="13"/>
  <c r="AE231" i="13"/>
  <c r="AD231" i="13"/>
  <c r="AC231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AL230" i="13"/>
  <c r="AK230" i="13"/>
  <c r="AJ230" i="13"/>
  <c r="AI230" i="13"/>
  <c r="AH230" i="13"/>
  <c r="AG230" i="13"/>
  <c r="AF230" i="13"/>
  <c r="AE230" i="13"/>
  <c r="AD230" i="13"/>
  <c r="AC230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AL229" i="13"/>
  <c r="AK229" i="13"/>
  <c r="AJ229" i="13"/>
  <c r="AI229" i="13"/>
  <c r="AH229" i="13"/>
  <c r="AG229" i="13"/>
  <c r="AF229" i="13"/>
  <c r="AE229" i="13"/>
  <c r="AD229" i="13"/>
  <c r="AC229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AL228" i="13"/>
  <c r="AK228" i="13"/>
  <c r="AJ228" i="13"/>
  <c r="AI228" i="13"/>
  <c r="AH228" i="13"/>
  <c r="AG228" i="13"/>
  <c r="AF228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AL227" i="13"/>
  <c r="AK227" i="13"/>
  <c r="AJ227" i="13"/>
  <c r="AI227" i="13"/>
  <c r="AH227" i="13"/>
  <c r="AG227" i="13"/>
  <c r="AF227" i="13"/>
  <c r="AE227" i="13"/>
  <c r="AD227" i="13"/>
  <c r="AC227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AL226" i="13"/>
  <c r="AK226" i="13"/>
  <c r="AJ226" i="13"/>
  <c r="AI226" i="13"/>
  <c r="AH226" i="13"/>
  <c r="AG226" i="13"/>
  <c r="AF226" i="13"/>
  <c r="AE226" i="13"/>
  <c r="AD226" i="13"/>
  <c r="AC226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AL225" i="13"/>
  <c r="AK225" i="13"/>
  <c r="AJ225" i="13"/>
  <c r="AI225" i="13"/>
  <c r="AH225" i="13"/>
  <c r="AG225" i="13"/>
  <c r="AF225" i="13"/>
  <c r="AE225" i="13"/>
  <c r="AD225" i="13"/>
  <c r="AC225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AL224" i="13"/>
  <c r="AK224" i="13"/>
  <c r="AJ224" i="13"/>
  <c r="AI224" i="13"/>
  <c r="AH224" i="13"/>
  <c r="AG224" i="13"/>
  <c r="AF224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S224" i="13"/>
  <c r="R224" i="13"/>
  <c r="Q224" i="13"/>
  <c r="P224" i="13"/>
  <c r="O224" i="13"/>
  <c r="N224" i="13"/>
  <c r="M224" i="13"/>
  <c r="AL223" i="13"/>
  <c r="AK223" i="13"/>
  <c r="AJ223" i="13"/>
  <c r="AI223" i="13"/>
  <c r="AH223" i="13"/>
  <c r="AG223" i="13"/>
  <c r="AF223" i="13"/>
  <c r="AE223" i="13"/>
  <c r="AD223" i="13"/>
  <c r="AC223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O223" i="13"/>
  <c r="N223" i="13"/>
  <c r="M223" i="13"/>
  <c r="AL222" i="13"/>
  <c r="AK222" i="13"/>
  <c r="AJ222" i="13"/>
  <c r="AI222" i="13"/>
  <c r="AH222" i="13"/>
  <c r="AG222" i="13"/>
  <c r="AF222" i="13"/>
  <c r="AE222" i="13"/>
  <c r="AD222" i="13"/>
  <c r="AC222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O222" i="13"/>
  <c r="N222" i="13"/>
  <c r="M222" i="13"/>
  <c r="AL221" i="13"/>
  <c r="AK221" i="13"/>
  <c r="AJ221" i="13"/>
  <c r="AI221" i="13"/>
  <c r="AH221" i="13"/>
  <c r="AG221" i="13"/>
  <c r="AF221" i="13"/>
  <c r="AE221" i="13"/>
  <c r="AD221" i="13"/>
  <c r="AC221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O221" i="13"/>
  <c r="N221" i="13"/>
  <c r="M221" i="13"/>
  <c r="AL220" i="13"/>
  <c r="AK220" i="13"/>
  <c r="AJ220" i="13"/>
  <c r="AI220" i="13"/>
  <c r="AH220" i="13"/>
  <c r="AG220" i="13"/>
  <c r="AF220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AL219" i="13"/>
  <c r="AK219" i="13"/>
  <c r="AJ219" i="13"/>
  <c r="AI219" i="13"/>
  <c r="AH219" i="13"/>
  <c r="AG219" i="13"/>
  <c r="AF219" i="13"/>
  <c r="AE219" i="13"/>
  <c r="AD219" i="13"/>
  <c r="AC219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AL218" i="13"/>
  <c r="AK218" i="13"/>
  <c r="AJ218" i="13"/>
  <c r="AI218" i="13"/>
  <c r="AH218" i="13"/>
  <c r="AG218" i="13"/>
  <c r="AF218" i="13"/>
  <c r="AE218" i="13"/>
  <c r="AD218" i="13"/>
  <c r="AC218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AL217" i="13"/>
  <c r="AK217" i="13"/>
  <c r="AJ217" i="13"/>
  <c r="AI217" i="13"/>
  <c r="AH217" i="13"/>
  <c r="AG217" i="13"/>
  <c r="AF217" i="13"/>
  <c r="AE217" i="13"/>
  <c r="AD217" i="13"/>
  <c r="AC217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AL216" i="13"/>
  <c r="AK216" i="13"/>
  <c r="AJ216" i="13"/>
  <c r="AI216" i="13"/>
  <c r="AH216" i="13"/>
  <c r="AG216" i="13"/>
  <c r="AF216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M216" i="13"/>
  <c r="AL215" i="13"/>
  <c r="AK215" i="13"/>
  <c r="AJ215" i="13"/>
  <c r="AI215" i="13"/>
  <c r="AH215" i="13"/>
  <c r="AG215" i="13"/>
  <c r="AF215" i="13"/>
  <c r="AE215" i="13"/>
  <c r="AD215" i="13"/>
  <c r="AC215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AL214" i="13"/>
  <c r="AK214" i="13"/>
  <c r="AJ214" i="13"/>
  <c r="AI214" i="13"/>
  <c r="AH214" i="13"/>
  <c r="AG214" i="13"/>
  <c r="AF214" i="13"/>
  <c r="AE214" i="13"/>
  <c r="AD214" i="13"/>
  <c r="AC214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AL213" i="13"/>
  <c r="AK213" i="13"/>
  <c r="AJ213" i="13"/>
  <c r="AI213" i="13"/>
  <c r="AH213" i="13"/>
  <c r="AG213" i="13"/>
  <c r="AF213" i="13"/>
  <c r="AE213" i="13"/>
  <c r="AD213" i="13"/>
  <c r="AC213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AL212" i="13"/>
  <c r="AK212" i="13"/>
  <c r="AJ212" i="13"/>
  <c r="AI212" i="13"/>
  <c r="AH212" i="13"/>
  <c r="AG212" i="13"/>
  <c r="AF212" i="13"/>
  <c r="AE212" i="13"/>
  <c r="AD212" i="13"/>
  <c r="AC212" i="13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AL211" i="13"/>
  <c r="AK211" i="13"/>
  <c r="AJ211" i="13"/>
  <c r="AI211" i="13"/>
  <c r="AH211" i="13"/>
  <c r="AG211" i="13"/>
  <c r="AF211" i="13"/>
  <c r="AE211" i="13"/>
  <c r="AD211" i="13"/>
  <c r="AC211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AL210" i="13"/>
  <c r="AK210" i="13"/>
  <c r="AJ210" i="13"/>
  <c r="AI210" i="13"/>
  <c r="AH210" i="13"/>
  <c r="AG210" i="13"/>
  <c r="AF210" i="13"/>
  <c r="AE210" i="13"/>
  <c r="AD210" i="13"/>
  <c r="AC210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AL209" i="13"/>
  <c r="AK209" i="13"/>
  <c r="AJ209" i="13"/>
  <c r="AI209" i="13"/>
  <c r="AH209" i="13"/>
  <c r="AG209" i="13"/>
  <c r="AF209" i="13"/>
  <c r="AE209" i="13"/>
  <c r="AD209" i="13"/>
  <c r="AC209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AL208" i="13"/>
  <c r="AK208" i="13"/>
  <c r="AJ208" i="13"/>
  <c r="AI208" i="13"/>
  <c r="AH208" i="13"/>
  <c r="AG208" i="13"/>
  <c r="AF208" i="13"/>
  <c r="AE208" i="13"/>
  <c r="AD208" i="13"/>
  <c r="AC208" i="13"/>
  <c r="AB208" i="13"/>
  <c r="AA208" i="13"/>
  <c r="Z208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AL207" i="13"/>
  <c r="AK207" i="13"/>
  <c r="AJ207" i="13"/>
  <c r="AI207" i="13"/>
  <c r="AH207" i="13"/>
  <c r="AG207" i="13"/>
  <c r="AF207" i="13"/>
  <c r="AE207" i="13"/>
  <c r="AD207" i="13"/>
  <c r="AC207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AL206" i="13"/>
  <c r="AK206" i="13"/>
  <c r="AJ206" i="13"/>
  <c r="AI206" i="13"/>
  <c r="AH206" i="13"/>
  <c r="AG206" i="13"/>
  <c r="AF206" i="13"/>
  <c r="AE206" i="13"/>
  <c r="AD206" i="13"/>
  <c r="AC206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AL205" i="13"/>
  <c r="AK205" i="13"/>
  <c r="AJ205" i="13"/>
  <c r="AI205" i="13"/>
  <c r="AH205" i="13"/>
  <c r="AG205" i="13"/>
  <c r="AF205" i="13"/>
  <c r="AE205" i="13"/>
  <c r="AD205" i="13"/>
  <c r="AC205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O205" i="13"/>
  <c r="N205" i="13"/>
  <c r="M205" i="13"/>
  <c r="AL204" i="13"/>
  <c r="AK204" i="13"/>
  <c r="AJ204" i="13"/>
  <c r="AI204" i="13"/>
  <c r="AH204" i="13"/>
  <c r="AG204" i="13"/>
  <c r="AF204" i="13"/>
  <c r="AE204" i="13"/>
  <c r="AD204" i="13"/>
  <c r="AC204" i="13"/>
  <c r="AB204" i="13"/>
  <c r="AA204" i="13"/>
  <c r="Z204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M204" i="13"/>
  <c r="AL203" i="13"/>
  <c r="AK203" i="13"/>
  <c r="AJ203" i="13"/>
  <c r="AI203" i="13"/>
  <c r="AH203" i="13"/>
  <c r="AG203" i="13"/>
  <c r="AF203" i="13"/>
  <c r="AE203" i="13"/>
  <c r="AD203" i="13"/>
  <c r="AC203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O203" i="13"/>
  <c r="N203" i="13"/>
  <c r="M203" i="13"/>
  <c r="AL202" i="13"/>
  <c r="AK202" i="13"/>
  <c r="AJ202" i="13"/>
  <c r="AI202" i="13"/>
  <c r="AH202" i="13"/>
  <c r="AG202" i="13"/>
  <c r="AF202" i="13"/>
  <c r="AE202" i="13"/>
  <c r="AD202" i="13"/>
  <c r="AC202" i="13"/>
  <c r="AB202" i="13"/>
  <c r="AA202" i="13"/>
  <c r="Z202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AL201" i="13"/>
  <c r="AK201" i="13"/>
  <c r="AJ201" i="13"/>
  <c r="AI201" i="13"/>
  <c r="AH201" i="13"/>
  <c r="AG201" i="13"/>
  <c r="AF201" i="13"/>
  <c r="AE201" i="13"/>
  <c r="AD201" i="13"/>
  <c r="AC201" i="13"/>
  <c r="AB201" i="13"/>
  <c r="AA201" i="13"/>
  <c r="Z201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AL200" i="13"/>
  <c r="AK200" i="13"/>
  <c r="AJ200" i="13"/>
  <c r="AI200" i="13"/>
  <c r="AH200" i="13"/>
  <c r="AG200" i="13"/>
  <c r="AF200" i="13"/>
  <c r="AE200" i="13"/>
  <c r="AD200" i="13"/>
  <c r="AC200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AL199" i="13"/>
  <c r="AK199" i="13"/>
  <c r="AJ199" i="13"/>
  <c r="AI199" i="13"/>
  <c r="AH199" i="13"/>
  <c r="AG199" i="13"/>
  <c r="AF199" i="13"/>
  <c r="AE199" i="13"/>
  <c r="AD199" i="13"/>
  <c r="AC199" i="13"/>
  <c r="AB199" i="13"/>
  <c r="AA199" i="13"/>
  <c r="Z199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M199" i="13"/>
  <c r="AL198" i="13"/>
  <c r="AK198" i="13"/>
  <c r="AJ198" i="13"/>
  <c r="AI198" i="13"/>
  <c r="AH198" i="13"/>
  <c r="AG198" i="13"/>
  <c r="AF198" i="13"/>
  <c r="AE198" i="13"/>
  <c r="AD198" i="13"/>
  <c r="AC198" i="13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AL197" i="13"/>
  <c r="AK197" i="13"/>
  <c r="AJ197" i="13"/>
  <c r="AI197" i="13"/>
  <c r="AH197" i="13"/>
  <c r="AG197" i="13"/>
  <c r="AF197" i="13"/>
  <c r="AE197" i="13"/>
  <c r="AD197" i="13"/>
  <c r="AC197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AL196" i="13"/>
  <c r="AK196" i="13"/>
  <c r="AJ196" i="13"/>
  <c r="AI196" i="13"/>
  <c r="AH196" i="13"/>
  <c r="AG196" i="13"/>
  <c r="AF196" i="13"/>
  <c r="AE196" i="13"/>
  <c r="AD196" i="13"/>
  <c r="AC196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AL195" i="13"/>
  <c r="AK195" i="13"/>
  <c r="AJ195" i="13"/>
  <c r="AI195" i="13"/>
  <c r="AH195" i="13"/>
  <c r="AG195" i="13"/>
  <c r="AF195" i="13"/>
  <c r="AE195" i="13"/>
  <c r="AD195" i="13"/>
  <c r="AC195" i="13"/>
  <c r="AB195" i="13"/>
  <c r="AA195" i="13"/>
  <c r="Z195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AL194" i="13"/>
  <c r="AK194" i="13"/>
  <c r="AJ194" i="13"/>
  <c r="AI194" i="13"/>
  <c r="AH194" i="13"/>
  <c r="AG194" i="13"/>
  <c r="AF194" i="13"/>
  <c r="AE194" i="13"/>
  <c r="AD194" i="13"/>
  <c r="AC194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AL193" i="13"/>
  <c r="AK193" i="13"/>
  <c r="AJ193" i="13"/>
  <c r="AI193" i="13"/>
  <c r="AH193" i="13"/>
  <c r="AG193" i="13"/>
  <c r="AF193" i="13"/>
  <c r="AE193" i="13"/>
  <c r="AD193" i="13"/>
  <c r="AC193" i="13"/>
  <c r="AB193" i="13"/>
  <c r="AA193" i="13"/>
  <c r="Z193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AL192" i="13"/>
  <c r="AK192" i="13"/>
  <c r="AJ192" i="13"/>
  <c r="AI192" i="13"/>
  <c r="AH192" i="13"/>
  <c r="AG192" i="13"/>
  <c r="AF192" i="13"/>
  <c r="AE192" i="13"/>
  <c r="AD192" i="13"/>
  <c r="AC192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AL191" i="13"/>
  <c r="AK191" i="13"/>
  <c r="AJ191" i="13"/>
  <c r="AI191" i="13"/>
  <c r="AH191" i="13"/>
  <c r="AG191" i="13"/>
  <c r="AF191" i="13"/>
  <c r="AE191" i="13"/>
  <c r="AD191" i="13"/>
  <c r="AC191" i="13"/>
  <c r="AB191" i="13"/>
  <c r="AA191" i="13"/>
  <c r="Z191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AL190" i="13"/>
  <c r="AK190" i="13"/>
  <c r="AJ190" i="13"/>
  <c r="AI190" i="13"/>
  <c r="AH190" i="13"/>
  <c r="AG190" i="13"/>
  <c r="AF190" i="13"/>
  <c r="AE190" i="13"/>
  <c r="AD190" i="13"/>
  <c r="AC190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AL189" i="13"/>
  <c r="AK189" i="13"/>
  <c r="AJ189" i="13"/>
  <c r="AI189" i="13"/>
  <c r="AH189" i="13"/>
  <c r="AG189" i="13"/>
  <c r="AF189" i="13"/>
  <c r="AE189" i="13"/>
  <c r="AD189" i="13"/>
  <c r="AC189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AL188" i="13"/>
  <c r="AK188" i="13"/>
  <c r="AJ188" i="13"/>
  <c r="AI188" i="13"/>
  <c r="AH188" i="13"/>
  <c r="AG188" i="13"/>
  <c r="AF188" i="13"/>
  <c r="AE188" i="13"/>
  <c r="AD188" i="13"/>
  <c r="AC188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M188" i="13"/>
  <c r="AL187" i="13"/>
  <c r="AK187" i="13"/>
  <c r="AJ187" i="13"/>
  <c r="AI187" i="13"/>
  <c r="AH187" i="13"/>
  <c r="AG187" i="13"/>
  <c r="AF187" i="13"/>
  <c r="AE187" i="13"/>
  <c r="AD187" i="13"/>
  <c r="AC187" i="13"/>
  <c r="AB187" i="13"/>
  <c r="AA187" i="13"/>
  <c r="Z187" i="13"/>
  <c r="Y187" i="13"/>
  <c r="X187" i="13"/>
  <c r="W187" i="13"/>
  <c r="V187" i="13"/>
  <c r="U187" i="13"/>
  <c r="T187" i="13"/>
  <c r="S187" i="13"/>
  <c r="R187" i="13"/>
  <c r="Q187" i="13"/>
  <c r="P187" i="13"/>
  <c r="O187" i="13"/>
  <c r="N187" i="13"/>
  <c r="M187" i="13"/>
  <c r="AL186" i="13"/>
  <c r="AK186" i="13"/>
  <c r="AJ186" i="13"/>
  <c r="AI186" i="13"/>
  <c r="AH186" i="13"/>
  <c r="AG186" i="13"/>
  <c r="AF186" i="13"/>
  <c r="AE186" i="13"/>
  <c r="AD186" i="13"/>
  <c r="AC186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O186" i="13"/>
  <c r="N186" i="13"/>
  <c r="M186" i="13"/>
  <c r="AL185" i="13"/>
  <c r="AK185" i="13"/>
  <c r="AJ185" i="13"/>
  <c r="AI185" i="13"/>
  <c r="AH185" i="13"/>
  <c r="AG185" i="13"/>
  <c r="AF185" i="13"/>
  <c r="AE185" i="13"/>
  <c r="AD185" i="13"/>
  <c r="AC185" i="13"/>
  <c r="AB185" i="13"/>
  <c r="AA185" i="13"/>
  <c r="Z185" i="13"/>
  <c r="Y185" i="13"/>
  <c r="X185" i="13"/>
  <c r="W185" i="13"/>
  <c r="V185" i="13"/>
  <c r="U185" i="13"/>
  <c r="T185" i="13"/>
  <c r="S185" i="13"/>
  <c r="R185" i="13"/>
  <c r="Q185" i="13"/>
  <c r="P185" i="13"/>
  <c r="O185" i="13"/>
  <c r="N185" i="13"/>
  <c r="M185" i="13"/>
  <c r="AL184" i="13"/>
  <c r="AK184" i="13"/>
  <c r="AJ184" i="13"/>
  <c r="AI184" i="13"/>
  <c r="AH184" i="13"/>
  <c r="AG184" i="13"/>
  <c r="AF184" i="13"/>
  <c r="AE184" i="13"/>
  <c r="AD184" i="13"/>
  <c r="AC184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AL183" i="13"/>
  <c r="AK183" i="13"/>
  <c r="AJ183" i="13"/>
  <c r="AI183" i="13"/>
  <c r="AH183" i="13"/>
  <c r="AG183" i="13"/>
  <c r="AF183" i="13"/>
  <c r="AE183" i="13"/>
  <c r="AD183" i="13"/>
  <c r="AC183" i="13"/>
  <c r="AB183" i="13"/>
  <c r="AA183" i="13"/>
  <c r="Z183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AL182" i="13"/>
  <c r="AK182" i="13"/>
  <c r="AJ182" i="13"/>
  <c r="AI182" i="13"/>
  <c r="AH182" i="13"/>
  <c r="AG182" i="13"/>
  <c r="AF182" i="13"/>
  <c r="AE182" i="13"/>
  <c r="AD182" i="13"/>
  <c r="AC182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AL181" i="13"/>
  <c r="AK181" i="13"/>
  <c r="AJ181" i="13"/>
  <c r="AI181" i="13"/>
  <c r="AH181" i="13"/>
  <c r="AG181" i="13"/>
  <c r="AF181" i="13"/>
  <c r="AE181" i="13"/>
  <c r="AD181" i="13"/>
  <c r="AC181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O181" i="13"/>
  <c r="N181" i="13"/>
  <c r="M181" i="13"/>
  <c r="AL180" i="13"/>
  <c r="AK180" i="13"/>
  <c r="AJ180" i="13"/>
  <c r="AI180" i="13"/>
  <c r="AH180" i="13"/>
  <c r="AG180" i="13"/>
  <c r="AF180" i="13"/>
  <c r="AE180" i="13"/>
  <c r="AD180" i="13"/>
  <c r="AC180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AL179" i="13"/>
  <c r="AK179" i="13"/>
  <c r="AJ179" i="13"/>
  <c r="AI179" i="13"/>
  <c r="AH179" i="13"/>
  <c r="AG179" i="13"/>
  <c r="AF179" i="13"/>
  <c r="AE179" i="13"/>
  <c r="AD179" i="13"/>
  <c r="AC179" i="13"/>
  <c r="AB179" i="13"/>
  <c r="AA179" i="13"/>
  <c r="Z179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AL178" i="13"/>
  <c r="AK178" i="13"/>
  <c r="AJ178" i="13"/>
  <c r="AI178" i="13"/>
  <c r="AH178" i="13"/>
  <c r="AG178" i="13"/>
  <c r="AF178" i="13"/>
  <c r="AE178" i="13"/>
  <c r="AD178" i="13"/>
  <c r="AC178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AL177" i="13"/>
  <c r="AK177" i="13"/>
  <c r="AJ177" i="13"/>
  <c r="AI177" i="13"/>
  <c r="AH177" i="13"/>
  <c r="AG177" i="13"/>
  <c r="AF177" i="13"/>
  <c r="AE177" i="13"/>
  <c r="AD177" i="13"/>
  <c r="AC177" i="13"/>
  <c r="AB177" i="13"/>
  <c r="AA177" i="13"/>
  <c r="Z177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AL176" i="13"/>
  <c r="AK176" i="13"/>
  <c r="AJ176" i="13"/>
  <c r="AI176" i="13"/>
  <c r="AH176" i="13"/>
  <c r="AG176" i="13"/>
  <c r="AF176" i="13"/>
  <c r="AE176" i="13"/>
  <c r="AD176" i="13"/>
  <c r="AC176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AL175" i="13"/>
  <c r="AK175" i="13"/>
  <c r="AJ175" i="13"/>
  <c r="AI175" i="13"/>
  <c r="AH175" i="13"/>
  <c r="AG175" i="13"/>
  <c r="AF175" i="13"/>
  <c r="AE175" i="13"/>
  <c r="AD175" i="13"/>
  <c r="AC175" i="13"/>
  <c r="AB175" i="13"/>
  <c r="AA175" i="13"/>
  <c r="Z175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AL174" i="13"/>
  <c r="AK174" i="13"/>
  <c r="AJ174" i="13"/>
  <c r="AI174" i="13"/>
  <c r="AH174" i="13"/>
  <c r="AG174" i="13"/>
  <c r="AF174" i="13"/>
  <c r="AE174" i="13"/>
  <c r="AD174" i="13"/>
  <c r="AC174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AL173" i="13"/>
  <c r="AK173" i="13"/>
  <c r="AJ173" i="13"/>
  <c r="AI173" i="13"/>
  <c r="AH173" i="13"/>
  <c r="AG173" i="13"/>
  <c r="AF173" i="13"/>
  <c r="AE173" i="13"/>
  <c r="AD173" i="13"/>
  <c r="AC173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AL172" i="13"/>
  <c r="AK172" i="13"/>
  <c r="AJ172" i="13"/>
  <c r="AI172" i="13"/>
  <c r="AH172" i="13"/>
  <c r="AG172" i="13"/>
  <c r="AF172" i="13"/>
  <c r="AE172" i="13"/>
  <c r="AD172" i="13"/>
  <c r="AC172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O172" i="13"/>
  <c r="N172" i="13"/>
  <c r="M172" i="13"/>
  <c r="AL171" i="13"/>
  <c r="AK171" i="13"/>
  <c r="AJ171" i="13"/>
  <c r="AI171" i="13"/>
  <c r="AH171" i="13"/>
  <c r="AG171" i="13"/>
  <c r="AF171" i="13"/>
  <c r="AE171" i="13"/>
  <c r="AD171" i="13"/>
  <c r="AC171" i="13"/>
  <c r="AB171" i="13"/>
  <c r="AA171" i="13"/>
  <c r="Z171" i="13"/>
  <c r="Y171" i="13"/>
  <c r="X171" i="13"/>
  <c r="W171" i="13"/>
  <c r="V171" i="13"/>
  <c r="U171" i="13"/>
  <c r="T171" i="13"/>
  <c r="S171" i="13"/>
  <c r="R171" i="13"/>
  <c r="Q171" i="13"/>
  <c r="P171" i="13"/>
  <c r="O171" i="13"/>
  <c r="N171" i="13"/>
  <c r="M171" i="13"/>
  <c r="AL170" i="13"/>
  <c r="AK170" i="13"/>
  <c r="AJ170" i="13"/>
  <c r="AI170" i="13"/>
  <c r="AH170" i="13"/>
  <c r="AG170" i="13"/>
  <c r="AF170" i="13"/>
  <c r="AE170" i="13"/>
  <c r="AD170" i="13"/>
  <c r="AC170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O170" i="13"/>
  <c r="N170" i="13"/>
  <c r="M170" i="13"/>
  <c r="AL169" i="13"/>
  <c r="AK169" i="13"/>
  <c r="AJ169" i="13"/>
  <c r="AI169" i="13"/>
  <c r="AH169" i="13"/>
  <c r="AG169" i="13"/>
  <c r="AF169" i="13"/>
  <c r="AE169" i="13"/>
  <c r="AD169" i="13"/>
  <c r="AC169" i="13"/>
  <c r="AB169" i="13"/>
  <c r="AA169" i="13"/>
  <c r="Z169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AL168" i="13"/>
  <c r="AK168" i="13"/>
  <c r="AJ168" i="13"/>
  <c r="AI168" i="13"/>
  <c r="AH168" i="13"/>
  <c r="AG168" i="13"/>
  <c r="AF168" i="13"/>
  <c r="AE168" i="13"/>
  <c r="AD168" i="13"/>
  <c r="AC168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AL167" i="13"/>
  <c r="AK167" i="13"/>
  <c r="AJ167" i="13"/>
  <c r="AI167" i="13"/>
  <c r="AH167" i="13"/>
  <c r="AG167" i="13"/>
  <c r="AF167" i="13"/>
  <c r="AE167" i="13"/>
  <c r="AD167" i="13"/>
  <c r="AC167" i="13"/>
  <c r="AB167" i="13"/>
  <c r="AA167" i="13"/>
  <c r="Z167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AL166" i="13"/>
  <c r="AK166" i="13"/>
  <c r="AJ166" i="13"/>
  <c r="AI166" i="13"/>
  <c r="AH166" i="13"/>
  <c r="AG166" i="13"/>
  <c r="AF166" i="13"/>
  <c r="AE166" i="13"/>
  <c r="AD166" i="13"/>
  <c r="AC166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AL165" i="13"/>
  <c r="AK165" i="13"/>
  <c r="AJ165" i="13"/>
  <c r="AI165" i="13"/>
  <c r="AH165" i="13"/>
  <c r="AG165" i="13"/>
  <c r="AF165" i="13"/>
  <c r="AE165" i="13"/>
  <c r="AD165" i="13"/>
  <c r="AC165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AL164" i="13"/>
  <c r="AK164" i="13"/>
  <c r="AJ164" i="13"/>
  <c r="AI164" i="13"/>
  <c r="AH164" i="13"/>
  <c r="AG164" i="13"/>
  <c r="AF164" i="13"/>
  <c r="AE164" i="13"/>
  <c r="AD164" i="13"/>
  <c r="AC164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AL163" i="13"/>
  <c r="AK163" i="13"/>
  <c r="AJ163" i="13"/>
  <c r="AI163" i="13"/>
  <c r="AH163" i="13"/>
  <c r="AG163" i="13"/>
  <c r="AF163" i="13"/>
  <c r="AE163" i="13"/>
  <c r="AD163" i="13"/>
  <c r="AC163" i="13"/>
  <c r="AB163" i="13"/>
  <c r="AA163" i="13"/>
  <c r="Z163" i="13"/>
  <c r="Y163" i="13"/>
  <c r="X163" i="13"/>
  <c r="W163" i="13"/>
  <c r="V163" i="13"/>
  <c r="U163" i="13"/>
  <c r="T163" i="13"/>
  <c r="S163" i="13"/>
  <c r="R163" i="13"/>
  <c r="Q163" i="13"/>
  <c r="P163" i="13"/>
  <c r="O163" i="13"/>
  <c r="N163" i="13"/>
  <c r="M163" i="13"/>
  <c r="AL162" i="13"/>
  <c r="AK162" i="13"/>
  <c r="AJ162" i="13"/>
  <c r="AI162" i="13"/>
  <c r="AH162" i="13"/>
  <c r="AG162" i="13"/>
  <c r="AF162" i="13"/>
  <c r="AE162" i="13"/>
  <c r="AD162" i="13"/>
  <c r="AC162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O162" i="13"/>
  <c r="N162" i="13"/>
  <c r="M162" i="13"/>
  <c r="AL161" i="13"/>
  <c r="AK161" i="13"/>
  <c r="AJ161" i="13"/>
  <c r="AI161" i="13"/>
  <c r="AH161" i="13"/>
  <c r="AG161" i="13"/>
  <c r="AF161" i="13"/>
  <c r="AE161" i="13"/>
  <c r="AD161" i="13"/>
  <c r="AC161" i="13"/>
  <c r="AB161" i="13"/>
  <c r="AA161" i="13"/>
  <c r="Z161" i="13"/>
  <c r="Y161" i="13"/>
  <c r="X161" i="13"/>
  <c r="W161" i="13"/>
  <c r="V161" i="13"/>
  <c r="U161" i="13"/>
  <c r="T161" i="13"/>
  <c r="S161" i="13"/>
  <c r="R161" i="13"/>
  <c r="Q161" i="13"/>
  <c r="P161" i="13"/>
  <c r="O161" i="13"/>
  <c r="N161" i="13"/>
  <c r="M161" i="13"/>
  <c r="AL160" i="13"/>
  <c r="AK160" i="13"/>
  <c r="AJ160" i="13"/>
  <c r="AI160" i="13"/>
  <c r="AH160" i="13"/>
  <c r="AG160" i="13"/>
  <c r="AF160" i="13"/>
  <c r="AE160" i="13"/>
  <c r="AD160" i="13"/>
  <c r="AC160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O160" i="13"/>
  <c r="N160" i="13"/>
  <c r="M160" i="13"/>
  <c r="AL159" i="13"/>
  <c r="AK159" i="13"/>
  <c r="AJ159" i="13"/>
  <c r="AI159" i="13"/>
  <c r="AH159" i="13"/>
  <c r="AG159" i="13"/>
  <c r="AF159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AL158" i="13"/>
  <c r="AK158" i="13"/>
  <c r="AJ158" i="13"/>
  <c r="AI158" i="13"/>
  <c r="AH158" i="13"/>
  <c r="AG158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AL157" i="13"/>
  <c r="AK157" i="13"/>
  <c r="AJ157" i="13"/>
  <c r="AI157" i="13"/>
  <c r="AH157" i="13"/>
  <c r="AG157" i="13"/>
  <c r="AF157" i="13"/>
  <c r="AE157" i="13"/>
  <c r="AD157" i="13"/>
  <c r="AC157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AL156" i="13"/>
  <c r="AK156" i="13"/>
  <c r="AJ156" i="13"/>
  <c r="AI156" i="13"/>
  <c r="AH156" i="13"/>
  <c r="AG156" i="13"/>
  <c r="AF156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AL155" i="13"/>
  <c r="AK155" i="13"/>
  <c r="AJ155" i="13"/>
  <c r="AI155" i="13"/>
  <c r="AH155" i="13"/>
  <c r="AG155" i="13"/>
  <c r="AF155" i="13"/>
  <c r="AE155" i="13"/>
  <c r="AD155" i="13"/>
  <c r="AC155" i="13"/>
  <c r="AB155" i="13"/>
  <c r="AA155" i="13"/>
  <c r="Z155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M155" i="13"/>
  <c r="AL154" i="13"/>
  <c r="AK154" i="13"/>
  <c r="AJ154" i="13"/>
  <c r="AI154" i="13"/>
  <c r="AH154" i="13"/>
  <c r="AG154" i="13"/>
  <c r="AF154" i="13"/>
  <c r="AE154" i="13"/>
  <c r="AD154" i="13"/>
  <c r="AC154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M154" i="13"/>
  <c r="AL153" i="13"/>
  <c r="AK153" i="13"/>
  <c r="AJ153" i="13"/>
  <c r="AI153" i="13"/>
  <c r="AH153" i="13"/>
  <c r="AG153" i="13"/>
  <c r="AF153" i="13"/>
  <c r="AE153" i="13"/>
  <c r="AD153" i="13"/>
  <c r="AC153" i="13"/>
  <c r="AB153" i="13"/>
  <c r="AA153" i="13"/>
  <c r="Z153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M153" i="13"/>
  <c r="AL152" i="13"/>
  <c r="AK152" i="13"/>
  <c r="AJ152" i="13"/>
  <c r="AI152" i="13"/>
  <c r="AH152" i="13"/>
  <c r="AG152" i="13"/>
  <c r="AF152" i="13"/>
  <c r="AE152" i="13"/>
  <c r="AD152" i="13"/>
  <c r="AC152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AL151" i="13"/>
  <c r="AK151" i="13"/>
  <c r="AJ151" i="13"/>
  <c r="AI151" i="13"/>
  <c r="AH151" i="13"/>
  <c r="AG151" i="13"/>
  <c r="AF151" i="13"/>
  <c r="AE151" i="13"/>
  <c r="AD151" i="13"/>
  <c r="AC151" i="13"/>
  <c r="AB151" i="13"/>
  <c r="AA151" i="13"/>
  <c r="Z151" i="13"/>
  <c r="Y151" i="13"/>
  <c r="X151" i="13"/>
  <c r="W151" i="13"/>
  <c r="V151" i="13"/>
  <c r="U151" i="13"/>
  <c r="T151" i="13"/>
  <c r="S151" i="13"/>
  <c r="R151" i="13"/>
  <c r="Q151" i="13"/>
  <c r="P151" i="13"/>
  <c r="O151" i="13"/>
  <c r="N151" i="13"/>
  <c r="M151" i="13"/>
  <c r="AL150" i="13"/>
  <c r="AK150" i="13"/>
  <c r="AJ150" i="13"/>
  <c r="AI150" i="13"/>
  <c r="AH150" i="13"/>
  <c r="AG150" i="13"/>
  <c r="AF150" i="13"/>
  <c r="AE150" i="13"/>
  <c r="AD150" i="13"/>
  <c r="AC150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AL149" i="13"/>
  <c r="AK149" i="13"/>
  <c r="AJ149" i="13"/>
  <c r="AI149" i="13"/>
  <c r="AH149" i="13"/>
  <c r="AG149" i="13"/>
  <c r="AF149" i="13"/>
  <c r="AE149" i="13"/>
  <c r="AD149" i="13"/>
  <c r="AC149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M149" i="13"/>
  <c r="AL148" i="13"/>
  <c r="AK148" i="13"/>
  <c r="AJ148" i="13"/>
  <c r="AI148" i="13"/>
  <c r="AH148" i="13"/>
  <c r="AG148" i="13"/>
  <c r="AF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AL147" i="13"/>
  <c r="AK147" i="13"/>
  <c r="AJ147" i="13"/>
  <c r="AI147" i="13"/>
  <c r="AH147" i="13"/>
  <c r="AG147" i="13"/>
  <c r="AF147" i="13"/>
  <c r="AE147" i="13"/>
  <c r="AD147" i="13"/>
  <c r="AC147" i="13"/>
  <c r="AB147" i="13"/>
  <c r="AA147" i="13"/>
  <c r="Z147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M147" i="13"/>
  <c r="AL146" i="13"/>
  <c r="AK146" i="13"/>
  <c r="AJ146" i="13"/>
  <c r="AI146" i="13"/>
  <c r="AH146" i="13"/>
  <c r="AG146" i="13"/>
  <c r="AF146" i="13"/>
  <c r="AE146" i="13"/>
  <c r="AD146" i="13"/>
  <c r="AC146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O146" i="13"/>
  <c r="N146" i="13"/>
  <c r="M146" i="13"/>
  <c r="AL145" i="13"/>
  <c r="AK145" i="13"/>
  <c r="AJ145" i="13"/>
  <c r="AI145" i="13"/>
  <c r="AH145" i="13"/>
  <c r="AG145" i="13"/>
  <c r="AF145" i="13"/>
  <c r="AE145" i="13"/>
  <c r="AD145" i="13"/>
  <c r="AC145" i="13"/>
  <c r="AB145" i="13"/>
  <c r="AA145" i="13"/>
  <c r="Z145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AL136" i="13"/>
  <c r="AK136" i="13"/>
  <c r="AJ136" i="13"/>
  <c r="AI136" i="13"/>
  <c r="AH136" i="13"/>
  <c r="AG136" i="13"/>
  <c r="AF136" i="13"/>
  <c r="AE136" i="13"/>
  <c r="AD136" i="13"/>
  <c r="AC136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AL135" i="13"/>
  <c r="AK135" i="13"/>
  <c r="AJ135" i="13"/>
  <c r="AI135" i="13"/>
  <c r="AH135" i="13"/>
  <c r="AG135" i="13"/>
  <c r="AF135" i="13"/>
  <c r="AE135" i="13"/>
  <c r="AD135" i="13"/>
  <c r="AC135" i="13"/>
  <c r="AB135" i="13"/>
  <c r="AA135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AL134" i="13"/>
  <c r="AK134" i="13"/>
  <c r="AJ134" i="13"/>
  <c r="AI134" i="13"/>
  <c r="AH134" i="13"/>
  <c r="AG134" i="13"/>
  <c r="AF134" i="13"/>
  <c r="AE134" i="13"/>
  <c r="AD134" i="13"/>
  <c r="AC134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AL125" i="13"/>
  <c r="AK125" i="13"/>
  <c r="AJ125" i="13"/>
  <c r="AI125" i="13"/>
  <c r="AH125" i="13"/>
  <c r="AG125" i="13"/>
  <c r="AF125" i="13"/>
  <c r="AE125" i="13"/>
  <c r="AD125" i="13"/>
  <c r="AC125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O125" i="13"/>
  <c r="N125" i="13"/>
  <c r="M125" i="13"/>
  <c r="AL124" i="13"/>
  <c r="AK124" i="13"/>
  <c r="AJ124" i="13"/>
  <c r="AI124" i="13"/>
  <c r="AH124" i="13"/>
  <c r="AG124" i="13"/>
  <c r="AF124" i="13"/>
  <c r="AE124" i="13"/>
  <c r="AD124" i="13"/>
  <c r="AC124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M124" i="13"/>
  <c r="AL123" i="13"/>
  <c r="AK123" i="13"/>
  <c r="AJ123" i="13"/>
  <c r="AI123" i="13"/>
  <c r="AH123" i="13"/>
  <c r="AG123" i="13"/>
  <c r="AF123" i="13"/>
  <c r="AE123" i="13"/>
  <c r="AD123" i="13"/>
  <c r="AC123" i="13"/>
  <c r="AB123" i="13"/>
  <c r="AA123" i="13"/>
  <c r="Z123" i="13"/>
  <c r="Y123" i="13"/>
  <c r="X123" i="13"/>
  <c r="W123" i="13"/>
  <c r="V123" i="13"/>
  <c r="U123" i="13"/>
  <c r="T123" i="13"/>
  <c r="S123" i="13"/>
  <c r="R123" i="13"/>
  <c r="Q123" i="13"/>
  <c r="P123" i="13"/>
  <c r="O123" i="13"/>
  <c r="N123" i="13"/>
  <c r="M123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AL114" i="13"/>
  <c r="AK114" i="13"/>
  <c r="AJ114" i="13"/>
  <c r="AI114" i="13"/>
  <c r="AH114" i="13"/>
  <c r="AG114" i="13"/>
  <c r="AF114" i="13"/>
  <c r="AE114" i="13"/>
  <c r="AD114" i="13"/>
  <c r="AC114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O114" i="13"/>
  <c r="N114" i="13"/>
  <c r="M114" i="13"/>
  <c r="AL113" i="13"/>
  <c r="AK113" i="13"/>
  <c r="AJ113" i="13"/>
  <c r="AI113" i="13"/>
  <c r="AH113" i="13"/>
  <c r="AG113" i="13"/>
  <c r="AF113" i="13"/>
  <c r="AE113" i="13"/>
  <c r="AD113" i="13"/>
  <c r="AC113" i="13"/>
  <c r="AB113" i="13"/>
  <c r="AA113" i="13"/>
  <c r="Z113" i="13"/>
  <c r="Y113" i="13"/>
  <c r="X113" i="13"/>
  <c r="W113" i="13"/>
  <c r="V113" i="13"/>
  <c r="U113" i="13"/>
  <c r="T113" i="13"/>
  <c r="S113" i="13"/>
  <c r="R113" i="13"/>
  <c r="Q113" i="13"/>
  <c r="P113" i="13"/>
  <c r="O113" i="13"/>
  <c r="N113" i="13"/>
  <c r="M113" i="13"/>
  <c r="AL112" i="13"/>
  <c r="AK112" i="13"/>
  <c r="AJ112" i="13"/>
  <c r="AI112" i="13"/>
  <c r="AH112" i="13"/>
  <c r="AG112" i="13"/>
  <c r="AF112" i="13"/>
  <c r="AE112" i="13"/>
  <c r="AD112" i="13"/>
  <c r="AC112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O112" i="13"/>
  <c r="N112" i="13"/>
  <c r="M112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AL103" i="13"/>
  <c r="AK103" i="13"/>
  <c r="AJ103" i="13"/>
  <c r="AI103" i="13"/>
  <c r="AH103" i="13"/>
  <c r="AG103" i="13"/>
  <c r="AF103" i="13"/>
  <c r="AE103" i="13"/>
  <c r="AD103" i="13"/>
  <c r="AC103" i="13"/>
  <c r="AB103" i="13"/>
  <c r="AA103" i="13"/>
  <c r="Z103" i="13"/>
  <c r="Y103" i="13"/>
  <c r="X103" i="13"/>
  <c r="W103" i="13"/>
  <c r="V103" i="13"/>
  <c r="U103" i="13"/>
  <c r="T103" i="13"/>
  <c r="S103" i="13"/>
  <c r="R103" i="13"/>
  <c r="Q103" i="13"/>
  <c r="P103" i="13"/>
  <c r="O103" i="13"/>
  <c r="N103" i="13"/>
  <c r="M103" i="13"/>
  <c r="AL102" i="13"/>
  <c r="AK102" i="13"/>
  <c r="AJ102" i="13"/>
  <c r="AI102" i="13"/>
  <c r="AH102" i="13"/>
  <c r="AG102" i="13"/>
  <c r="AF102" i="13"/>
  <c r="AE102" i="13"/>
  <c r="AD102" i="13"/>
  <c r="AC102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O102" i="13"/>
  <c r="N102" i="13"/>
  <c r="M102" i="13"/>
  <c r="AL101" i="13"/>
  <c r="AK101" i="13"/>
  <c r="AJ101" i="13"/>
  <c r="AI101" i="13"/>
  <c r="AH101" i="13"/>
  <c r="AG101" i="13"/>
  <c r="AF101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AL92" i="13"/>
  <c r="AK92" i="13"/>
  <c r="AJ92" i="13"/>
  <c r="AI92" i="13"/>
  <c r="AH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AL91" i="13"/>
  <c r="AK91" i="13"/>
  <c r="AJ91" i="13"/>
  <c r="AI91" i="13"/>
  <c r="AH91" i="13"/>
  <c r="AG91" i="13"/>
  <c r="AF91" i="13"/>
  <c r="AE91" i="13"/>
  <c r="AD91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AL90" i="13"/>
  <c r="AK90" i="13"/>
  <c r="AJ90" i="13"/>
  <c r="AI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AL81" i="13"/>
  <c r="AK81" i="13"/>
  <c r="AJ81" i="13"/>
  <c r="AI81" i="13"/>
  <c r="AH81" i="13"/>
  <c r="AG81" i="13"/>
  <c r="AF81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AL80" i="13"/>
  <c r="AK80" i="13"/>
  <c r="AJ80" i="13"/>
  <c r="AI80" i="13"/>
  <c r="AH80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AL79" i="13"/>
  <c r="AK79" i="13"/>
  <c r="AJ79" i="13"/>
  <c r="AI79" i="13"/>
  <c r="AH79" i="13"/>
  <c r="AG79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AL69" i="13"/>
  <c r="AK69" i="13"/>
  <c r="AJ69" i="13"/>
  <c r="AI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AL67" i="13"/>
  <c r="AK67" i="13"/>
  <c r="AJ67" i="13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AL66" i="13"/>
  <c r="AK66" i="13"/>
  <c r="AJ66" i="13"/>
  <c r="AI66" i="13"/>
  <c r="AH66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AL65" i="13"/>
  <c r="AK65" i="13"/>
  <c r="AJ65" i="13"/>
  <c r="AI65" i="13"/>
  <c r="AH65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AL64" i="13"/>
  <c r="AK64" i="13"/>
  <c r="AJ64" i="13"/>
  <c r="AI64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AL63" i="13"/>
  <c r="AK63" i="13"/>
  <c r="AJ63" i="13"/>
  <c r="AI63" i="13"/>
  <c r="AH63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AL59" i="13"/>
  <c r="AK59" i="13"/>
  <c r="AJ59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D11" i="20" l="1" a="1"/>
  <c r="E11" i="20" a="1"/>
  <c r="F9" i="20"/>
  <c r="B12" i="20" s="1"/>
  <c r="F6" i="20"/>
  <c r="A1" i="14"/>
  <c r="I1" i="14" s="1"/>
  <c r="C14" i="20" l="1" a="1"/>
  <c r="B14" i="20" a="1"/>
  <c r="D12" i="20"/>
  <c r="F11" i="20" a="1"/>
  <c r="G11" i="20" a="1"/>
  <c r="F8" i="20" a="1"/>
  <c r="G8" i="20" a="1"/>
  <c r="M1" i="13"/>
  <c r="Y1" i="13"/>
  <c r="G1" i="14"/>
  <c r="B1" i="14"/>
  <c r="H1" i="14"/>
  <c r="F1" i="14"/>
  <c r="E1" i="14"/>
  <c r="D1" i="14"/>
  <c r="C1" i="14"/>
  <c r="F12" i="20" l="1"/>
  <c r="E14" i="20" a="1"/>
  <c r="D14" i="20" a="1"/>
  <c r="N1" i="13"/>
  <c r="F14" i="20" l="1" a="1"/>
  <c r="G14" i="20" a="1"/>
  <c r="O1" i="13"/>
  <c r="C17" i="20" l="1"/>
  <c r="B17" i="20"/>
  <c r="P1" i="13"/>
  <c r="Q1" i="13" l="1"/>
  <c r="R1" i="13" l="1"/>
  <c r="S1" i="13" l="1"/>
  <c r="T1" i="13" l="1"/>
  <c r="U1" i="13" l="1"/>
  <c r="V1" i="13" l="1"/>
  <c r="W1" i="13" l="1"/>
  <c r="X1" i="13" l="1"/>
  <c r="Z1" i="13" l="1"/>
  <c r="AA1" i="13" l="1"/>
  <c r="AB1" i="13" l="1"/>
  <c r="AC1" i="13" l="1"/>
  <c r="AD1" i="13" l="1"/>
  <c r="AE1" i="13" l="1"/>
  <c r="AF1" i="13" l="1"/>
  <c r="AG1" i="13" l="1"/>
  <c r="AH1" i="13" l="1"/>
  <c r="AI1" i="13" l="1"/>
  <c r="AJ1" i="13" l="1"/>
  <c r="AL1" i="13" l="1"/>
  <c r="AK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CEECC-AB8B-491C-8F45-696EB9768619}" keepAlive="1" name="Consulta - BASEDADOS" description="Conexão com a consulta 'BASEDADOS' na pasta de trabalho." type="5" refreshedVersion="8" background="1" saveData="1">
    <dbPr connection="Provider=Microsoft.Mashup.OleDb.1;Data Source=$Workbook$;Location=BASEDADOS;Extended Properties=&quot;&quot;" command="SELECT * FROM [BASEDADOS]"/>
  </connection>
  <connection id="2" xr16:uid="{3B9BB8BE-08D9-4243-A947-9C3BB6F0264A}" keepAlive="1" name="Consulta - COMPL" description="Conexão com a consulta 'COMPL' na pasta de trabalho." type="5" refreshedVersion="0" background="1">
    <dbPr connection="Provider=Microsoft.Mashup.OleDb.1;Data Source=$Workbook$;Location=COMPL;Extended Properties=&quot;&quot;" command="SELECT * FROM [COMPL]"/>
  </connection>
  <connection id="3" xr16:uid="{00F9BD49-1FC9-494D-A516-D10FCEE0D56E}" keepAlive="1" name="Consulta - CS_Ajuste" description="Conexão com a consulta 'CS_Ajuste' na pasta de trabalho." type="5" refreshedVersion="0" background="1" saveData="1">
    <dbPr connection="Provider=Microsoft.Mashup.OleDb.1;Data Source=$Workbook$;Location=CS_Ajuste;Extended Properties=&quot;&quot;" command="SELECT * FROM [CS_Ajuste]"/>
  </connection>
  <connection id="4" xr16:uid="{77611BAC-8610-4ACA-81F2-8301FA4ECEF2}" keepAlive="1" name="Consulta - TAQU_CONTRATO_COMPRA_V2 compl" description="Conexão com a consulta 'TAQU_CONTRATO_COMPRA_V2 compl' na pasta de trabalho." type="5" refreshedVersion="0" background="1" saveData="1">
    <dbPr connection="Provider=Microsoft.Mashup.OleDb.1;Data Source=$Workbook$;Location=&quot;TAQU_CONTRATO_COMPRA_V2 compl&quot;;Extended Properties=&quot;&quot;" command="SELECT * FROM [TAQU_CONTRATO_COMPRA_V2 compl]"/>
  </connection>
  <connection id="5" xr16:uid="{78F48A31-09EF-4892-A184-F722D2C22B45}" keepAlive="1" name="Consulta - TAQU_OC_CONTRATOS" description="Conexão com a consulta 'TAQU_OC_CONTRATOS' na pasta de trabalho." type="5" refreshedVersion="8" background="1" saveData="1">
    <dbPr connection="Provider=Microsoft.Mashup.OleDb.1;Data Source=$Workbook$;Location=TAQU_OC_CONTRATOS;Extended Properties=&quot;&quot;" command="SELECT * FROM [TAQU_OC_CONTRAT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<sst xmlns="http://schemas.openxmlformats.org/spreadsheetml/2006/main" count="69134" uniqueCount="4933">
  <si>
    <t>2025</t>
  </si>
  <si>
    <t>2026</t>
  </si>
  <si>
    <t>ABC 71 SOLUCOES EM INFOR. LTDA</t>
  </si>
  <si>
    <t>ACORP DO BRASIL IMPORTACAO E EXPORT</t>
  </si>
  <si>
    <t>ADM AR CONDICIONADO LTDA EPP</t>
  </si>
  <si>
    <t>ADP BRASIL LTDA</t>
  </si>
  <si>
    <t>ADUANEIRAS INFORMATICA LTDA</t>
  </si>
  <si>
    <t>ADVANCED</t>
  </si>
  <si>
    <t>ADVANCED INFORMATICA LTDA</t>
  </si>
  <si>
    <t>AEJ PAULISTA SERVICOS LTDA ME</t>
  </si>
  <si>
    <t>AGIT SOLUCOES AMBIENTAIS LTDA</t>
  </si>
  <si>
    <t>AIR PRODUCTS BRASIL LTDA</t>
  </si>
  <si>
    <t>ALINE DE PAULA ALMEIDA</t>
  </si>
  <si>
    <t>ALSCO TOALHEIRO BRASIL LTDA</t>
  </si>
  <si>
    <t>AMIL ASSIS. MEDICA INTER. S.A.</t>
  </si>
  <si>
    <t>AMPRO LABOR. E ENGa. S/C LTDA</t>
  </si>
  <si>
    <t>ANDRADE E L. TELECOMUNIC. LTDA</t>
  </si>
  <si>
    <t>ANDREA CARVALHO DESP.EIRELI-ME</t>
  </si>
  <si>
    <t>ANDREIA ALVES FERNANDES</t>
  </si>
  <si>
    <t>ANTONIO CESAR DE FARIA JUNIOR</t>
  </si>
  <si>
    <t>ARQUIVO FACIL GESTAO DOC.LTDA.</t>
  </si>
  <si>
    <t>ASSEMET ASS SEG DO TRAB LTDA</t>
  </si>
  <si>
    <t>ASSOC.BRAS.DE NORMAS TEC. ABNT</t>
  </si>
  <si>
    <t>ATLAS COPCO BRASIL LTDA</t>
  </si>
  <si>
    <t>ATMOSFERA GESTAO E HIGIENIZACAO</t>
  </si>
  <si>
    <t>ATT CORREIA LTDA</t>
  </si>
  <si>
    <t>BIFULCO ASSOCIADOS</t>
  </si>
  <si>
    <t>BRADESCO SAUDE S/A</t>
  </si>
  <si>
    <t>BRASOFTWARE INFORMATICA LTDA</t>
  </si>
  <si>
    <t>CAMARA COM. ENERGIA ELET. CCEE</t>
  </si>
  <si>
    <t>CEMIG GERACAO E TRANSMISSAO SA</t>
  </si>
  <si>
    <t>CIA DE SANEAMENTO MG COPASA MG</t>
  </si>
  <si>
    <t>CIA SANEAM.BAS.EST.SP SABESP</t>
  </si>
  <si>
    <t>CLICK ENTREGAS</t>
  </si>
  <si>
    <t>COMP. DE LOCACAO DAS AMERICAS</t>
  </si>
  <si>
    <t>COMPANHIA BRAS SOLUCOES E SERV</t>
  </si>
  <si>
    <t>CONSIGAS DISTRIBUIDORA LTDA</t>
  </si>
  <si>
    <t>CTI COMUNIC.DADOS E TECN LTDA</t>
  </si>
  <si>
    <t>CTINET SOLUCOES EM CONEC E INF</t>
  </si>
  <si>
    <t>D.D.DISK SANEAM AMB LTDA ME</t>
  </si>
  <si>
    <t>DATAMACE INFORMATICA LTDA</t>
  </si>
  <si>
    <t>DATAMARK-LTDA</t>
  </si>
  <si>
    <t>DBA TECNOLOGIA DA INFORMAÇÃO E COM</t>
  </si>
  <si>
    <t>DCN USINAGEM E SERVICOS EIRELI</t>
  </si>
  <si>
    <t>DI2S DADOS,INTEG.INF.SOL.LTDA</t>
  </si>
  <si>
    <t>DIGITAL LOCACAO E COMERCIO DE EQUIP</t>
  </si>
  <si>
    <t>DISK DIMUR LTDA</t>
  </si>
  <si>
    <t>DJ LOCAÇÃO DE EQUIP DE TI LTDA.</t>
  </si>
  <si>
    <t>DOCUSIGN BRASIL SOLUCOES EM TECNOLO</t>
  </si>
  <si>
    <t>DOST SOLUCOES EM ENGENHARIA LTDA</t>
  </si>
  <si>
    <t>D-SAAS TECN EM DESENV.DE SOFT.LTDA</t>
  </si>
  <si>
    <t>DTECH SOLUTIONS</t>
  </si>
  <si>
    <t>EDUARDO SODRE ALVES DA SILVA</t>
  </si>
  <si>
    <t>EGA ENG.AUTOMACAO LTDA</t>
  </si>
  <si>
    <t>ELETROPAULO METROP.ELET.SP S/A</t>
  </si>
  <si>
    <t>ELEVADORES OTIS LTDA</t>
  </si>
  <si>
    <t>ENERGY CONTROL - TECN AUT C.T. LTDA</t>
  </si>
  <si>
    <t>ENGEMAN ENTERP. ASSET MAN.LTDA</t>
  </si>
  <si>
    <t>EQUINIX DO B. S. TEC.INF. LTDA</t>
  </si>
  <si>
    <t>EROMOLD IND.COM.PLASTICOS LTDA</t>
  </si>
  <si>
    <t>EXC CARD ADM PROCE. CARTOES SA</t>
  </si>
  <si>
    <t>EXCEL SERV. EM METROLOGIA LTDA</t>
  </si>
  <si>
    <t>EXTELLPP EQUIP.E EXTINT.LTDA</t>
  </si>
  <si>
    <t>FCA RENTAL LOCADORA DE AUTOMOVEIS</t>
  </si>
  <si>
    <t>FERBAR FERR. E USINAGEM LTD</t>
  </si>
  <si>
    <t>FERNANDES FIGUEIREDO ADVOGADOS</t>
  </si>
  <si>
    <t>FINNET S/A - TECNOLOGIA E INSTITUIC</t>
  </si>
  <si>
    <t>FOCACCIA, AMARAL E LAMONICA SOCIEDA</t>
  </si>
  <si>
    <t>FRAGA MARKETING E SERVICOS LTDA</t>
  </si>
  <si>
    <t>FRAGA SISTEMAS DE GESTAO LTDA</t>
  </si>
  <si>
    <t>FRANCISCO GILBERTO DE SOUZA</t>
  </si>
  <si>
    <t>FREIRE ADVOGADOS E ASSOCIADOS</t>
  </si>
  <si>
    <t>GAMA AMBIENTAL LTDA</t>
  </si>
  <si>
    <t>GARCIA MONACO CONS E PLAN LTDA</t>
  </si>
  <si>
    <t>GC LOCACAO DE EQUIPAMENTOS LTDA.</t>
  </si>
  <si>
    <t>GLOBAL MOVING SOLUTIONS LTDA</t>
  </si>
  <si>
    <t>GMAR EQUIPAMENTOS E SERVICOS AMBIEN</t>
  </si>
  <si>
    <t>GOBOTS SOLUCOES INTELIGENTES LTDA</t>
  </si>
  <si>
    <t>GRABER SISTEMAS DE SEGURANCA LTDA</t>
  </si>
  <si>
    <t>GRC SOLUTIONS CONSULTORIA</t>
  </si>
  <si>
    <t>GS CONTROLE V. P. URBANAS LTDA</t>
  </si>
  <si>
    <t>HASHTAG SERVICOS DE MANUTENCAO LTDA</t>
  </si>
  <si>
    <t>HIDRO T TEC.S.ENERGIA E AGUA</t>
  </si>
  <si>
    <t>ICATU SEGUROS S/A</t>
  </si>
  <si>
    <t>IFOOD BENEFICIOS E SERVICOS LTDA.</t>
  </si>
  <si>
    <t>IMIGRANTES EMPREEND. PART.LTDA</t>
  </si>
  <si>
    <t>INFOR DO BRASIL SOFTWARES LTDA.</t>
  </si>
  <si>
    <t>INST. DA QUALIDADE AUTOMOT.IQA</t>
  </si>
  <si>
    <t>IRIT CHERNIZON TOMMA SINI</t>
  </si>
  <si>
    <t>ISOFLAMA INDUS. COMERCIO EQUIP. LTD</t>
  </si>
  <si>
    <t>JAV INSTRUMENTACAO COMERCIO DE MATE</t>
  </si>
  <si>
    <t>JOAO BATISTA DA SILVA JUNIOR</t>
  </si>
  <si>
    <t>JUPTER ENERGY GESTAO DE ENERGIA</t>
  </si>
  <si>
    <t>KINTO BRASIL SERVICOS DE MOBILIDADE</t>
  </si>
  <si>
    <t>KOLETUS TRANS COLE RESID LTDA</t>
  </si>
  <si>
    <t>KOMPUTER INFORMATICA LTDA</t>
  </si>
  <si>
    <t>KPMG ASSESSORES LTDA</t>
  </si>
  <si>
    <t>KPMG AUDITORES INDEPENDENTES.</t>
  </si>
  <si>
    <t>KRONOOS CONSULTING LTDA.</t>
  </si>
  <si>
    <t>L ALLEGRO RESTAURANTE LTDA</t>
  </si>
  <si>
    <t>L.R RESTAURANTE E L EIRELI EPP</t>
  </si>
  <si>
    <t>LABORTECHNIC TEC.LTDA - EPP</t>
  </si>
  <si>
    <t>LADEIRA E WESSELY ENG.AUT.LTDA</t>
  </si>
  <si>
    <t>LAYER UP EDITORIAL LTDA</t>
  </si>
  <si>
    <t>LEVEL 3 COMUNI.DO BRASIL LTDA</t>
  </si>
  <si>
    <t>LM Inspeções de Peças Ltda - ME</t>
  </si>
  <si>
    <t>LOCALIZA FLEET S.A.</t>
  </si>
  <si>
    <t>LOCALIZA RENT A CAR LTDA.</t>
  </si>
  <si>
    <t>LOCALIZA VEICULOS ESPECIAIS S.A.</t>
  </si>
  <si>
    <t>LOGGI TECNOLOGIA LTDA</t>
  </si>
  <si>
    <t>MAGNUS LAVANDERIA INDUSTRIAL L</t>
  </si>
  <si>
    <t>MAINLOG M. EMP. GERAL LTDA EPP</t>
  </si>
  <si>
    <t>MANASSES DE SOUZA GOMES</t>
  </si>
  <si>
    <t>MANOEL SEVERO DA SILVA</t>
  </si>
  <si>
    <t>MARCOS AUGUSTO DO AMARAL</t>
  </si>
  <si>
    <t>MARGARETE GIMENES ESPOLADOR</t>
  </si>
  <si>
    <t>MARIA DE FATIMA PEREIRA GOMES 85227</t>
  </si>
  <si>
    <t>MCTI CONSULTORIA LTDA</t>
  </si>
  <si>
    <t>METHODOS LABORATORIO, ANALISES CLIN</t>
  </si>
  <si>
    <t>MOBI ALL TECNOLOGIA LTDA</t>
  </si>
  <si>
    <t>MOVIDA PARTICIPACOES S.A.</t>
  </si>
  <si>
    <t>MR CONSTRUCAO LTDA</t>
  </si>
  <si>
    <t>N &amp; N CONSTRUCOES LTDA</t>
  </si>
  <si>
    <t>N.P. DA SILVA - CONSULTORIA DE TERC</t>
  </si>
  <si>
    <t>NASCIMENTO &amp; ROCHA LOGISTICA E TRAN</t>
  </si>
  <si>
    <t>NITRIART</t>
  </si>
  <si>
    <t>NOTRE DAME INTERMEDICA MINAS GERAIS</t>
  </si>
  <si>
    <t>NOTRE DAME INTERMEDICA SAUDE S.A.</t>
  </si>
  <si>
    <t>ODONTOPREV S.A.</t>
  </si>
  <si>
    <t>OI S.A. - EM RECUPERACAO JUDICIAL</t>
  </si>
  <si>
    <t>ONE BY ONE SERVICOS EM T.I. LTDA.</t>
  </si>
  <si>
    <t>OPEN TEXT TECNOLOGIA DA INFORMAÇÃO</t>
  </si>
  <si>
    <t>PASSARELLA ADVOG. ASSOCIADOS</t>
  </si>
  <si>
    <t>PAULO ROGERIO DE LIMA</t>
  </si>
  <si>
    <t>PHOBRAS CONSTRUCAO E SERVICOS DE EN</t>
  </si>
  <si>
    <t>PIXEL PINTURAS ELETROST.LTDA.</t>
  </si>
  <si>
    <t>PREMIER SISTEMA DE GESTAO AMBIENTAL</t>
  </si>
  <si>
    <t>PREMIER SISTEMA GEST.AMB.LTDA</t>
  </si>
  <si>
    <t>PREVER TREIN GESTAO OCUP LTDA</t>
  </si>
  <si>
    <t>RD GESTAO E SISTEMAS S.A.</t>
  </si>
  <si>
    <t>REDEMPRESA TECNOLOGIA LTDA-ME</t>
  </si>
  <si>
    <t>RENAN V. B. SILVA CONSULTORIA E SER</t>
  </si>
  <si>
    <t>RGA SERVICE EQUIPAMENTOS DE MOVIMEN</t>
  </si>
  <si>
    <t>RN EXTINTORES LTDA.</t>
  </si>
  <si>
    <t>ROMELEVA BRASIL LTDA</t>
  </si>
  <si>
    <t>RS SERVICOS E PROJETOS DE ENGENHARI</t>
  </si>
  <si>
    <t>SEMCON BRASIL - SERVICOS E ENGENHAR</t>
  </si>
  <si>
    <t>SERASA S.A.</t>
  </si>
  <si>
    <t>SERMOV COMÉRCIO E LOCAÇÃO DE EMPILH</t>
  </si>
  <si>
    <t>SERVICE PROVIDER CONSULTORIA DE TEC</t>
  </si>
  <si>
    <t>SERVICO SOCIAL DA INDUST. SESI</t>
  </si>
  <si>
    <t>SERVICO SOCIAL DA INDUSTRIA</t>
  </si>
  <si>
    <t>SERVIG SERVICOS LTDA</t>
  </si>
  <si>
    <t>SIGA GESTAO S. T. EMP. LTDA ME</t>
  </si>
  <si>
    <t>SINTEL TECN. E INFORMACAO S.A.</t>
  </si>
  <si>
    <t>SMARTPLM SOL.SERV.T.I.LTDA</t>
  </si>
  <si>
    <t>SODIPROM</t>
  </si>
  <si>
    <t>SOFTEXPERT SOFTWARE S.A.</t>
  </si>
  <si>
    <t>SOLTECH SOLUÇÕES INDUSTRIAIS E CIA</t>
  </si>
  <si>
    <t>SR TRATAMENTOS DE RES.IND.LTDA</t>
  </si>
  <si>
    <t>SUL AMERICA C. N. SEG. GERAIS</t>
  </si>
  <si>
    <t>SUL AMERICA COMP. SEGURO SAUDE</t>
  </si>
  <si>
    <t>SUL AMERICA ODONTOLOGICO S.A</t>
  </si>
  <si>
    <t>SUL COM DE GAZ E ACESS LTDA ME</t>
  </si>
  <si>
    <t>SUL COMERCIO DE GASES E MANUTENCAO</t>
  </si>
  <si>
    <t>TB SERVICOS T L G R HUMANOS SA</t>
  </si>
  <si>
    <t>TECMES E SERVICOS PRO INF LTDA</t>
  </si>
  <si>
    <t>TECMES TEC.M.SERV.INF.S/C LTDA</t>
  </si>
  <si>
    <t>TELEFONICA BRASIL S.A</t>
  </si>
  <si>
    <t>TELEFONICA BRASIL S.A.</t>
  </si>
  <si>
    <t>TELEFONICA CLOUD E TECNOLOGIA DO BR</t>
  </si>
  <si>
    <t>TELEMAR NORTE LESTE S/A</t>
  </si>
  <si>
    <t>TELOS CONSULTORIA EMPRESARIAL LTDA</t>
  </si>
  <si>
    <t>TENSAO ELETRICA MANU. E  INST. LTDA</t>
  </si>
  <si>
    <t>TGR PROJETOS LTDA</t>
  </si>
  <si>
    <t>THOMSON REUTERS BRASIL CONTEUDO E T</t>
  </si>
  <si>
    <t>TOP SERVICE SERVICOS SIST LTDA</t>
  </si>
  <si>
    <t>TRESINARI C. SERV. MEDIC. LTDA</t>
  </si>
  <si>
    <t>T-SYSTEM DO BRASIL LTDA.</t>
  </si>
  <si>
    <t>TURBONET</t>
  </si>
  <si>
    <t>TUV SUD SFDK LABORATORIO DE ANALISE</t>
  </si>
  <si>
    <t>UNIMED NACIONAL - COOPERATIVA CENTR</t>
  </si>
  <si>
    <t>UNIMED SUL MINEIRA</t>
  </si>
  <si>
    <t>UNIT SERVIOS ESP.SEGURANA LTDA</t>
  </si>
  <si>
    <t>VALMIR STOPA</t>
  </si>
  <si>
    <t>VB SERVICOS COM ADMINIST. LTDA</t>
  </si>
  <si>
    <t>VENETUR TURISMO LTDA</t>
  </si>
  <si>
    <t>VERO IT SOLUC.TEC.INFORM.LTDA</t>
  </si>
  <si>
    <t>VERZANI &amp; SANDRINI ADM.MO LTDA</t>
  </si>
  <si>
    <t>VERZANI &amp; SANDRINI S.A.</t>
  </si>
  <si>
    <t>VERZANI &amp; SANDRINI SEG. PATRIMONIAL</t>
  </si>
  <si>
    <t>VERZANI E SANDRINI LTDA</t>
  </si>
  <si>
    <t>VG Assessoria em Qualidade</t>
  </si>
  <si>
    <t>VG EMPILHADEIRAS MANUTENCAO MULTIMA</t>
  </si>
  <si>
    <t>W.T.C. TEC. EM TRAT. DE AGUA S/S</t>
  </si>
  <si>
    <t>WAGNER ODRI - ADVOGADOS</t>
  </si>
  <si>
    <t>WAKE Commerce LTDA</t>
  </si>
  <si>
    <t>WAY TELECOMUNICACOES EIRELI</t>
  </si>
  <si>
    <t>WELITON RODRIGO SANTOS DO CARMO 108</t>
  </si>
  <si>
    <t>WHIRLPOOL S.A</t>
  </si>
  <si>
    <t>Contrato</t>
  </si>
  <si>
    <t>status_do_contrato</t>
  </si>
  <si>
    <t>CS0000652</t>
  </si>
  <si>
    <t>070001769</t>
  </si>
  <si>
    <t>Ativo</t>
  </si>
  <si>
    <t>070089989</t>
  </si>
  <si>
    <t>METHODOS LAB ANAL CLIN E HEMAT</t>
  </si>
  <si>
    <t>CS0000656</t>
  </si>
  <si>
    <t>070091584</t>
  </si>
  <si>
    <t>Concluído</t>
  </si>
  <si>
    <t>090095495</t>
  </si>
  <si>
    <t>CS0000662</t>
  </si>
  <si>
    <t>090000133</t>
  </si>
  <si>
    <t>CS0000666</t>
  </si>
  <si>
    <t>070075619</t>
  </si>
  <si>
    <t>CS0000667</t>
  </si>
  <si>
    <t>070001498</t>
  </si>
  <si>
    <t>CS0000676</t>
  </si>
  <si>
    <t>070065548</t>
  </si>
  <si>
    <t>CS0000681</t>
  </si>
  <si>
    <t>070000685</t>
  </si>
  <si>
    <t>CS0000685</t>
  </si>
  <si>
    <t>070075837</t>
  </si>
  <si>
    <t>CS0000686</t>
  </si>
  <si>
    <t>CS0000687</t>
  </si>
  <si>
    <t>070065603</t>
  </si>
  <si>
    <t>CS0000693</t>
  </si>
  <si>
    <t>090010054</t>
  </si>
  <si>
    <t>090010056</t>
  </si>
  <si>
    <t>CS0000696</t>
  </si>
  <si>
    <t>090003565</t>
  </si>
  <si>
    <t>CS0000700</t>
  </si>
  <si>
    <t>090001789</t>
  </si>
  <si>
    <t>CS0000702</t>
  </si>
  <si>
    <t>CS0000703</t>
  </si>
  <si>
    <t>070090174</t>
  </si>
  <si>
    <t>CS0000712</t>
  </si>
  <si>
    <t>070076010</t>
  </si>
  <si>
    <t>CS0000715</t>
  </si>
  <si>
    <t>090010398</t>
  </si>
  <si>
    <t>CS0000717</t>
  </si>
  <si>
    <t>070020105</t>
  </si>
  <si>
    <t>CS0000719</t>
  </si>
  <si>
    <t>070000629</t>
  </si>
  <si>
    <t>CS0000727</t>
  </si>
  <si>
    <t>070076216</t>
  </si>
  <si>
    <t>CS0000728</t>
  </si>
  <si>
    <t>CS0000731</t>
  </si>
  <si>
    <t>070000748</t>
  </si>
  <si>
    <t>CS0000735</t>
  </si>
  <si>
    <t>090003569</t>
  </si>
  <si>
    <t>CS0000740</t>
  </si>
  <si>
    <t>070076409</t>
  </si>
  <si>
    <t>CS0000745</t>
  </si>
  <si>
    <t>090020157</t>
  </si>
  <si>
    <t>CS0000754</t>
  </si>
  <si>
    <t>CS0000755</t>
  </si>
  <si>
    <t>070076285</t>
  </si>
  <si>
    <t>CS0000758</t>
  </si>
  <si>
    <t>070001594</t>
  </si>
  <si>
    <t>CS0000762</t>
  </si>
  <si>
    <t>090003326</t>
  </si>
  <si>
    <t>090095564</t>
  </si>
  <si>
    <t>CS0000763</t>
  </si>
  <si>
    <t>CS0000767</t>
  </si>
  <si>
    <t>090095419</t>
  </si>
  <si>
    <t>CS0000773</t>
  </si>
  <si>
    <t>070076083</t>
  </si>
  <si>
    <t>CS0000776</t>
  </si>
  <si>
    <t>CS0000777</t>
  </si>
  <si>
    <t>090096485</t>
  </si>
  <si>
    <t>CS0000781</t>
  </si>
  <si>
    <t>CS0000786</t>
  </si>
  <si>
    <t>CS0000791</t>
  </si>
  <si>
    <t>CS0000795</t>
  </si>
  <si>
    <t>CS0000799</t>
  </si>
  <si>
    <t>070001565</t>
  </si>
  <si>
    <t>CS0000801</t>
  </si>
  <si>
    <t>070076175</t>
  </si>
  <si>
    <t>CS0000802</t>
  </si>
  <si>
    <t>070076126</t>
  </si>
  <si>
    <t>CS0000803</t>
  </si>
  <si>
    <t>070007045</t>
  </si>
  <si>
    <t>CS0000805</t>
  </si>
  <si>
    <t>CS0000808</t>
  </si>
  <si>
    <t>CS0000811</t>
  </si>
  <si>
    <t>090010234</t>
  </si>
  <si>
    <t>CS0000812</t>
  </si>
  <si>
    <t>CS0000816</t>
  </si>
  <si>
    <t>070001734</t>
  </si>
  <si>
    <t>CS0000820</t>
  </si>
  <si>
    <t>CS0000822</t>
  </si>
  <si>
    <t>070075970</t>
  </si>
  <si>
    <t>CS0000824</t>
  </si>
  <si>
    <t>070075890</t>
  </si>
  <si>
    <t>CS0000826</t>
  </si>
  <si>
    <t>070001726</t>
  </si>
  <si>
    <t>CS0000828</t>
  </si>
  <si>
    <t>090004493</t>
  </si>
  <si>
    <t>CS0000829</t>
  </si>
  <si>
    <t>CS0000838</t>
  </si>
  <si>
    <t>090073255</t>
  </si>
  <si>
    <t>CS0000841</t>
  </si>
  <si>
    <t>070076334</t>
  </si>
  <si>
    <t>CS0000842</t>
  </si>
  <si>
    <t>090008323</t>
  </si>
  <si>
    <t>CS0000848</t>
  </si>
  <si>
    <t>070090038</t>
  </si>
  <si>
    <t>CS0000849</t>
  </si>
  <si>
    <t>CS0000860</t>
  </si>
  <si>
    <t>070075990</t>
  </si>
  <si>
    <t>CS0000862</t>
  </si>
  <si>
    <t>090099910</t>
  </si>
  <si>
    <t>CS0000863</t>
  </si>
  <si>
    <t>090002472</t>
  </si>
  <si>
    <t>CS0000864</t>
  </si>
  <si>
    <t>CS0000865</t>
  </si>
  <si>
    <t>070001797</t>
  </si>
  <si>
    <t>CS0000866</t>
  </si>
  <si>
    <t>070077759</t>
  </si>
  <si>
    <t>CS0000867</t>
  </si>
  <si>
    <t>CS0000868</t>
  </si>
  <si>
    <t>070000726</t>
  </si>
  <si>
    <t>CS0000869</t>
  </si>
  <si>
    <t>CS0000870</t>
  </si>
  <si>
    <t>070001690</t>
  </si>
  <si>
    <t>CS0000871</t>
  </si>
  <si>
    <t>090002919</t>
  </si>
  <si>
    <t>CS0000872</t>
  </si>
  <si>
    <t>090072564</t>
  </si>
  <si>
    <t>CS0000873</t>
  </si>
  <si>
    <t>070001697</t>
  </si>
  <si>
    <t>CS0000874</t>
  </si>
  <si>
    <t>090010097</t>
  </si>
  <si>
    <t>CS0000875</t>
  </si>
  <si>
    <t>CS0000876</t>
  </si>
  <si>
    <t>CS0000877</t>
  </si>
  <si>
    <t>CS0000878</t>
  </si>
  <si>
    <t>070000621</t>
  </si>
  <si>
    <t>CS0000879</t>
  </si>
  <si>
    <t>070001589</t>
  </si>
  <si>
    <t>CS0000881</t>
  </si>
  <si>
    <t>CS0000882</t>
  </si>
  <si>
    <t>CS0000883</t>
  </si>
  <si>
    <t>070075989</t>
  </si>
  <si>
    <t>CS0000884</t>
  </si>
  <si>
    <t>CS0000885</t>
  </si>
  <si>
    <t>CS0000886</t>
  </si>
  <si>
    <t>CS0000887</t>
  </si>
  <si>
    <t>090095563</t>
  </si>
  <si>
    <t>CS0000888</t>
  </si>
  <si>
    <t>CS0000889</t>
  </si>
  <si>
    <t>CS0000890</t>
  </si>
  <si>
    <t>CS0000891</t>
  </si>
  <si>
    <t>CS0000892</t>
  </si>
  <si>
    <t>090004731</t>
  </si>
  <si>
    <t>CS0000893</t>
  </si>
  <si>
    <t>CS0000894</t>
  </si>
  <si>
    <t>CS0000895</t>
  </si>
  <si>
    <t>090000716</t>
  </si>
  <si>
    <t>CS0000896</t>
  </si>
  <si>
    <t>CS0000897</t>
  </si>
  <si>
    <t>CS0000898</t>
  </si>
  <si>
    <t>CS0000899</t>
  </si>
  <si>
    <t>070076412</t>
  </si>
  <si>
    <t>CS0000900</t>
  </si>
  <si>
    <t>CS0000901</t>
  </si>
  <si>
    <t>CS0000902</t>
  </si>
  <si>
    <t>070001747</t>
  </si>
  <si>
    <t>CS0000904</t>
  </si>
  <si>
    <t>070090064</t>
  </si>
  <si>
    <t>CS0000906</t>
  </si>
  <si>
    <t>070090127</t>
  </si>
  <si>
    <t>CS0000907</t>
  </si>
  <si>
    <t>070090107</t>
  </si>
  <si>
    <t>CS0000908</t>
  </si>
  <si>
    <t>070075717</t>
  </si>
  <si>
    <t>CS0000909</t>
  </si>
  <si>
    <t>CS0000910</t>
  </si>
  <si>
    <t>090002958</t>
  </si>
  <si>
    <t>CS0000911</t>
  </si>
  <si>
    <t>090000787</t>
  </si>
  <si>
    <t>CS0000912</t>
  </si>
  <si>
    <t>070076202</t>
  </si>
  <si>
    <t>CS0000913</t>
  </si>
  <si>
    <t>070001318</t>
  </si>
  <si>
    <t>CS0000914</t>
  </si>
  <si>
    <t>090004703</t>
  </si>
  <si>
    <t>CS0000915</t>
  </si>
  <si>
    <t>090003832</t>
  </si>
  <si>
    <t>CS0000916</t>
  </si>
  <si>
    <t>070076156</t>
  </si>
  <si>
    <t>CS0000917</t>
  </si>
  <si>
    <t>070076423</t>
  </si>
  <si>
    <t>CS0000918</t>
  </si>
  <si>
    <t>070001587</t>
  </si>
  <si>
    <t>CS0000919</t>
  </si>
  <si>
    <t>070075860</t>
  </si>
  <si>
    <t>CS0000920</t>
  </si>
  <si>
    <t>070076182</t>
  </si>
  <si>
    <t>CS0000921</t>
  </si>
  <si>
    <t>070076248</t>
  </si>
  <si>
    <t>CS0000922</t>
  </si>
  <si>
    <t>070001460</t>
  </si>
  <si>
    <t>CS0000923</t>
  </si>
  <si>
    <t>090006181</t>
  </si>
  <si>
    <t>CS0000924</t>
  </si>
  <si>
    <t>070001764</t>
  </si>
  <si>
    <t>CS0000925</t>
  </si>
  <si>
    <t>090004057</t>
  </si>
  <si>
    <t>CS0000926</t>
  </si>
  <si>
    <t>090095213</t>
  </si>
  <si>
    <t>CS0000927</t>
  </si>
  <si>
    <t>070075988</t>
  </si>
  <si>
    <t>CS0000928</t>
  </si>
  <si>
    <t>090006275</t>
  </si>
  <si>
    <t>CS0000929</t>
  </si>
  <si>
    <t>090095348</t>
  </si>
  <si>
    <t>CS0000930</t>
  </si>
  <si>
    <t>070076018</t>
  </si>
  <si>
    <t>ENERGETICA SERV. DE ENER. LTDA</t>
  </si>
  <si>
    <t>CS0000931</t>
  </si>
  <si>
    <t>070002594</t>
  </si>
  <si>
    <t>CS0000932</t>
  </si>
  <si>
    <t>090002929</t>
  </si>
  <si>
    <t>CS0000933</t>
  </si>
  <si>
    <t>090002205</t>
  </si>
  <si>
    <t>CS0000934</t>
  </si>
  <si>
    <t>070001496</t>
  </si>
  <si>
    <t>CS0000935</t>
  </si>
  <si>
    <t>070076397</t>
  </si>
  <si>
    <t>CS0000936</t>
  </si>
  <si>
    <t>CS0000937</t>
  </si>
  <si>
    <t>090002225</t>
  </si>
  <si>
    <t>CS0000938</t>
  </si>
  <si>
    <t>090090060</t>
  </si>
  <si>
    <t>CS0000939</t>
  </si>
  <si>
    <t>070076289</t>
  </si>
  <si>
    <t>CS0000940</t>
  </si>
  <si>
    <t>090005223</t>
  </si>
  <si>
    <t>CS0000941</t>
  </si>
  <si>
    <t>090004630</t>
  </si>
  <si>
    <t>CS0000942</t>
  </si>
  <si>
    <t>CS0000943</t>
  </si>
  <si>
    <t>070075679</t>
  </si>
  <si>
    <t>070090999</t>
  </si>
  <si>
    <t>CS0000944</t>
  </si>
  <si>
    <t>090010020</t>
  </si>
  <si>
    <t>CS0000945</t>
  </si>
  <si>
    <t>090006491</t>
  </si>
  <si>
    <t>CS0000946</t>
  </si>
  <si>
    <t>070091084</t>
  </si>
  <si>
    <t>090006591</t>
  </si>
  <si>
    <t>CS0000948</t>
  </si>
  <si>
    <t>070075859</t>
  </si>
  <si>
    <t>CS0000949</t>
  </si>
  <si>
    <t>070002812</t>
  </si>
  <si>
    <t>CS0000950</t>
  </si>
  <si>
    <t>CS0000951</t>
  </si>
  <si>
    <t>070075883</t>
  </si>
  <si>
    <t>CS0000952</t>
  </si>
  <si>
    <t>CS0000953</t>
  </si>
  <si>
    <t>CS0000954</t>
  </si>
  <si>
    <t>070075980</t>
  </si>
  <si>
    <t>CS0000955</t>
  </si>
  <si>
    <t>070001585</t>
  </si>
  <si>
    <t>CS0000956</t>
  </si>
  <si>
    <t>070001502</t>
  </si>
  <si>
    <t>CS0000957</t>
  </si>
  <si>
    <t>070001474</t>
  </si>
  <si>
    <t>CS0000959</t>
  </si>
  <si>
    <t>CS0000960</t>
  </si>
  <si>
    <t>070001716</t>
  </si>
  <si>
    <t>CS0000961</t>
  </si>
  <si>
    <t>070075967</t>
  </si>
  <si>
    <t>CS0000962</t>
  </si>
  <si>
    <t>070002798</t>
  </si>
  <si>
    <t>CS0000963</t>
  </si>
  <si>
    <t>CS0000964</t>
  </si>
  <si>
    <t>070076291</t>
  </si>
  <si>
    <t>CS0000965</t>
  </si>
  <si>
    <t>070001655</t>
  </si>
  <si>
    <t>CS0000966</t>
  </si>
  <si>
    <t>CS0000967</t>
  </si>
  <si>
    <t>090095678</t>
  </si>
  <si>
    <t>CS0000968</t>
  </si>
  <si>
    <t>CS0000969</t>
  </si>
  <si>
    <t>CS0000970</t>
  </si>
  <si>
    <t>090010455</t>
  </si>
  <si>
    <t>CS0000973</t>
  </si>
  <si>
    <t>CS0000974</t>
  </si>
  <si>
    <t>070090001</t>
  </si>
  <si>
    <t>CS0000976</t>
  </si>
  <si>
    <t>070001516</t>
  </si>
  <si>
    <t>CS0000977</t>
  </si>
  <si>
    <t>090004663</t>
  </si>
  <si>
    <t>CS0000981</t>
  </si>
  <si>
    <t>070076124</t>
  </si>
  <si>
    <t>CS0000982</t>
  </si>
  <si>
    <t>CS0000983</t>
  </si>
  <si>
    <t>070076106</t>
  </si>
  <si>
    <t>CS0000984</t>
  </si>
  <si>
    <t>090010296</t>
  </si>
  <si>
    <t>CS0000985</t>
  </si>
  <si>
    <t>CS0000986</t>
  </si>
  <si>
    <t>070090086</t>
  </si>
  <si>
    <t>CS0000987</t>
  </si>
  <si>
    <t>070076278</t>
  </si>
  <si>
    <t>CS0000988</t>
  </si>
  <si>
    <t>070001593</t>
  </si>
  <si>
    <t>CS0000989</t>
  </si>
  <si>
    <t>CS0000992</t>
  </si>
  <si>
    <t>CS0000993</t>
  </si>
  <si>
    <t>CS0000994</t>
  </si>
  <si>
    <t>070090222</t>
  </si>
  <si>
    <t>CS0000995</t>
  </si>
  <si>
    <t>070000007</t>
  </si>
  <si>
    <t>CS0000998</t>
  </si>
  <si>
    <t>070090440</t>
  </si>
  <si>
    <t>CS0000999</t>
  </si>
  <si>
    <t>CS0001000</t>
  </si>
  <si>
    <t>CS0001002</t>
  </si>
  <si>
    <t>070090626</t>
  </si>
  <si>
    <t>CS0001003</t>
  </si>
  <si>
    <t>090018093</t>
  </si>
  <si>
    <t>CS0001004</t>
  </si>
  <si>
    <t>070090110</t>
  </si>
  <si>
    <t>CS0001007</t>
  </si>
  <si>
    <t>CS0001011</t>
  </si>
  <si>
    <t>CS0001012</t>
  </si>
  <si>
    <t>070090584</t>
  </si>
  <si>
    <t>CS0001013</t>
  </si>
  <si>
    <t>CS0001014</t>
  </si>
  <si>
    <t>070076264</t>
  </si>
  <si>
    <t>CS0001015</t>
  </si>
  <si>
    <t>070090163</t>
  </si>
  <si>
    <t>CS0001016</t>
  </si>
  <si>
    <t>070090724</t>
  </si>
  <si>
    <t>CS0001017</t>
  </si>
  <si>
    <t>070090685</t>
  </si>
  <si>
    <t>CS0001018</t>
  </si>
  <si>
    <t>070090846</t>
  </si>
  <si>
    <t>CS0001019</t>
  </si>
  <si>
    <t>CS0001020</t>
  </si>
  <si>
    <t>070090908</t>
  </si>
  <si>
    <t>CS0001021</t>
  </si>
  <si>
    <t>070090912</t>
  </si>
  <si>
    <t>CS0001022</t>
  </si>
  <si>
    <t>CS0001023</t>
  </si>
  <si>
    <t>CS0001025</t>
  </si>
  <si>
    <t>070091017</t>
  </si>
  <si>
    <t>CS0001026</t>
  </si>
  <si>
    <t>070091018</t>
  </si>
  <si>
    <t>CS0001027</t>
  </si>
  <si>
    <t>CS0001028</t>
  </si>
  <si>
    <t>070000574</t>
  </si>
  <si>
    <t>CS0001029</t>
  </si>
  <si>
    <t>070091067</t>
  </si>
  <si>
    <t>CS0001031</t>
  </si>
  <si>
    <t>070091159</t>
  </si>
  <si>
    <t>CS0001033</t>
  </si>
  <si>
    <t>070091195</t>
  </si>
  <si>
    <t>CS0001034</t>
  </si>
  <si>
    <t>070091173</t>
  </si>
  <si>
    <t>CS0001035</t>
  </si>
  <si>
    <t>070091194</t>
  </si>
  <si>
    <t>CS0001036</t>
  </si>
  <si>
    <t>070090271</t>
  </si>
  <si>
    <t>070090317</t>
  </si>
  <si>
    <t>CS0001038</t>
  </si>
  <si>
    <t>CS0001039</t>
  </si>
  <si>
    <t>CS0001040</t>
  </si>
  <si>
    <t>070001654</t>
  </si>
  <si>
    <t>CS0001042</t>
  </si>
  <si>
    <t>CS0001043</t>
  </si>
  <si>
    <t>070091293</t>
  </si>
  <si>
    <t>CS0001044</t>
  </si>
  <si>
    <t>CS0001046</t>
  </si>
  <si>
    <t>CS0001047</t>
  </si>
  <si>
    <t>CS0001048</t>
  </si>
  <si>
    <t>070091338</t>
  </si>
  <si>
    <t>CS0001049</t>
  </si>
  <si>
    <t>CS0001050</t>
  </si>
  <si>
    <t>CS0001051</t>
  </si>
  <si>
    <t>CS0001052</t>
  </si>
  <si>
    <t>070091366</t>
  </si>
  <si>
    <t>CS0001053</t>
  </si>
  <si>
    <t>CS0001054</t>
  </si>
  <si>
    <t>070091438</t>
  </si>
  <si>
    <t>CS0001057</t>
  </si>
  <si>
    <t>070091514</t>
  </si>
  <si>
    <t>CS0001058</t>
  </si>
  <si>
    <t>070091672</t>
  </si>
  <si>
    <t>CS0001059</t>
  </si>
  <si>
    <t>070091634</t>
  </si>
  <si>
    <t>CS0001060</t>
  </si>
  <si>
    <t>CS0001061</t>
  </si>
  <si>
    <t>CS0001063</t>
  </si>
  <si>
    <t>070091635</t>
  </si>
  <si>
    <t>CS0001065</t>
  </si>
  <si>
    <t>CS0001066</t>
  </si>
  <si>
    <t>CS0001067</t>
  </si>
  <si>
    <t>CS0001068</t>
  </si>
  <si>
    <t>070091668</t>
  </si>
  <si>
    <t>CS0001070</t>
  </si>
  <si>
    <t>CS0001071</t>
  </si>
  <si>
    <t>CS0001072</t>
  </si>
  <si>
    <t>070091680</t>
  </si>
  <si>
    <t>CS0001074</t>
  </si>
  <si>
    <t>070091707</t>
  </si>
  <si>
    <t>CS0001075</t>
  </si>
  <si>
    <t>CS0001077</t>
  </si>
  <si>
    <t>070076360</t>
  </si>
  <si>
    <t>CS0001078</t>
  </si>
  <si>
    <t>070091785</t>
  </si>
  <si>
    <t>CS0001079</t>
  </si>
  <si>
    <t>070091805</t>
  </si>
  <si>
    <t>CS0001081</t>
  </si>
  <si>
    <t>070091826</t>
  </si>
  <si>
    <t>CS0001083</t>
  </si>
  <si>
    <t>070091574</t>
  </si>
  <si>
    <t>CS0001084</t>
  </si>
  <si>
    <t>CS0001085</t>
  </si>
  <si>
    <t>CS0001087</t>
  </si>
  <si>
    <t>070091889</t>
  </si>
  <si>
    <t>CS0001088</t>
  </si>
  <si>
    <t>070091884</t>
  </si>
  <si>
    <t>CS0001089</t>
  </si>
  <si>
    <t>070091935</t>
  </si>
  <si>
    <t>CS0001091</t>
  </si>
  <si>
    <t>070001461</t>
  </si>
  <si>
    <t>CS0001092</t>
  </si>
  <si>
    <t>070092016</t>
  </si>
  <si>
    <t>CS0001093</t>
  </si>
  <si>
    <t>070076256</t>
  </si>
  <si>
    <t>CS0001094</t>
  </si>
  <si>
    <t>070091790</t>
  </si>
  <si>
    <t>CS0001095</t>
  </si>
  <si>
    <t>070091926</t>
  </si>
  <si>
    <t>CS0001096</t>
  </si>
  <si>
    <t>CS0001097</t>
  </si>
  <si>
    <t>070091337</t>
  </si>
  <si>
    <t>CS0001098</t>
  </si>
  <si>
    <t>070092047</t>
  </si>
  <si>
    <t>CS0001099</t>
  </si>
  <si>
    <t>070091430</t>
  </si>
  <si>
    <t>CS0001100</t>
  </si>
  <si>
    <t>070001543</t>
  </si>
  <si>
    <t>CS0001101</t>
  </si>
  <si>
    <t>070076180</t>
  </si>
  <si>
    <t>CS0001102</t>
  </si>
  <si>
    <t>070077598</t>
  </si>
  <si>
    <t>CS0001104</t>
  </si>
  <si>
    <t>070075630</t>
  </si>
  <si>
    <t>CS0001105</t>
  </si>
  <si>
    <t>CS0001107</t>
  </si>
  <si>
    <t>070092137</t>
  </si>
  <si>
    <t>CS0001109</t>
  </si>
  <si>
    <t>070091489</t>
  </si>
  <si>
    <t>CS0001110</t>
  </si>
  <si>
    <t>070091137</t>
  </si>
  <si>
    <t>CS0001111</t>
  </si>
  <si>
    <t>CS0001113</t>
  </si>
  <si>
    <t>CS0001114</t>
  </si>
  <si>
    <t>070092290</t>
  </si>
  <si>
    <t>CS0001115</t>
  </si>
  <si>
    <t>070092299</t>
  </si>
  <si>
    <t>CS0001116</t>
  </si>
  <si>
    <t>070092293</t>
  </si>
  <si>
    <t>CS0001117</t>
  </si>
  <si>
    <t>CS0001119</t>
  </si>
  <si>
    <t>CS0001120</t>
  </si>
  <si>
    <t>CS0001121</t>
  </si>
  <si>
    <t>090007258</t>
  </si>
  <si>
    <t>CS0001122</t>
  </si>
  <si>
    <t>070076090</t>
  </si>
  <si>
    <t>CS0001123</t>
  </si>
  <si>
    <t>CS0001124</t>
  </si>
  <si>
    <t>070092362</t>
  </si>
  <si>
    <t>CS0001125</t>
  </si>
  <si>
    <t>070001544</t>
  </si>
  <si>
    <t>CS0001126</t>
  </si>
  <si>
    <t>CS0001127</t>
  </si>
  <si>
    <t>CS0001128</t>
  </si>
  <si>
    <t>CS0001129</t>
  </si>
  <si>
    <t>CS0001130</t>
  </si>
  <si>
    <t>070092409</t>
  </si>
  <si>
    <t>CS0001131</t>
  </si>
  <si>
    <t>090002571</t>
  </si>
  <si>
    <t>CS0001132</t>
  </si>
  <si>
    <t>090010073</t>
  </si>
  <si>
    <t>CS0001133</t>
  </si>
  <si>
    <t>070092467</t>
  </si>
  <si>
    <t>CS0001134</t>
  </si>
  <si>
    <t>070092484</t>
  </si>
  <si>
    <t>CS0001136</t>
  </si>
  <si>
    <t>070092281</t>
  </si>
  <si>
    <t>CS0001137</t>
  </si>
  <si>
    <t>070092113</t>
  </si>
  <si>
    <t>CS0001138</t>
  </si>
  <si>
    <t>contrato</t>
  </si>
  <si>
    <t>pn_fornecedor</t>
  </si>
  <si>
    <t>descricao_fornecedor</t>
  </si>
  <si>
    <t>referencia_a</t>
  </si>
  <si>
    <t>descricao_condicao_de_pagamento</t>
  </si>
  <si>
    <t>depto_de_compras</t>
  </si>
  <si>
    <t>descricao_dpto_de_compras</t>
  </si>
  <si>
    <t>CS0000647</t>
  </si>
  <si>
    <t>090030154</t>
  </si>
  <si>
    <t>OPUS CONSULT TEC E EMPRESARIAL</t>
  </si>
  <si>
    <t>30 DIAS</t>
  </si>
  <si>
    <t>SRSFAB</t>
  </si>
  <si>
    <t>PRGM . COMPRAS - SRS - FABRICA</t>
  </si>
  <si>
    <t>CS0000649</t>
  </si>
  <si>
    <t>070006685</t>
  </si>
  <si>
    <t>SERPRAM SERV PREST A M H LTDA</t>
  </si>
  <si>
    <t>METHODOS LABORATORIO, ANALISES</t>
  </si>
  <si>
    <t>SRSADM</t>
  </si>
  <si>
    <t>COMPRAS - SRS - ADMINISTRAÇÃO</t>
  </si>
  <si>
    <t>15 DIAS</t>
  </si>
  <si>
    <t>VIESFB</t>
  </si>
  <si>
    <t>PRGM .COMPRAS - VIES - FABRICA</t>
  </si>
  <si>
    <t>CS0000663</t>
  </si>
  <si>
    <t>090005248</t>
  </si>
  <si>
    <t>FORCA DELTA INT.CON.ASS.S.LTDA</t>
  </si>
  <si>
    <t>RENAN V. B. SILVA CONSULTORIA</t>
  </si>
  <si>
    <t>CS0000669</t>
  </si>
  <si>
    <t>TUV SUD SFDK LABORATORIO DE AN</t>
  </si>
  <si>
    <t>CS0000677</t>
  </si>
  <si>
    <t>070001699</t>
  </si>
  <si>
    <t>WELLIMAR GONCALVES DE MEIRA 7296884</t>
  </si>
  <si>
    <t>WELLIMAR GONCALVES DE MEIRA 72</t>
  </si>
  <si>
    <t>CS0000678</t>
  </si>
  <si>
    <t>070001703</t>
  </si>
  <si>
    <t>SERI.E DESIGN LTDA.</t>
  </si>
  <si>
    <t>CS0000682</t>
  </si>
  <si>
    <t>090010126</t>
  </si>
  <si>
    <t>H M CONSULTORIA LTDA</t>
  </si>
  <si>
    <t>CS0000683</t>
  </si>
  <si>
    <t>070076376</t>
  </si>
  <si>
    <t>PAULO YOCHIKASU UEMATSU</t>
  </si>
  <si>
    <t>CS0000692</t>
  </si>
  <si>
    <t>070020209</t>
  </si>
  <si>
    <t>AUDAX EXTINTORES COM.MAT.SEG.L</t>
  </si>
  <si>
    <t>333ADM</t>
  </si>
  <si>
    <t>COMPRAS - 333 - ADMINISTRAÇÃO</t>
  </si>
  <si>
    <t>CS0000698</t>
  </si>
  <si>
    <t>TELOS CONSULTORIA EMPRESARIAL</t>
  </si>
  <si>
    <t>COFAB</t>
  </si>
  <si>
    <t>PRGM . COMPRAS - CO - FABRICA</t>
  </si>
  <si>
    <t>OI MOVEL S.A.</t>
  </si>
  <si>
    <t>CS0000708</t>
  </si>
  <si>
    <t>070075809</t>
  </si>
  <si>
    <t>RUSSOMANO ADVOCACIA S/S</t>
  </si>
  <si>
    <t>333FAB</t>
  </si>
  <si>
    <t>PRGM . COMPRAS - 333 - FABRICA</t>
  </si>
  <si>
    <t>CS0000721</t>
  </si>
  <si>
    <t>070089987</t>
  </si>
  <si>
    <t>N.V.COM.DISTR.DE GAS LTDA-ME</t>
  </si>
  <si>
    <t>CS0000725</t>
  </si>
  <si>
    <t>SRSPDT</t>
  </si>
  <si>
    <t>COMPRAS - SRS - OC (IM)PRODUT</t>
  </si>
  <si>
    <t>VIESAD</t>
  </si>
  <si>
    <t>COMPRAS - VIES - ADMINISTRAÇAO</t>
  </si>
  <si>
    <t>CS0000741</t>
  </si>
  <si>
    <t>070076352</t>
  </si>
  <si>
    <t>R&amp;S MARKETING DIGITAL LTDA -ME</t>
  </si>
  <si>
    <t>CS0000744</t>
  </si>
  <si>
    <t>COADM</t>
  </si>
  <si>
    <t>COMPRAS - CO - ADMINISTRAÇÃO</t>
  </si>
  <si>
    <t>CS0000748</t>
  </si>
  <si>
    <t>090090329</t>
  </si>
  <si>
    <t>SCG ENG. CONSULTORIA LTDA</t>
  </si>
  <si>
    <t>CS0000749</t>
  </si>
  <si>
    <t>090010238</t>
  </si>
  <si>
    <t>RIVITTI E DIAS SOCIAD DE ADVOG</t>
  </si>
  <si>
    <t>CS0000750</t>
  </si>
  <si>
    <t>070076328</t>
  </si>
  <si>
    <t>EFIX LTDA</t>
  </si>
  <si>
    <t>CS0000765</t>
  </si>
  <si>
    <t>CS0000783</t>
  </si>
  <si>
    <t>CS0000796</t>
  </si>
  <si>
    <t>CS0000798</t>
  </si>
  <si>
    <t>070075686</t>
  </si>
  <si>
    <t>IDIADA TECNOLOGIA AUTOM. LTDA</t>
  </si>
  <si>
    <t>VIESPD</t>
  </si>
  <si>
    <t>COMPRAS - VIES - OC (IM)PRODUT</t>
  </si>
  <si>
    <t>CS0000807</t>
  </si>
  <si>
    <t>070076481</t>
  </si>
  <si>
    <t>SMART INTELIGENCIA EMPRESARIAL</t>
  </si>
  <si>
    <t>070075893</t>
  </si>
  <si>
    <t>CS0000814</t>
  </si>
  <si>
    <t>070001506</t>
  </si>
  <si>
    <t>MARCIO ADRIANO AUGUSTO 01651506612</t>
  </si>
  <si>
    <t>MARCIO ADRIANO AUGUSTO 0165150</t>
  </si>
  <si>
    <t>FBITS DESENVOLVIMENTO DE SOFTW</t>
  </si>
  <si>
    <t>SRSCML</t>
  </si>
  <si>
    <t>COMPRAS - SRS - COMERCIAL</t>
  </si>
  <si>
    <t>CS0000821</t>
  </si>
  <si>
    <t>090017099</t>
  </si>
  <si>
    <t>MART.NETO E G.ADV.ASSOC. S/C.</t>
  </si>
  <si>
    <t>CS0000823</t>
  </si>
  <si>
    <t>070075932</t>
  </si>
  <si>
    <t>PURIFIKAR LOC.DIST.PRO.DO.LTDA</t>
  </si>
  <si>
    <t>CS0000825</t>
  </si>
  <si>
    <t>Locação Carro Adalton/Hamilton</t>
  </si>
  <si>
    <t>CS0000834</t>
  </si>
  <si>
    <t/>
  </si>
  <si>
    <t>CONTRATO NORMAS ABNT</t>
  </si>
  <si>
    <t>45 DIAS</t>
  </si>
  <si>
    <t>CS0000847</t>
  </si>
  <si>
    <t>070090034</t>
  </si>
  <si>
    <t>PS MANUTENÇÃO DE EQUIPAMENTOS E CON</t>
  </si>
  <si>
    <t>Contrato de MO Eletromecanico</t>
  </si>
  <si>
    <t>20 DIAS</t>
  </si>
  <si>
    <t>SERVICO DE ASSISTENCIA MEDICA</t>
  </si>
  <si>
    <t>49 DIAS</t>
  </si>
  <si>
    <t>SERVIÇO DE ASSISTENCIA MEDICA</t>
  </si>
  <si>
    <t>10 DIAS</t>
  </si>
  <si>
    <t>Consultoria hoshin - Eugenio</t>
  </si>
  <si>
    <t>GRABER SISTEMAS DE SEGURANCA L</t>
  </si>
  <si>
    <t>SOLTECH SOLUÇÕES INDUSTRIAIS E</t>
  </si>
  <si>
    <t>VG EMPILHADEIRAS MANUTENCAO MU</t>
  </si>
  <si>
    <t>NITRIART COMERCIO DE NITROGENI</t>
  </si>
  <si>
    <t>RGA SERVICE EQUIPAMENTOS DE MO</t>
  </si>
  <si>
    <t>CS0000880</t>
  </si>
  <si>
    <t>070001619</t>
  </si>
  <si>
    <t>AFRANIO ZANY DA SILVA NUNES</t>
  </si>
  <si>
    <t>MANUTENÇÃO COMPRESSOR</t>
  </si>
  <si>
    <t>CONTRATO MOTOBOY ST.RITA</t>
  </si>
  <si>
    <t>CS0000903</t>
  </si>
  <si>
    <t>Contrato MO e Material eletric</t>
  </si>
  <si>
    <t>contrato MO inspeção peças</t>
  </si>
  <si>
    <t>contrato de MO Eletromecanico</t>
  </si>
  <si>
    <t>OPEN TEXT TECNOLOGIA DA INFORM</t>
  </si>
  <si>
    <t>DIGITAL LOCACAO E COMERCIO DE</t>
  </si>
  <si>
    <t>DBA TECNOLOGIA DA INFORMAÇÃO E</t>
  </si>
  <si>
    <t>CENTURYLINK COMUNICACOES DO BR</t>
  </si>
  <si>
    <t>GOBOTS SOLUCOES INTELIGENTES L</t>
  </si>
  <si>
    <t>DDAADM</t>
  </si>
  <si>
    <t>COMPRAS - DDA - ADMINISTRAÇAO</t>
  </si>
  <si>
    <t>LOCALIZA FROTA METAGAL</t>
  </si>
  <si>
    <t>TELEFONICA CLOUD E TECNOLOGIA</t>
  </si>
  <si>
    <t>333CML</t>
  </si>
  <si>
    <t>COMPRAS - 333 - COMERCIAL</t>
  </si>
  <si>
    <t>VIESCM</t>
  </si>
  <si>
    <t>COMPRAS - VIES - COMERCIAL</t>
  </si>
  <si>
    <t>NOTRE DAME INTERMEDICA SAUDE S</t>
  </si>
  <si>
    <t>SESI-SERVICO SOCIAL DA INDUSTR</t>
  </si>
  <si>
    <t>CS0000947</t>
  </si>
  <si>
    <t>1500-SEGURO DE VIDA</t>
  </si>
  <si>
    <t>THOMSON REUTERS BRASIL CONTEUD</t>
  </si>
  <si>
    <t>NASCIMENTO &amp; ROCHA LOGISTICA E</t>
  </si>
  <si>
    <t>CS0000958</t>
  </si>
  <si>
    <t>070075666</t>
  </si>
  <si>
    <t>LUANDRE TEMPORARIOS LTDA</t>
  </si>
  <si>
    <t>DOCUSIGN BRASIL SOLUCOES EM TE</t>
  </si>
  <si>
    <t>LALLEGRO RESTAURANTE LTDA</t>
  </si>
  <si>
    <t>CS0000971</t>
  </si>
  <si>
    <t>CS0000972</t>
  </si>
  <si>
    <t>070076160</t>
  </si>
  <si>
    <t>MOVIDA LOCACAO DE VEICULOS S.A</t>
  </si>
  <si>
    <t>contrato motoboy</t>
  </si>
  <si>
    <t>CS0000975</t>
  </si>
  <si>
    <t>CS0000978</t>
  </si>
  <si>
    <t>CS0000979</t>
  </si>
  <si>
    <t>CS0000980</t>
  </si>
  <si>
    <t>Contrato locação Sala Comercia</t>
  </si>
  <si>
    <t>Contrato de MO Pedreiro</t>
  </si>
  <si>
    <t>MANUTENÇÃO DE AR CONDICIONADO</t>
  </si>
  <si>
    <t>CS0000990</t>
  </si>
  <si>
    <t>Contrato de Serviços Medico</t>
  </si>
  <si>
    <t>070090239</t>
  </si>
  <si>
    <t>GUILHERME MOURA GUIMARÃES</t>
  </si>
  <si>
    <t>CS0000991</t>
  </si>
  <si>
    <t>contrato de telefonia</t>
  </si>
  <si>
    <t>CS0000997</t>
  </si>
  <si>
    <t>070090030</t>
  </si>
  <si>
    <t>OPERTIME LOGISTICA E TRANSPORTES</t>
  </si>
  <si>
    <t>Contrato de Transportes</t>
  </si>
  <si>
    <t>Consultoria e suporte Infor</t>
  </si>
  <si>
    <t>CS0001001</t>
  </si>
  <si>
    <t>Contrato locação de uniformes</t>
  </si>
  <si>
    <t>Contrato Licença Relogio Ponto</t>
  </si>
  <si>
    <t>5 DIAS</t>
  </si>
  <si>
    <t>Contrato de Locação M3 pixel</t>
  </si>
  <si>
    <t>Contrato de limpeza de calhas</t>
  </si>
  <si>
    <t>CS0001005</t>
  </si>
  <si>
    <t>Contrato de auditoria ISO14001</t>
  </si>
  <si>
    <t>Locação de uniformes</t>
  </si>
  <si>
    <t>21 DIAS</t>
  </si>
  <si>
    <t>CONTRATO DE MARKETING DIGITAL</t>
  </si>
  <si>
    <t>VIESCN</t>
  </si>
  <si>
    <t>COMPRAS - VIES - CONSELHO</t>
  </si>
  <si>
    <t>Contrato de locação Paleteira</t>
  </si>
  <si>
    <t>Contrato de manutenção torres</t>
  </si>
  <si>
    <t>Contrato de Prestação Serviço</t>
  </si>
  <si>
    <t>Contrato de manutenção cabine</t>
  </si>
  <si>
    <t>contrato manutenção cabine</t>
  </si>
  <si>
    <t>Contrato Manut Ponte Rolante</t>
  </si>
  <si>
    <t>Locação de Empilhadeira</t>
  </si>
  <si>
    <t>contrato de Pedreiro CO</t>
  </si>
  <si>
    <t>CS0001024</t>
  </si>
  <si>
    <t>ASSEMET ASS MEDICINA DO TRAB. LTDA</t>
  </si>
  <si>
    <t>Contrato de MO Portaria CO</t>
  </si>
  <si>
    <t>Contrato de MO Portaria SRS</t>
  </si>
  <si>
    <t>Contrato de MO Vigilante SRS</t>
  </si>
  <si>
    <t>Lavagem de Uniformes e Luvas</t>
  </si>
  <si>
    <t>software consultas CNPJ e CPF</t>
  </si>
  <si>
    <t>CS0001030</t>
  </si>
  <si>
    <t>070001772</t>
  </si>
  <si>
    <t>HEIDCAM SERVICOS E ELETRODOS LTDA</t>
  </si>
  <si>
    <t>Contrato fabricação Eletrodos</t>
  </si>
  <si>
    <t>processos térmicos em peças</t>
  </si>
  <si>
    <t>CS0001032</t>
  </si>
  <si>
    <t>070091204</t>
  </si>
  <si>
    <t>EVANDRO LUIZ DA SILVA SERV. ADM LTD</t>
  </si>
  <si>
    <t>MO suporte para DP Custos</t>
  </si>
  <si>
    <t>Contrato de Pedreiro CO</t>
  </si>
  <si>
    <t>Contrato Locação Carro Felipe</t>
  </si>
  <si>
    <t>Contrato Limpeza de telhado</t>
  </si>
  <si>
    <t>Contrato MO projeto engenharia</t>
  </si>
  <si>
    <t>Contrato de Locação de imóvel</t>
  </si>
  <si>
    <t>Contrato Serviços Usinagem</t>
  </si>
  <si>
    <t>CS0001041</t>
  </si>
  <si>
    <t>Contrato de Consultoria Infor</t>
  </si>
  <si>
    <t>Locação de Empilhadeira Vies</t>
  </si>
  <si>
    <t>Comunicação Multimídia</t>
  </si>
  <si>
    <t>CS0001055</t>
  </si>
  <si>
    <t>CONTRATO SOFTWARE SKETCHUP</t>
  </si>
  <si>
    <t>070091527</t>
  </si>
  <si>
    <t>TOTALCAD</t>
  </si>
  <si>
    <t>30/60/90 DIAS</t>
  </si>
  <si>
    <t>CS0001056</t>
  </si>
  <si>
    <t>070091531</t>
  </si>
  <si>
    <t>LJS MONTAGENS E MANUTENCOES LTDA</t>
  </si>
  <si>
    <t>MONTAGEM DE ESTRUTURA METALICA</t>
  </si>
  <si>
    <t>20% SINAL E 35 DIAS</t>
  </si>
  <si>
    <t>PLATAFORMA CONSULTA DADOS CLIE</t>
  </si>
  <si>
    <t>070091488</t>
  </si>
  <si>
    <t>Microsoft Teams Phone Standard</t>
  </si>
  <si>
    <t>PLANO SAUDE BRADESCO DIADEMA</t>
  </si>
  <si>
    <t>CONVENIO BRADESCO SAUDE SRS</t>
  </si>
  <si>
    <t>CONVENIO BRADESCO SAUDE CO</t>
  </si>
  <si>
    <t>CS0001062</t>
  </si>
  <si>
    <t>CONVENIO BRADESCO ODONTO VIES</t>
  </si>
  <si>
    <t>BRADESCO ODONTO SRS</t>
  </si>
  <si>
    <t>CS0001064</t>
  </si>
  <si>
    <t>BRADESCO ODONTO CO</t>
  </si>
  <si>
    <t>BRADESCO ODONTO DDA</t>
  </si>
  <si>
    <t>Licença Teams cha /Teams Phone</t>
  </si>
  <si>
    <t>Licença Teams OneVoice  chamad</t>
  </si>
  <si>
    <t>SISTEMA CSR SYSTEM MONTADORAS</t>
  </si>
  <si>
    <t>CSR SYSTEM</t>
  </si>
  <si>
    <t>28 DIAS</t>
  </si>
  <si>
    <t>CS0001069</t>
  </si>
  <si>
    <t>SERVICOS DE MANUTENCAO</t>
  </si>
  <si>
    <t>CS0001073</t>
  </si>
  <si>
    <t>CS0001076</t>
  </si>
  <si>
    <t>070091382</t>
  </si>
  <si>
    <t>TWA CODIFICACAO E AUTOMACAO INDUSTR</t>
  </si>
  <si>
    <t>IMPRESSORA CODERLINE</t>
  </si>
  <si>
    <t>Serviços de Projetos Modelagem</t>
  </si>
  <si>
    <t>contrato impressora coderline</t>
  </si>
  <si>
    <t>LIMPEZA DDA</t>
  </si>
  <si>
    <t>CS0001080</t>
  </si>
  <si>
    <t>CS0001082</t>
  </si>
  <si>
    <t>070076181</t>
  </si>
  <si>
    <t>LUIZ GONZAGA DE OLIVEIRA</t>
  </si>
  <si>
    <t>Contrato restaurante CO</t>
  </si>
  <si>
    <t>MO INSPEÇÃO VISUAL/DIMENSIONAL</t>
  </si>
  <si>
    <t>CS0001086</t>
  </si>
  <si>
    <t>MO PROJETOS AUTO CAD</t>
  </si>
  <si>
    <t>serviço de catálogo digital p/</t>
  </si>
  <si>
    <t>CONTRATO AUTO CAD AUTOMAÇÃO</t>
  </si>
  <si>
    <t>CONTRATO CAÇAMBAS</t>
  </si>
  <si>
    <t>CS0001090</t>
  </si>
  <si>
    <t>LICENC.SOFTW.-DESP.ANTECIPADA</t>
  </si>
  <si>
    <t>070090115</t>
  </si>
  <si>
    <t>WDJ CONSULTORIA EM TECNOLOGIA LTDA</t>
  </si>
  <si>
    <t>MO ANALISTA DESENV HARDWARE</t>
  </si>
  <si>
    <t>COST DRIVERS</t>
  </si>
  <si>
    <t>AMR - ROBO MOVIMENTAÇÃO</t>
  </si>
  <si>
    <t>Deduções no Imposto de Renda</t>
  </si>
  <si>
    <t>MO RESIDEN  MONT JEEP PE</t>
  </si>
  <si>
    <t>Prest de Serviçde Tratamento</t>
  </si>
  <si>
    <t>CONTRATO AUTO4DOC</t>
  </si>
  <si>
    <t>IRIT -APOIO ADMINISTRATIVO</t>
  </si>
  <si>
    <t>locação caçamba</t>
  </si>
  <si>
    <t>Contrato de loc  Empilhadeira</t>
  </si>
  <si>
    <t>GERENCIAMENTO DE ENERGIA ELÉTR</t>
  </si>
  <si>
    <t>CS0001108</t>
  </si>
  <si>
    <t>ASSIS TECNICA CLIENTES</t>
  </si>
  <si>
    <t>PROJETO MOVER</t>
  </si>
  <si>
    <t>CONTRATO TRANFERENCIA</t>
  </si>
  <si>
    <t>CS0001112</t>
  </si>
  <si>
    <t>AUDITORIA BALANÇO PATRIMONIAL</t>
  </si>
  <si>
    <t>SERVIÇOS FINANCEIROS-API</t>
  </si>
  <si>
    <t>7 DIAS</t>
  </si>
  <si>
    <t>IFOOD ALIMENTA E COMBUSTIVEL</t>
  </si>
  <si>
    <t>A VISTA</t>
  </si>
  <si>
    <t>IFOOD ALIMENT E COMBUSTIVEL</t>
  </si>
  <si>
    <t>LICENÇA LABVIEW</t>
  </si>
  <si>
    <t>SERVICOS MEDICOS-MED TRABALHO</t>
  </si>
  <si>
    <t>CONTRATO INFOR</t>
  </si>
  <si>
    <t>KIT BOLO ANIVERSARIO</t>
  </si>
  <si>
    <t>SERVIÇOS JURIDICOS</t>
  </si>
  <si>
    <t>LICENÇAS MaaS360- SaaS</t>
  </si>
  <si>
    <t>MaaS360- SaaS</t>
  </si>
  <si>
    <t>GESTÃO DE COMPRAS</t>
  </si>
  <si>
    <t>SOFTWARE GESTÃO DE COMPRAS</t>
  </si>
  <si>
    <t>CS0001135</t>
  </si>
  <si>
    <t>MANUT PREV EMPILHADEIRAS</t>
  </si>
  <si>
    <t>070090956</t>
  </si>
  <si>
    <t>CROWN LIFT TRUCKS BR COMERCIO LTDA</t>
  </si>
  <si>
    <t>BENEFICIO TRIBUTARIO/FISCAL</t>
  </si>
  <si>
    <t>CS0001139</t>
  </si>
  <si>
    <t>070092126</t>
  </si>
  <si>
    <t>PAULO RICARDO TEIXEIRA DE SOUSA (SU</t>
  </si>
  <si>
    <t>Serviço café CO</t>
  </si>
  <si>
    <t>14 DIAS</t>
  </si>
  <si>
    <t>CS0001140</t>
  </si>
  <si>
    <t>JOVEM APRENDIZ</t>
  </si>
  <si>
    <t>070092515</t>
  </si>
  <si>
    <t>CAMP SBC CENTRO DE FORMACAO E INTEG</t>
  </si>
  <si>
    <t>25 DIAS</t>
  </si>
  <si>
    <t>CS0001141</t>
  </si>
  <si>
    <t>COLETA DE RESIDUOS</t>
  </si>
  <si>
    <t>070092497</t>
  </si>
  <si>
    <t>D &amp; D AMBIENTAL LTDA</t>
  </si>
  <si>
    <t>CS0001142</t>
  </si>
  <si>
    <t>070091656</t>
  </si>
  <si>
    <t>2E TRANSPORTE E REMOCAO DE ENTULHO</t>
  </si>
  <si>
    <t>FINANCEIRO</t>
  </si>
  <si>
    <t>SRS</t>
  </si>
  <si>
    <t>333</t>
  </si>
  <si>
    <t>MANUFATURA SRS</t>
  </si>
  <si>
    <t>RECURSOS HUMANOS</t>
  </si>
  <si>
    <t>MANUFATURA VIES</t>
  </si>
  <si>
    <t>ENGENHARIA INDUSTRIAL</t>
  </si>
  <si>
    <t>MANUFATURA CO</t>
  </si>
  <si>
    <t>DIGITAL SALES</t>
  </si>
  <si>
    <t>JURIDICO</t>
  </si>
  <si>
    <t>OC0025020</t>
  </si>
  <si>
    <t>FISCAL</t>
  </si>
  <si>
    <t>OC0029654</t>
  </si>
  <si>
    <t>OC0030473</t>
  </si>
  <si>
    <t>OC0034594</t>
  </si>
  <si>
    <t>OC0037472</t>
  </si>
  <si>
    <t>OC0038200</t>
  </si>
  <si>
    <t>OC0038215</t>
  </si>
  <si>
    <t>OC0040512</t>
  </si>
  <si>
    <t>OC0041058</t>
  </si>
  <si>
    <t>OC0041176</t>
  </si>
  <si>
    <t>OC0042083</t>
  </si>
  <si>
    <t>OC0042432</t>
  </si>
  <si>
    <t>OC0042442</t>
  </si>
  <si>
    <t>OC0042572</t>
  </si>
  <si>
    <t>OC0042694</t>
  </si>
  <si>
    <t>OC0042697</t>
  </si>
  <si>
    <t>OC0042699</t>
  </si>
  <si>
    <t>OC0042711</t>
  </si>
  <si>
    <t>OC0042712</t>
  </si>
  <si>
    <t>OC0042840</t>
  </si>
  <si>
    <t>OC0042860</t>
  </si>
  <si>
    <t>OC0042925</t>
  </si>
  <si>
    <t>OC0042946</t>
  </si>
  <si>
    <t>OC0042951</t>
  </si>
  <si>
    <t>OC0042952</t>
  </si>
  <si>
    <t>OC0042992</t>
  </si>
  <si>
    <t>OC0043003</t>
  </si>
  <si>
    <t>OC0043004</t>
  </si>
  <si>
    <t>OC0043007</t>
  </si>
  <si>
    <t>OC0043008</t>
  </si>
  <si>
    <t>OC0043010</t>
  </si>
  <si>
    <t>OC0043070</t>
  </si>
  <si>
    <t>OC0043083</t>
  </si>
  <si>
    <t>OC0043084</t>
  </si>
  <si>
    <t>OC0043085</t>
  </si>
  <si>
    <t>OC0043086</t>
  </si>
  <si>
    <t>OC0043088</t>
  </si>
  <si>
    <t>OC0043110</t>
  </si>
  <si>
    <t>OC0043111</t>
  </si>
  <si>
    <t>OC0043118</t>
  </si>
  <si>
    <t>OC0043125</t>
  </si>
  <si>
    <t>OC0043126</t>
  </si>
  <si>
    <t>OC0043127</t>
  </si>
  <si>
    <t>OC0043128</t>
  </si>
  <si>
    <t>OC0043146</t>
  </si>
  <si>
    <t>OC0043149</t>
  </si>
  <si>
    <t>OC0043164</t>
  </si>
  <si>
    <t>OC0043165</t>
  </si>
  <si>
    <t>OC0043167</t>
  </si>
  <si>
    <t>OC0043168</t>
  </si>
  <si>
    <t>OC0043169</t>
  </si>
  <si>
    <t>OC0043170</t>
  </si>
  <si>
    <t>OC0043171</t>
  </si>
  <si>
    <t>OC0043172</t>
  </si>
  <si>
    <t>OC0043173</t>
  </si>
  <si>
    <t>OC0043174</t>
  </si>
  <si>
    <t>OC0043175</t>
  </si>
  <si>
    <t>OC0043176</t>
  </si>
  <si>
    <t>OC0043177</t>
  </si>
  <si>
    <t>OC0043178</t>
  </si>
  <si>
    <t>OC0043182</t>
  </si>
  <si>
    <t>OC0043186</t>
  </si>
  <si>
    <t>OC0043196</t>
  </si>
  <si>
    <t>OC0043200</t>
  </si>
  <si>
    <t>OC0043201</t>
  </si>
  <si>
    <t>OC0043202</t>
  </si>
  <si>
    <t>OC0043203</t>
  </si>
  <si>
    <t>OC0043205</t>
  </si>
  <si>
    <t>OC0043207</t>
  </si>
  <si>
    <t>OC0043213</t>
  </si>
  <si>
    <t>OC0043215</t>
  </si>
  <si>
    <t>OC0043221</t>
  </si>
  <si>
    <t>OC0043222</t>
  </si>
  <si>
    <t>OC0043223</t>
  </si>
  <si>
    <t>OC0043226</t>
  </si>
  <si>
    <t>OC0043227</t>
  </si>
  <si>
    <t>OC0043228</t>
  </si>
  <si>
    <t>OC0043230</t>
  </si>
  <si>
    <t>OC0043231</t>
  </si>
  <si>
    <t>OC0043232</t>
  </si>
  <si>
    <t>OC0043234</t>
  </si>
  <si>
    <t>OC0043240</t>
  </si>
  <si>
    <t>OC0043241</t>
  </si>
  <si>
    <t>OC0043242</t>
  </si>
  <si>
    <t>OC0043247</t>
  </si>
  <si>
    <t>OC0043250</t>
  </si>
  <si>
    <t>OC0043260</t>
  </si>
  <si>
    <t>OC0043262</t>
  </si>
  <si>
    <t>OC0043263</t>
  </si>
  <si>
    <t>OC0043266</t>
  </si>
  <si>
    <t>OC0043281</t>
  </si>
  <si>
    <t>OC0043282</t>
  </si>
  <si>
    <t>OC0043283</t>
  </si>
  <si>
    <t>OC0043284</t>
  </si>
  <si>
    <t>OC0043287</t>
  </si>
  <si>
    <t>OC0043293</t>
  </si>
  <si>
    <t>OC0043295</t>
  </si>
  <si>
    <t>OC0043296</t>
  </si>
  <si>
    <t>OC0043297</t>
  </si>
  <si>
    <t>OC0043298</t>
  </si>
  <si>
    <t>OC0043311</t>
  </si>
  <si>
    <t>OC0043313</t>
  </si>
  <si>
    <t>OC0043314</t>
  </si>
  <si>
    <t>OC0043323</t>
  </si>
  <si>
    <t>OC0043324</t>
  </si>
  <si>
    <t>OC0043325</t>
  </si>
  <si>
    <t>OC0043334</t>
  </si>
  <si>
    <t>OC0043336</t>
  </si>
  <si>
    <t>OC0043337</t>
  </si>
  <si>
    <t>OC0043344</t>
  </si>
  <si>
    <t>OC0043346</t>
  </si>
  <si>
    <t>OC0043347</t>
  </si>
  <si>
    <t>OC0043348</t>
  </si>
  <si>
    <t>OC0043349</t>
  </si>
  <si>
    <t>OC0043350</t>
  </si>
  <si>
    <t>OC0043351</t>
  </si>
  <si>
    <t>OC0043352</t>
  </si>
  <si>
    <t>OC0043353</t>
  </si>
  <si>
    <t>OC0043383</t>
  </si>
  <si>
    <t>OC0043385</t>
  </si>
  <si>
    <t>OC0043387</t>
  </si>
  <si>
    <t>OC0043390</t>
  </si>
  <si>
    <t>OC0043396</t>
  </si>
  <si>
    <t>OC0043397</t>
  </si>
  <si>
    <t>OC0043401</t>
  </si>
  <si>
    <t>OC0043406</t>
  </si>
  <si>
    <t>OC0043409</t>
  </si>
  <si>
    <t>OC0043416</t>
  </si>
  <si>
    <t>OC0043417</t>
  </si>
  <si>
    <t>OC0043418</t>
  </si>
  <si>
    <t>OC0043419</t>
  </si>
  <si>
    <t>OC0043420</t>
  </si>
  <si>
    <t>OC0043421</t>
  </si>
  <si>
    <t>OC0043422</t>
  </si>
  <si>
    <t>OC0043426</t>
  </si>
  <si>
    <t>OC0043427</t>
  </si>
  <si>
    <t>OC0043429</t>
  </si>
  <si>
    <t>OC0043432</t>
  </si>
  <si>
    <t>OC0043433</t>
  </si>
  <si>
    <t>OC0043434</t>
  </si>
  <si>
    <t>OC0043451</t>
  </si>
  <si>
    <t>OC0043480</t>
  </si>
  <si>
    <t>OC0043508</t>
  </si>
  <si>
    <t>OC0043509</t>
  </si>
  <si>
    <t>OC0043529</t>
  </si>
  <si>
    <t>OC0043558</t>
  </si>
  <si>
    <t>OC0043561</t>
  </si>
  <si>
    <t>OC0043563</t>
  </si>
  <si>
    <t>OC0043564</t>
  </si>
  <si>
    <t>OC0043565</t>
  </si>
  <si>
    <t>OC0043566</t>
  </si>
  <si>
    <t>OC0043567</t>
  </si>
  <si>
    <t>OC0043570</t>
  </si>
  <si>
    <t>OC0043590</t>
  </si>
  <si>
    <t>OC0043615</t>
  </si>
  <si>
    <t>OC0043624</t>
  </si>
  <si>
    <t>OC0043635</t>
  </si>
  <si>
    <t>OC0043649</t>
  </si>
  <si>
    <t>OC0043650</t>
  </si>
  <si>
    <t>OC0043651</t>
  </si>
  <si>
    <t>OC0043661</t>
  </si>
  <si>
    <t>OC0043662</t>
  </si>
  <si>
    <t>OC0043664</t>
  </si>
  <si>
    <t>OC0043668</t>
  </si>
  <si>
    <t>OC0043669</t>
  </si>
  <si>
    <t>OC0043676</t>
  </si>
  <si>
    <t>OC0043689</t>
  </si>
  <si>
    <t>OC0043695</t>
  </si>
  <si>
    <t>OC0043697</t>
  </si>
  <si>
    <t>OC0043699</t>
  </si>
  <si>
    <t>OC0043700</t>
  </si>
  <si>
    <t>OC0043701</t>
  </si>
  <si>
    <t>OC0043703</t>
  </si>
  <si>
    <t>OC0043704</t>
  </si>
  <si>
    <t>OC0043705</t>
  </si>
  <si>
    <t>OC0043729</t>
  </si>
  <si>
    <t>OC0043737</t>
  </si>
  <si>
    <t>OC0043741</t>
  </si>
  <si>
    <t>OC0043742</t>
  </si>
  <si>
    <t>OC0043743</t>
  </si>
  <si>
    <t>OC0043755</t>
  </si>
  <si>
    <t>OC0043756</t>
  </si>
  <si>
    <t>OC0043757</t>
  </si>
  <si>
    <t>OC0043759</t>
  </si>
  <si>
    <t>OC0043795</t>
  </si>
  <si>
    <t>OC0043806</t>
  </si>
  <si>
    <t>OC0043817</t>
  </si>
  <si>
    <t>OC0043832</t>
  </si>
  <si>
    <t>OC0043847</t>
  </si>
  <si>
    <t>OC0043848</t>
  </si>
  <si>
    <t>OC0043849</t>
  </si>
  <si>
    <t>OC0043856</t>
  </si>
  <si>
    <t>OC0043862</t>
  </si>
  <si>
    <t>OC0043867</t>
  </si>
  <si>
    <t>OC0043868</t>
  </si>
  <si>
    <t>OC0043871</t>
  </si>
  <si>
    <t>OC0043873</t>
  </si>
  <si>
    <t>OC0043875</t>
  </si>
  <si>
    <t>OC0043884</t>
  </si>
  <si>
    <t>OC0043885</t>
  </si>
  <si>
    <t>OC0043886</t>
  </si>
  <si>
    <t>OC0043887</t>
  </si>
  <si>
    <t>OC0043888</t>
  </si>
  <si>
    <t>OC0043897</t>
  </si>
  <si>
    <t>OC0043927</t>
  </si>
  <si>
    <t>OC0043936</t>
  </si>
  <si>
    <t>OC0043939</t>
  </si>
  <si>
    <t>OC0043940</t>
  </si>
  <si>
    <t>OC0043941</t>
  </si>
  <si>
    <t>OC0043948</t>
  </si>
  <si>
    <t>OC0043955</t>
  </si>
  <si>
    <t>OC0043956</t>
  </si>
  <si>
    <t>OC0043957</t>
  </si>
  <si>
    <t>OC0043969</t>
  </si>
  <si>
    <t>OC0043971</t>
  </si>
  <si>
    <t>OC0043976</t>
  </si>
  <si>
    <t>OC0043984</t>
  </si>
  <si>
    <t>OC0044017</t>
  </si>
  <si>
    <t>OC0044019</t>
  </si>
  <si>
    <t>OC0044020</t>
  </si>
  <si>
    <t>OC0044022</t>
  </si>
  <si>
    <t>OC0044025</t>
  </si>
  <si>
    <t>OC0044056</t>
  </si>
  <si>
    <t>OC0044083</t>
  </si>
  <si>
    <t>OC0044085</t>
  </si>
  <si>
    <t>OC0044088</t>
  </si>
  <si>
    <t>OC0044104</t>
  </si>
  <si>
    <t>OC0044162</t>
  </si>
  <si>
    <t>OC0044164</t>
  </si>
  <si>
    <t>OC0044165</t>
  </si>
  <si>
    <t>OC0044166</t>
  </si>
  <si>
    <t>OC0044195</t>
  </si>
  <si>
    <t>OC0044196</t>
  </si>
  <si>
    <t>OC0044224</t>
  </si>
  <si>
    <t>OC0044226</t>
  </si>
  <si>
    <t>OC0044231</t>
  </si>
  <si>
    <t>OC0044232</t>
  </si>
  <si>
    <t>OC0044238</t>
  </si>
  <si>
    <t>OC0044274</t>
  </si>
  <si>
    <t>OC0044284</t>
  </si>
  <si>
    <t>OC0044292</t>
  </si>
  <si>
    <t>OC0044293</t>
  </si>
  <si>
    <t>OC0044328</t>
  </si>
  <si>
    <t>OC0044329</t>
  </si>
  <si>
    <t>OC0044330</t>
  </si>
  <si>
    <t>OC0044334</t>
  </si>
  <si>
    <t>OC0044348</t>
  </si>
  <si>
    <t>OC0044372</t>
  </si>
  <si>
    <t>OC0044374</t>
  </si>
  <si>
    <t>OC0044376</t>
  </si>
  <si>
    <t>OC0044405</t>
  </si>
  <si>
    <t>OC0044410</t>
  </si>
  <si>
    <t>OC0044421</t>
  </si>
  <si>
    <t>OC0044425</t>
  </si>
  <si>
    <t>OC0044441</t>
  </si>
  <si>
    <t>OC0044443</t>
  </si>
  <si>
    <t>OC0044444</t>
  </si>
  <si>
    <t>OC0044447</t>
  </si>
  <si>
    <t>OC0044450</t>
  </si>
  <si>
    <t>OC0044454</t>
  </si>
  <si>
    <t>OC0044457</t>
  </si>
  <si>
    <t>OC0044463</t>
  </si>
  <si>
    <t>OC0044464</t>
  </si>
  <si>
    <t>OC0044465</t>
  </si>
  <si>
    <t>OC0044466</t>
  </si>
  <si>
    <t>OC0044467</t>
  </si>
  <si>
    <t>OC0044468</t>
  </si>
  <si>
    <t>OC0044471</t>
  </si>
  <si>
    <t>OC0044474</t>
  </si>
  <si>
    <t>OC0044477</t>
  </si>
  <si>
    <t>OC0044478</t>
  </si>
  <si>
    <t>OC0044485</t>
  </si>
  <si>
    <t>OC0044486</t>
  </si>
  <si>
    <t>OC0044494</t>
  </si>
  <si>
    <t>OC0044497</t>
  </si>
  <si>
    <t>OC0044500</t>
  </si>
  <si>
    <t>OC0044503</t>
  </si>
  <si>
    <t>OC0044504</t>
  </si>
  <si>
    <t>OC0044507</t>
  </si>
  <si>
    <t>OC0044511</t>
  </si>
  <si>
    <t>OC0044512</t>
  </si>
  <si>
    <t>OC0044515</t>
  </si>
  <si>
    <t>OC0044520</t>
  </si>
  <si>
    <t>OC0044529</t>
  </si>
  <si>
    <t>OC0044538</t>
  </si>
  <si>
    <t>OC0044539</t>
  </si>
  <si>
    <t>OC0044544</t>
  </si>
  <si>
    <t>OC0044548</t>
  </si>
  <si>
    <t>OC0044549</t>
  </si>
  <si>
    <t>OC0044553</t>
  </si>
  <si>
    <t>OC0044556</t>
  </si>
  <si>
    <t>OC0044560</t>
  </si>
  <si>
    <t>OC0044562</t>
  </si>
  <si>
    <t>OC0044575</t>
  </si>
  <si>
    <t>OC0044579</t>
  </si>
  <si>
    <t>OC0044581</t>
  </si>
  <si>
    <t>OC0044582</t>
  </si>
  <si>
    <t>OC0044585</t>
  </si>
  <si>
    <t>OC0044587</t>
  </si>
  <si>
    <t>OC0044588</t>
  </si>
  <si>
    <t>OC0044589</t>
  </si>
  <si>
    <t>OC0044591</t>
  </si>
  <si>
    <t>OC0044594</t>
  </si>
  <si>
    <t>OC0044597</t>
  </si>
  <si>
    <t>OC0044601</t>
  </si>
  <si>
    <t>OC0044630</t>
  </si>
  <si>
    <t>OC0044637</t>
  </si>
  <si>
    <t>OC0044643</t>
  </si>
  <si>
    <t>OC0044645</t>
  </si>
  <si>
    <t>OC0044647</t>
  </si>
  <si>
    <t>OC0044652</t>
  </si>
  <si>
    <t>OC0044663</t>
  </si>
  <si>
    <t>OC0044667</t>
  </si>
  <si>
    <t>OC0044679</t>
  </si>
  <si>
    <t>OC0044710</t>
  </si>
  <si>
    <t>OC0044711</t>
  </si>
  <si>
    <t>OC0044714</t>
  </si>
  <si>
    <t>OC0044719</t>
  </si>
  <si>
    <t>OC0044721</t>
  </si>
  <si>
    <t>OC0044724</t>
  </si>
  <si>
    <t>OC0044765</t>
  </si>
  <si>
    <t>OC0044767</t>
  </si>
  <si>
    <t>OC0044788</t>
  </si>
  <si>
    <t>OC0044800</t>
  </si>
  <si>
    <t>OC0044807</t>
  </si>
  <si>
    <t>OC0044808</t>
  </si>
  <si>
    <t>OC0044809</t>
  </si>
  <si>
    <t>OC0044810</t>
  </si>
  <si>
    <t>OC0044813</t>
  </si>
  <si>
    <t>OC0044814</t>
  </si>
  <si>
    <t>OC0044819</t>
  </si>
  <si>
    <t>OC0044822</t>
  </si>
  <si>
    <t>OC0044824</t>
  </si>
  <si>
    <t>OC0044825</t>
  </si>
  <si>
    <t>OC0044850</t>
  </si>
  <si>
    <t>OC0044854</t>
  </si>
  <si>
    <t>OC0044867</t>
  </si>
  <si>
    <t>OC0044873</t>
  </si>
  <si>
    <t>OC0044881</t>
  </si>
  <si>
    <t>OC0044898</t>
  </si>
  <si>
    <t>OC0044912</t>
  </si>
  <si>
    <t>OC0044913</t>
  </si>
  <si>
    <t>OC0044914</t>
  </si>
  <si>
    <t>OC0044915</t>
  </si>
  <si>
    <t>OC0044918</t>
  </si>
  <si>
    <t>OC0044930</t>
  </si>
  <si>
    <t>OC0044933</t>
  </si>
  <si>
    <t>OC0044936</t>
  </si>
  <si>
    <t>OC0044939</t>
  </si>
  <si>
    <t>OC0044945</t>
  </si>
  <si>
    <t>OC0044952</t>
  </si>
  <si>
    <t>OC0044955</t>
  </si>
  <si>
    <t>OC0044956</t>
  </si>
  <si>
    <t>OC0044957</t>
  </si>
  <si>
    <t>OC0044958</t>
  </si>
  <si>
    <t>OC0044959</t>
  </si>
  <si>
    <t>OC0044966</t>
  </si>
  <si>
    <t>OC0044967</t>
  </si>
  <si>
    <t>OC0044968</t>
  </si>
  <si>
    <t>OC0044969</t>
  </si>
  <si>
    <t>OC0044971</t>
  </si>
  <si>
    <t>OC0044972</t>
  </si>
  <si>
    <t>OC0044974</t>
  </si>
  <si>
    <t>OC0044977</t>
  </si>
  <si>
    <t>OC0044990</t>
  </si>
  <si>
    <t>OC0044991</t>
  </si>
  <si>
    <t>OC0045005</t>
  </si>
  <si>
    <t>OC0045012</t>
  </si>
  <si>
    <t>OC0045013</t>
  </si>
  <si>
    <t>OC0045015</t>
  </si>
  <si>
    <t>OC0045037</t>
  </si>
  <si>
    <t>OC0045039</t>
  </si>
  <si>
    <t>OC0045044</t>
  </si>
  <si>
    <t>OC0045046</t>
  </si>
  <si>
    <t>OC0045047</t>
  </si>
  <si>
    <t>OC0045057</t>
  </si>
  <si>
    <t>OC0045059</t>
  </si>
  <si>
    <t>OC0045068</t>
  </si>
  <si>
    <t>OC0045077</t>
  </si>
  <si>
    <t>OC0045083</t>
  </si>
  <si>
    <t>OC0045090</t>
  </si>
  <si>
    <t>OC0045107</t>
  </si>
  <si>
    <t>OC0045116</t>
  </si>
  <si>
    <t>OC0045118</t>
  </si>
  <si>
    <t>OC0045119</t>
  </si>
  <si>
    <t>OC0045121</t>
  </si>
  <si>
    <t>OC0045122</t>
  </si>
  <si>
    <t>OC0045123</t>
  </si>
  <si>
    <t>OC0045126</t>
  </si>
  <si>
    <t>OC0045127</t>
  </si>
  <si>
    <t>OC0045132</t>
  </si>
  <si>
    <t>OC0045134</t>
  </si>
  <si>
    <t>OC0045138</t>
  </si>
  <si>
    <t>OC0045151</t>
  </si>
  <si>
    <t>OC0045157</t>
  </si>
  <si>
    <t>OC0045161</t>
  </si>
  <si>
    <t>OC0045176</t>
  </si>
  <si>
    <t>OC0045197</t>
  </si>
  <si>
    <t>OC0045207</t>
  </si>
  <si>
    <t>OC0045212</t>
  </si>
  <si>
    <t>OC0045244</t>
  </si>
  <si>
    <t>OC0045248</t>
  </si>
  <si>
    <t>OC0045263</t>
  </si>
  <si>
    <t>OC0045264</t>
  </si>
  <si>
    <t>OC0045271</t>
  </si>
  <si>
    <t>OC0045272</t>
  </si>
  <si>
    <t>OC0045290</t>
  </si>
  <si>
    <t>OC0045292</t>
  </si>
  <si>
    <t>OC0045294</t>
  </si>
  <si>
    <t>OC0045299</t>
  </si>
  <si>
    <t>OC0045311</t>
  </si>
  <si>
    <t>OC0045315</t>
  </si>
  <si>
    <t>OC0045316</t>
  </si>
  <si>
    <t>OC0045319</t>
  </si>
  <si>
    <t>OC0045321</t>
  </si>
  <si>
    <t>OC0045335</t>
  </si>
  <si>
    <t>OC0045340</t>
  </si>
  <si>
    <t>OC0045341</t>
  </si>
  <si>
    <t>OC0045344</t>
  </si>
  <si>
    <t>OC0045346</t>
  </si>
  <si>
    <t>OC0045355</t>
  </si>
  <si>
    <t>OC0045359</t>
  </si>
  <si>
    <t>OC0045366</t>
  </si>
  <si>
    <t>OC0045371</t>
  </si>
  <si>
    <t>OC0045378</t>
  </si>
  <si>
    <t>OC0045413</t>
  </si>
  <si>
    <t>OC0045417</t>
  </si>
  <si>
    <t>OC0045419</t>
  </si>
  <si>
    <t>OC0045420</t>
  </si>
  <si>
    <t>OC0045422</t>
  </si>
  <si>
    <t>OC0045431</t>
  </si>
  <si>
    <t>OC0045452</t>
  </si>
  <si>
    <t>OC0045476</t>
  </si>
  <si>
    <t>OC0045486</t>
  </si>
  <si>
    <t>OC0045494</t>
  </si>
  <si>
    <t>OC0045517</t>
  </si>
  <si>
    <t>OC0045524</t>
  </si>
  <si>
    <t>OC0045528</t>
  </si>
  <si>
    <t>OC0045530</t>
  </si>
  <si>
    <t>OC0045531</t>
  </si>
  <si>
    <t>OC0045533</t>
  </si>
  <si>
    <t>OC0045534</t>
  </si>
  <si>
    <t>OC0045538</t>
  </si>
  <si>
    <t>OC0045576</t>
  </si>
  <si>
    <t>OC0045597</t>
  </si>
  <si>
    <t>OC0045607</t>
  </si>
  <si>
    <t>OC0045608</t>
  </si>
  <si>
    <t>OC0045618</t>
  </si>
  <si>
    <t>OC0045630</t>
  </si>
  <si>
    <t>OC0045644</t>
  </si>
  <si>
    <t>OC0045654</t>
  </si>
  <si>
    <t>OC0045655</t>
  </si>
  <si>
    <t>OC0045657</t>
  </si>
  <si>
    <t>OC0045658</t>
  </si>
  <si>
    <t>OC0045660</t>
  </si>
  <si>
    <t>OC0045661</t>
  </si>
  <si>
    <t>OC0045678</t>
  </si>
  <si>
    <t>OC0045703</t>
  </si>
  <si>
    <t>OC0045726</t>
  </si>
  <si>
    <t>OC0045727</t>
  </si>
  <si>
    <t>OC0045729</t>
  </si>
  <si>
    <t>OC0045730</t>
  </si>
  <si>
    <t>OC0045731</t>
  </si>
  <si>
    <t>OC0045736</t>
  </si>
  <si>
    <t>OC0045744</t>
  </si>
  <si>
    <t>OC0045745</t>
  </si>
  <si>
    <t>OC0045746</t>
  </si>
  <si>
    <t>OC0045752</t>
  </si>
  <si>
    <t>OC0045756</t>
  </si>
  <si>
    <t>OC0045757</t>
  </si>
  <si>
    <t>OC0045760</t>
  </si>
  <si>
    <t>OC0045764</t>
  </si>
  <si>
    <t>OC0045765</t>
  </si>
  <si>
    <t>OC0045784</t>
  </si>
  <si>
    <t>OC0045788</t>
  </si>
  <si>
    <t>OC0045793</t>
  </si>
  <si>
    <t>OC0045794</t>
  </si>
  <si>
    <t>OC0045800</t>
  </si>
  <si>
    <t>OC0045804</t>
  </si>
  <si>
    <t>OC0045813</t>
  </si>
  <si>
    <t>OC0045815</t>
  </si>
  <si>
    <t>OC0045817</t>
  </si>
  <si>
    <t>OC0045818</t>
  </si>
  <si>
    <t>OC0045819</t>
  </si>
  <si>
    <t>OC0045820</t>
  </si>
  <si>
    <t>OC0045822</t>
  </si>
  <si>
    <t>OC0045826</t>
  </si>
  <si>
    <t>OC0045833</t>
  </si>
  <si>
    <t>OC0045835</t>
  </si>
  <si>
    <t>OC0045836</t>
  </si>
  <si>
    <t>OC0045838</t>
  </si>
  <si>
    <t>OC0045840</t>
  </si>
  <si>
    <t>OC0045842</t>
  </si>
  <si>
    <t>OC0045845</t>
  </si>
  <si>
    <t>OC0045852</t>
  </si>
  <si>
    <t>OC0045871</t>
  </si>
  <si>
    <t>OC0045872</t>
  </si>
  <si>
    <t>OC0045878</t>
  </si>
  <si>
    <t>OC0045879</t>
  </si>
  <si>
    <t>OC0045880</t>
  </si>
  <si>
    <t>OC0045881</t>
  </si>
  <si>
    <t>OC0045890</t>
  </si>
  <si>
    <t>OC0045897</t>
  </si>
  <si>
    <t>OC0045898</t>
  </si>
  <si>
    <t>OC0045899</t>
  </si>
  <si>
    <t>OC0045909</t>
  </si>
  <si>
    <t>OC0045913</t>
  </si>
  <si>
    <t>OC0045914</t>
  </si>
  <si>
    <t>OC0045916</t>
  </si>
  <si>
    <t>OC0045923</t>
  </si>
  <si>
    <t>OC0045928</t>
  </si>
  <si>
    <t>OC0045933</t>
  </si>
  <si>
    <t>OC0045935</t>
  </si>
  <si>
    <t>OC0045936</t>
  </si>
  <si>
    <t>OC0045937</t>
  </si>
  <si>
    <t>OC0045944</t>
  </si>
  <si>
    <t>OC0045948</t>
  </si>
  <si>
    <t>OC0045949</t>
  </si>
  <si>
    <t>OC0045958</t>
  </si>
  <si>
    <t>OC0045961</t>
  </si>
  <si>
    <t>OC0045962</t>
  </si>
  <si>
    <t>OC0045963</t>
  </si>
  <si>
    <t>OC0045965</t>
  </si>
  <si>
    <t>OC0045966</t>
  </si>
  <si>
    <t>OC0045968</t>
  </si>
  <si>
    <t>OC0045977</t>
  </si>
  <si>
    <t>OC0045987</t>
  </si>
  <si>
    <t>OC0045991</t>
  </si>
  <si>
    <t>OC0045994</t>
  </si>
  <si>
    <t>OC0045995</t>
  </si>
  <si>
    <t>OC0045996</t>
  </si>
  <si>
    <t>OC0045999</t>
  </si>
  <si>
    <t>OC0046002</t>
  </si>
  <si>
    <t>OC0046004</t>
  </si>
  <si>
    <t>OC0046005</t>
  </si>
  <si>
    <t>OC0046006</t>
  </si>
  <si>
    <t>OC0046007</t>
  </si>
  <si>
    <t>OC0046008</t>
  </si>
  <si>
    <t>OC0046009</t>
  </si>
  <si>
    <t>OC0046010</t>
  </si>
  <si>
    <t>OC0046011</t>
  </si>
  <si>
    <t>OC0046012</t>
  </si>
  <si>
    <t>OC0046032</t>
  </si>
  <si>
    <t>OC0046041</t>
  </si>
  <si>
    <t>OC0046042</t>
  </si>
  <si>
    <t>OC0046044</t>
  </si>
  <si>
    <t>OC0046045</t>
  </si>
  <si>
    <t>OC0046053</t>
  </si>
  <si>
    <t>OC0046065</t>
  </si>
  <si>
    <t>OC0046085</t>
  </si>
  <si>
    <t>OC0046087</t>
  </si>
  <si>
    <t>OC0046090</t>
  </si>
  <si>
    <t>OC0046111</t>
  </si>
  <si>
    <t>OC0046113</t>
  </si>
  <si>
    <t>OC0046114</t>
  </si>
  <si>
    <t>OC0046115</t>
  </si>
  <si>
    <t>OC0046122</t>
  </si>
  <si>
    <t>OC0046123</t>
  </si>
  <si>
    <t>OC0046124</t>
  </si>
  <si>
    <t>OC0046138</t>
  </si>
  <si>
    <t>OC0046173</t>
  </si>
  <si>
    <t>OC0046177</t>
  </si>
  <si>
    <t>OC0046183</t>
  </si>
  <si>
    <t>OC0046198</t>
  </si>
  <si>
    <t>OC0046207</t>
  </si>
  <si>
    <t>OC0046208</t>
  </si>
  <si>
    <t>OC0046215</t>
  </si>
  <si>
    <t>OC0046216</t>
  </si>
  <si>
    <t>OC0046218</t>
  </si>
  <si>
    <t>OC0046219</t>
  </si>
  <si>
    <t>OC0046220</t>
  </si>
  <si>
    <t>OC0046234</t>
  </si>
  <si>
    <t>OC0046235</t>
  </si>
  <si>
    <t>OC0046237</t>
  </si>
  <si>
    <t>OC0046238</t>
  </si>
  <si>
    <t>OC0046240</t>
  </si>
  <si>
    <t>OC0046241</t>
  </si>
  <si>
    <t>OC0046242</t>
  </si>
  <si>
    <t>OC0046243</t>
  </si>
  <si>
    <t>OC0046250</t>
  </si>
  <si>
    <t>OC0046256</t>
  </si>
  <si>
    <t>OC0046260</t>
  </si>
  <si>
    <t>OC0046263</t>
  </si>
  <si>
    <t>OC0046264</t>
  </si>
  <si>
    <t>OC0046265</t>
  </si>
  <si>
    <t>OC0046266</t>
  </si>
  <si>
    <t>OC0046272</t>
  </si>
  <si>
    <t>OC0046273</t>
  </si>
  <si>
    <t>OC0046274</t>
  </si>
  <si>
    <t>OC0046306</t>
  </si>
  <si>
    <t>OC0046314</t>
  </si>
  <si>
    <t>OC0046315</t>
  </si>
  <si>
    <t>OC0046316</t>
  </si>
  <si>
    <t>OC0046317</t>
  </si>
  <si>
    <t>OC0046318</t>
  </si>
  <si>
    <t>OC0046335</t>
  </si>
  <si>
    <t>OC0046337</t>
  </si>
  <si>
    <t>OC0046338</t>
  </si>
  <si>
    <t>OC0046339</t>
  </si>
  <si>
    <t>OC0046360</t>
  </si>
  <si>
    <t>OC0046361</t>
  </si>
  <si>
    <t>OC0046363</t>
  </si>
  <si>
    <t>OC0046373</t>
  </si>
  <si>
    <t>OC0046395</t>
  </si>
  <si>
    <t>OC0046398</t>
  </si>
  <si>
    <t>OC0046399</t>
  </si>
  <si>
    <t>OC0046401</t>
  </si>
  <si>
    <t>OC0046403</t>
  </si>
  <si>
    <t>OC0046405</t>
  </si>
  <si>
    <t>OC0046406</t>
  </si>
  <si>
    <t>OC0046407</t>
  </si>
  <si>
    <t>OC0046432</t>
  </si>
  <si>
    <t>OC0046434</t>
  </si>
  <si>
    <t>OC0046441</t>
  </si>
  <si>
    <t>OC0046481</t>
  </si>
  <si>
    <t>OC0046489</t>
  </si>
  <si>
    <t>OC0046493</t>
  </si>
  <si>
    <t>OC0046495</t>
  </si>
  <si>
    <t>OC0046499</t>
  </si>
  <si>
    <t>OC0046523</t>
  </si>
  <si>
    <t>OC0046524</t>
  </si>
  <si>
    <t>OC0046525</t>
  </si>
  <si>
    <t>OC0046558</t>
  </si>
  <si>
    <t>OC0046560</t>
  </si>
  <si>
    <t>OC0046571</t>
  </si>
  <si>
    <t>OC0046577</t>
  </si>
  <si>
    <t>OC0046590</t>
  </si>
  <si>
    <t>OC0046591</t>
  </si>
  <si>
    <t>OC0046592</t>
  </si>
  <si>
    <t>OC0046597</t>
  </si>
  <si>
    <t>OC0046598</t>
  </si>
  <si>
    <t>OC0046610</t>
  </si>
  <si>
    <t>OC0046697</t>
  </si>
  <si>
    <t>OC0046698</t>
  </si>
  <si>
    <t>OC0046699</t>
  </si>
  <si>
    <t>OC0046700</t>
  </si>
  <si>
    <t>OC0046709</t>
  </si>
  <si>
    <t>OC0046711</t>
  </si>
  <si>
    <t>OC0046713</t>
  </si>
  <si>
    <t>OC0046714</t>
  </si>
  <si>
    <t>OC0046719</t>
  </si>
  <si>
    <t>OC0046721</t>
  </si>
  <si>
    <t>OC0046753</t>
  </si>
  <si>
    <t>OC0046791</t>
  </si>
  <si>
    <t>OC0046792</t>
  </si>
  <si>
    <t>OC0046796</t>
  </si>
  <si>
    <t>OC0046797</t>
  </si>
  <si>
    <t>OC0046798</t>
  </si>
  <si>
    <t>OC0046803</t>
  </si>
  <si>
    <t>OC0046807</t>
  </si>
  <si>
    <t>OC0046809</t>
  </si>
  <si>
    <t>OC0046810</t>
  </si>
  <si>
    <t>OC0046840</t>
  </si>
  <si>
    <t>OC0046842</t>
  </si>
  <si>
    <t>OC0046860</t>
  </si>
  <si>
    <t>OC0046863</t>
  </si>
  <si>
    <t>OC0046866</t>
  </si>
  <si>
    <t>OC0046868</t>
  </si>
  <si>
    <t>OC0046871</t>
  </si>
  <si>
    <t>OC0046874</t>
  </si>
  <si>
    <t>OC0046877</t>
  </si>
  <si>
    <t>OC0046878</t>
  </si>
  <si>
    <t>OC0046879</t>
  </si>
  <si>
    <t>OC0046880</t>
  </si>
  <si>
    <t>OC0046881</t>
  </si>
  <si>
    <t>OC0046882</t>
  </si>
  <si>
    <t>OC0046886</t>
  </si>
  <si>
    <t>OC0046893</t>
  </si>
  <si>
    <t>OC0046895</t>
  </si>
  <si>
    <t>OC0046896</t>
  </si>
  <si>
    <t>OC0046906</t>
  </si>
  <si>
    <t>OC0046908</t>
  </si>
  <si>
    <t>OC0046911</t>
  </si>
  <si>
    <t>OC0046912</t>
  </si>
  <si>
    <t>OC0046913</t>
  </si>
  <si>
    <t>OC0046914</t>
  </si>
  <si>
    <t>OC0046915</t>
  </si>
  <si>
    <t>OC0046916</t>
  </si>
  <si>
    <t>OC0046917</t>
  </si>
  <si>
    <t>OC0046918</t>
  </si>
  <si>
    <t>OC0046919</t>
  </si>
  <si>
    <t>OC0046923</t>
  </si>
  <si>
    <t>OC0046926</t>
  </si>
  <si>
    <t>OC0046929</t>
  </si>
  <si>
    <t>OC0046940</t>
  </si>
  <si>
    <t>OC0046941</t>
  </si>
  <si>
    <t>OC0046942</t>
  </si>
  <si>
    <t>OC0046943</t>
  </si>
  <si>
    <t>OC0046947</t>
  </si>
  <si>
    <t>OC0046952</t>
  </si>
  <si>
    <t>OC0046953</t>
  </si>
  <si>
    <t>OC0046954</t>
  </si>
  <si>
    <t>OC0046955</t>
  </si>
  <si>
    <t>OC0046956</t>
  </si>
  <si>
    <t>OC0046958</t>
  </si>
  <si>
    <t>OC0046961</t>
  </si>
  <si>
    <t>OC0046969</t>
  </si>
  <si>
    <t>OC0046971</t>
  </si>
  <si>
    <t>OC0046972</t>
  </si>
  <si>
    <t>OC0046976</t>
  </si>
  <si>
    <t>OC0046979</t>
  </si>
  <si>
    <t>OC0046981</t>
  </si>
  <si>
    <t>OC0046995</t>
  </si>
  <si>
    <t>OC0047014</t>
  </si>
  <si>
    <t>OC0047018</t>
  </si>
  <si>
    <t>OC0047025</t>
  </si>
  <si>
    <t>OC0047058</t>
  </si>
  <si>
    <t>OC0047066</t>
  </si>
  <si>
    <t>OC0047067</t>
  </si>
  <si>
    <t>OC0047075</t>
  </si>
  <si>
    <t>OC0047078</t>
  </si>
  <si>
    <t>OC0047082</t>
  </si>
  <si>
    <t>OC0047084</t>
  </si>
  <si>
    <t>OC0047097</t>
  </si>
  <si>
    <t>OC0047100</t>
  </si>
  <si>
    <t>OC0047101</t>
  </si>
  <si>
    <t>OC0047102</t>
  </si>
  <si>
    <t>OC0047106</t>
  </si>
  <si>
    <t>OC0047107</t>
  </si>
  <si>
    <t>OC0047108</t>
  </si>
  <si>
    <t>OC0047130</t>
  </si>
  <si>
    <t>OC0047145</t>
  </si>
  <si>
    <t>OC0047146</t>
  </si>
  <si>
    <t>OC0047148</t>
  </si>
  <si>
    <t>OC0047153</t>
  </si>
  <si>
    <t>OC0047159</t>
  </si>
  <si>
    <t>OC0047160</t>
  </si>
  <si>
    <t>OC0047163</t>
  </si>
  <si>
    <t>OC0047178</t>
  </si>
  <si>
    <t>OC0047180</t>
  </si>
  <si>
    <t>OC0047185</t>
  </si>
  <si>
    <t>OC0047191</t>
  </si>
  <si>
    <t>OC0047193</t>
  </si>
  <si>
    <t>OC0047195</t>
  </si>
  <si>
    <t>OC0047202</t>
  </si>
  <si>
    <t>OC0047221</t>
  </si>
  <si>
    <t>OC0047222</t>
  </si>
  <si>
    <t>OC0047226</t>
  </si>
  <si>
    <t>OC0047227</t>
  </si>
  <si>
    <t>OC0047230</t>
  </si>
  <si>
    <t>OC0047231</t>
  </si>
  <si>
    <t>OC0047234</t>
  </si>
  <si>
    <t>OC0047243</t>
  </si>
  <si>
    <t>OC0047245</t>
  </si>
  <si>
    <t>OC0047246</t>
  </si>
  <si>
    <t>OC0047247</t>
  </si>
  <si>
    <t>OC0047251</t>
  </si>
  <si>
    <t>OC0047256</t>
  </si>
  <si>
    <t>OC0047267</t>
  </si>
  <si>
    <t>OC0047268</t>
  </si>
  <si>
    <t>OC0047281</t>
  </si>
  <si>
    <t>OC0047286</t>
  </si>
  <si>
    <t>OC0047288</t>
  </si>
  <si>
    <t>OC0047321</t>
  </si>
  <si>
    <t>OC0047324</t>
  </si>
  <si>
    <t>OC0047330</t>
  </si>
  <si>
    <t>OC0047344</t>
  </si>
  <si>
    <t>OC0047346</t>
  </si>
  <si>
    <t>OC0047354</t>
  </si>
  <si>
    <t>OC0047362</t>
  </si>
  <si>
    <t>OC0047363</t>
  </si>
  <si>
    <t>OC0047372</t>
  </si>
  <si>
    <t>OC0047375</t>
  </si>
  <si>
    <t>OC0047385</t>
  </si>
  <si>
    <t>OC0047386</t>
  </si>
  <si>
    <t>OC0047399</t>
  </si>
  <si>
    <t>OC0047400</t>
  </si>
  <si>
    <t>OC0047419</t>
  </si>
  <si>
    <t>OC0047422</t>
  </si>
  <si>
    <t>OC0047424</t>
  </si>
  <si>
    <t>OC0047425</t>
  </si>
  <si>
    <t>OC0047427</t>
  </si>
  <si>
    <t>OC0047430</t>
  </si>
  <si>
    <t>OC0047431</t>
  </si>
  <si>
    <t>OC0047440</t>
  </si>
  <si>
    <t>OC0047442</t>
  </si>
  <si>
    <t>OC0047445</t>
  </si>
  <si>
    <t>OC0047451</t>
  </si>
  <si>
    <t>OC0047454</t>
  </si>
  <si>
    <t>OC0047456</t>
  </si>
  <si>
    <t>OC0047457</t>
  </si>
  <si>
    <t>OC0047460</t>
  </si>
  <si>
    <t>OC0047461</t>
  </si>
  <si>
    <t>OC0047466</t>
  </si>
  <si>
    <t>OC0047512</t>
  </si>
  <si>
    <t>OC0047514</t>
  </si>
  <si>
    <t>OC0047516</t>
  </si>
  <si>
    <t>OC0047525</t>
  </si>
  <si>
    <t>OC0047527</t>
  </si>
  <si>
    <t>OC0047535</t>
  </si>
  <si>
    <t>OC0047537</t>
  </si>
  <si>
    <t>OC0047538</t>
  </si>
  <si>
    <t>OC0047542</t>
  </si>
  <si>
    <t>OC0047543</t>
  </si>
  <si>
    <t>OC0047554</t>
  </si>
  <si>
    <t>OC0047557</t>
  </si>
  <si>
    <t>OC0047571</t>
  </si>
  <si>
    <t>OC0047587</t>
  </si>
  <si>
    <t>OC0047601</t>
  </si>
  <si>
    <t>OC0047605</t>
  </si>
  <si>
    <t>OC0047606</t>
  </si>
  <si>
    <t>OC0047611</t>
  </si>
  <si>
    <t>OC0047612</t>
  </si>
  <si>
    <t>OC0047613</t>
  </si>
  <si>
    <t>OC0047628</t>
  </si>
  <si>
    <t>OC0047629</t>
  </si>
  <si>
    <t>OC0047633</t>
  </si>
  <si>
    <t>OC0047634</t>
  </si>
  <si>
    <t>OC0047661</t>
  </si>
  <si>
    <t>OC0047664</t>
  </si>
  <si>
    <t>OC0047674</t>
  </si>
  <si>
    <t>OC0047676</t>
  </si>
  <si>
    <t>OC0047680</t>
  </si>
  <si>
    <t>OC0047711</t>
  </si>
  <si>
    <t>OC0047713</t>
  </si>
  <si>
    <t>OC0047714</t>
  </si>
  <si>
    <t>OC0047715</t>
  </si>
  <si>
    <t>OC0047716</t>
  </si>
  <si>
    <t>OC0047718</t>
  </si>
  <si>
    <t>OC0047725</t>
  </si>
  <si>
    <t>OC0047727</t>
  </si>
  <si>
    <t>OC0047738</t>
  </si>
  <si>
    <t>OC0047739</t>
  </si>
  <si>
    <t>OC0047740</t>
  </si>
  <si>
    <t>OC0047750</t>
  </si>
  <si>
    <t>OC0047773</t>
  </si>
  <si>
    <t>OC0047774</t>
  </si>
  <si>
    <t>OC0047779</t>
  </si>
  <si>
    <t>OC0047791</t>
  </si>
  <si>
    <t>OC0047800</t>
  </si>
  <si>
    <t>OC0047805</t>
  </si>
  <si>
    <t>OC0047807</t>
  </si>
  <si>
    <t>OC0047821</t>
  </si>
  <si>
    <t>OC0047833</t>
  </si>
  <si>
    <t>OC0047836</t>
  </si>
  <si>
    <t>OC0047840</t>
  </si>
  <si>
    <t>OC0047842</t>
  </si>
  <si>
    <t>OC0047843</t>
  </si>
  <si>
    <t>OC0047846</t>
  </si>
  <si>
    <t>OC0047855</t>
  </si>
  <si>
    <t>OC0047865</t>
  </si>
  <si>
    <t>OC0047873</t>
  </si>
  <si>
    <t>OC0047874</t>
  </si>
  <si>
    <t>OC0047879</t>
  </si>
  <si>
    <t>OC0047887</t>
  </si>
  <si>
    <t>OC0047891</t>
  </si>
  <si>
    <t>OC0047892</t>
  </si>
  <si>
    <t>OC0047917</t>
  </si>
  <si>
    <t>OC0047918</t>
  </si>
  <si>
    <t>OC0047919</t>
  </si>
  <si>
    <t>OC0047963</t>
  </si>
  <si>
    <t>OC0047969</t>
  </si>
  <si>
    <t>OC0047971</t>
  </si>
  <si>
    <t>OC0047979</t>
  </si>
  <si>
    <t>OC0047987</t>
  </si>
  <si>
    <t>OC0048003</t>
  </si>
  <si>
    <t>OC0048004</t>
  </si>
  <si>
    <t>OC0048005</t>
  </si>
  <si>
    <t>OC0048006</t>
  </si>
  <si>
    <t>OC0048007</t>
  </si>
  <si>
    <t>OC0048008</t>
  </si>
  <si>
    <t>OC0048016</t>
  </si>
  <si>
    <t>OC0048019</t>
  </si>
  <si>
    <t>OC0048022</t>
  </si>
  <si>
    <t>OC0048023</t>
  </si>
  <si>
    <t>OC0048024</t>
  </si>
  <si>
    <t>OC0048025</t>
  </si>
  <si>
    <t>OC0048026</t>
  </si>
  <si>
    <t>OC0048027</t>
  </si>
  <si>
    <t>OC0048028</t>
  </si>
  <si>
    <t>OC0048029</t>
  </si>
  <si>
    <t>OC0048030</t>
  </si>
  <si>
    <t>OC0048031</t>
  </si>
  <si>
    <t>OC0048032</t>
  </si>
  <si>
    <t>OC0048033</t>
  </si>
  <si>
    <t>OC0048034</t>
  </si>
  <si>
    <t>OC0048037</t>
  </si>
  <si>
    <t>OC0048040</t>
  </si>
  <si>
    <t>OC0048047</t>
  </si>
  <si>
    <t>OC0048049</t>
  </si>
  <si>
    <t>OC0048054</t>
  </si>
  <si>
    <t>OC0048060</t>
  </si>
  <si>
    <t>OC0048071</t>
  </si>
  <si>
    <t>OC0048074</t>
  </si>
  <si>
    <t>OC0048076</t>
  </si>
  <si>
    <t>OC0048077</t>
  </si>
  <si>
    <t>OC0048078</t>
  </si>
  <si>
    <t>OC0048079</t>
  </si>
  <si>
    <t>OC0048085</t>
  </si>
  <si>
    <t>OC0048087</t>
  </si>
  <si>
    <t>OC0048088</t>
  </si>
  <si>
    <t>OC0048089</t>
  </si>
  <si>
    <t>OC0048091</t>
  </si>
  <si>
    <t>OC0048094</t>
  </si>
  <si>
    <t>OC0048095</t>
  </si>
  <si>
    <t>OC0048097</t>
  </si>
  <si>
    <t>OC0048106</t>
  </si>
  <si>
    <t>OC0048107</t>
  </si>
  <si>
    <t>OC0048111</t>
  </si>
  <si>
    <t>OC0048117</t>
  </si>
  <si>
    <t>OC0048120</t>
  </si>
  <si>
    <t>OC0048123</t>
  </si>
  <si>
    <t>OC0048124</t>
  </si>
  <si>
    <t>OC0048127</t>
  </si>
  <si>
    <t>OC0048130</t>
  </si>
  <si>
    <t>OC0048132</t>
  </si>
  <si>
    <t>OC0048138</t>
  </si>
  <si>
    <t>OC0048140</t>
  </si>
  <si>
    <t>OC0048144</t>
  </si>
  <si>
    <t>OC0048150</t>
  </si>
  <si>
    <t>OC0048151</t>
  </si>
  <si>
    <t>OC0048152</t>
  </si>
  <si>
    <t>OC0048153</t>
  </si>
  <si>
    <t>OC0048156</t>
  </si>
  <si>
    <t>OC0048165</t>
  </si>
  <si>
    <t>OC0048166</t>
  </si>
  <si>
    <t>OC0048169</t>
  </si>
  <si>
    <t>OC0048170</t>
  </si>
  <si>
    <t>OC0048172</t>
  </si>
  <si>
    <t>OC0048174</t>
  </si>
  <si>
    <t>OC0048175</t>
  </si>
  <si>
    <t>OC0048188</t>
  </si>
  <si>
    <t>OC0048198</t>
  </si>
  <si>
    <t>OC0048199</t>
  </si>
  <si>
    <t>OC0048204</t>
  </si>
  <si>
    <t>OC0048211</t>
  </si>
  <si>
    <t>OC0048215</t>
  </si>
  <si>
    <t>OC0048217</t>
  </si>
  <si>
    <t>OC0048222</t>
  </si>
  <si>
    <t>OC0048225</t>
  </si>
  <si>
    <t>OC0048226</t>
  </si>
  <si>
    <t>OC0048227</t>
  </si>
  <si>
    <t>OC0048228</t>
  </si>
  <si>
    <t>OC0048229</t>
  </si>
  <si>
    <t>OC0048231</t>
  </si>
  <si>
    <t>OC0048232</t>
  </si>
  <si>
    <t>OC0048237</t>
  </si>
  <si>
    <t>OC0048239</t>
  </si>
  <si>
    <t>OC0048249</t>
  </si>
  <si>
    <t>OC0048270</t>
  </si>
  <si>
    <t>OC0048271</t>
  </si>
  <si>
    <t>OC0048272</t>
  </si>
  <si>
    <t>OC0048274</t>
  </si>
  <si>
    <t>OC0048316</t>
  </si>
  <si>
    <t>OC0048320</t>
  </si>
  <si>
    <t>OC0048343</t>
  </si>
  <si>
    <t>OC0048344</t>
  </si>
  <si>
    <t>OC0048345</t>
  </si>
  <si>
    <t>OC0048347</t>
  </si>
  <si>
    <t>OC0048354</t>
  </si>
  <si>
    <t>OC0048355</t>
  </si>
  <si>
    <t>OC0048358</t>
  </si>
  <si>
    <t>OC0048368</t>
  </si>
  <si>
    <t>OC0048370</t>
  </si>
  <si>
    <t>OC0048406</t>
  </si>
  <si>
    <t>OC0048409</t>
  </si>
  <si>
    <t>OC0048418</t>
  </si>
  <si>
    <t>OC0048420</t>
  </si>
  <si>
    <t>OC0048452</t>
  </si>
  <si>
    <t>OC0048456</t>
  </si>
  <si>
    <t>OC0048462</t>
  </si>
  <si>
    <t>OC0048480</t>
  </si>
  <si>
    <t>OC0048481</t>
  </si>
  <si>
    <t>OC0048482</t>
  </si>
  <si>
    <t>OC0048483</t>
  </si>
  <si>
    <t>OC0048488</t>
  </si>
  <si>
    <t>OC0048499</t>
  </si>
  <si>
    <t>OC0048500</t>
  </si>
  <si>
    <t>OC0048513</t>
  </si>
  <si>
    <t>OC0048532</t>
  </si>
  <si>
    <t>OC0048541</t>
  </si>
  <si>
    <t>OC0048551</t>
  </si>
  <si>
    <t>OC0048552</t>
  </si>
  <si>
    <t>OC0048553</t>
  </si>
  <si>
    <t>OC0048554</t>
  </si>
  <si>
    <t>OC0048555</t>
  </si>
  <si>
    <t>OC0048575</t>
  </si>
  <si>
    <t>OC0048583</t>
  </si>
  <si>
    <t>OC0048606</t>
  </si>
  <si>
    <t>OC0048608</t>
  </si>
  <si>
    <t>OC0048609</t>
  </si>
  <si>
    <t>OC0048610</t>
  </si>
  <si>
    <t>OC0048619</t>
  </si>
  <si>
    <t>OC0048634</t>
  </si>
  <si>
    <t>OC0048636</t>
  </si>
  <si>
    <t>OC0048640</t>
  </si>
  <si>
    <t>OC0048644</t>
  </si>
  <si>
    <t>OC0048645</t>
  </si>
  <si>
    <t>OC0048653</t>
  </si>
  <si>
    <t>OC0048684</t>
  </si>
  <si>
    <t>OC0048685</t>
  </si>
  <si>
    <t>OC0048686</t>
  </si>
  <si>
    <t>OC0048687</t>
  </si>
  <si>
    <t>OC0048688</t>
  </si>
  <si>
    <t>OC0048689</t>
  </si>
  <si>
    <t>OC0048690</t>
  </si>
  <si>
    <t>OC0048692</t>
  </si>
  <si>
    <t>OC0048705</t>
  </si>
  <si>
    <t>OC0048706</t>
  </si>
  <si>
    <t>OC0048707</t>
  </si>
  <si>
    <t>OC0048712</t>
  </si>
  <si>
    <t>OC0048714</t>
  </si>
  <si>
    <t>OC0048715</t>
  </si>
  <si>
    <t>OC0048718</t>
  </si>
  <si>
    <t>OC0048719</t>
  </si>
  <si>
    <t>OC0048720</t>
  </si>
  <si>
    <t>OC0048726</t>
  </si>
  <si>
    <t>OC0048757</t>
  </si>
  <si>
    <t>OC0048763</t>
  </si>
  <si>
    <t>OC0048765</t>
  </si>
  <si>
    <t>OC0048772</t>
  </si>
  <si>
    <t>OC0048781</t>
  </si>
  <si>
    <t>OC0048786</t>
  </si>
  <si>
    <t>OC0048788</t>
  </si>
  <si>
    <t>OC0048789</t>
  </si>
  <si>
    <t>OC0048793</t>
  </si>
  <si>
    <t>OC0048794</t>
  </si>
  <si>
    <t>OC0048795</t>
  </si>
  <si>
    <t>OC0048799</t>
  </si>
  <si>
    <t>OC0048803</t>
  </si>
  <si>
    <t>OC0048808</t>
  </si>
  <si>
    <t>OC0048810</t>
  </si>
  <si>
    <t>OC0048811</t>
  </si>
  <si>
    <t>OC0048812</t>
  </si>
  <si>
    <t>OC0048813</t>
  </si>
  <si>
    <t>OC0048822</t>
  </si>
  <si>
    <t>OC0048823</t>
  </si>
  <si>
    <t>OC0048824</t>
  </si>
  <si>
    <t>OC0048825</t>
  </si>
  <si>
    <t>OC0048834</t>
  </si>
  <si>
    <t>OC0048838</t>
  </si>
  <si>
    <t>OC0048857</t>
  </si>
  <si>
    <t>OC0048866</t>
  </si>
  <si>
    <t>OC0048872</t>
  </si>
  <si>
    <t>OC0048873</t>
  </si>
  <si>
    <t>OC0048875</t>
  </si>
  <si>
    <t>OC0048897</t>
  </si>
  <si>
    <t>OC0048898</t>
  </si>
  <si>
    <t>OC0048924</t>
  </si>
  <si>
    <t>OC0048925</t>
  </si>
  <si>
    <t>OC0048948</t>
  </si>
  <si>
    <t>OC0048958</t>
  </si>
  <si>
    <t>OC0048961</t>
  </si>
  <si>
    <t>OC0048967</t>
  </si>
  <si>
    <t>OC0048990</t>
  </si>
  <si>
    <t>OC0049004</t>
  </si>
  <si>
    <t>OC0049005</t>
  </si>
  <si>
    <t>OC0049006</t>
  </si>
  <si>
    <t>OC0049008</t>
  </si>
  <si>
    <t>OC0049012</t>
  </si>
  <si>
    <t>OC0049023</t>
  </si>
  <si>
    <t>OC0049050</t>
  </si>
  <si>
    <t>OC0049052</t>
  </si>
  <si>
    <t>OC0049060</t>
  </si>
  <si>
    <t>OC0049106</t>
  </si>
  <si>
    <t>OC0049107</t>
  </si>
  <si>
    <t>OC0049109</t>
  </si>
  <si>
    <t>OC0049111</t>
  </si>
  <si>
    <t>OC0049150</t>
  </si>
  <si>
    <t>OC0049151</t>
  </si>
  <si>
    <t>OC0049156</t>
  </si>
  <si>
    <t>OC0049161</t>
  </si>
  <si>
    <t>OC0049164</t>
  </si>
  <si>
    <t>OC0049169</t>
  </si>
  <si>
    <t>OC0049176</t>
  </si>
  <si>
    <t>OC0049187</t>
  </si>
  <si>
    <t>OC0049210</t>
  </si>
  <si>
    <t>OC0049212</t>
  </si>
  <si>
    <t>OC0049213</t>
  </si>
  <si>
    <t>OC0049214</t>
  </si>
  <si>
    <t>OC0049215</t>
  </si>
  <si>
    <t>OC0049217</t>
  </si>
  <si>
    <t>OC0049221</t>
  </si>
  <si>
    <t>OC0049223</t>
  </si>
  <si>
    <t>OC0049224</t>
  </si>
  <si>
    <t>OC0049225</t>
  </si>
  <si>
    <t>OC0049227</t>
  </si>
  <si>
    <t>OC0049228</t>
  </si>
  <si>
    <t>OC0049231</t>
  </si>
  <si>
    <t>OC0049233</t>
  </si>
  <si>
    <t>OC0049234</t>
  </si>
  <si>
    <t>OC0049235</t>
  </si>
  <si>
    <t>OC0049238</t>
  </si>
  <si>
    <t>OC0049240</t>
  </si>
  <si>
    <t>OC0049241</t>
  </si>
  <si>
    <t>OC0049243</t>
  </si>
  <si>
    <t>OC0049245</t>
  </si>
  <si>
    <t>OC0049246</t>
  </si>
  <si>
    <t>OC0049247</t>
  </si>
  <si>
    <t>OC0049250</t>
  </si>
  <si>
    <t>OC0049252</t>
  </si>
  <si>
    <t>OC0049257</t>
  </si>
  <si>
    <t>OC0049258</t>
  </si>
  <si>
    <t>OC0049261</t>
  </si>
  <si>
    <t>OC0049270</t>
  </si>
  <si>
    <t>OC0049271</t>
  </si>
  <si>
    <t>OC0049275</t>
  </si>
  <si>
    <t>OC0049276</t>
  </si>
  <si>
    <t>OC0049278</t>
  </si>
  <si>
    <t>OC0049290</t>
  </si>
  <si>
    <t>OC0049292</t>
  </si>
  <si>
    <t>OC0049293</t>
  </si>
  <si>
    <t>OC0049301</t>
  </si>
  <si>
    <t>OC0049312</t>
  </si>
  <si>
    <t>OC0049324</t>
  </si>
  <si>
    <t>OC0049329</t>
  </si>
  <si>
    <t>OC0049336</t>
  </si>
  <si>
    <t>OC0049337</t>
  </si>
  <si>
    <t>OC0049339</t>
  </si>
  <si>
    <t>OC0049340</t>
  </si>
  <si>
    <t>OC0049343</t>
  </si>
  <si>
    <t>OC0049344</t>
  </si>
  <si>
    <t>OC0049345</t>
  </si>
  <si>
    <t>OC0049346</t>
  </si>
  <si>
    <t>OC0049348</t>
  </si>
  <si>
    <t>OC0049354</t>
  </si>
  <si>
    <t>OC0049355</t>
  </si>
  <si>
    <t>OC0049356</t>
  </si>
  <si>
    <t>OC0049361</t>
  </si>
  <si>
    <t>OC0049365</t>
  </si>
  <si>
    <t>OC0049366</t>
  </si>
  <si>
    <t>OC0049370</t>
  </si>
  <si>
    <t>OC0049371</t>
  </si>
  <si>
    <t>OC0049372</t>
  </si>
  <si>
    <t>OC0049378</t>
  </si>
  <si>
    <t>OC0049392</t>
  </si>
  <si>
    <t>OC0049393</t>
  </si>
  <si>
    <t>OC0049397</t>
  </si>
  <si>
    <t>OC0049399</t>
  </si>
  <si>
    <t>OC0049402</t>
  </si>
  <si>
    <t>OC0049403</t>
  </si>
  <si>
    <t>OC0049404</t>
  </si>
  <si>
    <t>OC0049406</t>
  </si>
  <si>
    <t>OC0049408</t>
  </si>
  <si>
    <t>OC0049409</t>
  </si>
  <si>
    <t>OC0049412</t>
  </si>
  <si>
    <t>OC0049413</t>
  </si>
  <si>
    <t>OC0049420</t>
  </si>
  <si>
    <t>OC0049421</t>
  </si>
  <si>
    <t>OC0049428</t>
  </si>
  <si>
    <t>OC0049435</t>
  </si>
  <si>
    <t>OC0049436</t>
  </si>
  <si>
    <t>OC0049449</t>
  </si>
  <si>
    <t>OC0049450</t>
  </si>
  <si>
    <t>OC0049452</t>
  </si>
  <si>
    <t>OC0049454</t>
  </si>
  <si>
    <t>OC0049458</t>
  </si>
  <si>
    <t>OC0049466</t>
  </si>
  <si>
    <t>OC0049467</t>
  </si>
  <si>
    <t>OC0049511</t>
  </si>
  <si>
    <t>OC0049535</t>
  </si>
  <si>
    <t>OC0049536</t>
  </si>
  <si>
    <t>OC0049538</t>
  </si>
  <si>
    <t>OC0049539</t>
  </si>
  <si>
    <t>OC0049546</t>
  </si>
  <si>
    <t>OC0049548</t>
  </si>
  <si>
    <t>OC0049556</t>
  </si>
  <si>
    <t>OC0049561</t>
  </si>
  <si>
    <t>OC0049567</t>
  </si>
  <si>
    <t>OC0049568</t>
  </si>
  <si>
    <t>OC0049591</t>
  </si>
  <si>
    <t>OC0049594</t>
  </si>
  <si>
    <t>OC0049605</t>
  </si>
  <si>
    <t>OC0049610</t>
  </si>
  <si>
    <t>OC0049629</t>
  </si>
  <si>
    <t>OC0049639</t>
  </si>
  <si>
    <t>OC0049644</t>
  </si>
  <si>
    <t>OC0049646</t>
  </si>
  <si>
    <t>OC0049652</t>
  </si>
  <si>
    <t>OC0049653</t>
  </si>
  <si>
    <t>OC0049654</t>
  </si>
  <si>
    <t>OC0049658</t>
  </si>
  <si>
    <t>OC0049666</t>
  </si>
  <si>
    <t>OC0049672</t>
  </si>
  <si>
    <t>OC0049673</t>
  </si>
  <si>
    <t>OC0049676</t>
  </si>
  <si>
    <t>OC0049677</t>
  </si>
  <si>
    <t>OC0049678</t>
  </si>
  <si>
    <t>OC0049679</t>
  </si>
  <si>
    <t>OC0049723</t>
  </si>
  <si>
    <t>OC0049726</t>
  </si>
  <si>
    <t>OC0049729</t>
  </si>
  <si>
    <t>OC0049732</t>
  </si>
  <si>
    <t>OC0049737</t>
  </si>
  <si>
    <t>OC0049738</t>
  </si>
  <si>
    <t>OC0049739</t>
  </si>
  <si>
    <t>OC0049749</t>
  </si>
  <si>
    <t>OC0049762</t>
  </si>
  <si>
    <t>OC0049771</t>
  </si>
  <si>
    <t>OC0049779</t>
  </si>
  <si>
    <t>OC0049783</t>
  </si>
  <si>
    <t>OC0049784</t>
  </si>
  <si>
    <t>OC0049785</t>
  </si>
  <si>
    <t>OC0049786</t>
  </si>
  <si>
    <t>OC0049787</t>
  </si>
  <si>
    <t>OC0049794</t>
  </si>
  <si>
    <t>OC0049795</t>
  </si>
  <si>
    <t>OC0049798</t>
  </si>
  <si>
    <t>OC0049800</t>
  </si>
  <si>
    <t>OC0049802</t>
  </si>
  <si>
    <t>OC0049804</t>
  </si>
  <si>
    <t>OC0049805</t>
  </si>
  <si>
    <t>OC0049821</t>
  </si>
  <si>
    <t>OC0049832</t>
  </si>
  <si>
    <t>OC0049833</t>
  </si>
  <si>
    <t>OC0049835</t>
  </si>
  <si>
    <t>OC0049847</t>
  </si>
  <si>
    <t>OC0049854</t>
  </si>
  <si>
    <t>OC0049855</t>
  </si>
  <si>
    <t>OC0049889</t>
  </si>
  <si>
    <t>OC0049891</t>
  </si>
  <si>
    <t>OC0049892</t>
  </si>
  <si>
    <t>OC0049893</t>
  </si>
  <si>
    <t>OC0049900</t>
  </si>
  <si>
    <t>OC0049908</t>
  </si>
  <si>
    <t>OC0049909</t>
  </si>
  <si>
    <t>OC0049910</t>
  </si>
  <si>
    <t>OC0049919</t>
  </si>
  <si>
    <t>OC0049921</t>
  </si>
  <si>
    <t>OC0049961</t>
  </si>
  <si>
    <t>OC0049991</t>
  </si>
  <si>
    <t>OC0050023</t>
  </si>
  <si>
    <t>OC0050030</t>
  </si>
  <si>
    <t>OC0050033</t>
  </si>
  <si>
    <t>OC0050052</t>
  </si>
  <si>
    <t>OC0050064</t>
  </si>
  <si>
    <t>OC0050066</t>
  </si>
  <si>
    <t>OC0050067</t>
  </si>
  <si>
    <t>OC0050069</t>
  </si>
  <si>
    <t>OC0050075</t>
  </si>
  <si>
    <t>OC0050085</t>
  </si>
  <si>
    <t>OC0050120</t>
  </si>
  <si>
    <t>OC0050124</t>
  </si>
  <si>
    <t>OC0050125</t>
  </si>
  <si>
    <t>OC0050126</t>
  </si>
  <si>
    <t>OC0050127</t>
  </si>
  <si>
    <t>OC0050153</t>
  </si>
  <si>
    <t>OC0050168</t>
  </si>
  <si>
    <t>OC0050207</t>
  </si>
  <si>
    <t>OC0050212</t>
  </si>
  <si>
    <t>OC0050215</t>
  </si>
  <si>
    <t>OC0050253</t>
  </si>
  <si>
    <t>OC0050254</t>
  </si>
  <si>
    <t>OC0050258</t>
  </si>
  <si>
    <t>OC0050259</t>
  </si>
  <si>
    <t>OC0050260</t>
  </si>
  <si>
    <t>OC0050261</t>
  </si>
  <si>
    <t>OC0050264</t>
  </si>
  <si>
    <t>OC0050280</t>
  </si>
  <si>
    <t>OC0050281</t>
  </si>
  <si>
    <t>OC0050288</t>
  </si>
  <si>
    <t>OC0050351</t>
  </si>
  <si>
    <t>OC0050354</t>
  </si>
  <si>
    <t>OC0050355</t>
  </si>
  <si>
    <t>OC0050360</t>
  </si>
  <si>
    <t>OC0050363</t>
  </si>
  <si>
    <t>OC0050372</t>
  </si>
  <si>
    <t>OC0050373</t>
  </si>
  <si>
    <t>OC0050376</t>
  </si>
  <si>
    <t>OC0050390</t>
  </si>
  <si>
    <t>OC0050392</t>
  </si>
  <si>
    <t>OC0050417</t>
  </si>
  <si>
    <t>OC0050424</t>
  </si>
  <si>
    <t>OC0050439</t>
  </si>
  <si>
    <t>OC0050440</t>
  </si>
  <si>
    <t>OC0050444</t>
  </si>
  <si>
    <t>OC0050445</t>
  </si>
  <si>
    <t>OC0050446</t>
  </si>
  <si>
    <t>OC0050447</t>
  </si>
  <si>
    <t>OC0050450</t>
  </si>
  <si>
    <t>OC0050452</t>
  </si>
  <si>
    <t>OC0050453</t>
  </si>
  <si>
    <t>OC0050459</t>
  </si>
  <si>
    <t>OC0050465</t>
  </si>
  <si>
    <t>OC0050466</t>
  </si>
  <si>
    <t>OC0050469</t>
  </si>
  <si>
    <t>OC0050470</t>
  </si>
  <si>
    <t>OC0050481</t>
  </si>
  <si>
    <t>OC0050483</t>
  </si>
  <si>
    <t>OC0050490</t>
  </si>
  <si>
    <t>OC0050491</t>
  </si>
  <si>
    <t>OC0050495</t>
  </si>
  <si>
    <t>OC0050496</t>
  </si>
  <si>
    <t>OC0050499</t>
  </si>
  <si>
    <t>OC0050501</t>
  </si>
  <si>
    <t>OC0050510</t>
  </si>
  <si>
    <t>OC0050519</t>
  </si>
  <si>
    <t>OC0050530</t>
  </si>
  <si>
    <t>OC0050531</t>
  </si>
  <si>
    <t>OC0050536</t>
  </si>
  <si>
    <t>OC0050537</t>
  </si>
  <si>
    <t>OC0050549</t>
  </si>
  <si>
    <t>OC0050550</t>
  </si>
  <si>
    <t>OC0050551</t>
  </si>
  <si>
    <t>OC0050552</t>
  </si>
  <si>
    <t>OC0050553</t>
  </si>
  <si>
    <t>OC0050554</t>
  </si>
  <si>
    <t>OC0050555</t>
  </si>
  <si>
    <t>OC0050556</t>
  </si>
  <si>
    <t>OC0050557</t>
  </si>
  <si>
    <t>OC0050558</t>
  </si>
  <si>
    <t>OC0050573</t>
  </si>
  <si>
    <t>OC0050574</t>
  </si>
  <si>
    <t>OC0050583</t>
  </si>
  <si>
    <t>OC0050584</t>
  </si>
  <si>
    <t>OC0050585</t>
  </si>
  <si>
    <t>OC0050586</t>
  </si>
  <si>
    <t>OC0050587</t>
  </si>
  <si>
    <t>OC0050588</t>
  </si>
  <si>
    <t>OC0050589</t>
  </si>
  <si>
    <t>OC0050590</t>
  </si>
  <si>
    <t>OC0050605</t>
  </si>
  <si>
    <t>OC0050606</t>
  </si>
  <si>
    <t>OC0050607</t>
  </si>
  <si>
    <t>OC0050608</t>
  </si>
  <si>
    <t>OC0050610</t>
  </si>
  <si>
    <t>OC0050611</t>
  </si>
  <si>
    <t>OC0050612</t>
  </si>
  <si>
    <t>OC0050613</t>
  </si>
  <si>
    <t>OC0050614</t>
  </si>
  <si>
    <t>OC0050615</t>
  </si>
  <si>
    <t>OC0050620</t>
  </si>
  <si>
    <t>OC0050621</t>
  </si>
  <si>
    <t>OC0050622</t>
  </si>
  <si>
    <t>OC0050623</t>
  </si>
  <si>
    <t>OC0050624</t>
  </si>
  <si>
    <t>OC0050625</t>
  </si>
  <si>
    <t>OC0050626</t>
  </si>
  <si>
    <t>OC0050628</t>
  </si>
  <si>
    <t>OC0050629</t>
  </si>
  <si>
    <t>OC0050640</t>
  </si>
  <si>
    <t>OC0050642</t>
  </si>
  <si>
    <t>OC0050643</t>
  </si>
  <si>
    <t>OC0050647</t>
  </si>
  <si>
    <t>OC0050662</t>
  </si>
  <si>
    <t>OC0050664</t>
  </si>
  <si>
    <t>OC0050669</t>
  </si>
  <si>
    <t>OC0050672</t>
  </si>
  <si>
    <t>OC0050673</t>
  </si>
  <si>
    <t>OC0050685</t>
  </si>
  <si>
    <t>OC0050688</t>
  </si>
  <si>
    <t>OC0050689</t>
  </si>
  <si>
    <t>OC0050691</t>
  </si>
  <si>
    <t>OC0050692</t>
  </si>
  <si>
    <t>OC0050720</t>
  </si>
  <si>
    <t>OC0050723</t>
  </si>
  <si>
    <t>OC0050726</t>
  </si>
  <si>
    <t>OC0050731</t>
  </si>
  <si>
    <t>OC0050739</t>
  </si>
  <si>
    <t>OC0050743</t>
  </si>
  <si>
    <t>OC0050744</t>
  </si>
  <si>
    <t>OC0050745</t>
  </si>
  <si>
    <t>OC0050748</t>
  </si>
  <si>
    <t>OC0050760</t>
  </si>
  <si>
    <t>OC0050761</t>
  </si>
  <si>
    <t>OC0050765</t>
  </si>
  <si>
    <t>OC0050767</t>
  </si>
  <si>
    <t>OC0050776</t>
  </si>
  <si>
    <t>OC0050784</t>
  </si>
  <si>
    <t>OC0050813</t>
  </si>
  <si>
    <t>OC0050825</t>
  </si>
  <si>
    <t>OC0050832</t>
  </si>
  <si>
    <t>OC0050872</t>
  </si>
  <si>
    <t>OC0050897</t>
  </si>
  <si>
    <t>OC0050899</t>
  </si>
  <si>
    <t>OC0050901</t>
  </si>
  <si>
    <t>OC0050903</t>
  </si>
  <si>
    <t>OC0050906</t>
  </si>
  <si>
    <t>OC0050912</t>
  </si>
  <si>
    <t>OC0050914</t>
  </si>
  <si>
    <t>OC0050917</t>
  </si>
  <si>
    <t>OC0050928</t>
  </si>
  <si>
    <t>OC0050934</t>
  </si>
  <si>
    <t>OC0050935</t>
  </si>
  <si>
    <t>OC0050936</t>
  </si>
  <si>
    <t>OC0050937</t>
  </si>
  <si>
    <t>OC0050938</t>
  </si>
  <si>
    <t>OC0050948</t>
  </si>
  <si>
    <t>OC0050949</t>
  </si>
  <si>
    <t>OC0050950</t>
  </si>
  <si>
    <t>OC0050951</t>
  </si>
  <si>
    <t>OC0050968</t>
  </si>
  <si>
    <t>OC0050977</t>
  </si>
  <si>
    <t>OC0050978</t>
  </si>
  <si>
    <t>OC0050979</t>
  </si>
  <si>
    <t>OC0050983</t>
  </si>
  <si>
    <t>OC0050984</t>
  </si>
  <si>
    <t>OC0050994</t>
  </si>
  <si>
    <t>OC0050995</t>
  </si>
  <si>
    <t>OC0051015</t>
  </si>
  <si>
    <t>OC0051018</t>
  </si>
  <si>
    <t>OC0051029</t>
  </si>
  <si>
    <t>OC0051031</t>
  </si>
  <si>
    <t>OC0051033</t>
  </si>
  <si>
    <t>OC0051063</t>
  </si>
  <si>
    <t>OC0051064</t>
  </si>
  <si>
    <t>OC0051074</t>
  </si>
  <si>
    <t>OC0051075</t>
  </si>
  <si>
    <t>OC0051076</t>
  </si>
  <si>
    <t>OC0051080</t>
  </si>
  <si>
    <t>OC0051082</t>
  </si>
  <si>
    <t>OC0051086</t>
  </si>
  <si>
    <t>OC0051134</t>
  </si>
  <si>
    <t>OC0051162</t>
  </si>
  <si>
    <t>OC0051164</t>
  </si>
  <si>
    <t>OC0051166</t>
  </si>
  <si>
    <t>OC0051170</t>
  </si>
  <si>
    <t>OC0051171</t>
  </si>
  <si>
    <t>OC0051175</t>
  </si>
  <si>
    <t>OC0051176</t>
  </si>
  <si>
    <t>OC0051202</t>
  </si>
  <si>
    <t>OC0051209</t>
  </si>
  <si>
    <t>OC0051214</t>
  </si>
  <si>
    <t>OC0051217</t>
  </si>
  <si>
    <t>OC0051218</t>
  </si>
  <si>
    <t>OC0051249</t>
  </si>
  <si>
    <t>OC0051252</t>
  </si>
  <si>
    <t>OC0051253</t>
  </si>
  <si>
    <t>OC0051262</t>
  </si>
  <si>
    <t>OC0051298</t>
  </si>
  <si>
    <t>OC0051312</t>
  </si>
  <si>
    <t>OC0051315</t>
  </si>
  <si>
    <t>OC0051322</t>
  </si>
  <si>
    <t>OC0051323</t>
  </si>
  <si>
    <t>OC0051349</t>
  </si>
  <si>
    <t>OC0051351</t>
  </si>
  <si>
    <t>OC0051374</t>
  </si>
  <si>
    <t>OC0051410</t>
  </si>
  <si>
    <t>OC0051411</t>
  </si>
  <si>
    <t>OC0051412</t>
  </si>
  <si>
    <t>OC0051413</t>
  </si>
  <si>
    <t>OC0051414</t>
  </si>
  <si>
    <t>OC0051415</t>
  </si>
  <si>
    <t>OC0051417</t>
  </si>
  <si>
    <t>OC0051419</t>
  </si>
  <si>
    <t>OC0051443</t>
  </si>
  <si>
    <t>OC0051450</t>
  </si>
  <si>
    <t>OC0051460</t>
  </si>
  <si>
    <t>OC0051461</t>
  </si>
  <si>
    <t>OC0051462</t>
  </si>
  <si>
    <t>OC0051464</t>
  </si>
  <si>
    <t>OC0051475</t>
  </si>
  <si>
    <t>OC0051483</t>
  </si>
  <si>
    <t>OC0051485</t>
  </si>
  <si>
    <t>OC0051486</t>
  </si>
  <si>
    <t>OC0051487</t>
  </si>
  <si>
    <t>OC0051488</t>
  </si>
  <si>
    <t>OC0051492</t>
  </si>
  <si>
    <t>OC0051519</t>
  </si>
  <si>
    <t>OC0051520</t>
  </si>
  <si>
    <t>OC0051521</t>
  </si>
  <si>
    <t>OC0051533</t>
  </si>
  <si>
    <t>OC0051538</t>
  </si>
  <si>
    <t>OC0051539</t>
  </si>
  <si>
    <t>OC0051566</t>
  </si>
  <si>
    <t>OC0051597</t>
  </si>
  <si>
    <t>OC0051626</t>
  </si>
  <si>
    <t>OC0051627</t>
  </si>
  <si>
    <t>OC0051629</t>
  </si>
  <si>
    <t>OC0051630</t>
  </si>
  <si>
    <t>OC0051659</t>
  </si>
  <si>
    <t>OC0051742</t>
  </si>
  <si>
    <t>OC0051745</t>
  </si>
  <si>
    <t>OC0051752</t>
  </si>
  <si>
    <t>OC0051755</t>
  </si>
  <si>
    <t>OC0051793</t>
  </si>
  <si>
    <t>OC0051803</t>
  </si>
  <si>
    <t>OC0051819</t>
  </si>
  <si>
    <t>OC0051831</t>
  </si>
  <si>
    <t>OC0051832</t>
  </si>
  <si>
    <t>OC0051836</t>
  </si>
  <si>
    <t>OC0051838</t>
  </si>
  <si>
    <t>OC0051841</t>
  </si>
  <si>
    <t>OC0051842</t>
  </si>
  <si>
    <t>OC0051846</t>
  </si>
  <si>
    <t>OC0051847</t>
  </si>
  <si>
    <t>OC0051854</t>
  </si>
  <si>
    <t>OC0051856</t>
  </si>
  <si>
    <t>OC0051858</t>
  </si>
  <si>
    <t>OC0051859</t>
  </si>
  <si>
    <t>OC0051862</t>
  </si>
  <si>
    <t>OC0051864</t>
  </si>
  <si>
    <t>OC0051868</t>
  </si>
  <si>
    <t>OC0051869</t>
  </si>
  <si>
    <t>OC0051887</t>
  </si>
  <si>
    <t>OC0051939</t>
  </si>
  <si>
    <t>OC0051941</t>
  </si>
  <si>
    <t>OC0051949</t>
  </si>
  <si>
    <t>OC0051950</t>
  </si>
  <si>
    <t>OC0051951</t>
  </si>
  <si>
    <t>OC0051952</t>
  </si>
  <si>
    <t>OC0051953</t>
  </si>
  <si>
    <t>OC0051954</t>
  </si>
  <si>
    <t>OC0051955</t>
  </si>
  <si>
    <t>OC0051956</t>
  </si>
  <si>
    <t>OC0051957</t>
  </si>
  <si>
    <t>OC0051961</t>
  </si>
  <si>
    <t>OC0051964</t>
  </si>
  <si>
    <t>OC0051968</t>
  </si>
  <si>
    <t>OC0051978</t>
  </si>
  <si>
    <t>OC0051983</t>
  </si>
  <si>
    <t>OC0051985</t>
  </si>
  <si>
    <t>OC0051989</t>
  </si>
  <si>
    <t>OC0051990</t>
  </si>
  <si>
    <t>OC0051991</t>
  </si>
  <si>
    <t>OC0051992</t>
  </si>
  <si>
    <t>OC0051994</t>
  </si>
  <si>
    <t>OC0051996</t>
  </si>
  <si>
    <t>OC0051997</t>
  </si>
  <si>
    <t>OC0051998</t>
  </si>
  <si>
    <t>OC0052002</t>
  </si>
  <si>
    <t>OC0052010</t>
  </si>
  <si>
    <t>OC0052012</t>
  </si>
  <si>
    <t>OC0052013</t>
  </si>
  <si>
    <t>OC0052020</t>
  </si>
  <si>
    <t>OC0052025</t>
  </si>
  <si>
    <t>OC0052032</t>
  </si>
  <si>
    <t>OC0052041</t>
  </si>
  <si>
    <t>OC0052046</t>
  </si>
  <si>
    <t>OC0052047</t>
  </si>
  <si>
    <t>OC0052050</t>
  </si>
  <si>
    <t>OC0052054</t>
  </si>
  <si>
    <t>OC0052057</t>
  </si>
  <si>
    <t>OC0052058</t>
  </si>
  <si>
    <t>OC0052059</t>
  </si>
  <si>
    <t>OC0052060</t>
  </si>
  <si>
    <t>OC0052062</t>
  </si>
  <si>
    <t>OC0052063</t>
  </si>
  <si>
    <t>OC0052064</t>
  </si>
  <si>
    <t>OC0052068</t>
  </si>
  <si>
    <t>OC0052070</t>
  </si>
  <si>
    <t>OC0052071</t>
  </si>
  <si>
    <t>OC0052073</t>
  </si>
  <si>
    <t>OC0052074</t>
  </si>
  <si>
    <t>OC0052077</t>
  </si>
  <si>
    <t>OC0052078</t>
  </si>
  <si>
    <t>OC0052081</t>
  </si>
  <si>
    <t>OC0052086</t>
  </si>
  <si>
    <t>OC0052088</t>
  </si>
  <si>
    <t>OC0052098</t>
  </si>
  <si>
    <t>OC0052099</t>
  </si>
  <si>
    <t>OC0052100</t>
  </si>
  <si>
    <t>OC0052103</t>
  </si>
  <si>
    <t>OC0052105</t>
  </si>
  <si>
    <t>OC0052109</t>
  </si>
  <si>
    <t>OC0052112</t>
  </si>
  <si>
    <t>OC0052114</t>
  </si>
  <si>
    <t>OC0052118</t>
  </si>
  <si>
    <t>OC0052133</t>
  </si>
  <si>
    <t>OC0052141</t>
  </si>
  <si>
    <t>OC0052147</t>
  </si>
  <si>
    <t>OC0052156</t>
  </si>
  <si>
    <t>OC0052171</t>
  </si>
  <si>
    <t>OC0052185</t>
  </si>
  <si>
    <t>OC0052212</t>
  </si>
  <si>
    <t>OC0052218</t>
  </si>
  <si>
    <t>OC0052239</t>
  </si>
  <si>
    <t>OC0052241</t>
  </si>
  <si>
    <t>OC0052242</t>
  </si>
  <si>
    <t>OC0052244</t>
  </si>
  <si>
    <t>OC0052246</t>
  </si>
  <si>
    <t>OC0052250</t>
  </si>
  <si>
    <t>OC0052253</t>
  </si>
  <si>
    <t>OC0052254</t>
  </si>
  <si>
    <t>OC0052256</t>
  </si>
  <si>
    <t>OC0052257</t>
  </si>
  <si>
    <t>OC0052259</t>
  </si>
  <si>
    <t>OC0052269</t>
  </si>
  <si>
    <t>OC0052270</t>
  </si>
  <si>
    <t>OC0052281</t>
  </si>
  <si>
    <t>OC0052290</t>
  </si>
  <si>
    <t>OC0052291</t>
  </si>
  <si>
    <t>OC0052305</t>
  </si>
  <si>
    <t>OC0052308</t>
  </si>
  <si>
    <t>OC0052318</t>
  </si>
  <si>
    <t>OC0052320</t>
  </si>
  <si>
    <t>OC0052321</t>
  </si>
  <si>
    <t>OC0052322</t>
  </si>
  <si>
    <t>OC0052323</t>
  </si>
  <si>
    <t>OC0052329</t>
  </si>
  <si>
    <t>OC0052333</t>
  </si>
  <si>
    <t>OC0052334</t>
  </si>
  <si>
    <t>OC0052338</t>
  </si>
  <si>
    <t>OC0052339</t>
  </si>
  <si>
    <t>OC0052341</t>
  </si>
  <si>
    <t>OC0052342</t>
  </si>
  <si>
    <t>OC0052346</t>
  </si>
  <si>
    <t>OC0052347</t>
  </si>
  <si>
    <t>OC0052351</t>
  </si>
  <si>
    <t>OC0052352</t>
  </si>
  <si>
    <t>OC0052353</t>
  </si>
  <si>
    <t>OC0052368</t>
  </si>
  <si>
    <t>OC0052372</t>
  </si>
  <si>
    <t>OC0052374</t>
  </si>
  <si>
    <t>OC0052375</t>
  </si>
  <si>
    <t>OC0052389</t>
  </si>
  <si>
    <t>OC0052392</t>
  </si>
  <si>
    <t>OC0052393</t>
  </si>
  <si>
    <t>OC0052395</t>
  </si>
  <si>
    <t>OC0052400</t>
  </si>
  <si>
    <t>OC0052402</t>
  </si>
  <si>
    <t>OC0052415</t>
  </si>
  <si>
    <t>OC0052418</t>
  </si>
  <si>
    <t>OC0052419</t>
  </si>
  <si>
    <t>OC0052429</t>
  </si>
  <si>
    <t>OC0052434</t>
  </si>
  <si>
    <t>OC0052437</t>
  </si>
  <si>
    <t>OC0052438</t>
  </si>
  <si>
    <t>OC0052456</t>
  </si>
  <si>
    <t>OC0052457</t>
  </si>
  <si>
    <t>OC0052466</t>
  </si>
  <si>
    <t>OC0052467</t>
  </si>
  <si>
    <t>OC0052468</t>
  </si>
  <si>
    <t>OC0052479</t>
  </si>
  <si>
    <t>OC0052482</t>
  </si>
  <si>
    <t>OC0052485</t>
  </si>
  <si>
    <t>OC0052505</t>
  </si>
  <si>
    <t>OC0052525</t>
  </si>
  <si>
    <t>OC0052534</t>
  </si>
  <si>
    <t>OC0052537</t>
  </si>
  <si>
    <t>OC0052563</t>
  </si>
  <si>
    <t>OC0052564</t>
  </si>
  <si>
    <t>OC0052565</t>
  </si>
  <si>
    <t>OC0052575</t>
  </si>
  <si>
    <t>OC0052577</t>
  </si>
  <si>
    <t>OC0052580</t>
  </si>
  <si>
    <t>OC0052589</t>
  </si>
  <si>
    <t>OC0052592</t>
  </si>
  <si>
    <t>OC0052593</t>
  </si>
  <si>
    <t>OC0052594</t>
  </si>
  <si>
    <t>OC0052595</t>
  </si>
  <si>
    <t>OC0052597</t>
  </si>
  <si>
    <t>OC0052600</t>
  </si>
  <si>
    <t>OC0052607</t>
  </si>
  <si>
    <t>OC0052608</t>
  </si>
  <si>
    <t>OC0052611</t>
  </si>
  <si>
    <t>OC0052614</t>
  </si>
  <si>
    <t>OC0052615</t>
  </si>
  <si>
    <t>OC0052616</t>
  </si>
  <si>
    <t>OC0052617</t>
  </si>
  <si>
    <t>OC0052618</t>
  </si>
  <si>
    <t>OC0052619</t>
  </si>
  <si>
    <t>OC0052622</t>
  </si>
  <si>
    <t>OC0052625</t>
  </si>
  <si>
    <t>OC0052632</t>
  </si>
  <si>
    <t>OC0052653</t>
  </si>
  <si>
    <t>OC0052662</t>
  </si>
  <si>
    <t>OC0052696</t>
  </si>
  <si>
    <t>OC0052697</t>
  </si>
  <si>
    <t>OC0052719</t>
  </si>
  <si>
    <t>OC0052720</t>
  </si>
  <si>
    <t>OC0052721</t>
  </si>
  <si>
    <t>OC0052723</t>
  </si>
  <si>
    <t>OC0052725</t>
  </si>
  <si>
    <t>OC0052777</t>
  </si>
  <si>
    <t>OC0052814</t>
  </si>
  <si>
    <t>OC0052815</t>
  </si>
  <si>
    <t>OC0052816</t>
  </si>
  <si>
    <t>OC0052842</t>
  </si>
  <si>
    <t>OC0052856</t>
  </si>
  <si>
    <t>OC0052869</t>
  </si>
  <si>
    <t>OC0052871</t>
  </si>
  <si>
    <t>OC0052872</t>
  </si>
  <si>
    <t>OC0052874</t>
  </si>
  <si>
    <t>OC0052875</t>
  </si>
  <si>
    <t>OC0052876</t>
  </si>
  <si>
    <t>OC0052878</t>
  </si>
  <si>
    <t>OC0052879</t>
  </si>
  <si>
    <t>OC0052892</t>
  </si>
  <si>
    <t>OC0052893</t>
  </si>
  <si>
    <t>OC0052898</t>
  </si>
  <si>
    <t>OC0052906</t>
  </si>
  <si>
    <t>OC0052907</t>
  </si>
  <si>
    <t>OC0052909</t>
  </si>
  <si>
    <t>OC0052917</t>
  </si>
  <si>
    <t>OC0052926</t>
  </si>
  <si>
    <t>OC0052931</t>
  </si>
  <si>
    <t>OC0052936</t>
  </si>
  <si>
    <t>OC0052941</t>
  </si>
  <si>
    <t>OC0052943</t>
  </si>
  <si>
    <t>OC0052945</t>
  </si>
  <si>
    <t>OC0052949</t>
  </si>
  <si>
    <t>OC0052950</t>
  </si>
  <si>
    <t>OC0052951</t>
  </si>
  <si>
    <t>OC0052955</t>
  </si>
  <si>
    <t>OC0052957</t>
  </si>
  <si>
    <t>OC0052960</t>
  </si>
  <si>
    <t>OC0052961</t>
  </si>
  <si>
    <t>OC0052962</t>
  </si>
  <si>
    <t>OC0052969</t>
  </si>
  <si>
    <t>OC0052971</t>
  </si>
  <si>
    <t>OC0052972</t>
  </si>
  <si>
    <t>OC0052973</t>
  </si>
  <si>
    <t>OC0052986</t>
  </si>
  <si>
    <t>OC0052987</t>
  </si>
  <si>
    <t>OC0052989</t>
  </si>
  <si>
    <t>OC0052990</t>
  </si>
  <si>
    <t>OC0052991</t>
  </si>
  <si>
    <t>OC0052993</t>
  </si>
  <si>
    <t>OC0052994</t>
  </si>
  <si>
    <t>OC0052995</t>
  </si>
  <si>
    <t>OC0052997</t>
  </si>
  <si>
    <t>OC0052998</t>
  </si>
  <si>
    <t>OC0052999</t>
  </si>
  <si>
    <t>OC0053001</t>
  </si>
  <si>
    <t>OC0053002</t>
  </si>
  <si>
    <t>OC0053004</t>
  </si>
  <si>
    <t>OC0053005</t>
  </si>
  <si>
    <t>OC0053010</t>
  </si>
  <si>
    <t>OC0053011</t>
  </si>
  <si>
    <t>OC0053013</t>
  </si>
  <si>
    <t>OC0053014</t>
  </si>
  <si>
    <t>OC0053015</t>
  </si>
  <si>
    <t>OC0053016</t>
  </si>
  <si>
    <t>OC0053017</t>
  </si>
  <si>
    <t>OC0053018</t>
  </si>
  <si>
    <t>OC0053022</t>
  </si>
  <si>
    <t>OC0053032</t>
  </si>
  <si>
    <t>OC0053037</t>
  </si>
  <si>
    <t>OC0053038</t>
  </si>
  <si>
    <t>OC0053039</t>
  </si>
  <si>
    <t>OC0053045</t>
  </si>
  <si>
    <t>OC0053047</t>
  </si>
  <si>
    <t>OC0053058</t>
  </si>
  <si>
    <t>OC0053061</t>
  </si>
  <si>
    <t>OC0053062</t>
  </si>
  <si>
    <t>OC0053065</t>
  </si>
  <si>
    <t>OC0053066</t>
  </si>
  <si>
    <t>OC0053068</t>
  </si>
  <si>
    <t>OC0053069</t>
  </si>
  <si>
    <t>OC0053070</t>
  </si>
  <si>
    <t>OC0053082</t>
  </si>
  <si>
    <t>OC0053084</t>
  </si>
  <si>
    <t>OC0053086</t>
  </si>
  <si>
    <t>OC0053091</t>
  </si>
  <si>
    <t>OC0053092</t>
  </si>
  <si>
    <t>OC0053094</t>
  </si>
  <si>
    <t>OC0053096</t>
  </si>
  <si>
    <t>OC0053117</t>
  </si>
  <si>
    <t>OC0053118</t>
  </si>
  <si>
    <t>OC0053123</t>
  </si>
  <si>
    <t>OC0053124</t>
  </si>
  <si>
    <t>OC0053128</t>
  </si>
  <si>
    <t>OC0053131</t>
  </si>
  <si>
    <t>OC0053136</t>
  </si>
  <si>
    <t>OC0053141</t>
  </si>
  <si>
    <t>OC0053148</t>
  </si>
  <si>
    <t>OC0053149</t>
  </si>
  <si>
    <t>OC0053152</t>
  </si>
  <si>
    <t>OC0053159</t>
  </si>
  <si>
    <t>OC0053161</t>
  </si>
  <si>
    <t>OC0053163</t>
  </si>
  <si>
    <t>OC0053166</t>
  </si>
  <si>
    <t>OC0053174</t>
  </si>
  <si>
    <t>OC0053179</t>
  </si>
  <si>
    <t>OC0053180</t>
  </si>
  <si>
    <t>OC0053188</t>
  </si>
  <si>
    <t>OC0053208</t>
  </si>
  <si>
    <t>OC0053210</t>
  </si>
  <si>
    <t>OC0053224</t>
  </si>
  <si>
    <t>OC0053227</t>
  </si>
  <si>
    <t>OC0053228</t>
  </si>
  <si>
    <t>OC0053233</t>
  </si>
  <si>
    <t>OC0053235</t>
  </si>
  <si>
    <t>OC0053236</t>
  </si>
  <si>
    <t>OC0053237</t>
  </si>
  <si>
    <t>OC0053256</t>
  </si>
  <si>
    <t>OC0053268</t>
  </si>
  <si>
    <t>OC0053269</t>
  </si>
  <si>
    <t>OC0053273</t>
  </si>
  <si>
    <t>OC0053274</t>
  </si>
  <si>
    <t>OC0053277</t>
  </si>
  <si>
    <t>OC0053278</t>
  </si>
  <si>
    <t>OC0053282</t>
  </si>
  <si>
    <t>OC0053284</t>
  </si>
  <si>
    <t>OC0053285</t>
  </si>
  <si>
    <t>OC0053299</t>
  </si>
  <si>
    <t>OC0053304</t>
  </si>
  <si>
    <t>OC0053306</t>
  </si>
  <si>
    <t>OC0053307</t>
  </si>
  <si>
    <t>OC0053312</t>
  </si>
  <si>
    <t>OC0053313</t>
  </si>
  <si>
    <t>OC0053316</t>
  </si>
  <si>
    <t>OC0053320</t>
  </si>
  <si>
    <t>OC0053321</t>
  </si>
  <si>
    <t>OC0053322</t>
  </si>
  <si>
    <t>OC0053332</t>
  </si>
  <si>
    <t>OC0053334</t>
  </si>
  <si>
    <t>OC0053335</t>
  </si>
  <si>
    <t>OC0053356</t>
  </si>
  <si>
    <t>OC0053362</t>
  </si>
  <si>
    <t>OC0053363</t>
  </si>
  <si>
    <t>OC0053364</t>
  </si>
  <si>
    <t>OC0053366</t>
  </si>
  <si>
    <t>OC0053368</t>
  </si>
  <si>
    <t>OC0053371</t>
  </si>
  <si>
    <t>OC0053376</t>
  </si>
  <si>
    <t>OC0053379</t>
  </si>
  <si>
    <t>OC0053380</t>
  </si>
  <si>
    <t>OC0053381</t>
  </si>
  <si>
    <t>OC0053389</t>
  </si>
  <si>
    <t>OC0053400</t>
  </si>
  <si>
    <t>OC0053401</t>
  </si>
  <si>
    <t>OC0053404</t>
  </si>
  <si>
    <t>OC0053405</t>
  </si>
  <si>
    <t>OC0053409</t>
  </si>
  <si>
    <t>OC0053410</t>
  </si>
  <si>
    <t>OC0053411</t>
  </si>
  <si>
    <t>OC0053412</t>
  </si>
  <si>
    <t>OC0053413</t>
  </si>
  <si>
    <t>OC0053425</t>
  </si>
  <si>
    <t>OC0053462</t>
  </si>
  <si>
    <t>OC0053465</t>
  </si>
  <si>
    <t>OC0053470</t>
  </si>
  <si>
    <t>OC0053478</t>
  </si>
  <si>
    <t>OC0053488</t>
  </si>
  <si>
    <t>OC0053495</t>
  </si>
  <si>
    <t>OC0053500</t>
  </si>
  <si>
    <t>OC0053503</t>
  </si>
  <si>
    <t>OC0053504</t>
  </si>
  <si>
    <t>OC0053506</t>
  </si>
  <si>
    <t>OC0053510</t>
  </si>
  <si>
    <t>OC0053512</t>
  </si>
  <si>
    <t>OC0053515</t>
  </si>
  <si>
    <t>OC0053545</t>
  </si>
  <si>
    <t>OC0053546</t>
  </si>
  <si>
    <t>OC0053591</t>
  </si>
  <si>
    <t>OC0053594</t>
  </si>
  <si>
    <t>OC0053605</t>
  </si>
  <si>
    <t>OC0053609</t>
  </si>
  <si>
    <t>OC0053610</t>
  </si>
  <si>
    <t>OC0053614</t>
  </si>
  <si>
    <t>OC0053615</t>
  </si>
  <si>
    <t>OC0053617</t>
  </si>
  <si>
    <t>OC0053618</t>
  </si>
  <si>
    <t>OC0053623</t>
  </si>
  <si>
    <t>OC0053646</t>
  </si>
  <si>
    <t>OC0053647</t>
  </si>
  <si>
    <t>OC0053663</t>
  </si>
  <si>
    <t>OC0053664</t>
  </si>
  <si>
    <t>OC0053671</t>
  </si>
  <si>
    <t>OC0053676</t>
  </si>
  <si>
    <t>OC0053681</t>
  </si>
  <si>
    <t>OC0053700</t>
  </si>
  <si>
    <t>OC0053701</t>
  </si>
  <si>
    <t>OC0053702</t>
  </si>
  <si>
    <t>OC0053703</t>
  </si>
  <si>
    <t>OC0053704</t>
  </si>
  <si>
    <t>OC0053705</t>
  </si>
  <si>
    <t>OC0053706</t>
  </si>
  <si>
    <t>OC0053707</t>
  </si>
  <si>
    <t>OC0053709</t>
  </si>
  <si>
    <t>OC0053710</t>
  </si>
  <si>
    <t>OC0053738</t>
  </si>
  <si>
    <t>OC0053744</t>
  </si>
  <si>
    <t>OC0053777</t>
  </si>
  <si>
    <t>OC0053793</t>
  </si>
  <si>
    <t>OC0053797</t>
  </si>
  <si>
    <t>OC0053806</t>
  </si>
  <si>
    <t>OC0053809</t>
  </si>
  <si>
    <t>OC0053810</t>
  </si>
  <si>
    <t>OC0053827</t>
  </si>
  <si>
    <t>OC0053839</t>
  </si>
  <si>
    <t>OC0053840</t>
  </si>
  <si>
    <t>OC0053843</t>
  </si>
  <si>
    <t>OC0053844</t>
  </si>
  <si>
    <t>OC0053848</t>
  </si>
  <si>
    <t>OC0053864</t>
  </si>
  <si>
    <t>OC0053897</t>
  </si>
  <si>
    <t>OC0053924</t>
  </si>
  <si>
    <t>OC0053948</t>
  </si>
  <si>
    <t>OC0053951</t>
  </si>
  <si>
    <t>OC0053954</t>
  </si>
  <si>
    <t>OC0053956</t>
  </si>
  <si>
    <t>OC0053969</t>
  </si>
  <si>
    <t>OC0053975</t>
  </si>
  <si>
    <t>OC0053976</t>
  </si>
  <si>
    <t>OC0053977</t>
  </si>
  <si>
    <t>OC0053978</t>
  </si>
  <si>
    <t>OC0053979</t>
  </si>
  <si>
    <t>OC0053980</t>
  </si>
  <si>
    <t>OC0053985</t>
  </si>
  <si>
    <t>OC0053986</t>
  </si>
  <si>
    <t>OC0053988</t>
  </si>
  <si>
    <t>OC0053990</t>
  </si>
  <si>
    <t>OC0053991</t>
  </si>
  <si>
    <t>OC0053994</t>
  </si>
  <si>
    <t>OC0053995</t>
  </si>
  <si>
    <t>OC0054000</t>
  </si>
  <si>
    <t>OC0054001</t>
  </si>
  <si>
    <t>OC0054003</t>
  </si>
  <si>
    <t>OC0054022</t>
  </si>
  <si>
    <t>OC0054023</t>
  </si>
  <si>
    <t>OC0054024</t>
  </si>
  <si>
    <t>OC0054026</t>
  </si>
  <si>
    <t>OC0054027</t>
  </si>
  <si>
    <t>OC0054028</t>
  </si>
  <si>
    <t>OC0054030</t>
  </si>
  <si>
    <t>OC0054031</t>
  </si>
  <si>
    <t>OC0054032</t>
  </si>
  <si>
    <t>OC0054034</t>
  </si>
  <si>
    <t>OC0054040</t>
  </si>
  <si>
    <t>OC0054047</t>
  </si>
  <si>
    <t>OC0054052</t>
  </si>
  <si>
    <t>OC0054055</t>
  </si>
  <si>
    <t>OC0054056</t>
  </si>
  <si>
    <t>OC0054058</t>
  </si>
  <si>
    <t>OC0054060</t>
  </si>
  <si>
    <t>OC0054064</t>
  </si>
  <si>
    <t>OC0054081</t>
  </si>
  <si>
    <t>OC0054082</t>
  </si>
  <si>
    <t>OC0054085</t>
  </si>
  <si>
    <t>OC0054093</t>
  </si>
  <si>
    <t>OC0054094</t>
  </si>
  <si>
    <t>OC0054096</t>
  </si>
  <si>
    <t>OC0054099</t>
  </si>
  <si>
    <t>OC0054100</t>
  </si>
  <si>
    <t>OC0054104</t>
  </si>
  <si>
    <t>OC0054113</t>
  </si>
  <si>
    <t>OC0054143</t>
  </si>
  <si>
    <t>OC0054146</t>
  </si>
  <si>
    <t>OC0054152</t>
  </si>
  <si>
    <t>OC0054154</t>
  </si>
  <si>
    <t>OC0054155</t>
  </si>
  <si>
    <t>OC0054156</t>
  </si>
  <si>
    <t>OC0054158</t>
  </si>
  <si>
    <t>OC0054160</t>
  </si>
  <si>
    <t>OC0054162</t>
  </si>
  <si>
    <t>OC0054163</t>
  </si>
  <si>
    <t>OC0054174</t>
  </si>
  <si>
    <t>OC0054177</t>
  </si>
  <si>
    <t>OC0054181</t>
  </si>
  <si>
    <t>OC0054182</t>
  </si>
  <si>
    <t>OC0054184</t>
  </si>
  <si>
    <t>OC0054186</t>
  </si>
  <si>
    <t>OC0054210</t>
  </si>
  <si>
    <t>OC0054217</t>
  </si>
  <si>
    <t>OC0054223</t>
  </si>
  <si>
    <t>OC0054227</t>
  </si>
  <si>
    <t>OC0054229</t>
  </si>
  <si>
    <t>OC0054234</t>
  </si>
  <si>
    <t>OC0054235</t>
  </si>
  <si>
    <t>OC0054236</t>
  </si>
  <si>
    <t>OC0054240</t>
  </si>
  <si>
    <t>OC0054242</t>
  </si>
  <si>
    <t>OC0054243</t>
  </si>
  <si>
    <t>OC0054247</t>
  </si>
  <si>
    <t>OC0054248</t>
  </si>
  <si>
    <t>OC0054249</t>
  </si>
  <si>
    <t>OC0054250</t>
  </si>
  <si>
    <t>OC0054251</t>
  </si>
  <si>
    <t>OC0054252</t>
  </si>
  <si>
    <t>OC0054265</t>
  </si>
  <si>
    <t>OC0054266</t>
  </si>
  <si>
    <t>OC0054274</t>
  </si>
  <si>
    <t>OC0054282</t>
  </si>
  <si>
    <t>OC0054293</t>
  </si>
  <si>
    <t>OC0054294</t>
  </si>
  <si>
    <t>OC0054299</t>
  </si>
  <si>
    <t>OC0054305</t>
  </si>
  <si>
    <t>OC0054307</t>
  </si>
  <si>
    <t>OC0054308</t>
  </si>
  <si>
    <t>OC0054309</t>
  </si>
  <si>
    <t>OC0054310</t>
  </si>
  <si>
    <t>OC0054311</t>
  </si>
  <si>
    <t>OC0054312</t>
  </si>
  <si>
    <t>OC0054316</t>
  </si>
  <si>
    <t>OC0054318</t>
  </si>
  <si>
    <t>OC0054320</t>
  </si>
  <si>
    <t>OC0054322</t>
  </si>
  <si>
    <t>OC0054323</t>
  </si>
  <si>
    <t>OC0054331</t>
  </si>
  <si>
    <t>OC0054335</t>
  </si>
  <si>
    <t>OC0054351</t>
  </si>
  <si>
    <t>OC0054356</t>
  </si>
  <si>
    <t>OC0054370</t>
  </si>
  <si>
    <t>OC0054374</t>
  </si>
  <si>
    <t>OC0054388</t>
  </si>
  <si>
    <t>OC0054393</t>
  </si>
  <si>
    <t>OC0054400</t>
  </si>
  <si>
    <t>OC0054403</t>
  </si>
  <si>
    <t>OC0054420</t>
  </si>
  <si>
    <t>OC0054421</t>
  </si>
  <si>
    <t>OC0054422</t>
  </si>
  <si>
    <t>OC0054424</t>
  </si>
  <si>
    <t>OC0054426</t>
  </si>
  <si>
    <t>OC0054452</t>
  </si>
  <si>
    <t>OC0054455</t>
  </si>
  <si>
    <t>OC0054456</t>
  </si>
  <si>
    <t>OC0054457</t>
  </si>
  <si>
    <t>OC0054471</t>
  </si>
  <si>
    <t>OC0054472</t>
  </si>
  <si>
    <t>OC0054473</t>
  </si>
  <si>
    <t>OC0054474</t>
  </si>
  <si>
    <t>OC0054475</t>
  </si>
  <si>
    <t>OC0054493</t>
  </si>
  <si>
    <t>OC0054496</t>
  </si>
  <si>
    <t>OC0054505</t>
  </si>
  <si>
    <t>OC0054506</t>
  </si>
  <si>
    <t>OC0054511</t>
  </si>
  <si>
    <t>OC0054544</t>
  </si>
  <si>
    <t>OC0054545</t>
  </si>
  <si>
    <t>OC0054555</t>
  </si>
  <si>
    <t>OC0054557</t>
  </si>
  <si>
    <t>OC0054575</t>
  </si>
  <si>
    <t>OC0054590</t>
  </si>
  <si>
    <t>OC0054591</t>
  </si>
  <si>
    <t>OC0054600</t>
  </si>
  <si>
    <t>OC0054621</t>
  </si>
  <si>
    <t>OC0054622</t>
  </si>
  <si>
    <t>OC0054623</t>
  </si>
  <si>
    <t>OC0054625</t>
  </si>
  <si>
    <t>OC0054628</t>
  </si>
  <si>
    <t>OC0054629</t>
  </si>
  <si>
    <t>OC0054632</t>
  </si>
  <si>
    <t>OC0054638</t>
  </si>
  <si>
    <t>OC0054641</t>
  </si>
  <si>
    <t>OC0054642</t>
  </si>
  <si>
    <t>OC0054643</t>
  </si>
  <si>
    <t>OC0054645</t>
  </si>
  <si>
    <t>OC0054649</t>
  </si>
  <si>
    <t>OC0054650</t>
  </si>
  <si>
    <t>OC0054653</t>
  </si>
  <si>
    <t>OC0054654</t>
  </si>
  <si>
    <t>OC0054666</t>
  </si>
  <si>
    <t>OC0054692</t>
  </si>
  <si>
    <t>OC0054694</t>
  </si>
  <si>
    <t>OC0054703</t>
  </si>
  <si>
    <t>OC0054710</t>
  </si>
  <si>
    <t>OC0054711</t>
  </si>
  <si>
    <t>OC0054712</t>
  </si>
  <si>
    <t>OC0054713</t>
  </si>
  <si>
    <t>OC0054715</t>
  </si>
  <si>
    <t>OC0054716</t>
  </si>
  <si>
    <t>OC0054724</t>
  </si>
  <si>
    <t>OC0054735</t>
  </si>
  <si>
    <t>OC0054748</t>
  </si>
  <si>
    <t>OC0054767</t>
  </si>
  <si>
    <t>OC0054769</t>
  </si>
  <si>
    <t>OC0054770</t>
  </si>
  <si>
    <t>OC0054772</t>
  </si>
  <si>
    <t>OC0054774</t>
  </si>
  <si>
    <t>OC0054776</t>
  </si>
  <si>
    <t>OC0054777</t>
  </si>
  <si>
    <t>OC0054853</t>
  </si>
  <si>
    <t>OC0054854</t>
  </si>
  <si>
    <t>OC0054888</t>
  </si>
  <si>
    <t>OC0054892</t>
  </si>
  <si>
    <t>OC0054895</t>
  </si>
  <si>
    <t>OC0054919</t>
  </si>
  <si>
    <t>OC0054920</t>
  </si>
  <si>
    <t>OC0054933</t>
  </si>
  <si>
    <t>OC0054942</t>
  </si>
  <si>
    <t>OC0054943</t>
  </si>
  <si>
    <t>OC0054945</t>
  </si>
  <si>
    <t>OC0054951</t>
  </si>
  <si>
    <t>OC0054952</t>
  </si>
  <si>
    <t>OC0054953</t>
  </si>
  <si>
    <t>OC0054954</t>
  </si>
  <si>
    <t>OC0054974</t>
  </si>
  <si>
    <t>OC0055024</t>
  </si>
  <si>
    <t>OC0055025</t>
  </si>
  <si>
    <t>OC0055026</t>
  </si>
  <si>
    <t>OC0055028</t>
  </si>
  <si>
    <t>OC0055029</t>
  </si>
  <si>
    <t>OC0055030</t>
  </si>
  <si>
    <t>OC0055031</t>
  </si>
  <si>
    <t>OC0055032</t>
  </si>
  <si>
    <t>OC0055033</t>
  </si>
  <si>
    <t>OC0055034</t>
  </si>
  <si>
    <t>OC0055037</t>
  </si>
  <si>
    <t>OC0055039</t>
  </si>
  <si>
    <t>OC0055116</t>
  </si>
  <si>
    <t>OC0055118</t>
  </si>
  <si>
    <t>OC0055119</t>
  </si>
  <si>
    <t>OC0055120</t>
  </si>
  <si>
    <t>OC0055122</t>
  </si>
  <si>
    <t>OC0055130</t>
  </si>
  <si>
    <t>OC0055132</t>
  </si>
  <si>
    <t>OC0055147</t>
  </si>
  <si>
    <t>OC0055149</t>
  </si>
  <si>
    <t>OC0055156</t>
  </si>
  <si>
    <t>OC0055157</t>
  </si>
  <si>
    <t>OC0055166</t>
  </si>
  <si>
    <t>OC0055170</t>
  </si>
  <si>
    <t>OC0055171</t>
  </si>
  <si>
    <t>OC0055172</t>
  </si>
  <si>
    <t>OC0055173</t>
  </si>
  <si>
    <t>OC0055176</t>
  </si>
  <si>
    <t>OC0055178</t>
  </si>
  <si>
    <t>OC0055192</t>
  </si>
  <si>
    <t>OC0055207</t>
  </si>
  <si>
    <t>OC0055226</t>
  </si>
  <si>
    <t>OC0055229</t>
  </si>
  <si>
    <t>OC0055230</t>
  </si>
  <si>
    <t>OC0055231</t>
  </si>
  <si>
    <t>OC0055237</t>
  </si>
  <si>
    <t>OC0055238</t>
  </si>
  <si>
    <t>OC0055249</t>
  </si>
  <si>
    <t>OC0055251</t>
  </si>
  <si>
    <t>OC0055252</t>
  </si>
  <si>
    <t>OC0055255</t>
  </si>
  <si>
    <t>OC0055256</t>
  </si>
  <si>
    <t>OC0055257</t>
  </si>
  <si>
    <t>OC0055258</t>
  </si>
  <si>
    <t>OC0055261</t>
  </si>
  <si>
    <t>OC0055263</t>
  </si>
  <si>
    <t>OC0055265</t>
  </si>
  <si>
    <t>OC0055266</t>
  </si>
  <si>
    <t>OC0055271</t>
  </si>
  <si>
    <t>OC0055272</t>
  </si>
  <si>
    <t>OC0055276</t>
  </si>
  <si>
    <t>OC0055277</t>
  </si>
  <si>
    <t>OC0055278</t>
  </si>
  <si>
    <t>OC0055290</t>
  </si>
  <si>
    <t>OC0055291</t>
  </si>
  <si>
    <t>OC0055292</t>
  </si>
  <si>
    <t>OC0055293</t>
  </si>
  <si>
    <t>OC0055304</t>
  </si>
  <si>
    <t>OC0055310</t>
  </si>
  <si>
    <t>OC0055314</t>
  </si>
  <si>
    <t>OC0055319</t>
  </si>
  <si>
    <t>OC0055321</t>
  </si>
  <si>
    <t>OC0055323</t>
  </si>
  <si>
    <t>OC0055324</t>
  </si>
  <si>
    <t>OC0055326</t>
  </si>
  <si>
    <t>OC0055327</t>
  </si>
  <si>
    <t>OC0055329</t>
  </si>
  <si>
    <t>OC0055337</t>
  </si>
  <si>
    <t>OC0055341</t>
  </si>
  <si>
    <t>OC0055343</t>
  </si>
  <si>
    <t>OC0055347</t>
  </si>
  <si>
    <t>OC0055349</t>
  </si>
  <si>
    <t>OC0055350</t>
  </si>
  <si>
    <t>OC0055351</t>
  </si>
  <si>
    <t>OC0055352</t>
  </si>
  <si>
    <t>OC0055353</t>
  </si>
  <si>
    <t>OC0055355</t>
  </si>
  <si>
    <t>OC0055363</t>
  </si>
  <si>
    <t>OC0055382</t>
  </si>
  <si>
    <t>OC0055385</t>
  </si>
  <si>
    <t>OC0055386</t>
  </si>
  <si>
    <t>OC0055402</t>
  </si>
  <si>
    <t>OC0055412</t>
  </si>
  <si>
    <t>OC0055414</t>
  </si>
  <si>
    <t>OC0055424</t>
  </si>
  <si>
    <t>OC0055427</t>
  </si>
  <si>
    <t>OC0055428</t>
  </si>
  <si>
    <t>OC0055431</t>
  </si>
  <si>
    <t>OC0055432</t>
  </si>
  <si>
    <t>OC0055434</t>
  </si>
  <si>
    <t>OC0055435</t>
  </si>
  <si>
    <t>OC0055448</t>
  </si>
  <si>
    <t>OC0055451</t>
  </si>
  <si>
    <t>OC0055453</t>
  </si>
  <si>
    <t>OC0055454</t>
  </si>
  <si>
    <t>OC0055456</t>
  </si>
  <si>
    <t>OC0055460</t>
  </si>
  <si>
    <t>OC0055461</t>
  </si>
  <si>
    <t>OC0055463</t>
  </si>
  <si>
    <t>OC0055465</t>
  </si>
  <si>
    <t>OC0055467</t>
  </si>
  <si>
    <t>OC0055477</t>
  </si>
  <si>
    <t>OC0055481</t>
  </si>
  <si>
    <t>OC0055485</t>
  </si>
  <si>
    <t>OC0055489</t>
  </si>
  <si>
    <t>OC0055498</t>
  </si>
  <si>
    <t>OC0055512</t>
  </si>
  <si>
    <t>OC0055535</t>
  </si>
  <si>
    <t>OC0055536</t>
  </si>
  <si>
    <t>OC0055537</t>
  </si>
  <si>
    <t>OC0055565</t>
  </si>
  <si>
    <t>OC0055585</t>
  </si>
  <si>
    <t>OC0055586</t>
  </si>
  <si>
    <t>OC0055587</t>
  </si>
  <si>
    <t>OC0055589</t>
  </si>
  <si>
    <t>OC0055592</t>
  </si>
  <si>
    <t>OC0055593</t>
  </si>
  <si>
    <t>OC0055594</t>
  </si>
  <si>
    <t>OC0055595</t>
  </si>
  <si>
    <t>OC0055596</t>
  </si>
  <si>
    <t>OC0055598</t>
  </si>
  <si>
    <t>OC0055611</t>
  </si>
  <si>
    <t>OC0055617</t>
  </si>
  <si>
    <t>OC0055618</t>
  </si>
  <si>
    <t>OC0055619</t>
  </si>
  <si>
    <t>OC0055620</t>
  </si>
  <si>
    <t>OC0055621</t>
  </si>
  <si>
    <t>OC0055626</t>
  </si>
  <si>
    <t>OC0055627</t>
  </si>
  <si>
    <t>OC0055632</t>
  </si>
  <si>
    <t>OC0055633</t>
  </si>
  <si>
    <t>OC0055644</t>
  </si>
  <si>
    <t>OC0055645</t>
  </si>
  <si>
    <t>OC0055646</t>
  </si>
  <si>
    <t>OC0055649</t>
  </si>
  <si>
    <t>OC0055652</t>
  </si>
  <si>
    <t>OC0055653</t>
  </si>
  <si>
    <t>OC0055657</t>
  </si>
  <si>
    <t>OC0055661</t>
  </si>
  <si>
    <t>OC0055662</t>
  </si>
  <si>
    <t>OC0055663</t>
  </si>
  <si>
    <t>OC0055665</t>
  </si>
  <si>
    <t>OC0055698</t>
  </si>
  <si>
    <t>OC0055703</t>
  </si>
  <si>
    <t>OC0055707</t>
  </si>
  <si>
    <t>OC0055708</t>
  </si>
  <si>
    <t>OC0055713</t>
  </si>
  <si>
    <t>OC0055714</t>
  </si>
  <si>
    <t>OC0055716</t>
  </si>
  <si>
    <t>OC0055733</t>
  </si>
  <si>
    <t>OC0055753</t>
  </si>
  <si>
    <t>OC0055755</t>
  </si>
  <si>
    <t>OC0055767</t>
  </si>
  <si>
    <t>OC0055770</t>
  </si>
  <si>
    <t>OC0055785</t>
  </si>
  <si>
    <t>OC0055787</t>
  </si>
  <si>
    <t>OC0055812</t>
  </si>
  <si>
    <t>OC0055816</t>
  </si>
  <si>
    <t>OC0055817</t>
  </si>
  <si>
    <t>OC0055819</t>
  </si>
  <si>
    <t>OC0055834</t>
  </si>
  <si>
    <t>OC0055886</t>
  </si>
  <si>
    <t>OC0055898</t>
  </si>
  <si>
    <t>OC0055899</t>
  </si>
  <si>
    <t>OC0055900</t>
  </si>
  <si>
    <t>OC0055918</t>
  </si>
  <si>
    <t>OC0055919</t>
  </si>
  <si>
    <t>OC0055920</t>
  </si>
  <si>
    <t>OC0055921</t>
  </si>
  <si>
    <t>OC0055923</t>
  </si>
  <si>
    <t>OC0055924</t>
  </si>
  <si>
    <t>OC0055949</t>
  </si>
  <si>
    <t>OC0055951</t>
  </si>
  <si>
    <t>OC0055952</t>
  </si>
  <si>
    <t>OC0055957</t>
  </si>
  <si>
    <t>OC0055958</t>
  </si>
  <si>
    <t>OC0055961</t>
  </si>
  <si>
    <t>OC0055971</t>
  </si>
  <si>
    <t>OC0055974</t>
  </si>
  <si>
    <t>OC0055975</t>
  </si>
  <si>
    <t>OC0055976</t>
  </si>
  <si>
    <t>OC0055978</t>
  </si>
  <si>
    <t>OC0055979</t>
  </si>
  <si>
    <t>OC0055980</t>
  </si>
  <si>
    <t>OC0055981</t>
  </si>
  <si>
    <t>OC0055985</t>
  </si>
  <si>
    <t>OC0056001</t>
  </si>
  <si>
    <t>OC0056002</t>
  </si>
  <si>
    <t>OC0056008</t>
  </si>
  <si>
    <t>OC0056013</t>
  </si>
  <si>
    <t>OC0056071</t>
  </si>
  <si>
    <t>OC0056072</t>
  </si>
  <si>
    <t>OC0056073</t>
  </si>
  <si>
    <t>OC0056074</t>
  </si>
  <si>
    <t>OC0056140</t>
  </si>
  <si>
    <t>OC0056145</t>
  </si>
  <si>
    <t>OC0056164</t>
  </si>
  <si>
    <t>OC0056165</t>
  </si>
  <si>
    <t>OC0056221</t>
  </si>
  <si>
    <t>OC0056225</t>
  </si>
  <si>
    <t>OC0056233</t>
  </si>
  <si>
    <t>OC0056240</t>
  </si>
  <si>
    <t>OC0056241</t>
  </si>
  <si>
    <t>OC0056246</t>
  </si>
  <si>
    <t>OC0056249</t>
  </si>
  <si>
    <t>OC0056264</t>
  </si>
  <si>
    <t>OC0056280</t>
  </si>
  <si>
    <t>OC0056313</t>
  </si>
  <si>
    <t>OC0056336</t>
  </si>
  <si>
    <t>OC0056340</t>
  </si>
  <si>
    <t>OC0056341</t>
  </si>
  <si>
    <t>OC0056344</t>
  </si>
  <si>
    <t>OC0056347</t>
  </si>
  <si>
    <t>OC0056348</t>
  </si>
  <si>
    <t>OC0056349</t>
  </si>
  <si>
    <t>OC0056352</t>
  </si>
  <si>
    <t>OC0056356</t>
  </si>
  <si>
    <t>OC0056360</t>
  </si>
  <si>
    <t>OC0056362</t>
  </si>
  <si>
    <t>OC0056363</t>
  </si>
  <si>
    <t>OC0056371</t>
  </si>
  <si>
    <t>OC0056375</t>
  </si>
  <si>
    <t>OC0056376</t>
  </si>
  <si>
    <t>OC0056378</t>
  </si>
  <si>
    <t>OC0056383</t>
  </si>
  <si>
    <t>OC0056388</t>
  </si>
  <si>
    <t>OC0056395</t>
  </si>
  <si>
    <t>OC0056398</t>
  </si>
  <si>
    <t>OC0056399</t>
  </si>
  <si>
    <t>OC0056403</t>
  </si>
  <si>
    <t>OC0056404</t>
  </si>
  <si>
    <t>OC0056405</t>
  </si>
  <si>
    <t>OC0056406</t>
  </si>
  <si>
    <t>OC0056407</t>
  </si>
  <si>
    <t>OC0056408</t>
  </si>
  <si>
    <t>OC0056409</t>
  </si>
  <si>
    <t>OC0056410</t>
  </si>
  <si>
    <t>OC0056415</t>
  </si>
  <si>
    <t>OC0056416</t>
  </si>
  <si>
    <t>OC0056423</t>
  </si>
  <si>
    <t>OC0056429</t>
  </si>
  <si>
    <t>OC0056436</t>
  </si>
  <si>
    <t>OC0056438</t>
  </si>
  <si>
    <t>OC0056450</t>
  </si>
  <si>
    <t>OC0056451</t>
  </si>
  <si>
    <t>OC0056452</t>
  </si>
  <si>
    <t>OC0056453</t>
  </si>
  <si>
    <t>OC0056454</t>
  </si>
  <si>
    <t>OC0056455</t>
  </si>
  <si>
    <t>OC0056457</t>
  </si>
  <si>
    <t>OC0056459</t>
  </si>
  <si>
    <t>OC0056463</t>
  </si>
  <si>
    <t>OC0056468</t>
  </si>
  <si>
    <t>OC0056472</t>
  </si>
  <si>
    <t>OC0056473</t>
  </si>
  <si>
    <t>OC0056475</t>
  </si>
  <si>
    <t>OC0056479</t>
  </si>
  <si>
    <t>OC0056480</t>
  </si>
  <si>
    <t>OC0056493</t>
  </si>
  <si>
    <t>OC0056525</t>
  </si>
  <si>
    <t>OC0056528</t>
  </si>
  <si>
    <t>OC0056530</t>
  </si>
  <si>
    <t>OC0056534</t>
  </si>
  <si>
    <t>OC0056536</t>
  </si>
  <si>
    <t>OC0056538</t>
  </si>
  <si>
    <t>OC0056540</t>
  </si>
  <si>
    <t>OC0056553</t>
  </si>
  <si>
    <t>OC0056560</t>
  </si>
  <si>
    <t>OC0056561</t>
  </si>
  <si>
    <t>OC0056562</t>
  </si>
  <si>
    <t>OC0056563</t>
  </si>
  <si>
    <t>OC0056568</t>
  </si>
  <si>
    <t>OC0056571</t>
  </si>
  <si>
    <t>OC0056575</t>
  </si>
  <si>
    <t>OC0056576</t>
  </si>
  <si>
    <t>OC0056577</t>
  </si>
  <si>
    <t>OC0056578</t>
  </si>
  <si>
    <t>OC0056580</t>
  </si>
  <si>
    <t>OC0056587</t>
  </si>
  <si>
    <t>OC0056590</t>
  </si>
  <si>
    <t>OC0056591</t>
  </si>
  <si>
    <t>OC0056600</t>
  </si>
  <si>
    <t>OC0056603</t>
  </si>
  <si>
    <t>OC0056604</t>
  </si>
  <si>
    <t>OC0056629</t>
  </si>
  <si>
    <t>OC0056634</t>
  </si>
  <si>
    <t>OC0056635</t>
  </si>
  <si>
    <t>OC0056636</t>
  </si>
  <si>
    <t>OC0056637</t>
  </si>
  <si>
    <t>OC0056638</t>
  </si>
  <si>
    <t>OC0056641</t>
  </si>
  <si>
    <t>OC0056659</t>
  </si>
  <si>
    <t>OC0056665</t>
  </si>
  <si>
    <t>OC0056682</t>
  </si>
  <si>
    <t>OC0056695</t>
  </si>
  <si>
    <t>OC0056696</t>
  </si>
  <si>
    <t>OC0056703</t>
  </si>
  <si>
    <t>OC0056709</t>
  </si>
  <si>
    <t>OC0056710</t>
  </si>
  <si>
    <t>OC0056721</t>
  </si>
  <si>
    <t>OC0056727</t>
  </si>
  <si>
    <t>OC0056728</t>
  </si>
  <si>
    <t>OC0056736</t>
  </si>
  <si>
    <t>OC0056737</t>
  </si>
  <si>
    <t>OC0056740</t>
  </si>
  <si>
    <t>OC0056741</t>
  </si>
  <si>
    <t>OC0056744</t>
  </si>
  <si>
    <t>OC0056748</t>
  </si>
  <si>
    <t>OC0056750</t>
  </si>
  <si>
    <t>OC0056753</t>
  </si>
  <si>
    <t>OC0056754</t>
  </si>
  <si>
    <t>OC0056755</t>
  </si>
  <si>
    <t>OC0056756</t>
  </si>
  <si>
    <t>OC0056757</t>
  </si>
  <si>
    <t>OC0056765</t>
  </si>
  <si>
    <t>OC0056782</t>
  </si>
  <si>
    <t>OC0056784</t>
  </si>
  <si>
    <t>OC0056793</t>
  </si>
  <si>
    <t>OC0056815</t>
  </si>
  <si>
    <t>OC0056816</t>
  </si>
  <si>
    <t>OC0056817</t>
  </si>
  <si>
    <t>OC0056819</t>
  </si>
  <si>
    <t>OC0056820</t>
  </si>
  <si>
    <t>OC0056821</t>
  </si>
  <si>
    <t>OC0056823</t>
  </si>
  <si>
    <t>OC0056848</t>
  </si>
  <si>
    <t>OC0056853</t>
  </si>
  <si>
    <t>OC0056886</t>
  </si>
  <si>
    <t>OC0056893</t>
  </si>
  <si>
    <t>OC0056895</t>
  </si>
  <si>
    <t>OC0056904</t>
  </si>
  <si>
    <t>OC0056905</t>
  </si>
  <si>
    <t>OC0056907</t>
  </si>
  <si>
    <t>OC0056908</t>
  </si>
  <si>
    <t>OC0056909</t>
  </si>
  <si>
    <t>OC0056910</t>
  </si>
  <si>
    <t>OC0056913</t>
  </si>
  <si>
    <t>OC0056915</t>
  </si>
  <si>
    <t>OC0056916</t>
  </si>
  <si>
    <t>OC0056920</t>
  </si>
  <si>
    <t>OC0056921</t>
  </si>
  <si>
    <t>OC0056922</t>
  </si>
  <si>
    <t>OC0056927</t>
  </si>
  <si>
    <t>OC0056953</t>
  </si>
  <si>
    <t>OC0056956</t>
  </si>
  <si>
    <t>OC0056957</t>
  </si>
  <si>
    <t>OC0056972</t>
  </si>
  <si>
    <t>OC0056987</t>
  </si>
  <si>
    <t>OC0056988</t>
  </si>
  <si>
    <t>OC0056990</t>
  </si>
  <si>
    <t>OC0056991</t>
  </si>
  <si>
    <t>OC0057008</t>
  </si>
  <si>
    <t>OC0057010</t>
  </si>
  <si>
    <t>OC0057014</t>
  </si>
  <si>
    <t>OC0057018</t>
  </si>
  <si>
    <t>OC0057021</t>
  </si>
  <si>
    <t>OC0057030</t>
  </si>
  <si>
    <t>OC0057052</t>
  </si>
  <si>
    <t>OC0057053</t>
  </si>
  <si>
    <t>OC0057058</t>
  </si>
  <si>
    <t>OC0057067</t>
  </si>
  <si>
    <t>OC0057068</t>
  </si>
  <si>
    <t>OC0057069</t>
  </si>
  <si>
    <t>OC0057070</t>
  </si>
  <si>
    <t>OC0057071</t>
  </si>
  <si>
    <t>OC0057075</t>
  </si>
  <si>
    <t>OC0057086</t>
  </si>
  <si>
    <t>OC0057088</t>
  </si>
  <si>
    <t>OC0057095</t>
  </si>
  <si>
    <t>OC0057102</t>
  </si>
  <si>
    <t>OC0057103</t>
  </si>
  <si>
    <t>OC0057119</t>
  </si>
  <si>
    <t>OC0057120</t>
  </si>
  <si>
    <t>OC0057124</t>
  </si>
  <si>
    <t>OC0057126</t>
  </si>
  <si>
    <t>OC0057150</t>
  </si>
  <si>
    <t>OC0057151</t>
  </si>
  <si>
    <t>OC0057152</t>
  </si>
  <si>
    <t>OC0057153</t>
  </si>
  <si>
    <t>OC0057154</t>
  </si>
  <si>
    <t>OC0057155</t>
  </si>
  <si>
    <t>OC0057159</t>
  </si>
  <si>
    <t>OC0057162</t>
  </si>
  <si>
    <t>OC0057164</t>
  </si>
  <si>
    <t>OC0057165</t>
  </si>
  <si>
    <t>OC0057191</t>
  </si>
  <si>
    <t>OC0057202</t>
  </si>
  <si>
    <t>OC0057211</t>
  </si>
  <si>
    <t>OC0057213</t>
  </si>
  <si>
    <t>OC0057227</t>
  </si>
  <si>
    <t>OC0057229</t>
  </si>
  <si>
    <t>OC0057230</t>
  </si>
  <si>
    <t>OC0057231</t>
  </si>
  <si>
    <t>OC0057233</t>
  </si>
  <si>
    <t>OC0057240</t>
  </si>
  <si>
    <t>OC0057241</t>
  </si>
  <si>
    <t>OC0057246</t>
  </si>
  <si>
    <t>OC0057263</t>
  </si>
  <si>
    <t>OC0057265</t>
  </si>
  <si>
    <t>OC0057294</t>
  </si>
  <si>
    <t>OC0057302</t>
  </si>
  <si>
    <t>OC0057320</t>
  </si>
  <si>
    <t>OC0057341</t>
  </si>
  <si>
    <t>OC0057351</t>
  </si>
  <si>
    <t>OC0057352</t>
  </si>
  <si>
    <t>OC0057380</t>
  </si>
  <si>
    <t>OC0057381</t>
  </si>
  <si>
    <t>OC0057392</t>
  </si>
  <si>
    <t>OC0057404</t>
  </si>
  <si>
    <t>OC0057405</t>
  </si>
  <si>
    <t>OC0057406</t>
  </si>
  <si>
    <t>OC0057443</t>
  </si>
  <si>
    <t>OC0057447</t>
  </si>
  <si>
    <t>OC0057448</t>
  </si>
  <si>
    <t>OC0057449</t>
  </si>
  <si>
    <t>OC0057457</t>
  </si>
  <si>
    <t>OC0057458</t>
  </si>
  <si>
    <t>OC0057459</t>
  </si>
  <si>
    <t>OC0057460</t>
  </si>
  <si>
    <t>OC0057461</t>
  </si>
  <si>
    <t>OC0057462</t>
  </si>
  <si>
    <t>OC0057463</t>
  </si>
  <si>
    <t>OC0057467</t>
  </si>
  <si>
    <t>OC0057469</t>
  </si>
  <si>
    <t>OC0057470</t>
  </si>
  <si>
    <t>OC0057472</t>
  </si>
  <si>
    <t>OC0057477</t>
  </si>
  <si>
    <t>OC0057478</t>
  </si>
  <si>
    <t>OC0057483</t>
  </si>
  <si>
    <t>OC0057485</t>
  </si>
  <si>
    <t>OC0057487</t>
  </si>
  <si>
    <t>OC0057489</t>
  </si>
  <si>
    <t>OC0057490</t>
  </si>
  <si>
    <t>OC0057491</t>
  </si>
  <si>
    <t>OC0057492</t>
  </si>
  <si>
    <t>OC0057493</t>
  </si>
  <si>
    <t>OC0057495</t>
  </si>
  <si>
    <t>OC0057496</t>
  </si>
  <si>
    <t>OC0057497</t>
  </si>
  <si>
    <t>OC0057512</t>
  </si>
  <si>
    <t>OC0057513</t>
  </si>
  <si>
    <t>OC0057514</t>
  </si>
  <si>
    <t>OC0057515</t>
  </si>
  <si>
    <t>OC0057516</t>
  </si>
  <si>
    <t>OC0057517</t>
  </si>
  <si>
    <t>OC0057520</t>
  </si>
  <si>
    <t>OC0057522</t>
  </si>
  <si>
    <t>OC0057523</t>
  </si>
  <si>
    <t>OC0057524</t>
  </si>
  <si>
    <t>OC0057526</t>
  </si>
  <si>
    <t>OC0057527</t>
  </si>
  <si>
    <t>OC0057528</t>
  </si>
  <si>
    <t>OC0057556</t>
  </si>
  <si>
    <t>OC0057558</t>
  </si>
  <si>
    <t>OC0057568</t>
  </si>
  <si>
    <t>OC0057571</t>
  </si>
  <si>
    <t>OC0057582</t>
  </si>
  <si>
    <t>OC0057585</t>
  </si>
  <si>
    <t>OC0057593</t>
  </si>
  <si>
    <t>OC0057595</t>
  </si>
  <si>
    <t>OC0057596</t>
  </si>
  <si>
    <t>OC0057610</t>
  </si>
  <si>
    <t>OC0057637</t>
  </si>
  <si>
    <t>OC0057638</t>
  </si>
  <si>
    <t>OC0057639</t>
  </si>
  <si>
    <t>OC0057640</t>
  </si>
  <si>
    <t>OC0057642</t>
  </si>
  <si>
    <t>OC0057677</t>
  </si>
  <si>
    <t>OC0057682</t>
  </si>
  <si>
    <t>OC0057690</t>
  </si>
  <si>
    <t>OC0057691</t>
  </si>
  <si>
    <t>OC0057693</t>
  </si>
  <si>
    <t>OC0057697</t>
  </si>
  <si>
    <t>OC0057704</t>
  </si>
  <si>
    <t>OC0057709</t>
  </si>
  <si>
    <t>OC0057710</t>
  </si>
  <si>
    <t>OC0057712</t>
  </si>
  <si>
    <t>OC0057715</t>
  </si>
  <si>
    <t>OC0057720</t>
  </si>
  <si>
    <t>OC0057721</t>
  </si>
  <si>
    <t>OC0057723</t>
  </si>
  <si>
    <t>OC0057725</t>
  </si>
  <si>
    <t>OC0057726</t>
  </si>
  <si>
    <t>OC0057740</t>
  </si>
  <si>
    <t>OC0057766</t>
  </si>
  <si>
    <t>OC0057787</t>
  </si>
  <si>
    <t>OC0057788</t>
  </si>
  <si>
    <t>OC0057791</t>
  </si>
  <si>
    <t>OC0057792</t>
  </si>
  <si>
    <t>OC0057794</t>
  </si>
  <si>
    <t>OC0057800</t>
  </si>
  <si>
    <t>OC0057810</t>
  </si>
  <si>
    <t>OC0057829</t>
  </si>
  <si>
    <t>OC0057837</t>
  </si>
  <si>
    <t>OC0057839</t>
  </si>
  <si>
    <t>OC0057842</t>
  </si>
  <si>
    <t>OC0057858</t>
  </si>
  <si>
    <t>OC0057864</t>
  </si>
  <si>
    <t>OC0057871</t>
  </si>
  <si>
    <t>OC0057873</t>
  </si>
  <si>
    <t>OC0057876</t>
  </si>
  <si>
    <t>OC0057888</t>
  </si>
  <si>
    <t>OC0057904</t>
  </si>
  <si>
    <t>OC0057910</t>
  </si>
  <si>
    <t>OC0057912</t>
  </si>
  <si>
    <t>OC0057915</t>
  </si>
  <si>
    <t>OC0057923</t>
  </si>
  <si>
    <t>OC0057924</t>
  </si>
  <si>
    <t>OC0057943</t>
  </si>
  <si>
    <t>OC0057944</t>
  </si>
  <si>
    <t>OC0057945</t>
  </si>
  <si>
    <t>OC0057946</t>
  </si>
  <si>
    <t>OC0057947</t>
  </si>
  <si>
    <t>OC0057957</t>
  </si>
  <si>
    <t>OC0057962</t>
  </si>
  <si>
    <t>OC0057963</t>
  </si>
  <si>
    <t>OC0057965</t>
  </si>
  <si>
    <t>OC0057979</t>
  </si>
  <si>
    <t>OC0057980</t>
  </si>
  <si>
    <t>OC0057983</t>
  </si>
  <si>
    <t>OC0057984</t>
  </si>
  <si>
    <t>OC0057993</t>
  </si>
  <si>
    <t>OC0058011</t>
  </si>
  <si>
    <t>OC0058025</t>
  </si>
  <si>
    <t>OC0058027</t>
  </si>
  <si>
    <t>OC0058028</t>
  </si>
  <si>
    <t>OC0058030</t>
  </si>
  <si>
    <t>OC0058044</t>
  </si>
  <si>
    <t>OC0058051</t>
  </si>
  <si>
    <t>OC0058059</t>
  </si>
  <si>
    <t>OC0058060</t>
  </si>
  <si>
    <t>OC0058065</t>
  </si>
  <si>
    <t>OC0058068</t>
  </si>
  <si>
    <t>OC0058070</t>
  </si>
  <si>
    <t>OC0058072</t>
  </si>
  <si>
    <t>OC0058074</t>
  </si>
  <si>
    <t>OC0058098</t>
  </si>
  <si>
    <t>OC0058122</t>
  </si>
  <si>
    <t>OC0058126</t>
  </si>
  <si>
    <t>OC0058127</t>
  </si>
  <si>
    <t>OC0058129</t>
  </si>
  <si>
    <t>OC0058162</t>
  </si>
  <si>
    <t>OC0058165</t>
  </si>
  <si>
    <t>OC0058166</t>
  </si>
  <si>
    <t>OC0058168</t>
  </si>
  <si>
    <t>OC0058190</t>
  </si>
  <si>
    <t>OC0058191</t>
  </si>
  <si>
    <t>OC0058194</t>
  </si>
  <si>
    <t>OC0058197</t>
  </si>
  <si>
    <t>OC0058198</t>
  </si>
  <si>
    <t>OC0058210</t>
  </si>
  <si>
    <t>OC0058218</t>
  </si>
  <si>
    <t>OC0058223</t>
  </si>
  <si>
    <t>OC0058226</t>
  </si>
  <si>
    <t>OC0058229</t>
  </si>
  <si>
    <t>OC0058236</t>
  </si>
  <si>
    <t>OC0058239</t>
  </si>
  <si>
    <t>OC0058247</t>
  </si>
  <si>
    <t>OC0058254</t>
  </si>
  <si>
    <t>OC0058270</t>
  </si>
  <si>
    <t>OC0058271</t>
  </si>
  <si>
    <t>OC0058282</t>
  </si>
  <si>
    <t>OC0058283</t>
  </si>
  <si>
    <t>OC0058284</t>
  </si>
  <si>
    <t>OC0058285</t>
  </si>
  <si>
    <t>OC0058287</t>
  </si>
  <si>
    <t>OC0058288</t>
  </si>
  <si>
    <t>OC0058304</t>
  </si>
  <si>
    <t>OC0058312</t>
  </si>
  <si>
    <t>OC0058317</t>
  </si>
  <si>
    <t>OC0058350</t>
  </si>
  <si>
    <t>OC0058394</t>
  </si>
  <si>
    <t>OC0058395</t>
  </si>
  <si>
    <t>OC0058396</t>
  </si>
  <si>
    <t>OC0058397</t>
  </si>
  <si>
    <t>OC0058398</t>
  </si>
  <si>
    <t>OC0058399</t>
  </si>
  <si>
    <t>OC0058414</t>
  </si>
  <si>
    <t>OC0058439</t>
  </si>
  <si>
    <t>OC0058457</t>
  </si>
  <si>
    <t>OC0058513</t>
  </si>
  <si>
    <t>OC0058516</t>
  </si>
  <si>
    <t>OC0058518</t>
  </si>
  <si>
    <t>OC0058520</t>
  </si>
  <si>
    <t>OC0058546</t>
  </si>
  <si>
    <t>OC0058576</t>
  </si>
  <si>
    <t>OC0058600</t>
  </si>
  <si>
    <t>OC0058607</t>
  </si>
  <si>
    <t>OC0058608</t>
  </si>
  <si>
    <t>OC0058611</t>
  </si>
  <si>
    <t>OC0058618</t>
  </si>
  <si>
    <t>OC0058629</t>
  </si>
  <si>
    <t>OC0058631</t>
  </si>
  <si>
    <t>OC0058633</t>
  </si>
  <si>
    <t>OC0058635</t>
  </si>
  <si>
    <t>OC0058638</t>
  </si>
  <si>
    <t>OC0058639</t>
  </si>
  <si>
    <t>OC0058640</t>
  </si>
  <si>
    <t>OC0058641</t>
  </si>
  <si>
    <t>OC0058643</t>
  </si>
  <si>
    <t>OC0058645</t>
  </si>
  <si>
    <t>OC0058646</t>
  </si>
  <si>
    <t>OC0058647</t>
  </si>
  <si>
    <t>OC0058652</t>
  </si>
  <si>
    <t>OC0058653</t>
  </si>
  <si>
    <t>OC0058654</t>
  </si>
  <si>
    <t>OC0058657</t>
  </si>
  <si>
    <t>OC0058664</t>
  </si>
  <si>
    <t>OC0058665</t>
  </si>
  <si>
    <t>OC0058667</t>
  </si>
  <si>
    <t>OC0058671</t>
  </si>
  <si>
    <t>OC0058672</t>
  </si>
  <si>
    <t>OC0058680</t>
  </si>
  <si>
    <t>OC0058689</t>
  </si>
  <si>
    <t>OC0058694</t>
  </si>
  <si>
    <t>OC0058695</t>
  </si>
  <si>
    <t>OC0058696</t>
  </si>
  <si>
    <t>OC0058707</t>
  </si>
  <si>
    <t>OC0058708</t>
  </si>
  <si>
    <t>OC0058714</t>
  </si>
  <si>
    <t>OC0058724</t>
  </si>
  <si>
    <t>OC0058727</t>
  </si>
  <si>
    <t>OC0058728</t>
  </si>
  <si>
    <t>OC0058729</t>
  </si>
  <si>
    <t>OC0058732</t>
  </si>
  <si>
    <t>OC0058734</t>
  </si>
  <si>
    <t>OC0058740</t>
  </si>
  <si>
    <t>OC0058748</t>
  </si>
  <si>
    <t>OC0058758</t>
  </si>
  <si>
    <t>OC0058759</t>
  </si>
  <si>
    <t>OC0058760</t>
  </si>
  <si>
    <t>OC0058761</t>
  </si>
  <si>
    <t>OC0058762</t>
  </si>
  <si>
    <t>OC0058766</t>
  </si>
  <si>
    <t>OC0058768</t>
  </si>
  <si>
    <t>OC0058769</t>
  </si>
  <si>
    <t>OC0058771</t>
  </si>
  <si>
    <t>OC0058781</t>
  </si>
  <si>
    <t>OC0058783</t>
  </si>
  <si>
    <t>OC0058785</t>
  </si>
  <si>
    <t>OC0058787</t>
  </si>
  <si>
    <t>OC0058790</t>
  </si>
  <si>
    <t>OC0058791</t>
  </si>
  <si>
    <t>OC0058795</t>
  </si>
  <si>
    <t>OC0058811</t>
  </si>
  <si>
    <t>OC0058812</t>
  </si>
  <si>
    <t>OC0058813</t>
  </si>
  <si>
    <t>OC0058820</t>
  </si>
  <si>
    <t>OC0058822</t>
  </si>
  <si>
    <t>OC0058825</t>
  </si>
  <si>
    <t>OC0058826</t>
  </si>
  <si>
    <t>OC0058829</t>
  </si>
  <si>
    <t>OC0058830</t>
  </si>
  <si>
    <t>OC0058844</t>
  </si>
  <si>
    <t>OC0058845</t>
  </si>
  <si>
    <t>OC0058847</t>
  </si>
  <si>
    <t>OC0058848</t>
  </si>
  <si>
    <t>OC0058851</t>
  </si>
  <si>
    <t>OC0058856</t>
  </si>
  <si>
    <t>OC0058857</t>
  </si>
  <si>
    <t>OC0058866</t>
  </si>
  <si>
    <t>OC0058879</t>
  </si>
  <si>
    <t>OC0058883</t>
  </si>
  <si>
    <t>OC0058912</t>
  </si>
  <si>
    <t>OC0058921</t>
  </si>
  <si>
    <t>OC0058922</t>
  </si>
  <si>
    <t>OC0058923</t>
  </si>
  <si>
    <t>OC0058924</t>
  </si>
  <si>
    <t>OC0058938</t>
  </si>
  <si>
    <t>OC0058963</t>
  </si>
  <si>
    <t>OC0058967</t>
  </si>
  <si>
    <t>OC0058982</t>
  </si>
  <si>
    <t>OC0058988</t>
  </si>
  <si>
    <t>OC0058998</t>
  </si>
  <si>
    <t>OC0058999</t>
  </si>
  <si>
    <t>OC0059014</t>
  </si>
  <si>
    <t>OC0059018</t>
  </si>
  <si>
    <t>OC0059019</t>
  </si>
  <si>
    <t>OC0059027</t>
  </si>
  <si>
    <t>OC0059029</t>
  </si>
  <si>
    <t>OC0059035</t>
  </si>
  <si>
    <t>OC0059036</t>
  </si>
  <si>
    <t>OC0059037</t>
  </si>
  <si>
    <t>OC0059038</t>
  </si>
  <si>
    <t>OC0059039</t>
  </si>
  <si>
    <t>OC0059050</t>
  </si>
  <si>
    <t>OC0059055</t>
  </si>
  <si>
    <t>OC0059071</t>
  </si>
  <si>
    <t>OC0059102</t>
  </si>
  <si>
    <t>OC0059103</t>
  </si>
  <si>
    <t>OC0059116</t>
  </si>
  <si>
    <t>OC0059134</t>
  </si>
  <si>
    <t>OC0059142</t>
  </si>
  <si>
    <t>OC0059143</t>
  </si>
  <si>
    <t>OC0059159</t>
  </si>
  <si>
    <t>OC0059161</t>
  </si>
  <si>
    <t>OC0059163</t>
  </si>
  <si>
    <t>OC0059197</t>
  </si>
  <si>
    <t>OC0059198</t>
  </si>
  <si>
    <t>OC0059199</t>
  </si>
  <si>
    <t>OC0059200</t>
  </si>
  <si>
    <t>OC0059207</t>
  </si>
  <si>
    <t>OC0059208</t>
  </si>
  <si>
    <t>OC0059210</t>
  </si>
  <si>
    <t>OC0059225</t>
  </si>
  <si>
    <t>OC0059238</t>
  </si>
  <si>
    <t>OC0059239</t>
  </si>
  <si>
    <t>OC0059241</t>
  </si>
  <si>
    <t>OC0059242</t>
  </si>
  <si>
    <t>OC0059243</t>
  </si>
  <si>
    <t>OC0059245</t>
  </si>
  <si>
    <t>OC0059248</t>
  </si>
  <si>
    <t>OC0059264</t>
  </si>
  <si>
    <t>OC0059268</t>
  </si>
  <si>
    <t>OC0059270</t>
  </si>
  <si>
    <t>OC0059272</t>
  </si>
  <si>
    <t>OC0059274</t>
  </si>
  <si>
    <t>OC0059275</t>
  </si>
  <si>
    <t>OC0059276</t>
  </si>
  <si>
    <t>OC0059288</t>
  </si>
  <si>
    <t>OC0059301</t>
  </si>
  <si>
    <t>OC0059310</t>
  </si>
  <si>
    <t>OC0059311</t>
  </si>
  <si>
    <t>OC0059312</t>
  </si>
  <si>
    <t>OC0059313</t>
  </si>
  <si>
    <t>OC0059318</t>
  </si>
  <si>
    <t>OC0059319</t>
  </si>
  <si>
    <t>OC0059320</t>
  </si>
  <si>
    <t>OC0059322</t>
  </si>
  <si>
    <t>OC0059323</t>
  </si>
  <si>
    <t>OC0059327</t>
  </si>
  <si>
    <t>OC0059336</t>
  </si>
  <si>
    <t>OC0059338</t>
  </si>
  <si>
    <t>OC0059347</t>
  </si>
  <si>
    <t>OC0059353</t>
  </si>
  <si>
    <t>OC0059366</t>
  </si>
  <si>
    <t>OC0059368</t>
  </si>
  <si>
    <t>OC0059383</t>
  </si>
  <si>
    <t>OC0059384</t>
  </si>
  <si>
    <t>OC0059387</t>
  </si>
  <si>
    <t>OC0059390</t>
  </si>
  <si>
    <t>OC0059391</t>
  </si>
  <si>
    <t>OC0059393</t>
  </si>
  <si>
    <t>OC0059394</t>
  </si>
  <si>
    <t>OC0059398</t>
  </si>
  <si>
    <t>OC0059414</t>
  </si>
  <si>
    <t>OC0059415</t>
  </si>
  <si>
    <t>OC0059429</t>
  </si>
  <si>
    <t>OC0059430</t>
  </si>
  <si>
    <t>OC0059434</t>
  </si>
  <si>
    <t>OC0059436</t>
  </si>
  <si>
    <t>OC0059437</t>
  </si>
  <si>
    <t>OC0059438</t>
  </si>
  <si>
    <t>OC0059442</t>
  </si>
  <si>
    <t>OC0059443</t>
  </si>
  <si>
    <t>OC0059470</t>
  </si>
  <si>
    <t>OC0059480</t>
  </si>
  <si>
    <t>OC0059481</t>
  </si>
  <si>
    <t>OC0059482</t>
  </si>
  <si>
    <t>OC0059485</t>
  </si>
  <si>
    <t>OC0059488</t>
  </si>
  <si>
    <t>OC0059489</t>
  </si>
  <si>
    <t>OC0059504</t>
  </si>
  <si>
    <t>OC0059506</t>
  </si>
  <si>
    <t>OC0059522</t>
  </si>
  <si>
    <t>OC0059527</t>
  </si>
  <si>
    <t>OC0059528</t>
  </si>
  <si>
    <t>OC0059530</t>
  </si>
  <si>
    <t>OC0059540</t>
  </si>
  <si>
    <t>OC0059541</t>
  </si>
  <si>
    <t>OC0059577</t>
  </si>
  <si>
    <t>OC0059578</t>
  </si>
  <si>
    <t>OC0059586</t>
  </si>
  <si>
    <t>OC0059587</t>
  </si>
  <si>
    <t>OC0059593</t>
  </si>
  <si>
    <t>OC0059594</t>
  </si>
  <si>
    <t>OC0059595</t>
  </si>
  <si>
    <t>OC0059597</t>
  </si>
  <si>
    <t>OC0059600</t>
  </si>
  <si>
    <t>OC0059606</t>
  </si>
  <si>
    <t>OC0059607</t>
  </si>
  <si>
    <t>OC0059616</t>
  </si>
  <si>
    <t>OC0059619</t>
  </si>
  <si>
    <t>OC0059624</t>
  </si>
  <si>
    <t>OC0059641</t>
  </si>
  <si>
    <t>OC0059642</t>
  </si>
  <si>
    <t>OC0059643</t>
  </si>
  <si>
    <t>OC0059647</t>
  </si>
  <si>
    <t>OC0059652</t>
  </si>
  <si>
    <t>OC0059653</t>
  </si>
  <si>
    <t>OC0059656</t>
  </si>
  <si>
    <t>OC0059657</t>
  </si>
  <si>
    <t>OC0059659</t>
  </si>
  <si>
    <t>OC0059660</t>
  </si>
  <si>
    <t>OC0059661</t>
  </si>
  <si>
    <t>OC0059663</t>
  </si>
  <si>
    <t>OC0059665</t>
  </si>
  <si>
    <t>OC0059667</t>
  </si>
  <si>
    <t>OC0059670</t>
  </si>
  <si>
    <t>OC0059675</t>
  </si>
  <si>
    <t>OC0059676</t>
  </si>
  <si>
    <t>OC0059678</t>
  </si>
  <si>
    <t>OC0059708</t>
  </si>
  <si>
    <t>OC0059711</t>
  </si>
  <si>
    <t>OC0059712</t>
  </si>
  <si>
    <t>OC0059713</t>
  </si>
  <si>
    <t>OC0059717</t>
  </si>
  <si>
    <t>OC0059721</t>
  </si>
  <si>
    <t>OC0059723</t>
  </si>
  <si>
    <t>OC0059724</t>
  </si>
  <si>
    <t>OC0059737</t>
  </si>
  <si>
    <t>OC0059742</t>
  </si>
  <si>
    <t>OC0059750</t>
  </si>
  <si>
    <t>OC0059767</t>
  </si>
  <si>
    <t>OC0059772</t>
  </si>
  <si>
    <t>OC0059775</t>
  </si>
  <si>
    <t>OC0059789</t>
  </si>
  <si>
    <t>OC0059836</t>
  </si>
  <si>
    <t>OC0059837</t>
  </si>
  <si>
    <t>OC0059838</t>
  </si>
  <si>
    <t>OC0059839</t>
  </si>
  <si>
    <t>OC0059840</t>
  </si>
  <si>
    <t>OC0059842</t>
  </si>
  <si>
    <t>OC0059844</t>
  </si>
  <si>
    <t>OC0059845</t>
  </si>
  <si>
    <t>OC0059851</t>
  </si>
  <si>
    <t>OC0059852</t>
  </si>
  <si>
    <t>OC0059853</t>
  </si>
  <si>
    <t>OC0059866</t>
  </si>
  <si>
    <t>OC0059868</t>
  </si>
  <si>
    <t>OC0059869</t>
  </si>
  <si>
    <t>OC0059870</t>
  </si>
  <si>
    <t>OC0059872</t>
  </si>
  <si>
    <t>OC0059873</t>
  </si>
  <si>
    <t>OC0059881</t>
  </si>
  <si>
    <t>OC0059882</t>
  </si>
  <si>
    <t>OC0059884</t>
  </si>
  <si>
    <t>OC0059885</t>
  </si>
  <si>
    <t>OC0059888</t>
  </si>
  <si>
    <t>OC0059891</t>
  </si>
  <si>
    <t>OC0059898</t>
  </si>
  <si>
    <t>OC0059899</t>
  </si>
  <si>
    <t>OC0059901</t>
  </si>
  <si>
    <t>OC0059902</t>
  </si>
  <si>
    <t>OC0059904</t>
  </si>
  <si>
    <t>OC0059906</t>
  </si>
  <si>
    <t>OC0059912</t>
  </si>
  <si>
    <t>OC0059919</t>
  </si>
  <si>
    <t>OC0059921</t>
  </si>
  <si>
    <t>OC0059931</t>
  </si>
  <si>
    <t>OC0059932</t>
  </si>
  <si>
    <t>OC0059934</t>
  </si>
  <si>
    <t>OC0059936</t>
  </si>
  <si>
    <t>OC0059942</t>
  </si>
  <si>
    <t>OC0059945</t>
  </si>
  <si>
    <t>OC0059984</t>
  </si>
  <si>
    <t>OC0059997</t>
  </si>
  <si>
    <t>OC0060008</t>
  </si>
  <si>
    <t>OC0060009</t>
  </si>
  <si>
    <t>OC0060011</t>
  </si>
  <si>
    <t>OC0060012</t>
  </si>
  <si>
    <t>OC0060013</t>
  </si>
  <si>
    <t>OC0060014</t>
  </si>
  <si>
    <t>OC0060015</t>
  </si>
  <si>
    <t>OC0060016</t>
  </si>
  <si>
    <t>OC0060031</t>
  </si>
  <si>
    <t>OC0060032</t>
  </si>
  <si>
    <t>OC0060035</t>
  </si>
  <si>
    <t>OC0060037</t>
  </si>
  <si>
    <t>OC0060038</t>
  </si>
  <si>
    <t>OC0060039</t>
  </si>
  <si>
    <t>OC0060043</t>
  </si>
  <si>
    <t>OC0060054</t>
  </si>
  <si>
    <t>OC0060055</t>
  </si>
  <si>
    <t>OC0060056</t>
  </si>
  <si>
    <t>OC0060057</t>
  </si>
  <si>
    <t>OC0060059</t>
  </si>
  <si>
    <t>OC0060060</t>
  </si>
  <si>
    <t>OC0060061</t>
  </si>
  <si>
    <t>OC0060065</t>
  </si>
  <si>
    <t>OC0060068</t>
  </si>
  <si>
    <t>OC0060070</t>
  </si>
  <si>
    <t>OC0060071</t>
  </si>
  <si>
    <t>OC0060072</t>
  </si>
  <si>
    <t>OC0060077</t>
  </si>
  <si>
    <t>OC0060083</t>
  </si>
  <si>
    <t>OC0060084</t>
  </si>
  <si>
    <t>OC0060086</t>
  </si>
  <si>
    <t>OC0060145</t>
  </si>
  <si>
    <t>OC0060152</t>
  </si>
  <si>
    <t>OC0060153</t>
  </si>
  <si>
    <t>OC0060171</t>
  </si>
  <si>
    <t>OC0060213</t>
  </si>
  <si>
    <t>OC0060214</t>
  </si>
  <si>
    <t>OC0060229</t>
  </si>
  <si>
    <t>OC0060234</t>
  </si>
  <si>
    <t>OC0060235</t>
  </si>
  <si>
    <t>OC0060236</t>
  </si>
  <si>
    <t>OC0060237</t>
  </si>
  <si>
    <t>OC0060238</t>
  </si>
  <si>
    <t>OC0060241</t>
  </si>
  <si>
    <t>OC0060253</t>
  </si>
  <si>
    <t>OC0060256</t>
  </si>
  <si>
    <t>OC0060266</t>
  </si>
  <si>
    <t>OC0060272</t>
  </si>
  <si>
    <t>OC0060274</t>
  </si>
  <si>
    <t>OC0060276</t>
  </si>
  <si>
    <t>OC0060279</t>
  </si>
  <si>
    <t>OC0060283</t>
  </si>
  <si>
    <t>OC0060292</t>
  </si>
  <si>
    <t>OC0060298</t>
  </si>
  <si>
    <t>OC0060306</t>
  </si>
  <si>
    <t>OC0060307</t>
  </si>
  <si>
    <t>OC0060308</t>
  </si>
  <si>
    <t>OC0060309</t>
  </si>
  <si>
    <t>OC0060314</t>
  </si>
  <si>
    <t>OC0060319</t>
  </si>
  <si>
    <t>OC0060339</t>
  </si>
  <si>
    <t>OC0060354</t>
  </si>
  <si>
    <t>OC0060384</t>
  </si>
  <si>
    <t>OC0060390</t>
  </si>
  <si>
    <t>OC0060394</t>
  </si>
  <si>
    <t>OC0060398</t>
  </si>
  <si>
    <t>OC0060417</t>
  </si>
  <si>
    <t>OC0060419</t>
  </si>
  <si>
    <t>OC0060420</t>
  </si>
  <si>
    <t>OC0060425</t>
  </si>
  <si>
    <t>OC0060428</t>
  </si>
  <si>
    <t>OC0060448</t>
  </si>
  <si>
    <t>OC0060449</t>
  </si>
  <si>
    <t>OC0060479</t>
  </si>
  <si>
    <t>OC0060482</t>
  </si>
  <si>
    <t>OC0060490</t>
  </si>
  <si>
    <t>OC0060491</t>
  </si>
  <si>
    <t>OC0060503</t>
  </si>
  <si>
    <t>OC0060511</t>
  </si>
  <si>
    <t>OC0060512</t>
  </si>
  <si>
    <t>OC0060513</t>
  </si>
  <si>
    <t>OC0060514</t>
  </si>
  <si>
    <t>OC0060515</t>
  </si>
  <si>
    <t>OC0060520</t>
  </si>
  <si>
    <t>OC0060533</t>
  </si>
  <si>
    <t>OC0060534</t>
  </si>
  <si>
    <t>OC0060538</t>
  </si>
  <si>
    <t>OC0060551</t>
  </si>
  <si>
    <t>OC0060554</t>
  </si>
  <si>
    <t>OC0060555</t>
  </si>
  <si>
    <t>OC0060556</t>
  </si>
  <si>
    <t>OC0060557</t>
  </si>
  <si>
    <t>OC0060558</t>
  </si>
  <si>
    <t>OC0060563</t>
  </si>
  <si>
    <t>OC0060645</t>
  </si>
  <si>
    <t>OC0060647</t>
  </si>
  <si>
    <t>OC0060660</t>
  </si>
  <si>
    <t>OC0060688</t>
  </si>
  <si>
    <t>OC0060689</t>
  </si>
  <si>
    <t>OC0060729</t>
  </si>
  <si>
    <t>OC0060741</t>
  </si>
  <si>
    <t>OC0060746</t>
  </si>
  <si>
    <t>OC0060766</t>
  </si>
  <si>
    <t>OC0060767</t>
  </si>
  <si>
    <t>OC0060768</t>
  </si>
  <si>
    <t>OC0060813</t>
  </si>
  <si>
    <t>OC0060836</t>
  </si>
  <si>
    <t>OC0060856</t>
  </si>
  <si>
    <t>OC0060875</t>
  </si>
  <si>
    <t>OC0060878</t>
  </si>
  <si>
    <t>OC0060891</t>
  </si>
  <si>
    <t>OC0060894</t>
  </si>
  <si>
    <t>OC0060902</t>
  </si>
  <si>
    <t>OC0060906</t>
  </si>
  <si>
    <t>OC0060908</t>
  </si>
  <si>
    <t>OC0060910</t>
  </si>
  <si>
    <t>OC0060911</t>
  </si>
  <si>
    <t>OC0060925</t>
  </si>
  <si>
    <t>OC0060936</t>
  </si>
  <si>
    <t>OC0060938</t>
  </si>
  <si>
    <t>OC0060939</t>
  </si>
  <si>
    <t>OC0060940</t>
  </si>
  <si>
    <t>OC0060941</t>
  </si>
  <si>
    <t>OC0060944</t>
  </si>
  <si>
    <t>OC0060955</t>
  </si>
  <si>
    <t>OC0060956</t>
  </si>
  <si>
    <t>OC0060961</t>
  </si>
  <si>
    <t>OC0060963</t>
  </si>
  <si>
    <t>OC0060966</t>
  </si>
  <si>
    <t>OC0060968</t>
  </si>
  <si>
    <t>OC0060969</t>
  </si>
  <si>
    <t>OC0060977</t>
  </si>
  <si>
    <t>OC0060980</t>
  </si>
  <si>
    <t>OC0060982</t>
  </si>
  <si>
    <t>OC0060984</t>
  </si>
  <si>
    <t>OC0060991</t>
  </si>
  <si>
    <t>OC0060992</t>
  </si>
  <si>
    <t>OC0060993</t>
  </si>
  <si>
    <t>OC0061004</t>
  </si>
  <si>
    <t>OC0061005</t>
  </si>
  <si>
    <t>OC0061017</t>
  </si>
  <si>
    <t>OC0061024</t>
  </si>
  <si>
    <t>OC0061025</t>
  </si>
  <si>
    <t>OC0061026</t>
  </si>
  <si>
    <t>OC0061043</t>
  </si>
  <si>
    <t>OC0061045</t>
  </si>
  <si>
    <t>OC0061046</t>
  </si>
  <si>
    <t>OC0061050</t>
  </si>
  <si>
    <t>OC0061052</t>
  </si>
  <si>
    <t>OC0061053</t>
  </si>
  <si>
    <t>OC0061055</t>
  </si>
  <si>
    <t>OC0061057</t>
  </si>
  <si>
    <t>OC0061063</t>
  </si>
  <si>
    <t>OC0061072</t>
  </si>
  <si>
    <t>OC0061074</t>
  </si>
  <si>
    <t>OC0061086</t>
  </si>
  <si>
    <t>OC0061087</t>
  </si>
  <si>
    <t>OC0061091</t>
  </si>
  <si>
    <t>OC0061092</t>
  </si>
  <si>
    <t>OC0061098</t>
  </si>
  <si>
    <t>OC0061099</t>
  </si>
  <si>
    <t>OC0061100</t>
  </si>
  <si>
    <t>OC0061101</t>
  </si>
  <si>
    <t>OC0061106</t>
  </si>
  <si>
    <t>OC0061113</t>
  </si>
  <si>
    <t>OC0061115</t>
  </si>
  <si>
    <t>OC0061117</t>
  </si>
  <si>
    <t>OC0061122</t>
  </si>
  <si>
    <t>OC0061123</t>
  </si>
  <si>
    <t>OC0061124</t>
  </si>
  <si>
    <t>OC0061125</t>
  </si>
  <si>
    <t>OC0061126</t>
  </si>
  <si>
    <t>OC0061127</t>
  </si>
  <si>
    <t>OC0061135</t>
  </si>
  <si>
    <t>OC0061136</t>
  </si>
  <si>
    <t>OC0061142</t>
  </si>
  <si>
    <t>OC0061143</t>
  </si>
  <si>
    <t>OC0061165</t>
  </si>
  <si>
    <t>OC0061175</t>
  </si>
  <si>
    <t>OC0061182</t>
  </si>
  <si>
    <t>OC0061185</t>
  </si>
  <si>
    <t>OC0061191</t>
  </si>
  <si>
    <t>OC0061209</t>
  </si>
  <si>
    <t>OC0061210</t>
  </si>
  <si>
    <t>OC0061211</t>
  </si>
  <si>
    <t>OC0061212</t>
  </si>
  <si>
    <t>OC0061213</t>
  </si>
  <si>
    <t>OC0061220</t>
  </si>
  <si>
    <t>OC0061232</t>
  </si>
  <si>
    <t>OC0061234</t>
  </si>
  <si>
    <t>OC0061236</t>
  </si>
  <si>
    <t>OC0061238</t>
  </si>
  <si>
    <t>OC0061249</t>
  </si>
  <si>
    <t>OC0061263</t>
  </si>
  <si>
    <t>OC0061265</t>
  </si>
  <si>
    <t>OC0061266</t>
  </si>
  <si>
    <t>OC0061270</t>
  </si>
  <si>
    <t>OC0061273</t>
  </si>
  <si>
    <t>OC0061282</t>
  </si>
  <si>
    <t>OC0061284</t>
  </si>
  <si>
    <t>OC0061313</t>
  </si>
  <si>
    <t>OC0061331</t>
  </si>
  <si>
    <t>OC0061333</t>
  </si>
  <si>
    <t>OC0061334</t>
  </si>
  <si>
    <t>OC0061344</t>
  </si>
  <si>
    <t>OC0061349</t>
  </si>
  <si>
    <t>OC0061350</t>
  </si>
  <si>
    <t>OC0061361</t>
  </si>
  <si>
    <t>OC0061362</t>
  </si>
  <si>
    <t>OC0061377</t>
  </si>
  <si>
    <t>OC0061395</t>
  </si>
  <si>
    <t>OC0061396</t>
  </si>
  <si>
    <t>OC0061397</t>
  </si>
  <si>
    <t>OC0061398</t>
  </si>
  <si>
    <t>OC0061399</t>
  </si>
  <si>
    <t>OC0061401</t>
  </si>
  <si>
    <t>OC0061415</t>
  </si>
  <si>
    <t>OC0061416</t>
  </si>
  <si>
    <t>OC0061417</t>
  </si>
  <si>
    <t>OC0061431</t>
  </si>
  <si>
    <t>OC0061436</t>
  </si>
  <si>
    <t>OC0061437</t>
  </si>
  <si>
    <t>OC0061474</t>
  </si>
  <si>
    <t>OC0061475</t>
  </si>
  <si>
    <t>OC0061476</t>
  </si>
  <si>
    <t>OC0061478</t>
  </si>
  <si>
    <t>OC0061480</t>
  </si>
  <si>
    <t>OC0061481</t>
  </si>
  <si>
    <t>OC0061482</t>
  </si>
  <si>
    <t>OC0061489</t>
  </si>
  <si>
    <t>OC0061490</t>
  </si>
  <si>
    <t>OC0061491</t>
  </si>
  <si>
    <t>OC0061495</t>
  </si>
  <si>
    <t>OC0061496</t>
  </si>
  <si>
    <t>OC0061497</t>
  </si>
  <si>
    <t>OC0061503</t>
  </si>
  <si>
    <t>OC0061505</t>
  </si>
  <si>
    <t>OC0061522</t>
  </si>
  <si>
    <t>OC0061528</t>
  </si>
  <si>
    <t>OC0061532</t>
  </si>
  <si>
    <t>OC0061534</t>
  </si>
  <si>
    <t>OC0061539</t>
  </si>
  <si>
    <t>OC0061541</t>
  </si>
  <si>
    <t>OC0061542</t>
  </si>
  <si>
    <t>OC0061550</t>
  </si>
  <si>
    <t>OC0061552</t>
  </si>
  <si>
    <t>OC0061563</t>
  </si>
  <si>
    <t>OC0061564</t>
  </si>
  <si>
    <t>OC0061565</t>
  </si>
  <si>
    <t>OC0061569</t>
  </si>
  <si>
    <t>OC0061571</t>
  </si>
  <si>
    <t>OC0061576</t>
  </si>
  <si>
    <t>OC0061577</t>
  </si>
  <si>
    <t>OC0061583</t>
  </si>
  <si>
    <t>OC0061586</t>
  </si>
  <si>
    <t>OC0061589</t>
  </si>
  <si>
    <t>OC0061590</t>
  </si>
  <si>
    <t>OC0061592</t>
  </si>
  <si>
    <t>OC0061593</t>
  </si>
  <si>
    <t>OC0061625</t>
  </si>
  <si>
    <t>OC0061626</t>
  </si>
  <si>
    <t>OC0061634</t>
  </si>
  <si>
    <t>OC0061642</t>
  </si>
  <si>
    <t>OC0061643</t>
  </si>
  <si>
    <t>OC0061648</t>
  </si>
  <si>
    <t>OC0061662</t>
  </si>
  <si>
    <t>OC0061671</t>
  </si>
  <si>
    <t>OC0061676</t>
  </si>
  <si>
    <t>OC0061680</t>
  </si>
  <si>
    <t>OC0061682</t>
  </si>
  <si>
    <t>OC0061693</t>
  </si>
  <si>
    <t>OC0061696</t>
  </si>
  <si>
    <t>OC0061707</t>
  </si>
  <si>
    <t>OC0061719</t>
  </si>
  <si>
    <t>OC0061728</t>
  </si>
  <si>
    <t>OC0061730</t>
  </si>
  <si>
    <t>OC0061733</t>
  </si>
  <si>
    <t>OC0061743</t>
  </si>
  <si>
    <t>OC0061759</t>
  </si>
  <si>
    <t>OC0061763</t>
  </si>
  <si>
    <t>OC0061764</t>
  </si>
  <si>
    <t>OC0061765</t>
  </si>
  <si>
    <t>OC0061768</t>
  </si>
  <si>
    <t>OC0061769</t>
  </si>
  <si>
    <t>OC0061770</t>
  </si>
  <si>
    <t>OC0061772</t>
  </si>
  <si>
    <t>OC0061773</t>
  </si>
  <si>
    <t>OC0061793</t>
  </si>
  <si>
    <t>OC0061798</t>
  </si>
  <si>
    <t>OC0061801</t>
  </si>
  <si>
    <t>OC0061803</t>
  </si>
  <si>
    <t>OC0061804</t>
  </si>
  <si>
    <t>OC0061839</t>
  </si>
  <si>
    <t>OC0061880</t>
  </si>
  <si>
    <t>OC0061907</t>
  </si>
  <si>
    <t>OC0061908</t>
  </si>
  <si>
    <t>OC0061910</t>
  </si>
  <si>
    <t>OC0061915</t>
  </si>
  <si>
    <t>OC0061918</t>
  </si>
  <si>
    <t>OC0061919</t>
  </si>
  <si>
    <t>OC0061920</t>
  </si>
  <si>
    <t>OC0061968</t>
  </si>
  <si>
    <t>OC0061974</t>
  </si>
  <si>
    <t>OC0061975</t>
  </si>
  <si>
    <t>OC0062028</t>
  </si>
  <si>
    <t>OC0062032</t>
  </si>
  <si>
    <t>OC0062047</t>
  </si>
  <si>
    <t>OC0062051</t>
  </si>
  <si>
    <t>OC0062055</t>
  </si>
  <si>
    <t>OC0062061</t>
  </si>
  <si>
    <t>OC0062062</t>
  </si>
  <si>
    <t>OC0062068</t>
  </si>
  <si>
    <t>OC0062073</t>
  </si>
  <si>
    <t>OC0062074</t>
  </si>
  <si>
    <t>OC0062090</t>
  </si>
  <si>
    <t>OC0062113</t>
  </si>
  <si>
    <t>OC0062122</t>
  </si>
  <si>
    <t>OC0062123</t>
  </si>
  <si>
    <t>OC0062128</t>
  </si>
  <si>
    <t>OC0062129</t>
  </si>
  <si>
    <t>OC0062139</t>
  </si>
  <si>
    <t>OC0062161</t>
  </si>
  <si>
    <t>OC0062166</t>
  </si>
  <si>
    <t>OC0062176</t>
  </si>
  <si>
    <t>OC0062234</t>
  </si>
  <si>
    <t>nota_fiscal</t>
  </si>
  <si>
    <t>estabelecimento</t>
  </si>
  <si>
    <t>data_fiscal</t>
  </si>
  <si>
    <t>numero_processo</t>
  </si>
  <si>
    <t>item</t>
  </si>
  <si>
    <t>quantidade_unidade_estoque</t>
  </si>
  <si>
    <t>preco_total_linha</t>
  </si>
  <si>
    <t>DCSR00140609</t>
  </si>
  <si>
    <t>DCSR00070901</t>
  </si>
  <si>
    <t>DCSR00071203</t>
  </si>
  <si>
    <t>DCSR99999901</t>
  </si>
  <si>
    <t>DCN271110002</t>
  </si>
  <si>
    <t>DCN220110000</t>
  </si>
  <si>
    <t>DCSR00070109</t>
  </si>
  <si>
    <t>DCSR00171602</t>
  </si>
  <si>
    <t>DCSR00100201</t>
  </si>
  <si>
    <t>DCSR00010517</t>
  </si>
  <si>
    <t>DCSR00170901</t>
  </si>
  <si>
    <t>DCSR00170101</t>
  </si>
  <si>
    <t>DCSR99999905</t>
  </si>
  <si>
    <t>DCN210690901</t>
  </si>
  <si>
    <t>DCN190520903</t>
  </si>
  <si>
    <t>DCN220290000</t>
  </si>
  <si>
    <t>DCN220110002</t>
  </si>
  <si>
    <t>DCN190509005</t>
  </si>
  <si>
    <t>DCN210111901</t>
  </si>
  <si>
    <t>DCN190520902</t>
  </si>
  <si>
    <t>DCN210609026</t>
  </si>
  <si>
    <t>DCSR00010303</t>
  </si>
  <si>
    <t>DCSR00010310</t>
  </si>
  <si>
    <t>DCN999990030</t>
  </si>
  <si>
    <t>DCSR00140102</t>
  </si>
  <si>
    <t>DCN999999996</t>
  </si>
  <si>
    <t>DCN280430000</t>
  </si>
  <si>
    <t>DCSR00140101</t>
  </si>
  <si>
    <t>DCSR00170532</t>
  </si>
  <si>
    <t>DCSR99999903</t>
  </si>
  <si>
    <t>DCSR00100206</t>
  </si>
  <si>
    <t>DCSR00030403</t>
  </si>
  <si>
    <t>DCSR00140114</t>
  </si>
  <si>
    <t>DCSR00071001</t>
  </si>
  <si>
    <t>DCSR00071102</t>
  </si>
  <si>
    <t>DCN210690914</t>
  </si>
  <si>
    <t>DCN000000090</t>
  </si>
  <si>
    <t>DCSR00170313</t>
  </si>
  <si>
    <t>DCSR00140112</t>
  </si>
  <si>
    <t>DCSR00150101</t>
  </si>
  <si>
    <t>DCSR00170137</t>
  </si>
  <si>
    <t>DCSR00100501</t>
  </si>
  <si>
    <t>DCSR00042202</t>
  </si>
  <si>
    <t>DCSR00040803</t>
  </si>
  <si>
    <t>DCSR00170526</t>
  </si>
  <si>
    <t>DCSR00110201</t>
  </si>
  <si>
    <t>DCSR00330106</t>
  </si>
  <si>
    <t>DCN290129000</t>
  </si>
  <si>
    <t>DCN280421000</t>
  </si>
  <si>
    <t>DCN280440000</t>
  </si>
  <si>
    <t>DCN280430001</t>
  </si>
  <si>
    <t>DCSR00010710</t>
  </si>
  <si>
    <t>DCSR99999929</t>
  </si>
  <si>
    <t>DCSR00071301</t>
  </si>
  <si>
    <t>DCSR99999908</t>
  </si>
  <si>
    <t>DCSR00160101</t>
  </si>
  <si>
    <t>DCSR00160102</t>
  </si>
  <si>
    <t>DCN999990000</t>
  </si>
  <si>
    <t>DCSR00010516</t>
  </si>
  <si>
    <t>DCSR00040301</t>
  </si>
  <si>
    <t>DCSR99999917</t>
  </si>
  <si>
    <t>DCSR99999918</t>
  </si>
  <si>
    <t>DCN220210004</t>
  </si>
  <si>
    <t>DCSR00170514</t>
  </si>
  <si>
    <t>DCN220290002</t>
  </si>
  <si>
    <t>DCSR00140507</t>
  </si>
  <si>
    <t>DCSR00170124</t>
  </si>
  <si>
    <t>DCSR00260102</t>
  </si>
  <si>
    <t>DCSR99999902</t>
  </si>
  <si>
    <t>DCSR00010608</t>
  </si>
  <si>
    <t>DCSR00010702</t>
  </si>
  <si>
    <t>DCSR00170105</t>
  </si>
  <si>
    <t>DCSR00010901</t>
  </si>
  <si>
    <t>DCSR00010200</t>
  </si>
  <si>
    <t>DCSR00140103</t>
  </si>
  <si>
    <t>DCN210690913</t>
  </si>
  <si>
    <t>DCSR00170302</t>
  </si>
  <si>
    <t>DCN210690926</t>
  </si>
  <si>
    <t>DCN000004060</t>
  </si>
  <si>
    <t>DCN000004088</t>
  </si>
  <si>
    <t>DCN000004091</t>
  </si>
  <si>
    <t>DCN000004089</t>
  </si>
  <si>
    <t>DCN000004090</t>
  </si>
  <si>
    <t>DCSR00140201</t>
  </si>
  <si>
    <t>DCSR00171901</t>
  </si>
  <si>
    <t>DCSR00171904</t>
  </si>
  <si>
    <t>DCSR00040101</t>
  </si>
  <si>
    <t>DCSR00010302</t>
  </si>
  <si>
    <t>DCSR00042301</t>
  </si>
  <si>
    <t>DCSR00010701</t>
  </si>
  <si>
    <t>DCSR00100203</t>
  </si>
  <si>
    <t>DCSR00171100</t>
  </si>
  <si>
    <t>DCSR00171405</t>
  </si>
  <si>
    <t>DCSR00110203</t>
  </si>
  <si>
    <t>DCN852349903</t>
  </si>
  <si>
    <t>DCSR00100502</t>
  </si>
  <si>
    <t>DCSR00070203</t>
  </si>
  <si>
    <t>DCSR00140104</t>
  </si>
  <si>
    <t>DCSR00010301</t>
  </si>
  <si>
    <t>DCSR00010703</t>
  </si>
  <si>
    <t>DCN200980001</t>
  </si>
  <si>
    <t>DCSR00060401</t>
  </si>
  <si>
    <t>DCSR00270101</t>
  </si>
  <si>
    <t>DCN170199000</t>
  </si>
  <si>
    <t>DCN170199001</t>
  </si>
  <si>
    <t>DCSR99999904</t>
  </si>
  <si>
    <t>DCN210690902</t>
  </si>
  <si>
    <t>DCSR00171402</t>
  </si>
  <si>
    <t>DCSR00010507</t>
  </si>
  <si>
    <t>DCN392410001</t>
  </si>
  <si>
    <t>DCSR00170110</t>
  </si>
  <si>
    <t>DCN210690909</t>
  </si>
  <si>
    <t>DCSR00071007</t>
  </si>
  <si>
    <t>DCSR99999909</t>
  </si>
  <si>
    <t>DCSR00140113</t>
  </si>
  <si>
    <t>DCN999990374</t>
  </si>
  <si>
    <t>DCSR00130402</t>
  </si>
  <si>
    <t>DCN210111902</t>
  </si>
  <si>
    <t>DCSR00130510</t>
  </si>
  <si>
    <t>DCN210112000</t>
  </si>
  <si>
    <t>DCSR00170204</t>
  </si>
  <si>
    <t>DCSR00070916</t>
  </si>
  <si>
    <t>DCSR00230100</t>
  </si>
  <si>
    <t>DCSR00070301</t>
  </si>
  <si>
    <t>DCN200980002</t>
  </si>
  <si>
    <t>DCSR00071306</t>
  </si>
  <si>
    <t>DCSR90170204</t>
  </si>
  <si>
    <t>DCSR99999946</t>
  </si>
  <si>
    <t>DCN000004720</t>
  </si>
  <si>
    <t>DCSR00310106</t>
  </si>
  <si>
    <t>DCN000004762</t>
  </si>
  <si>
    <t>DCN000004763</t>
  </si>
  <si>
    <t>DCSR00010502</t>
  </si>
  <si>
    <t>DCSR00130517</t>
  </si>
  <si>
    <t>DCSR00130503</t>
  </si>
  <si>
    <t>DCSR00320102</t>
  </si>
  <si>
    <t>DCSR00030413</t>
  </si>
  <si>
    <t>DCSR00141305</t>
  </si>
  <si>
    <t>DCSR00141307</t>
  </si>
  <si>
    <t>DCSR00141302</t>
  </si>
  <si>
    <t>MG1020035006</t>
  </si>
  <si>
    <t>DCSR00070906</t>
  </si>
  <si>
    <t>DCSR99999907</t>
  </si>
  <si>
    <t>DCSR99999948</t>
  </si>
  <si>
    <t>novembro/2026</t>
  </si>
  <si>
    <t>OC0062260</t>
  </si>
  <si>
    <t>OC0062087</t>
  </si>
  <si>
    <t>OC0062250</t>
  </si>
  <si>
    <t>OC0062141</t>
  </si>
  <si>
    <t>OC0062215</t>
  </si>
  <si>
    <t>OC0062216</t>
  </si>
  <si>
    <t>OC0062261</t>
  </si>
  <si>
    <t>OC0062104</t>
  </si>
  <si>
    <t>OC0062094</t>
  </si>
  <si>
    <t>OC0062093</t>
  </si>
  <si>
    <t>OC0062125</t>
  </si>
  <si>
    <t>OC0062124</t>
  </si>
  <si>
    <t>OC0062106</t>
  </si>
  <si>
    <t>OC0062222</t>
  </si>
  <si>
    <t>OC0062199</t>
  </si>
  <si>
    <t>OC0062195</t>
  </si>
  <si>
    <t>OC0062145</t>
  </si>
  <si>
    <t>OC0062088</t>
  </si>
  <si>
    <t>DESPACHANTE</t>
  </si>
  <si>
    <t>CAÇAMBAS</t>
  </si>
  <si>
    <t>CS0001143</t>
  </si>
  <si>
    <t>ENERGIA</t>
  </si>
  <si>
    <t>CS0001144</t>
  </si>
  <si>
    <t>OC0060496</t>
  </si>
  <si>
    <t>OC0060588</t>
  </si>
  <si>
    <t>OC0061107</t>
  </si>
  <si>
    <t>OC0061536</t>
  </si>
  <si>
    <t>OC0061543</t>
  </si>
  <si>
    <t>OC0061628</t>
  </si>
  <si>
    <t>OC0061800</t>
  </si>
  <si>
    <t>OC0061877</t>
  </si>
  <si>
    <t>OC0061882</t>
  </si>
  <si>
    <t>OC0061980</t>
  </si>
  <si>
    <t>OC0062018</t>
  </si>
  <si>
    <t>OC0062030</t>
  </si>
  <si>
    <t>OC0062057</t>
  </si>
  <si>
    <t>OC0062077</t>
  </si>
  <si>
    <t>OC0062079</t>
  </si>
  <si>
    <t>OC0062081</t>
  </si>
  <si>
    <t>OC0062084</t>
  </si>
  <si>
    <t>OC0062095</t>
  </si>
  <si>
    <t>OC0062107</t>
  </si>
  <si>
    <t>OC0062109</t>
  </si>
  <si>
    <t>OC0062127</t>
  </si>
  <si>
    <t>OC0062167</t>
  </si>
  <si>
    <t>OC0062171</t>
  </si>
  <si>
    <t>OC0062172</t>
  </si>
  <si>
    <t>OC0062174</t>
  </si>
  <si>
    <t>OC0062175</t>
  </si>
  <si>
    <t>OC0062190</t>
  </si>
  <si>
    <t>OC0062211</t>
  </si>
  <si>
    <t>OC0062217</t>
  </si>
  <si>
    <t>OC0062219</t>
  </si>
  <si>
    <t>OC0062220</t>
  </si>
  <si>
    <t>OC0062221</t>
  </si>
  <si>
    <t>OC0062226</t>
  </si>
  <si>
    <t>OC0062228</t>
  </si>
  <si>
    <t>OC0062232</t>
  </si>
  <si>
    <t>OC0062235</t>
  </si>
  <si>
    <t>OC0062242</t>
  </si>
  <si>
    <t>OC0062245</t>
  </si>
  <si>
    <t>OC0062251</t>
  </si>
  <si>
    <t>OC0062252</t>
  </si>
  <si>
    <t>OC0062255</t>
  </si>
  <si>
    <t>OC0062268</t>
  </si>
  <si>
    <t>OC0062269</t>
  </si>
  <si>
    <t>OC0062275</t>
  </si>
  <si>
    <t>OC0062286</t>
  </si>
  <si>
    <t>OC0062287</t>
  </si>
  <si>
    <t>OC0062290</t>
  </si>
  <si>
    <t>OC0062304</t>
  </si>
  <si>
    <t>OC0062313</t>
  </si>
  <si>
    <t>OC0062319</t>
  </si>
  <si>
    <t>OC0062320</t>
  </si>
  <si>
    <t>OC0062324</t>
  </si>
  <si>
    <t>OC0062325</t>
  </si>
  <si>
    <t>OC0062327</t>
  </si>
  <si>
    <t>OC0062332</t>
  </si>
  <si>
    <t>OC0062341</t>
  </si>
  <si>
    <t>OC0062343</t>
  </si>
  <si>
    <t>OC0062369</t>
  </si>
  <si>
    <t>OC0062372</t>
  </si>
  <si>
    <t>OC0062374</t>
  </si>
  <si>
    <t>OC0062378</t>
  </si>
  <si>
    <t>OC0062379</t>
  </si>
  <si>
    <t>OC0062383</t>
  </si>
  <si>
    <t>OC0062409</t>
  </si>
  <si>
    <t>OC0062417</t>
  </si>
  <si>
    <t>OC0062432</t>
  </si>
  <si>
    <t>OC0062450</t>
  </si>
  <si>
    <t>OC0062451</t>
  </si>
  <si>
    <t>OC0062456</t>
  </si>
  <si>
    <t>OC0062462</t>
  </si>
  <si>
    <t>OC0062463</t>
  </si>
  <si>
    <t>OC0062464</t>
  </si>
  <si>
    <t>OC0062465</t>
  </si>
  <si>
    <t>OC0062466</t>
  </si>
  <si>
    <t>OC0062479</t>
  </si>
  <si>
    <t>OC0062483</t>
  </si>
  <si>
    <t>OC0062518</t>
  </si>
  <si>
    <t>OC0062519</t>
  </si>
  <si>
    <t>OC0062520</t>
  </si>
  <si>
    <t>OC0062521</t>
  </si>
  <si>
    <t>OC0062525</t>
  </si>
  <si>
    <t>OC0062540</t>
  </si>
  <si>
    <t>OC0062541</t>
  </si>
  <si>
    <t>OC0062542</t>
  </si>
  <si>
    <t>OC0062545</t>
  </si>
  <si>
    <t>OC0062555</t>
  </si>
  <si>
    <t>OC0062556</t>
  </si>
  <si>
    <t>OC0062560</t>
  </si>
  <si>
    <t>OC0062561</t>
  </si>
  <si>
    <t>OC0062565</t>
  </si>
  <si>
    <t>OC0062566</t>
  </si>
  <si>
    <t>OC0062567</t>
  </si>
  <si>
    <t>OC0062568</t>
  </si>
  <si>
    <t>OC0062569</t>
  </si>
  <si>
    <t>OC0062570</t>
  </si>
  <si>
    <t>OC0062571</t>
  </si>
  <si>
    <t>OC0062572</t>
  </si>
  <si>
    <t>OC0062573</t>
  </si>
  <si>
    <t>OC0062574</t>
  </si>
  <si>
    <t>OC0062575</t>
  </si>
  <si>
    <t>OC0062576</t>
  </si>
  <si>
    <t>OC0062579</t>
  </si>
  <si>
    <t>OC0062588</t>
  </si>
  <si>
    <t>OC0062589</t>
  </si>
  <si>
    <t>OC0062590</t>
  </si>
  <si>
    <t>OC0062600</t>
  </si>
  <si>
    <t>OC0062602</t>
  </si>
  <si>
    <t>OC0062604</t>
  </si>
  <si>
    <t>OC0062605</t>
  </si>
  <si>
    <t>OC0062610</t>
  </si>
  <si>
    <t>OC0062611</t>
  </si>
  <si>
    <t>OC0062664</t>
  </si>
  <si>
    <t>OC0062666</t>
  </si>
  <si>
    <t>OC0060739</t>
  </si>
  <si>
    <t>OC0061146</t>
  </si>
  <si>
    <t>OC0061799</t>
  </si>
  <si>
    <t>OC0061965</t>
  </si>
  <si>
    <t>OC0062194</t>
  </si>
  <si>
    <t>OC0062218</t>
  </si>
  <si>
    <t>OC0062272</t>
  </si>
  <si>
    <t>OC0062347</t>
  </si>
  <si>
    <t>OC0062350</t>
  </si>
  <si>
    <t>OC0062405</t>
  </si>
  <si>
    <t>OC0062478</t>
  </si>
  <si>
    <t>OC0062482</t>
  </si>
  <si>
    <t>OC0062522</t>
  </si>
  <si>
    <t>OC0062524</t>
  </si>
  <si>
    <t>OC0062543</t>
  </si>
  <si>
    <t>OC0062559</t>
  </si>
  <si>
    <t>OC0062563</t>
  </si>
  <si>
    <t>OC0062582</t>
  </si>
  <si>
    <t>OC0062585</t>
  </si>
  <si>
    <t>OC0062591</t>
  </si>
  <si>
    <t>OC0062597</t>
  </si>
  <si>
    <t>OC0062598</t>
  </si>
  <si>
    <t>OC0062599</t>
  </si>
  <si>
    <t>OC0062606</t>
  </si>
  <si>
    <t>OC0062633</t>
  </si>
  <si>
    <t>OC0062671</t>
  </si>
  <si>
    <t>OC0062691</t>
  </si>
  <si>
    <t>OC0062718</t>
  </si>
  <si>
    <t>OC0062728</t>
  </si>
  <si>
    <t>OC0062729</t>
  </si>
  <si>
    <t>OC0062730</t>
  </si>
  <si>
    <t>OC0062732</t>
  </si>
  <si>
    <t>OC0062745</t>
  </si>
  <si>
    <t>OC0062748</t>
  </si>
  <si>
    <t>OC0062754</t>
  </si>
  <si>
    <t>OC0062755</t>
  </si>
  <si>
    <t>OC0062777</t>
  </si>
  <si>
    <t>OC0062778</t>
  </si>
  <si>
    <t>OC0062782</t>
  </si>
  <si>
    <t>OC0062797</t>
  </si>
  <si>
    <t>OC0062801</t>
  </si>
  <si>
    <t>OC0062805</t>
  </si>
  <si>
    <t>OC0062817</t>
  </si>
  <si>
    <t>OC0062823</t>
  </si>
  <si>
    <t>OC0062825</t>
  </si>
  <si>
    <t>OC0062844</t>
  </si>
  <si>
    <t>OC0062846</t>
  </si>
  <si>
    <t>OC0062847</t>
  </si>
  <si>
    <t>OC0062851</t>
  </si>
  <si>
    <t>OC0062855</t>
  </si>
  <si>
    <t>OC0062856</t>
  </si>
  <si>
    <t>OC0062857</t>
  </si>
  <si>
    <t>OC0062863</t>
  </si>
  <si>
    <t>OC0062869</t>
  </si>
  <si>
    <t>OC0062897</t>
  </si>
  <si>
    <t>OC0062918</t>
  </si>
  <si>
    <t>OC0062938</t>
  </si>
  <si>
    <t>OC0062952</t>
  </si>
  <si>
    <t>OC0062953</t>
  </si>
  <si>
    <t>OC0062961</t>
  </si>
  <si>
    <t>OC0062983</t>
  </si>
  <si>
    <t>OC0062985</t>
  </si>
  <si>
    <t>OC0062986</t>
  </si>
  <si>
    <t>OC0062989</t>
  </si>
  <si>
    <t>OC0063010</t>
  </si>
  <si>
    <t>OC0063031</t>
  </si>
  <si>
    <t>OC0063051</t>
  </si>
  <si>
    <t>OC0063052</t>
  </si>
  <si>
    <t>OC0063073</t>
  </si>
  <si>
    <t>OC0063080</t>
  </si>
  <si>
    <t>OC0063135</t>
  </si>
  <si>
    <t>OC0063136</t>
  </si>
  <si>
    <t>OC0063137</t>
  </si>
  <si>
    <t>OC0063140</t>
  </si>
  <si>
    <t>OC0063149</t>
  </si>
  <si>
    <t>OC0063153</t>
  </si>
  <si>
    <t>OC0063154</t>
  </si>
  <si>
    <t>OC0063159</t>
  </si>
  <si>
    <t>OC0063175</t>
  </si>
  <si>
    <t>OC0063177</t>
  </si>
  <si>
    <t>OC0063205</t>
  </si>
  <si>
    <t>OC0063210</t>
  </si>
  <si>
    <t>OC0063211</t>
  </si>
  <si>
    <t>OC0063220</t>
  </si>
  <si>
    <t>OC0063225</t>
  </si>
  <si>
    <t>OC0063230</t>
  </si>
  <si>
    <t>OC0063235</t>
  </si>
  <si>
    <t>OC0063236</t>
  </si>
  <si>
    <t>OC0063238</t>
  </si>
  <si>
    <t>OC0063239</t>
  </si>
  <si>
    <t>OC0063242</t>
  </si>
  <si>
    <t>OC0063244</t>
  </si>
  <si>
    <t>OC0063245</t>
  </si>
  <si>
    <t>OC0063249</t>
  </si>
  <si>
    <t>OC0063250</t>
  </si>
  <si>
    <t>OC0063251</t>
  </si>
  <si>
    <t>OC0063252</t>
  </si>
  <si>
    <t>OC0063253</t>
  </si>
  <si>
    <t>OC0063254</t>
  </si>
  <si>
    <t>OC0063255</t>
  </si>
  <si>
    <t>OC0063256</t>
  </si>
  <si>
    <t>OC0063257</t>
  </si>
  <si>
    <t>OC0063258</t>
  </si>
  <si>
    <t>OC0063265</t>
  </si>
  <si>
    <t>OC0063272</t>
  </si>
  <si>
    <t>OC0063274</t>
  </si>
  <si>
    <t>OC0063276</t>
  </si>
  <si>
    <t>OC0063281</t>
  </si>
  <si>
    <t>OC0063282</t>
  </si>
  <si>
    <t>OC0063292</t>
  </si>
  <si>
    <t>OC0063295</t>
  </si>
  <si>
    <t>OC0063298</t>
  </si>
  <si>
    <t>OC0063299</t>
  </si>
  <si>
    <t>OC0063300</t>
  </si>
  <si>
    <t>OC0063305</t>
  </si>
  <si>
    <t>OC0063307</t>
  </si>
  <si>
    <t>OC0063309</t>
  </si>
  <si>
    <t>OC0063310</t>
  </si>
  <si>
    <t>OC0063312</t>
  </si>
  <si>
    <t>OC0063318</t>
  </si>
  <si>
    <t>OC0063319</t>
  </si>
  <si>
    <t>OC0063334</t>
  </si>
  <si>
    <t>OC0063335</t>
  </si>
  <si>
    <t>OC0063339</t>
  </si>
  <si>
    <t>OC0063342</t>
  </si>
  <si>
    <t>OC0063346</t>
  </si>
  <si>
    <t>OC0063358</t>
  </si>
  <si>
    <t>OC0063359</t>
  </si>
  <si>
    <t>OC0063362</t>
  </si>
  <si>
    <t>OC0063364</t>
  </si>
  <si>
    <t>OC0063367</t>
  </si>
  <si>
    <t>OC0063369</t>
  </si>
  <si>
    <t>OC0063370</t>
  </si>
  <si>
    <t>OC0063371</t>
  </si>
  <si>
    <t>OC0063372</t>
  </si>
  <si>
    <t>OC0063373</t>
  </si>
  <si>
    <t>OC0063376</t>
  </si>
  <si>
    <t>OC0063378</t>
  </si>
  <si>
    <t>OC0063379</t>
  </si>
  <si>
    <t>OC0063387</t>
  </si>
  <si>
    <t>OC0063389</t>
  </si>
  <si>
    <t>OC0063390</t>
  </si>
  <si>
    <t>OC0063399</t>
  </si>
  <si>
    <t>OC0063403</t>
  </si>
  <si>
    <t>OC0063405</t>
  </si>
  <si>
    <t>OC0063407</t>
  </si>
  <si>
    <t>OC0063410</t>
  </si>
  <si>
    <t>OC0063415</t>
  </si>
  <si>
    <t>OC0063416</t>
  </si>
  <si>
    <t>OC0063421</t>
  </si>
  <si>
    <t>OC0063425</t>
  </si>
  <si>
    <t>OC0063432</t>
  </si>
  <si>
    <t>OC0063434</t>
  </si>
  <si>
    <t>OC0063435</t>
  </si>
  <si>
    <t>OC0063436</t>
  </si>
  <si>
    <t>OC0063438</t>
  </si>
  <si>
    <t>OC0063440</t>
  </si>
  <si>
    <t>OC0063444</t>
  </si>
  <si>
    <t>OC0063445</t>
  </si>
  <si>
    <t>OC0063446</t>
  </si>
  <si>
    <t>OC0063448</t>
  </si>
  <si>
    <t>OC0063454</t>
  </si>
  <si>
    <t>OC0063469</t>
  </si>
  <si>
    <t>OC0063476</t>
  </si>
  <si>
    <t>OC0063486</t>
  </si>
  <si>
    <t>OC0063497</t>
  </si>
  <si>
    <t>OC0063501</t>
  </si>
  <si>
    <t>OC0063520</t>
  </si>
  <si>
    <t>OC0063522</t>
  </si>
  <si>
    <t>OC0063542</t>
  </si>
  <si>
    <t>OC0063557</t>
  </si>
  <si>
    <t>OC0063641</t>
  </si>
  <si>
    <t>OC0063653</t>
  </si>
  <si>
    <t>OC0063659</t>
  </si>
  <si>
    <t>OC0063683</t>
  </si>
  <si>
    <t>OC0063686</t>
  </si>
  <si>
    <t>OC0063687</t>
  </si>
  <si>
    <t>OC0063688</t>
  </si>
  <si>
    <t>OC0063708</t>
  </si>
  <si>
    <t>OC0063711</t>
  </si>
  <si>
    <t>OC0063712</t>
  </si>
  <si>
    <t>OC0063713</t>
  </si>
  <si>
    <t>DCSR00080206</t>
  </si>
  <si>
    <t>DCN000000167</t>
  </si>
  <si>
    <t>DCN000000168</t>
  </si>
  <si>
    <t>DCN000000165</t>
  </si>
  <si>
    <t>DCN000004518</t>
  </si>
  <si>
    <t>DCN000000166</t>
  </si>
  <si>
    <t>DCN000000251</t>
  </si>
  <si>
    <t>DCN961700100</t>
  </si>
  <si>
    <t>DCN000004485</t>
  </si>
  <si>
    <t>DCN000004486</t>
  </si>
  <si>
    <t>departamento</t>
  </si>
  <si>
    <t>família</t>
  </si>
  <si>
    <t>curva</t>
  </si>
  <si>
    <t>gestão</t>
  </si>
  <si>
    <t>C</t>
  </si>
  <si>
    <t>A</t>
  </si>
  <si>
    <t>B</t>
  </si>
  <si>
    <t>Indef</t>
  </si>
  <si>
    <t>STATUS</t>
  </si>
  <si>
    <t>SERVIÇOS PRESTADOS</t>
  </si>
  <si>
    <t xml:space="preserve">TERCEIROS </t>
  </si>
  <si>
    <t>MANUTENÇÃO EDIFÍCIOS / INSTALAÇÕES</t>
  </si>
  <si>
    <t>LOCAÇÕES EQUIPAMENTOS / VEÍCULOS</t>
  </si>
  <si>
    <t>TRANSPORTE FUNCIONÁRIOS</t>
  </si>
  <si>
    <t>ALUGUÉIS DIVERSOS</t>
  </si>
  <si>
    <t>MANUTENÇÃO MECÂNICA</t>
  </si>
  <si>
    <t>MANUTENÇÃO FERRAMENTAIS</t>
  </si>
  <si>
    <t>MATERIAIS AUXILIARES E MATERIAIS INDIRETOS</t>
  </si>
  <si>
    <t>ÁGUA E ESGOTO</t>
  </si>
  <si>
    <t>COMUNICAÇÃO</t>
  </si>
  <si>
    <t>ENERGIA ELÉTRICA</t>
  </si>
  <si>
    <t>OUTRAS DESPESAS COM PESSOAL</t>
  </si>
  <si>
    <t>SERVIÇOS PRESTADOS JOVEM APRENDIZ</t>
  </si>
  <si>
    <t>ALIMENTAÇÃO</t>
  </si>
  <si>
    <t>MANUTENÇÃO ELÉTRICA</t>
  </si>
  <si>
    <t xml:space="preserve">VIGILANCIA/PORTARIA </t>
  </si>
  <si>
    <t>OUTROS</t>
  </si>
  <si>
    <t>ASSISTÊNCIA MÉDICA</t>
  </si>
  <si>
    <t xml:space="preserve"> LOCAÇÕES EQUIPAMENTOS / VEÍCULOS</t>
  </si>
  <si>
    <t>LIMPEZA/FACILITIES</t>
  </si>
  <si>
    <t>EQUIPAMENTOS DE INFORMÁTICA</t>
  </si>
  <si>
    <t xml:space="preserve"> PROJETO MOVER</t>
  </si>
  <si>
    <t>TICKET ALIMENTAÇÃO</t>
  </si>
  <si>
    <t xml:space="preserve">SISTEMA RP INFOR  </t>
  </si>
  <si>
    <t xml:space="preserve">FORN KITS ANIVERSARIO </t>
  </si>
  <si>
    <t>SERVIÇOS TELEFONIA</t>
  </si>
  <si>
    <t>LICENÇAS IMPORTAÇÃO</t>
  </si>
  <si>
    <t>SOTWARE-CATIA</t>
  </si>
  <si>
    <t>CALIBRAÇÃO</t>
  </si>
  <si>
    <t>LOCAÇÃO VEICULO-BEM</t>
  </si>
  <si>
    <t xml:space="preserve">BENEFICIO </t>
  </si>
  <si>
    <t xml:space="preserve">SERVIÇOS MEDICOS </t>
  </si>
  <si>
    <t>GESTÃO AMBIENTAL</t>
  </si>
  <si>
    <t xml:space="preserve">VALE TRANSPORTE </t>
  </si>
  <si>
    <t>MARKETING</t>
  </si>
  <si>
    <t>OC0062984</t>
  </si>
  <si>
    <t>OC0062987</t>
  </si>
  <si>
    <t>OC0062990</t>
  </si>
  <si>
    <t>OC0063151</t>
  </si>
  <si>
    <t>OC0063152</t>
  </si>
  <si>
    <t>OC0063311</t>
  </si>
  <si>
    <t>OC0063406</t>
  </si>
  <si>
    <t>OC0063431</t>
  </si>
  <si>
    <t>OC0063499</t>
  </si>
  <si>
    <t>OC0063565</t>
  </si>
  <si>
    <t>OC0063581</t>
  </si>
  <si>
    <t>OC0063689</t>
  </si>
  <si>
    <t>OC0063715</t>
  </si>
  <si>
    <t>OC0063727</t>
  </si>
  <si>
    <t>OC0063728</t>
  </si>
  <si>
    <t>OC0063729</t>
  </si>
  <si>
    <t>OC0063730</t>
  </si>
  <si>
    <t>OC0063755</t>
  </si>
  <si>
    <t>OC0063761</t>
  </si>
  <si>
    <t>OC0063785</t>
  </si>
  <si>
    <t xml:space="preserve">SEGURANÇA PATRIMONIAL </t>
  </si>
  <si>
    <t>TI</t>
  </si>
  <si>
    <t>QSMA</t>
  </si>
  <si>
    <t>CONSELHO</t>
  </si>
  <si>
    <t>OC0063816</t>
  </si>
  <si>
    <t>OC0063858</t>
  </si>
  <si>
    <t>OC0063864</t>
  </si>
  <si>
    <t>OC0063865</t>
  </si>
  <si>
    <t>OC0063882</t>
  </si>
  <si>
    <t xml:space="preserve">CONTROLADORIA  </t>
  </si>
  <si>
    <t xml:space="preserve">FISCAL </t>
  </si>
  <si>
    <t xml:space="preserve">MANUFATURA VIES  </t>
  </si>
  <si>
    <t>LOGISTICA SRS</t>
  </si>
  <si>
    <t>SUPPLY</t>
  </si>
  <si>
    <t xml:space="preserve">DIGITAL SALES  </t>
  </si>
  <si>
    <t xml:space="preserve">REPOSIÇÃO </t>
  </si>
  <si>
    <t xml:space="preserve">FINANCEIRO </t>
  </si>
  <si>
    <t>ENGENHARIA PRODUTO</t>
  </si>
  <si>
    <t xml:space="preserve">TEC INOVAÇÃO </t>
  </si>
  <si>
    <t xml:space="preserve">ENGENHARIA INDUSTRIAL </t>
  </si>
  <si>
    <t>ADMINISTRATIVO</t>
  </si>
  <si>
    <t xml:space="preserve">INDUSTRIAL SRS </t>
  </si>
  <si>
    <t xml:space="preserve">INDUSTRIAL VIES </t>
  </si>
  <si>
    <t>ENGENHARIA  PRODUTO</t>
  </si>
  <si>
    <t>INDUSTRIAL CO</t>
  </si>
  <si>
    <t xml:space="preserve">INDUSTRIAL VIES  </t>
  </si>
  <si>
    <t>INDUSTRIAL VIES</t>
  </si>
  <si>
    <t>COMERCIAL</t>
  </si>
  <si>
    <t>LICENC.SOFTWARE</t>
  </si>
  <si>
    <t>OC0063604</t>
  </si>
  <si>
    <t>OC0063823</t>
  </si>
  <si>
    <t>OC0063818</t>
  </si>
  <si>
    <t>OC0063890</t>
  </si>
  <si>
    <t>OC0064008</t>
  </si>
  <si>
    <t>OC0063895</t>
  </si>
  <si>
    <t>OC0063957</t>
  </si>
  <si>
    <t>OC0064015</t>
  </si>
  <si>
    <t>OC0063935</t>
  </si>
  <si>
    <t>OC0063993</t>
  </si>
  <si>
    <t>OC</t>
  </si>
  <si>
    <t>CS</t>
  </si>
  <si>
    <t>cond.pagamento</t>
  </si>
  <si>
    <t>VIES</t>
  </si>
  <si>
    <t>OUROS</t>
  </si>
  <si>
    <t>VIESADM</t>
  </si>
  <si>
    <t>jan-25</t>
  </si>
  <si>
    <t>fev-25</t>
  </si>
  <si>
    <t>mar-25</t>
  </si>
  <si>
    <t>abr-25</t>
  </si>
  <si>
    <t>mai-25</t>
  </si>
  <si>
    <t>jun-25</t>
  </si>
  <si>
    <t>jul-25</t>
  </si>
  <si>
    <t>ago-25</t>
  </si>
  <si>
    <t>set-25</t>
  </si>
  <si>
    <t>out-25</t>
  </si>
  <si>
    <t>nov-25</t>
  </si>
  <si>
    <t>dez-25</t>
  </si>
  <si>
    <t>jan-26</t>
  </si>
  <si>
    <t>fev-26</t>
  </si>
  <si>
    <t>mar-26</t>
  </si>
  <si>
    <t>abr-26</t>
  </si>
  <si>
    <t>mai-26</t>
  </si>
  <si>
    <t>jun-26</t>
  </si>
  <si>
    <t>jul-26</t>
  </si>
  <si>
    <t>ago-26</t>
  </si>
  <si>
    <t>set-26</t>
  </si>
  <si>
    <t>out-26</t>
  </si>
  <si>
    <t>nov-26</t>
  </si>
  <si>
    <t>dez-26</t>
  </si>
  <si>
    <t>INDUSTRIAL SRS</t>
  </si>
  <si>
    <t>CONTROLADORIA</t>
  </si>
  <si>
    <t>REPOSIÇÃO</t>
  </si>
  <si>
    <t>SEGURANÇA PATRIMONIAL</t>
  </si>
  <si>
    <t>TEC INOVAÇÃO</t>
  </si>
  <si>
    <t>OC0063998</t>
  </si>
  <si>
    <t>OC0063852</t>
  </si>
  <si>
    <t>OC0063663</t>
  </si>
  <si>
    <t>OC0063822</t>
  </si>
  <si>
    <t>OC0063433</t>
  </si>
  <si>
    <t>OC0064026</t>
  </si>
  <si>
    <t>OC0063880</t>
  </si>
  <si>
    <t>OC0063881</t>
  </si>
  <si>
    <t>OC0064020</t>
  </si>
  <si>
    <t>OC0063897</t>
  </si>
  <si>
    <t>OC0064065</t>
  </si>
  <si>
    <t>OC0063866</t>
  </si>
  <si>
    <t>OC0063981</t>
  </si>
  <si>
    <t>OC0063904</t>
  </si>
  <si>
    <t>OC0063340</t>
  </si>
  <si>
    <t>OC0064047</t>
  </si>
  <si>
    <t>OC0064085</t>
  </si>
  <si>
    <t>OC0063815</t>
  </si>
  <si>
    <t>OC0063707</t>
  </si>
  <si>
    <t>OC0063846</t>
  </si>
  <si>
    <t>OC0063980</t>
  </si>
  <si>
    <t>OC0063913</t>
  </si>
  <si>
    <t>vencimento</t>
  </si>
  <si>
    <t>vlr médio</t>
  </si>
  <si>
    <t>CONTRATOS</t>
  </si>
  <si>
    <t>VALOR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</si>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</sst>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R$&quot;\ #,##0.00"/>
    <numFmt numFmtId="165" formatCode="\ #,##0;\-\ #,##0;_-* &quot;ok&quot;??_-;_-@_-"/>
    <numFmt numFmtId="166" formatCode="[$-416]mmm\-yy;@"/>
    <numFmt numFmtId="167" formatCode="mmmm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1" xfId="0" applyFont="1" applyBorder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0" xfId="1" applyNumberFormat="1" applyFont="1" applyAlignment="1">
      <alignment horizontal="center"/>
    </xf>
    <xf numFmtId="43" fontId="0" fillId="0" borderId="0" xfId="1" applyFont="1"/>
    <xf numFmtId="0" fontId="4" fillId="0" borderId="0" xfId="0" applyFont="1" applyAlignment="1">
      <alignment horizontal="center"/>
    </xf>
    <xf numFmtId="43" fontId="0" fillId="0" borderId="0" xfId="0" applyNumberFormat="1"/>
    <xf numFmtId="0" fontId="3" fillId="3" borderId="4" xfId="0" applyFont="1" applyFill="1" applyBorder="1" applyAlignment="1">
      <alignment horizontal="center"/>
    </xf>
    <xf numFmtId="166" fontId="3" fillId="2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0" xfId="0" applyFont="1"/>
    <xf numFmtId="43" fontId="0" fillId="0" borderId="0" xfId="1" applyFont="1" applyFill="1"/>
    <xf numFmtId="0" fontId="5" fillId="0" borderId="5" xfId="0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7" fontId="6" fillId="0" borderId="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0" fontId="0" fillId="0" borderId="0" xfId="0" applyBorder="1"/>
  </cellXfs>
  <cellStyles count="3">
    <cellStyle name="Normal" xfId="0" builtinId="0"/>
    <cellStyle name="Normal 2" xfId="2" xr:uid="{A6A4DEDA-6271-4507-8E76-7E1D9EA48ED4}"/>
    <cellStyle name="Vírgula" xfId="1" builtinId="3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0CE16DA-C162-4A92-920D-0DFD99E6F080}" autoFormatId="16" applyNumberFormats="0" applyBorderFormats="0" applyFontFormats="0" applyPatternFormats="0" applyAlignmentFormats="0" applyWidthHeightFormats="0">
  <queryTableRefresh nextId="20">
    <queryTableFields count="18">
      <queryTableField id="1" name="nota_fiscal" tableColumnId="1"/>
      <queryTableField id="2" name="estabelecimento" tableColumnId="2"/>
      <queryTableField id="3" name="pn_fornecedor" tableColumnId="3"/>
      <queryTableField id="4" name="descricao_fornecedor" tableColumnId="4"/>
      <queryTableField id="5" name="data_fiscal" tableColumnId="5"/>
      <queryTableField id="6" name="item" tableColumnId="6"/>
      <queryTableField id="7" name="numero_processo" tableColumnId="7"/>
      <queryTableField id="8" name="Contrato" tableColumnId="8"/>
      <queryTableField id="9" name="status_do_contrato" tableColumnId="9"/>
      <queryTableField id="18" name="vencimento" tableColumnId="18"/>
      <queryTableField id="10" name="depto_de_compras" tableColumnId="10"/>
      <queryTableField id="11" name="quantidade_unidade_estoque" tableColumnId="11"/>
      <queryTableField id="12" name="preco_total_linha" tableColumnId="12"/>
      <queryTableField id="13" name="cond.pagamento" tableColumnId="13"/>
      <queryTableField id="14" name="departamento" tableColumnId="14"/>
      <queryTableField id="15" name="família" tableColumnId="15"/>
      <queryTableField id="16" name="gestão" tableColumnId="16"/>
      <queryTableField id="17" name="curva" tableColumnId="1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7B4764-7ECD-4419-A357-930CF571A5D9}" name="faturado" displayName="faturado" ref="A2:AL362" totalsRowShown="0" headerRowDxfId="37">
  <autoFilter ref="A2:AL362" xr:uid="{757B4764-7ECD-4419-A357-930CF571A5D9}"/>
  <tableColumns count="38">
    <tableColumn id="1" xr3:uid="{EB7ED7D4-EC7B-4F5E-8B96-91447458E866}" name="contrato" dataDxfId="36"/>
    <tableColumn id="3" xr3:uid="{ECE55B1C-212B-4D53-B59D-7E7732C8E240}" name="pn_fornecedor" dataDxfId="35"/>
    <tableColumn id="4" xr3:uid="{1958C5DB-D2CB-46A1-B91C-B26B33465205}" name="descricao_fornecedor" dataDxfId="34"/>
    <tableColumn id="6" xr3:uid="{2010CDB9-99AA-4E99-B3E1-74DFFC63D772}" name="status_do_contrato" dataDxfId="33"/>
    <tableColumn id="15" xr3:uid="{586248F8-AA80-4AB8-82AE-40A82B2C9519}" name="departamento" dataDxfId="32"/>
    <tableColumn id="16" xr3:uid="{C5949E7A-FB65-485B-B4C4-1050867D0083}" name="família" dataDxfId="31"/>
    <tableColumn id="17" xr3:uid="{EB55896F-84B1-4279-A1E4-5C3415CBDE77}" name="gestão"/>
    <tableColumn id="18" xr3:uid="{47CD754E-5894-42FE-8C65-55B33E414936}" name="curva"/>
    <tableColumn id="7" xr3:uid="{BBFD5DB7-7749-426B-A618-8FB7B7F46AD9}" name="referencia_a" dataDxfId="30"/>
    <tableColumn id="10" xr3:uid="{7D6FBBBF-3D8F-45A6-AB06-E6FDCFAAA1D2}" name="descricao_condicao_de_pagamento" dataDxfId="29"/>
    <tableColumn id="11" xr3:uid="{C4CFF41C-EAA8-4A47-8233-AF6885E08D66}" name="depto_de_compras" dataDxfId="28"/>
    <tableColumn id="12" xr3:uid="{F622E7C0-704D-4912-92D3-EE704D62C030}" name="descricao_dpto_de_compras" dataDxfId="27"/>
    <tableColumn id="69" xr3:uid="{7D9376E9-2C0D-4F8C-B215-D05B2A83DB1E}" name="jan-25" dataCellStyle="Vírgula"/>
    <tableColumn id="70" xr3:uid="{3DA57835-9791-4403-B4AA-CF3F0454EC4E}" name="fev-25" dataCellStyle="Vírgula"/>
    <tableColumn id="71" xr3:uid="{E8AB4F00-C0B8-457E-872B-4017629B06DB}" name="mar-25" dataCellStyle="Vírgula"/>
    <tableColumn id="72" xr3:uid="{D4E595D6-B3F1-4EA8-A593-99E6622FB3B6}" name="abr-25" dataCellStyle="Vírgula"/>
    <tableColumn id="73" xr3:uid="{B261B1A4-9632-4CDE-96DB-AAFB9DD51471}" name="mai-25" dataCellStyle="Vírgula"/>
    <tableColumn id="74" xr3:uid="{93BD547C-F925-4751-B732-30D4BB0DDDFF}" name="jun-25" dataCellStyle="Vírgula"/>
    <tableColumn id="75" xr3:uid="{EECCB3D0-7AEB-4B41-AEA8-318A390F44AB}" name="jul-25" dataCellStyle="Vírgula"/>
    <tableColumn id="76" xr3:uid="{E5D512F0-F3D0-44C0-9D91-3FE2AEE49C26}" name="ago-25" dataCellStyle="Vírgula"/>
    <tableColumn id="77" xr3:uid="{3314D78F-F59C-4BD2-ACAB-2A369C23867E}" name="set-25" dataCellStyle="Vírgula"/>
    <tableColumn id="78" xr3:uid="{8F9568A3-0AA7-4B4D-A6D5-CA0D4A7ADB9B}" name="out-25" dataCellStyle="Vírgula"/>
    <tableColumn id="79" xr3:uid="{92D75680-4B69-43F8-9EE1-6ADCCE396BCA}" name="nov-25" dataCellStyle="Vírgula"/>
    <tableColumn id="80" xr3:uid="{FEA8D0AC-21D8-494E-B198-2F99C18567D1}" name="dez-25" dataCellStyle="Vírgula"/>
    <tableColumn id="2" xr3:uid="{37323C85-6EE8-42F1-8930-5E247CC952B4}" name="2025" dataDxfId="26" dataCellStyle="Vírgula"/>
    <tableColumn id="81" xr3:uid="{4F540F28-0F9E-44B4-80E7-B2338D4BDDAB}" name="jan-26" dataCellStyle="Vírgula"/>
    <tableColumn id="82" xr3:uid="{4C6E2EF0-E138-44F0-9B52-8816077699A2}" name="fev-26" dataCellStyle="Vírgula"/>
    <tableColumn id="83" xr3:uid="{946D3841-AA2E-43D3-99ED-FDA7621F3578}" name="mar-26" dataCellStyle="Vírgula"/>
    <tableColumn id="84" xr3:uid="{BBF72210-E100-4951-8AC8-BEF2AD158B62}" name="abr-26" dataCellStyle="Vírgula"/>
    <tableColumn id="85" xr3:uid="{90A4DA6A-5654-4141-BB81-6998E8289D97}" name="mai-26" dataCellStyle="Vírgula"/>
    <tableColumn id="86" xr3:uid="{86CA6E55-3F24-4F42-959E-217BC4150824}" name="jun-26" dataCellStyle="Vírgula"/>
    <tableColumn id="87" xr3:uid="{1F5A861F-3063-4518-A04D-C449796291D4}" name="jul-26" dataCellStyle="Vírgula"/>
    <tableColumn id="88" xr3:uid="{59E4474C-98F5-4B45-8B97-3B271EB5FC2A}" name="ago-26" dataCellStyle="Vírgula"/>
    <tableColumn id="89" xr3:uid="{F96B194B-0A25-4FCD-B7CB-01649170DA3A}" name="set-26" dataCellStyle="Vírgula"/>
    <tableColumn id="90" xr3:uid="{AE38E490-B8AA-46C8-95E6-493A9F1C79E7}" name="out-26" dataCellStyle="Vírgula"/>
    <tableColumn id="91" xr3:uid="{63946007-D433-4896-9844-B01EEA5C2426}" name="nov-26" dataCellStyle="Vírgula"/>
    <tableColumn id="92" xr3:uid="{0A330585-884A-47A3-B3C8-5DD66745C3E6}" name="dez-26" dataCellStyle="Vírgula"/>
    <tableColumn id="5" xr3:uid="{41FF70B8-3D99-47D1-97FF-0542EB5B4998}" name="2026" dataDxfId="25" dataCellStyle="Vírgul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76C99E-9DCA-45FD-AD87-BAD2AA6CFB06}" name="COMPL" displayName="COMPL" ref="A3:J363" totalsRowShown="0" headerRowDxfId="24" dataDxfId="23" tableBorderDxfId="22">
  <autoFilter ref="A3:J363" xr:uid="{D476C99E-9DCA-45FD-AD87-BAD2AA6CFB06}"/>
  <sortState xmlns:xlrd2="http://schemas.microsoft.com/office/spreadsheetml/2017/richdata2" ref="A4:J363">
    <sortCondition ref="A5:A363"/>
  </sortState>
  <tableColumns count="10">
    <tableColumn id="1" xr3:uid="{062F1535-88C0-4141-A9BE-DB5544602FE9}" name="contrato" dataDxfId="21"/>
    <tableColumn id="2" xr3:uid="{A60466E3-B410-43B3-81A7-2C6FDD7679DB}" name="pn_fornecedor" dataDxfId="20"/>
    <tableColumn id="3" xr3:uid="{0F9816FA-6FF8-4A3C-AF91-59B0F85B5FA3}" name="descricao_fornecedor" dataDxfId="19"/>
    <tableColumn id="4" xr3:uid="{336BB060-D352-4EAB-AD68-CAA07159BB5B}" name="departamento" dataDxfId="18"/>
    <tableColumn id="5" xr3:uid="{93C85B6D-F1CE-4E0F-B8F3-704851ABF4C9}" name="família" dataDxfId="17"/>
    <tableColumn id="7" xr3:uid="{D87BCD2C-FBD5-4DB6-98AB-27EC8D2EDF8D}" name="gestão" dataDxfId="16"/>
    <tableColumn id="6" xr3:uid="{43A6E58A-958C-4E16-992B-61AA96584FCF}" name="curva" dataDxfId="15"/>
    <tableColumn id="8" xr3:uid="{7DD1363B-72C6-4FE4-8A5E-B705F1499C84}" name="STATUS" dataDxfId="14"/>
    <tableColumn id="9" xr3:uid="{51CCE42A-180F-49F6-B09B-A1B8699CEA8C}" name="vencimento" dataDxfId="13"/>
    <tableColumn id="11" xr3:uid="{CE5C2ED2-867B-4160-ACB0-28BBEE1857AD}" name="vlr médio" dataDxfId="12" dataCellStyle="Vírgul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F9E017-087C-4434-9EE1-5B29303A1750}" name="CS_Ajuste" displayName="CS_Ajuste" ref="M3:N7" totalsRowShown="0" headerRowDxfId="11">
  <autoFilter ref="M3:N7" xr:uid="{32F9E017-087C-4434-9EE1-5B29303A1750}"/>
  <tableColumns count="2">
    <tableColumn id="1" xr3:uid="{E50EE2D4-5CE9-436C-B019-500D153ADAEE}" name="OC"/>
    <tableColumn id="2" xr3:uid="{7CEEB061-6046-4E96-B7D0-506670C9EBC2}" name="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0B9F9-B42E-41C0-A3EC-EB3402465959}" name="BASEDADOS" displayName="BASEDADOS" ref="A1:R4881" tableType="queryTable" totalsRowShown="0">
  <autoFilter ref="A1:R4881" xr:uid="{B560B9F9-B42E-41C0-A3EC-EB3402465959}"/>
  <tableColumns count="18">
    <tableColumn id="1" xr3:uid="{5CC7D377-EA02-43B3-804A-48EB8D792EA9}" uniqueName="1" name="nota_fiscal" queryTableFieldId="1"/>
    <tableColumn id="2" xr3:uid="{62AE4B63-FB03-4AE9-851B-CF92C65CFDB5}" uniqueName="2" name="estabelecimento" queryTableFieldId="2" dataDxfId="10"/>
    <tableColumn id="3" xr3:uid="{A40E3B4F-5FC9-4CD2-8617-D7A5890544DD}" uniqueName="3" name="pn_fornecedor" queryTableFieldId="3" dataDxfId="9"/>
    <tableColumn id="4" xr3:uid="{5B1FA637-566C-4A6C-A646-1523B10921AE}" uniqueName="4" name="descricao_fornecedor" queryTableFieldId="4" dataDxfId="8"/>
    <tableColumn id="5" xr3:uid="{ECB4B41F-E6B0-4739-918F-0D3BEB1DCA6C}" uniqueName="5" name="data_fiscal" queryTableFieldId="5" dataDxfId="7"/>
    <tableColumn id="6" xr3:uid="{D6872526-4932-46DD-A1AF-4809B26FA812}" uniqueName="6" name="item" queryTableFieldId="6" dataDxfId="6"/>
    <tableColumn id="7" xr3:uid="{F9FE52D4-0B70-4079-8F86-7B4152D8696F}" uniqueName="7" name="numero_processo" queryTableFieldId="7" dataDxfId="5"/>
    <tableColumn id="8" xr3:uid="{1E7C4E0C-486A-4285-B27F-EF3CCF5F80E1}" uniqueName="8" name="Contrato" queryTableFieldId="8"/>
    <tableColumn id="9" xr3:uid="{168C3B17-EB48-4309-9882-05A276FB221A}" uniqueName="9" name="status_do_contrato" queryTableFieldId="9" dataDxfId="4"/>
    <tableColumn id="18" xr3:uid="{AE7EF666-4CB9-4A21-B1C2-E45E3294C927}" uniqueName="18" name="vencimento" queryTableFieldId="18" dataDxfId="3"/>
    <tableColumn id="10" xr3:uid="{5645D654-891D-4C36-A4A6-51462EF85B81}" uniqueName="10" name="depto_de_compras" queryTableFieldId="10"/>
    <tableColumn id="11" xr3:uid="{D8D0A2D0-ECE4-4353-A859-F3FE0750FA42}" uniqueName="11" name="quantidade_unidade_estoque" queryTableFieldId="11"/>
    <tableColumn id="12" xr3:uid="{7DA4F195-6A75-4995-A80F-C812D4FE75CF}" uniqueName="12" name="preco_total_linha" queryTableFieldId="12"/>
    <tableColumn id="13" xr3:uid="{AA92D970-1D54-4FDC-BFF7-CFA61E3A0024}" uniqueName="13" name="cond.pagamento" queryTableFieldId="13" dataDxfId="2"/>
    <tableColumn id="14" xr3:uid="{702A409A-4F78-4252-99F5-68C452F43F5B}" uniqueName="14" name="departamento" queryTableFieldId="14" dataDxfId="1"/>
    <tableColumn id="15" xr3:uid="{E9AA8587-11DA-4A1A-973E-2232D9C08E4A}" uniqueName="15" name="família" queryTableFieldId="15" dataDxfId="0"/>
    <tableColumn id="16" xr3:uid="{4F75C3B9-7E0B-4AA4-B35A-F4D671353780}" uniqueName="16" name="gestão" queryTableFieldId="16"/>
    <tableColumn id="17" xr3:uid="{DC3A6908-F2B4-46FF-9C39-D2C4CEA4AAFE}" uniqueName="17" name="curva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D70B-C1E4-4D7E-B255-E6899744ED50}">
  <sheetPr codeName="Planilha2"/>
  <dimension ref="A1:AL376"/>
  <sheetViews>
    <sheetView workbookViewId="0">
      <selection activeCell="A2" sqref="A2"/>
    </sheetView>
  </sheetViews>
  <sheetFormatPr defaultColWidth="10.21875" defaultRowHeight="14.4" outlineLevelCol="1" x14ac:dyDescent="0.3"/>
  <cols>
    <col min="1" max="1" width="10.21875" bestFit="1" customWidth="1"/>
    <col min="2" max="2" width="15.109375" bestFit="1" customWidth="1"/>
    <col min="3" max="3" width="37.88671875" bestFit="1" customWidth="1"/>
    <col min="4" max="4" width="19.109375" bestFit="1" customWidth="1"/>
    <col min="5" max="5" width="23.6640625" bestFit="1" customWidth="1"/>
    <col min="6" max="6" width="39.33203125" bestFit="1" customWidth="1"/>
    <col min="7" max="7" width="21.33203125" bestFit="1" customWidth="1"/>
    <col min="8" max="8" width="7.77734375" customWidth="1"/>
    <col min="9" max="9" width="32.88671875" customWidth="1"/>
    <col min="10" max="10" width="33.44140625" customWidth="1"/>
    <col min="11" max="11" width="19.21875" bestFit="1" customWidth="1"/>
    <col min="12" max="12" width="29.77734375" customWidth="1"/>
    <col min="13" max="13" width="14.21875" bestFit="1" customWidth="1" outlineLevel="1"/>
    <col min="14" max="14" width="15.21875" style="2" customWidth="1" outlineLevel="1"/>
    <col min="15" max="24" width="14.21875" style="2" customWidth="1" outlineLevel="1"/>
    <col min="25" max="25" width="15.21875" style="2" bestFit="1" customWidth="1"/>
    <col min="26" max="26" width="15.21875" bestFit="1" customWidth="1" outlineLevel="1"/>
    <col min="27" max="37" width="14.21875" style="2" bestFit="1" customWidth="1" outlineLevel="1"/>
    <col min="38" max="38" width="15.21875" style="2" bestFit="1" customWidth="1"/>
  </cols>
  <sheetData>
    <row r="1" spans="1:38" x14ac:dyDescent="0.3">
      <c r="M1" s="2">
        <f>SUM(faturado[jan-25])</f>
        <v>3619127.41</v>
      </c>
      <c r="N1" s="2">
        <f>SUM(faturado[fev-25])</f>
        <v>4320391.32</v>
      </c>
      <c r="O1" s="2">
        <f>SUM(faturado[mar-25])</f>
        <v>3902344.2600000007</v>
      </c>
      <c r="P1" s="2">
        <f>SUM(faturado[abr-25])</f>
        <v>3829344.82</v>
      </c>
      <c r="Q1" s="2">
        <f>SUM(faturado[mai-25])</f>
        <v>4132901.83</v>
      </c>
      <c r="R1" s="2">
        <f>SUM(faturado[jun-25])</f>
        <v>4141150.14</v>
      </c>
      <c r="S1" s="2">
        <f>SUM(faturado[jul-25])</f>
        <v>4286340.2000000011</v>
      </c>
      <c r="T1" s="2">
        <f>SUM(faturado[ago-25])</f>
        <v>4032447.3200000003</v>
      </c>
      <c r="U1" s="2">
        <f>SUM(faturado[set-25])</f>
        <v>5129442.5799999982</v>
      </c>
      <c r="V1" s="2">
        <f>SUM(faturado[out-25])</f>
        <v>4946827.6399999987</v>
      </c>
      <c r="W1" s="2">
        <f>SUM(faturado[nov-25])</f>
        <v>4434241.16</v>
      </c>
      <c r="X1" s="2">
        <f>SUM(faturado[dez-25])</f>
        <v>5035170.3299999991</v>
      </c>
      <c r="Y1" s="2">
        <f>SUM(faturado[2025])</f>
        <v>55977646.639999963</v>
      </c>
      <c r="Z1" s="2">
        <f>SUM(faturado[jan-26])</f>
        <v>3634915.2399999998</v>
      </c>
      <c r="AA1" s="2">
        <f>SUM(faturado[fev-26])</f>
        <v>4723958.91</v>
      </c>
      <c r="AB1" s="2">
        <f>SUM(faturado[mar-26])</f>
        <v>4291708.53</v>
      </c>
      <c r="AC1" s="2">
        <f>SUM(faturado[abr-26])</f>
        <v>4992439.8599999994</v>
      </c>
      <c r="AD1" s="2">
        <f>SUM(faturado[mai-26])</f>
        <v>4845613.7699999977</v>
      </c>
      <c r="AE1" s="2">
        <f>SUM(faturado[jun-26])</f>
        <v>3848780.58</v>
      </c>
      <c r="AF1" s="2">
        <f>SUM(faturado[jul-26])</f>
        <v>0</v>
      </c>
      <c r="AG1" s="2">
        <f>SUM(faturado[ago-26])</f>
        <v>0</v>
      </c>
      <c r="AH1" s="2">
        <f>SUM(faturado[set-26])</f>
        <v>0</v>
      </c>
      <c r="AI1" s="2">
        <f>SUM(faturado[out-26])</f>
        <v>0</v>
      </c>
      <c r="AJ1" s="2">
        <f>SUM(faturado[nov-26])</f>
        <v>0</v>
      </c>
      <c r="AK1" s="2">
        <f>SUM(faturado[dez-26])</f>
        <v>0</v>
      </c>
      <c r="AL1" s="2">
        <f>SUM(faturado[2026])</f>
        <v>26581067.199999996</v>
      </c>
    </row>
    <row r="2" spans="1:38" x14ac:dyDescent="0.3">
      <c r="A2" t="s">
        <v>700</v>
      </c>
      <c r="B2" t="s">
        <v>701</v>
      </c>
      <c r="C2" t="s">
        <v>702</v>
      </c>
      <c r="D2" t="s">
        <v>201</v>
      </c>
      <c r="E2" t="s">
        <v>4767</v>
      </c>
      <c r="F2" t="s">
        <v>4768</v>
      </c>
      <c r="G2" t="s">
        <v>4770</v>
      </c>
      <c r="H2" t="s">
        <v>4769</v>
      </c>
      <c r="I2" t="s">
        <v>703</v>
      </c>
      <c r="J2" t="s">
        <v>704</v>
      </c>
      <c r="K2" t="s">
        <v>705</v>
      </c>
      <c r="L2" t="s">
        <v>706</v>
      </c>
      <c r="M2" s="13" t="s">
        <v>4877</v>
      </c>
      <c r="N2" s="13" t="s">
        <v>4878</v>
      </c>
      <c r="O2" s="13" t="s">
        <v>4879</v>
      </c>
      <c r="P2" s="13" t="s">
        <v>4880</v>
      </c>
      <c r="Q2" s="13" t="s">
        <v>4881</v>
      </c>
      <c r="R2" s="13" t="s">
        <v>4882</v>
      </c>
      <c r="S2" s="13" t="s">
        <v>4883</v>
      </c>
      <c r="T2" s="13" t="s">
        <v>4884</v>
      </c>
      <c r="U2" s="13" t="s">
        <v>4885</v>
      </c>
      <c r="V2" s="13" t="s">
        <v>4886</v>
      </c>
      <c r="W2" s="13" t="s">
        <v>4887</v>
      </c>
      <c r="X2" s="13" t="s">
        <v>4888</v>
      </c>
      <c r="Y2" s="12" t="s">
        <v>0</v>
      </c>
      <c r="Z2" s="13" t="s">
        <v>4889</v>
      </c>
      <c r="AA2" s="13" t="s">
        <v>4890</v>
      </c>
      <c r="AB2" s="13" t="s">
        <v>4891</v>
      </c>
      <c r="AC2" s="13" t="s">
        <v>4892</v>
      </c>
      <c r="AD2" s="13" t="s">
        <v>4893</v>
      </c>
      <c r="AE2" s="13" t="s">
        <v>4894</v>
      </c>
      <c r="AF2" s="13" t="s">
        <v>4895</v>
      </c>
      <c r="AG2" s="13" t="s">
        <v>4896</v>
      </c>
      <c r="AH2" s="13" t="s">
        <v>4897</v>
      </c>
      <c r="AI2" s="13" t="s">
        <v>4898</v>
      </c>
      <c r="AJ2" s="13" t="s">
        <v>4899</v>
      </c>
      <c r="AK2" s="13" t="s">
        <v>4900</v>
      </c>
      <c r="AL2" s="12" t="s">
        <v>1</v>
      </c>
    </row>
    <row r="3" spans="1:38" x14ac:dyDescent="0.3">
      <c r="A3" t="s">
        <v>707</v>
      </c>
      <c r="B3" t="s">
        <v>708</v>
      </c>
      <c r="C3" t="s">
        <v>709</v>
      </c>
      <c r="D3" t="s">
        <v>209</v>
      </c>
      <c r="G3" t="s">
        <v>4853</v>
      </c>
      <c r="H3" t="s">
        <v>4771</v>
      </c>
      <c r="I3" t="s">
        <v>709</v>
      </c>
      <c r="J3" t="s">
        <v>710</v>
      </c>
      <c r="K3" t="s">
        <v>711</v>
      </c>
      <c r="L3" t="s">
        <v>712</v>
      </c>
      <c r="M3" s="9">
        <f>SUMIFS(#REF!,#REF!,
$A3,#REF!,
"&gt;="&amp;'Faturado mensal'!M$2,#REF!,
"&lt;"&amp;EOMONTH('Faturado mensal'!M$2,0))</f>
        <v>0</v>
      </c>
      <c r="N3" s="9">
        <f>SUMIFS(#REF!,#REF!,
$A3,#REF!,
"&gt;="&amp;'Faturado mensal'!N$2,#REF!,
"&lt;"&amp;EOMONTH('Faturado mensal'!N$2,0))</f>
        <v>0</v>
      </c>
      <c r="O3" s="9">
        <f>SUMIFS(#REF!,#REF!,
$A3,#REF!,
"&gt;="&amp;'Faturado mensal'!O$2,#REF!,
"&lt;"&amp;EOMONTH('Faturado mensal'!O$2,0))</f>
        <v>0</v>
      </c>
      <c r="P3" s="9">
        <f>SUMIFS(#REF!,#REF!,
$A3,#REF!,
"&gt;="&amp;'Faturado mensal'!P$2,#REF!,
"&lt;"&amp;EOMONTH('Faturado mensal'!P$2,0))</f>
        <v>0</v>
      </c>
      <c r="Q3" s="9">
        <f>SUMIFS(#REF!,#REF!,
$A3,#REF!,
"&gt;="&amp;'Faturado mensal'!Q$2,#REF!,
"&lt;"&amp;EOMONTH('Faturado mensal'!Q$2,0))</f>
        <v>0</v>
      </c>
      <c r="R3" s="9">
        <f>SUMIFS(#REF!,#REF!,
$A3,#REF!,
"&gt;="&amp;'Faturado mensal'!R$2,#REF!,
"&lt;"&amp;EOMONTH('Faturado mensal'!R$2,0))</f>
        <v>0</v>
      </c>
      <c r="S3" s="9">
        <f>SUMIFS(#REF!,#REF!,
$A3,#REF!,
"&gt;="&amp;'Faturado mensal'!S$2,#REF!,
"&lt;"&amp;EOMONTH('Faturado mensal'!S$2,0))</f>
        <v>0</v>
      </c>
      <c r="T3" s="9">
        <f>SUMIFS(#REF!,#REF!,
$A3,#REF!,
"&gt;="&amp;'Faturado mensal'!T$2,#REF!,
"&lt;"&amp;EOMONTH('Faturado mensal'!T$2,0))</f>
        <v>0</v>
      </c>
      <c r="U3" s="9">
        <f>SUMIFS(#REF!,#REF!,
$A3,#REF!,
"&gt;="&amp;'Faturado mensal'!U$2,#REF!,
"&lt;"&amp;EOMONTH('Faturado mensal'!U$2,0))</f>
        <v>0</v>
      </c>
      <c r="V3" s="9">
        <f>SUMIFS(#REF!,#REF!,
$A3,#REF!,
"&gt;="&amp;'Faturado mensal'!V$2,#REF!,
"&lt;"&amp;EOMONTH('Faturado mensal'!V$2,0))</f>
        <v>0</v>
      </c>
      <c r="W3" s="9">
        <f>SUMIFS(#REF!,#REF!,
$A3,#REF!,
"&gt;="&amp;'Faturado mensal'!W$2,#REF!,
"&lt;"&amp;EOMONTH('Faturado mensal'!W$2,0))</f>
        <v>0</v>
      </c>
      <c r="X3" s="9">
        <f>SUMIFS(#REF!,#REF!,
$A3,#REF!,
"&gt;="&amp;'Faturado mensal'!X$2,#REF!,
"&lt;"&amp;EOMONTH('Faturado mensal'!X$2,0))</f>
        <v>0</v>
      </c>
      <c r="Y3" s="9">
        <f>SUMIFS(#REF!,#REF!,
$A3,#REF!,
"&gt;="&amp;'Faturado mensal'!M$2,#REF!,
"&lt;"&amp;EOMONTH('Faturado mensal'!M$2,12))</f>
        <v>0</v>
      </c>
      <c r="Z3" s="9">
        <f>SUMIFS(#REF!,#REF!,
$A3,#REF!,
"&gt;="&amp;'Faturado mensal'!Z$2,#REF!,
"&lt;"&amp;EOMONTH('Faturado mensal'!Z$2,0))</f>
        <v>0</v>
      </c>
      <c r="AA3" s="9">
        <f>SUMIFS(#REF!,#REF!,
$A3,#REF!,
"&gt;="&amp;'Faturado mensal'!AA$2,#REF!,
"&lt;"&amp;EOMONTH('Faturado mensal'!AA$2,0))</f>
        <v>0</v>
      </c>
      <c r="AB3" s="9">
        <f>SUMIFS(#REF!,#REF!,
$A3,#REF!,
"&gt;="&amp;'Faturado mensal'!AB$2,#REF!,
"&lt;"&amp;EOMONTH('Faturado mensal'!AB$2,0))</f>
        <v>0</v>
      </c>
      <c r="AC3" s="9">
        <f>SUMIFS(#REF!,#REF!,
$A3,#REF!,
"&gt;="&amp;'Faturado mensal'!AC$2,#REF!,
"&lt;"&amp;EOMONTH('Faturado mensal'!AC$2,0))</f>
        <v>0</v>
      </c>
      <c r="AD3" s="9">
        <f>SUMIFS(#REF!,#REF!,
$A3,#REF!,
"&gt;="&amp;'Faturado mensal'!AD$2,#REF!,
"&lt;"&amp;EOMONTH('Faturado mensal'!AD$2,0))</f>
        <v>0</v>
      </c>
      <c r="AE3" s="9">
        <f>SUMIFS(#REF!,#REF!,
$A3,#REF!,
"&gt;="&amp;'Faturado mensal'!AE$2,#REF!,
"&lt;"&amp;EOMONTH('Faturado mensal'!AE$2,0))</f>
        <v>0</v>
      </c>
      <c r="AF3" s="9">
        <f>SUMIFS(#REF!,#REF!,
$A3,#REF!,
"&gt;="&amp;'Faturado mensal'!AF$2,#REF!,
"&lt;"&amp;EOMONTH('Faturado mensal'!AF$2,0))</f>
        <v>0</v>
      </c>
      <c r="AG3" s="9">
        <f>SUMIFS(#REF!,#REF!,
$A3,#REF!,
"&gt;="&amp;'Faturado mensal'!AG$2,#REF!,
"&lt;"&amp;EOMONTH('Faturado mensal'!AG$2,0))</f>
        <v>0</v>
      </c>
      <c r="AH3" s="9">
        <f>SUMIFS(#REF!,#REF!,
$A3,#REF!,
"&gt;="&amp;'Faturado mensal'!AH$2,#REF!,
"&lt;"&amp;EOMONTH('Faturado mensal'!AH$2,0))</f>
        <v>0</v>
      </c>
      <c r="AI3" s="9">
        <f>SUMIFS(#REF!,#REF!,
$A3,#REF!,
"&gt;="&amp;'Faturado mensal'!AI$2,#REF!,
"&lt;"&amp;EOMONTH('Faturado mensal'!AI$2,0))</f>
        <v>0</v>
      </c>
      <c r="AJ3" s="9">
        <f>SUMIFS(#REF!,#REF!,
$A3,#REF!,
"&gt;="&amp;'Faturado mensal'!AJ$2,#REF!,
"&lt;"&amp;EOMONTH('Faturado mensal'!AJ$2,0))</f>
        <v>0</v>
      </c>
      <c r="AK3" s="9">
        <f>SUMIFS(#REF!,#REF!,
$A3,#REF!,
"&gt;="&amp;'Faturado mensal'!AK$2,#REF!,
"&lt;"&amp;EOMONTH('Faturado mensal'!AK$2,0))</f>
        <v>0</v>
      </c>
      <c r="AL3" s="9">
        <f>SUMIFS(#REF!,#REF!,
$A3,#REF!,
"&gt;="&amp;Z$2,#REF!,
"&lt;"&amp;EOMONTH(AK$2,0))</f>
        <v>0</v>
      </c>
    </row>
    <row r="4" spans="1:38" x14ac:dyDescent="0.3">
      <c r="A4" t="s">
        <v>713</v>
      </c>
      <c r="B4" t="s">
        <v>714</v>
      </c>
      <c r="C4" t="s">
        <v>715</v>
      </c>
      <c r="D4" t="s">
        <v>209</v>
      </c>
      <c r="I4" t="s">
        <v>715</v>
      </c>
      <c r="J4" t="s">
        <v>710</v>
      </c>
      <c r="K4" t="s">
        <v>711</v>
      </c>
      <c r="L4" t="s">
        <v>712</v>
      </c>
      <c r="M4" s="9">
        <f>SUMIFS(#REF!,#REF!,
$A4,#REF!,
"&gt;="&amp;'Faturado mensal'!M$2,#REF!,
"&lt;"&amp;EOMONTH('Faturado mensal'!M$2,0))</f>
        <v>0</v>
      </c>
      <c r="N4" s="9">
        <f>SUMIFS(#REF!,#REF!,
$A4,#REF!,
"&gt;="&amp;'Faturado mensal'!N$2,#REF!,
"&lt;"&amp;EOMONTH('Faturado mensal'!N$2,0))</f>
        <v>0</v>
      </c>
      <c r="O4" s="9">
        <f>SUMIFS(#REF!,#REF!,
$A4,#REF!,
"&gt;="&amp;'Faturado mensal'!O$2,#REF!,
"&lt;"&amp;EOMONTH('Faturado mensal'!O$2,0))</f>
        <v>0</v>
      </c>
      <c r="P4" s="9">
        <f>SUMIFS(#REF!,#REF!,
$A4,#REF!,
"&gt;="&amp;'Faturado mensal'!P$2,#REF!,
"&lt;"&amp;EOMONTH('Faturado mensal'!P$2,0))</f>
        <v>0</v>
      </c>
      <c r="Q4" s="9">
        <f>SUMIFS(#REF!,#REF!,
$A4,#REF!,
"&gt;="&amp;'Faturado mensal'!Q$2,#REF!,
"&lt;"&amp;EOMONTH('Faturado mensal'!Q$2,0))</f>
        <v>0</v>
      </c>
      <c r="R4" s="9">
        <f>SUMIFS(#REF!,#REF!,
$A4,#REF!,
"&gt;="&amp;'Faturado mensal'!R$2,#REF!,
"&lt;"&amp;EOMONTH('Faturado mensal'!R$2,0))</f>
        <v>0</v>
      </c>
      <c r="S4" s="9">
        <f>SUMIFS(#REF!,#REF!,
$A4,#REF!,
"&gt;="&amp;'Faturado mensal'!S$2,#REF!,
"&lt;"&amp;EOMONTH('Faturado mensal'!S$2,0))</f>
        <v>0</v>
      </c>
      <c r="T4" s="9">
        <f>SUMIFS(#REF!,#REF!,
$A4,#REF!,
"&gt;="&amp;'Faturado mensal'!T$2,#REF!,
"&lt;"&amp;EOMONTH('Faturado mensal'!T$2,0))</f>
        <v>0</v>
      </c>
      <c r="U4" s="9">
        <f>SUMIFS(#REF!,#REF!,
$A4,#REF!,
"&gt;="&amp;'Faturado mensal'!U$2,#REF!,
"&lt;"&amp;EOMONTH('Faturado mensal'!U$2,0))</f>
        <v>0</v>
      </c>
      <c r="V4" s="9">
        <f>SUMIFS(#REF!,#REF!,
$A4,#REF!,
"&gt;="&amp;'Faturado mensal'!V$2,#REF!,
"&lt;"&amp;EOMONTH('Faturado mensal'!V$2,0))</f>
        <v>0</v>
      </c>
      <c r="W4" s="9">
        <f>SUMIFS(#REF!,#REF!,
$A4,#REF!,
"&gt;="&amp;'Faturado mensal'!W$2,#REF!,
"&lt;"&amp;EOMONTH('Faturado mensal'!W$2,0))</f>
        <v>0</v>
      </c>
      <c r="X4" s="9">
        <f>SUMIFS(#REF!,#REF!,
$A4,#REF!,
"&gt;="&amp;'Faturado mensal'!X$2,#REF!,
"&lt;"&amp;EOMONTH('Faturado mensal'!X$2,0))</f>
        <v>0</v>
      </c>
      <c r="Y4" s="11">
        <f>SUMIFS(#REF!,#REF!,
$A4,#REF!,
"&gt;="&amp;'Faturado mensal'!M$2,#REF!,
"&lt;"&amp;EOMONTH('Faturado mensal'!M$2,12))</f>
        <v>0</v>
      </c>
      <c r="Z4" s="9">
        <f>SUMIFS(#REF!,#REF!,
$A4,#REF!,
"&gt;="&amp;'Faturado mensal'!Z$2,#REF!,
"&lt;"&amp;EOMONTH('Faturado mensal'!Z$2,0))</f>
        <v>0</v>
      </c>
      <c r="AA4" s="9">
        <f>SUMIFS(#REF!,#REF!,
$A4,#REF!,
"&gt;="&amp;'Faturado mensal'!AA$2,#REF!,
"&lt;"&amp;EOMONTH('Faturado mensal'!AA$2,0))</f>
        <v>0</v>
      </c>
      <c r="AB4" s="9">
        <f>SUMIFS(#REF!,#REF!,
$A4,#REF!,
"&gt;="&amp;'Faturado mensal'!AB$2,#REF!,
"&lt;"&amp;EOMONTH('Faturado mensal'!AB$2,0))</f>
        <v>0</v>
      </c>
      <c r="AC4" s="9">
        <f>SUMIFS(#REF!,#REF!,
$A4,#REF!,
"&gt;="&amp;'Faturado mensal'!AC$2,#REF!,
"&lt;"&amp;EOMONTH('Faturado mensal'!AC$2,0))</f>
        <v>0</v>
      </c>
      <c r="AD4" s="9">
        <f>SUMIFS(#REF!,#REF!,
$A4,#REF!,
"&gt;="&amp;'Faturado mensal'!AD$2,#REF!,
"&lt;"&amp;EOMONTH('Faturado mensal'!AD$2,0))</f>
        <v>0</v>
      </c>
      <c r="AE4" s="9">
        <f>SUMIFS(#REF!,#REF!,
$A4,#REF!,
"&gt;="&amp;'Faturado mensal'!AE$2,#REF!,
"&lt;"&amp;EOMONTH('Faturado mensal'!AE$2,0))</f>
        <v>0</v>
      </c>
      <c r="AF4" s="9">
        <f>SUMIFS(#REF!,#REF!,
$A4,#REF!,
"&gt;="&amp;'Faturado mensal'!AF$2,#REF!,
"&lt;"&amp;EOMONTH('Faturado mensal'!AF$2,0))</f>
        <v>0</v>
      </c>
      <c r="AG4" s="9">
        <f>SUMIFS(#REF!,#REF!,
$A4,#REF!,
"&gt;="&amp;'Faturado mensal'!AG$2,#REF!,
"&lt;"&amp;EOMONTH('Faturado mensal'!AG$2,0))</f>
        <v>0</v>
      </c>
      <c r="AH4" s="9">
        <f>SUMIFS(#REF!,#REF!,
$A4,#REF!,
"&gt;="&amp;'Faturado mensal'!AH$2,#REF!,
"&lt;"&amp;EOMONTH('Faturado mensal'!AH$2,0))</f>
        <v>0</v>
      </c>
      <c r="AI4" s="9">
        <f>SUMIFS(#REF!,#REF!,
$A4,#REF!,
"&gt;="&amp;'Faturado mensal'!AI$2,#REF!,
"&lt;"&amp;EOMONTH('Faturado mensal'!AI$2,0))</f>
        <v>0</v>
      </c>
      <c r="AJ4" s="9">
        <f>SUMIFS(#REF!,#REF!,
$A4,#REF!,
"&gt;="&amp;'Faturado mensal'!AJ$2,#REF!,
"&lt;"&amp;EOMONTH('Faturado mensal'!AJ$2,0))</f>
        <v>0</v>
      </c>
      <c r="AK4" s="9">
        <f>SUMIFS(#REF!,#REF!,
$A4,#REF!,
"&gt;="&amp;'Faturado mensal'!AK$2,#REF!,
"&lt;"&amp;EOMONTH('Faturado mensal'!AK$2,0))</f>
        <v>0</v>
      </c>
      <c r="AL4" s="9">
        <f>SUMIFS(#REF!,#REF!,
$A4,#REF!,
"&gt;="&amp;Z$2,#REF!,
"&lt;"&amp;EOMONTH(AK$2,0))</f>
        <v>0</v>
      </c>
    </row>
    <row r="5" spans="1:38" x14ac:dyDescent="0.3">
      <c r="A5" t="s">
        <v>202</v>
      </c>
      <c r="B5" t="s">
        <v>203</v>
      </c>
      <c r="C5" t="s">
        <v>118</v>
      </c>
      <c r="D5" t="s">
        <v>204</v>
      </c>
      <c r="E5" t="s">
        <v>1037</v>
      </c>
      <c r="F5" t="s">
        <v>4776</v>
      </c>
      <c r="G5" t="s">
        <v>4853</v>
      </c>
      <c r="H5" t="s">
        <v>4772</v>
      </c>
      <c r="I5" t="s">
        <v>716</v>
      </c>
      <c r="J5" t="s">
        <v>710</v>
      </c>
      <c r="K5" t="s">
        <v>717</v>
      </c>
      <c r="L5" t="s">
        <v>718</v>
      </c>
      <c r="M5" s="9">
        <f>SUMIFS(#REF!,#REF!,
$A5,#REF!,
"&gt;="&amp;'Faturado mensal'!M$2,#REF!,
"&lt;"&amp;EOMONTH('Faturado mensal'!M$2,0))</f>
        <v>0</v>
      </c>
      <c r="N5" s="9">
        <f>SUMIFS(#REF!,#REF!,
$A5,#REF!,
"&gt;="&amp;'Faturado mensal'!N$2,#REF!,
"&lt;"&amp;EOMONTH('Faturado mensal'!N$2,0))</f>
        <v>241.23</v>
      </c>
      <c r="O5" s="9">
        <f>SUMIFS(#REF!,#REF!,
$A5,#REF!,
"&gt;="&amp;'Faturado mensal'!O$2,#REF!,
"&lt;"&amp;EOMONTH('Faturado mensal'!O$2,0))</f>
        <v>122.56</v>
      </c>
      <c r="P5" s="9">
        <f>SUMIFS(#REF!,#REF!,
$A5,#REF!,
"&gt;="&amp;'Faturado mensal'!P$2,#REF!,
"&lt;"&amp;EOMONTH('Faturado mensal'!P$2,0))</f>
        <v>0</v>
      </c>
      <c r="Q5" s="9">
        <f>SUMIFS(#REF!,#REF!,
$A5,#REF!,
"&gt;="&amp;'Faturado mensal'!Q$2,#REF!,
"&lt;"&amp;EOMONTH('Faturado mensal'!Q$2,0))</f>
        <v>170.08</v>
      </c>
      <c r="R5" s="9">
        <f>SUMIFS(#REF!,#REF!,
$A5,#REF!,
"&gt;="&amp;'Faturado mensal'!R$2,#REF!,
"&lt;"&amp;EOMONTH('Faturado mensal'!R$2,0))</f>
        <v>438.38</v>
      </c>
      <c r="S5" s="9">
        <f>SUMIFS(#REF!,#REF!,
$A5,#REF!,
"&gt;="&amp;'Faturado mensal'!S$2,#REF!,
"&lt;"&amp;EOMONTH('Faturado mensal'!S$2,0))</f>
        <v>155.56</v>
      </c>
      <c r="T5" s="9">
        <f>SUMIFS(#REF!,#REF!,
$A5,#REF!,
"&gt;="&amp;'Faturado mensal'!T$2,#REF!,
"&lt;"&amp;EOMONTH('Faturado mensal'!T$2,0))</f>
        <v>195.26999999999998</v>
      </c>
      <c r="U5" s="9">
        <f>SUMIFS(#REF!,#REF!,
$A5,#REF!,
"&gt;="&amp;'Faturado mensal'!U$2,#REF!,
"&lt;"&amp;EOMONTH('Faturado mensal'!U$2,0))</f>
        <v>0</v>
      </c>
      <c r="V5" s="9">
        <f>SUMIFS(#REF!,#REF!,
$A5,#REF!,
"&gt;="&amp;'Faturado mensal'!V$2,#REF!,
"&lt;"&amp;EOMONTH('Faturado mensal'!V$2,0))</f>
        <v>360</v>
      </c>
      <c r="W5" s="9">
        <f>SUMIFS(#REF!,#REF!,
$A5,#REF!,
"&gt;="&amp;'Faturado mensal'!W$2,#REF!,
"&lt;"&amp;EOMONTH('Faturado mensal'!W$2,0))</f>
        <v>76.599999999999994</v>
      </c>
      <c r="X5" s="9">
        <f>SUMIFS(#REF!,#REF!,
$A5,#REF!,
"&gt;="&amp;'Faturado mensal'!X$2,#REF!,
"&lt;"&amp;EOMONTH('Faturado mensal'!X$2,0))</f>
        <v>260.44</v>
      </c>
      <c r="Y5" s="11">
        <f>SUMIFS(#REF!,#REF!,
$A5,#REF!,
"&gt;="&amp;'Faturado mensal'!M$2,#REF!,
"&lt;"&amp;EOMONTH('Faturado mensal'!M$2,12))</f>
        <v>2020.1200000000001</v>
      </c>
      <c r="Z5" s="9">
        <f>SUMIFS(#REF!,#REF!,
$A5,#REF!,
"&gt;="&amp;'Faturado mensal'!Z$2,#REF!,
"&lt;"&amp;EOMONTH('Faturado mensal'!Z$2,0))</f>
        <v>0</v>
      </c>
      <c r="AA5" s="9">
        <f>SUMIFS(#REF!,#REF!,
$A5,#REF!,
"&gt;="&amp;'Faturado mensal'!AA$2,#REF!,
"&lt;"&amp;EOMONTH('Faturado mensal'!AA$2,0))</f>
        <v>30.64</v>
      </c>
      <c r="AB5" s="9">
        <f>SUMIFS(#REF!,#REF!,
$A5,#REF!,
"&gt;="&amp;'Faturado mensal'!AB$2,#REF!,
"&lt;"&amp;EOMONTH('Faturado mensal'!AB$2,0))</f>
        <v>0</v>
      </c>
      <c r="AC5" s="9">
        <f>SUMIFS(#REF!,#REF!,
$A5,#REF!,
"&gt;="&amp;'Faturado mensal'!AC$2,#REF!,
"&lt;"&amp;EOMONTH('Faturado mensal'!AC$2,0))</f>
        <v>45.96</v>
      </c>
      <c r="AD5" s="9">
        <f>SUMIFS(#REF!,#REF!,
$A5,#REF!,
"&gt;="&amp;'Faturado mensal'!AD$2,#REF!,
"&lt;"&amp;EOMONTH('Faturado mensal'!AD$2,0))</f>
        <v>173.86</v>
      </c>
      <c r="AE5" s="9">
        <f>SUMIFS(#REF!,#REF!,
$A5,#REF!,
"&gt;="&amp;'Faturado mensal'!AE$2,#REF!,
"&lt;"&amp;EOMONTH('Faturado mensal'!AE$2,0))</f>
        <v>108.93</v>
      </c>
      <c r="AF5" s="9">
        <f>SUMIFS(#REF!,#REF!,
$A5,#REF!,
"&gt;="&amp;'Faturado mensal'!AF$2,#REF!,
"&lt;"&amp;EOMONTH('Faturado mensal'!AF$2,0))</f>
        <v>0</v>
      </c>
      <c r="AG5" s="9">
        <f>SUMIFS(#REF!,#REF!,
$A5,#REF!,
"&gt;="&amp;'Faturado mensal'!AG$2,#REF!,
"&lt;"&amp;EOMONTH('Faturado mensal'!AG$2,0))</f>
        <v>0</v>
      </c>
      <c r="AH5" s="9">
        <f>SUMIFS(#REF!,#REF!,
$A5,#REF!,
"&gt;="&amp;'Faturado mensal'!AH$2,#REF!,
"&lt;"&amp;EOMONTH('Faturado mensal'!AH$2,0))</f>
        <v>0</v>
      </c>
      <c r="AI5" s="9">
        <f>SUMIFS(#REF!,#REF!,
$A5,#REF!,
"&gt;="&amp;'Faturado mensal'!AI$2,#REF!,
"&lt;"&amp;EOMONTH('Faturado mensal'!AI$2,0))</f>
        <v>0</v>
      </c>
      <c r="AJ5" s="9">
        <f>SUMIFS(#REF!,#REF!,
$A5,#REF!,
"&gt;="&amp;'Faturado mensal'!AJ$2,#REF!,
"&lt;"&amp;EOMONTH('Faturado mensal'!AJ$2,0))</f>
        <v>0</v>
      </c>
      <c r="AK5" s="9">
        <f>SUMIFS(#REF!,#REF!,
$A5,#REF!,
"&gt;="&amp;'Faturado mensal'!AK$2,#REF!,
"&lt;"&amp;EOMONTH('Faturado mensal'!AK$2,0))</f>
        <v>0</v>
      </c>
      <c r="AL5" s="9">
        <f>SUMIFS(#REF!,#REF!,
$A5,#REF!,
"&gt;="&amp;Z$2,#REF!,
"&lt;"&amp;EOMONTH(AK$2,0))</f>
        <v>359.39</v>
      </c>
    </row>
    <row r="6" spans="1:38" x14ac:dyDescent="0.3">
      <c r="A6" t="s">
        <v>207</v>
      </c>
      <c r="B6" t="s">
        <v>210</v>
      </c>
      <c r="C6" t="s">
        <v>163</v>
      </c>
      <c r="D6" t="s">
        <v>209</v>
      </c>
      <c r="G6" t="s">
        <v>4853</v>
      </c>
      <c r="H6" t="s">
        <v>4773</v>
      </c>
      <c r="I6" t="s">
        <v>163</v>
      </c>
      <c r="J6" t="s">
        <v>710</v>
      </c>
      <c r="K6" t="s">
        <v>711</v>
      </c>
      <c r="L6" t="s">
        <v>712</v>
      </c>
      <c r="M6" s="9">
        <f>SUMIFS(#REF!,#REF!,
$A6,#REF!,
"&gt;="&amp;'Faturado mensal'!M$2,#REF!,
"&lt;"&amp;EOMONTH('Faturado mensal'!M$2,0))</f>
        <v>0</v>
      </c>
      <c r="N6" s="9">
        <f>SUMIFS(#REF!,#REF!,
$A6,#REF!,
"&gt;="&amp;'Faturado mensal'!N$2,#REF!,
"&lt;"&amp;EOMONTH('Faturado mensal'!N$2,0))</f>
        <v>0</v>
      </c>
      <c r="O6" s="9">
        <f>SUMIFS(#REF!,#REF!,
$A6,#REF!,
"&gt;="&amp;'Faturado mensal'!O$2,#REF!,
"&lt;"&amp;EOMONTH('Faturado mensal'!O$2,0))</f>
        <v>0</v>
      </c>
      <c r="P6" s="9">
        <f>SUMIFS(#REF!,#REF!,
$A6,#REF!,
"&gt;="&amp;'Faturado mensal'!P$2,#REF!,
"&lt;"&amp;EOMONTH('Faturado mensal'!P$2,0))</f>
        <v>0</v>
      </c>
      <c r="Q6" s="9">
        <f>SUMIFS(#REF!,#REF!,
$A6,#REF!,
"&gt;="&amp;'Faturado mensal'!Q$2,#REF!,
"&lt;"&amp;EOMONTH('Faturado mensal'!Q$2,0))</f>
        <v>0</v>
      </c>
      <c r="R6" s="9">
        <f>SUMIFS(#REF!,#REF!,
$A6,#REF!,
"&gt;="&amp;'Faturado mensal'!R$2,#REF!,
"&lt;"&amp;EOMONTH('Faturado mensal'!R$2,0))</f>
        <v>0</v>
      </c>
      <c r="S6" s="9">
        <f>SUMIFS(#REF!,#REF!,
$A6,#REF!,
"&gt;="&amp;'Faturado mensal'!S$2,#REF!,
"&lt;"&amp;EOMONTH('Faturado mensal'!S$2,0))</f>
        <v>0</v>
      </c>
      <c r="T6" s="9">
        <f>SUMIFS(#REF!,#REF!,
$A6,#REF!,
"&gt;="&amp;'Faturado mensal'!T$2,#REF!,
"&lt;"&amp;EOMONTH('Faturado mensal'!T$2,0))</f>
        <v>0</v>
      </c>
      <c r="U6" s="9">
        <f>SUMIFS(#REF!,#REF!,
$A6,#REF!,
"&gt;="&amp;'Faturado mensal'!U$2,#REF!,
"&lt;"&amp;EOMONTH('Faturado mensal'!U$2,0))</f>
        <v>0</v>
      </c>
      <c r="V6" s="9">
        <f>SUMIFS(#REF!,#REF!,
$A6,#REF!,
"&gt;="&amp;'Faturado mensal'!V$2,#REF!,
"&lt;"&amp;EOMONTH('Faturado mensal'!V$2,0))</f>
        <v>0</v>
      </c>
      <c r="W6" s="9">
        <f>SUMIFS(#REF!,#REF!,
$A6,#REF!,
"&gt;="&amp;'Faturado mensal'!W$2,#REF!,
"&lt;"&amp;EOMONTH('Faturado mensal'!W$2,0))</f>
        <v>0</v>
      </c>
      <c r="X6" s="9">
        <f>SUMIFS(#REF!,#REF!,
$A6,#REF!,
"&gt;="&amp;'Faturado mensal'!X$2,#REF!,
"&lt;"&amp;EOMONTH('Faturado mensal'!X$2,0))</f>
        <v>0</v>
      </c>
      <c r="Y6" s="11">
        <f>SUMIFS(#REF!,#REF!,
$A6,#REF!,
"&gt;="&amp;'Faturado mensal'!M$2,#REF!,
"&lt;"&amp;EOMONTH('Faturado mensal'!M$2,12))</f>
        <v>0</v>
      </c>
      <c r="Z6" s="9">
        <f>SUMIFS(#REF!,#REF!,
$A6,#REF!,
"&gt;="&amp;'Faturado mensal'!Z$2,#REF!,
"&lt;"&amp;EOMONTH('Faturado mensal'!Z$2,0))</f>
        <v>0</v>
      </c>
      <c r="AA6" s="9">
        <f>SUMIFS(#REF!,#REF!,
$A6,#REF!,
"&gt;="&amp;'Faturado mensal'!AA$2,#REF!,
"&lt;"&amp;EOMONTH('Faturado mensal'!AA$2,0))</f>
        <v>0</v>
      </c>
      <c r="AB6" s="9">
        <f>SUMIFS(#REF!,#REF!,
$A6,#REF!,
"&gt;="&amp;'Faturado mensal'!AB$2,#REF!,
"&lt;"&amp;EOMONTH('Faturado mensal'!AB$2,0))</f>
        <v>0</v>
      </c>
      <c r="AC6" s="9">
        <f>SUMIFS(#REF!,#REF!,
$A6,#REF!,
"&gt;="&amp;'Faturado mensal'!AC$2,#REF!,
"&lt;"&amp;EOMONTH('Faturado mensal'!AC$2,0))</f>
        <v>0</v>
      </c>
      <c r="AD6" s="9">
        <f>SUMIFS(#REF!,#REF!,
$A6,#REF!,
"&gt;="&amp;'Faturado mensal'!AD$2,#REF!,
"&lt;"&amp;EOMONTH('Faturado mensal'!AD$2,0))</f>
        <v>0</v>
      </c>
      <c r="AE6" s="9">
        <f>SUMIFS(#REF!,#REF!,
$A6,#REF!,
"&gt;="&amp;'Faturado mensal'!AE$2,#REF!,
"&lt;"&amp;EOMONTH('Faturado mensal'!AE$2,0))</f>
        <v>0</v>
      </c>
      <c r="AF6" s="9">
        <f>SUMIFS(#REF!,#REF!,
$A6,#REF!,
"&gt;="&amp;'Faturado mensal'!AF$2,#REF!,
"&lt;"&amp;EOMONTH('Faturado mensal'!AF$2,0))</f>
        <v>0</v>
      </c>
      <c r="AG6" s="9">
        <f>SUMIFS(#REF!,#REF!,
$A6,#REF!,
"&gt;="&amp;'Faturado mensal'!AG$2,#REF!,
"&lt;"&amp;EOMONTH('Faturado mensal'!AG$2,0))</f>
        <v>0</v>
      </c>
      <c r="AH6" s="9">
        <f>SUMIFS(#REF!,#REF!,
$A6,#REF!,
"&gt;="&amp;'Faturado mensal'!AH$2,#REF!,
"&lt;"&amp;EOMONTH('Faturado mensal'!AH$2,0))</f>
        <v>0</v>
      </c>
      <c r="AI6" s="9">
        <f>SUMIFS(#REF!,#REF!,
$A6,#REF!,
"&gt;="&amp;'Faturado mensal'!AI$2,#REF!,
"&lt;"&amp;EOMONTH('Faturado mensal'!AI$2,0))</f>
        <v>0</v>
      </c>
      <c r="AJ6" s="9">
        <f>SUMIFS(#REF!,#REF!,
$A6,#REF!,
"&gt;="&amp;'Faturado mensal'!AJ$2,#REF!,
"&lt;"&amp;EOMONTH('Faturado mensal'!AJ$2,0))</f>
        <v>0</v>
      </c>
      <c r="AK6" s="9">
        <f>SUMIFS(#REF!,#REF!,
$A6,#REF!,
"&gt;="&amp;'Faturado mensal'!AK$2,#REF!,
"&lt;"&amp;EOMONTH('Faturado mensal'!AK$2,0))</f>
        <v>0</v>
      </c>
      <c r="AL6" s="9">
        <f>SUMIFS(#REF!,#REF!,
$A6,#REF!,
"&gt;="&amp;Z$2,#REF!,
"&lt;"&amp;EOMONTH(AK$2,0))</f>
        <v>0</v>
      </c>
    </row>
    <row r="7" spans="1:38" x14ac:dyDescent="0.3">
      <c r="A7" t="s">
        <v>211</v>
      </c>
      <c r="B7" t="s">
        <v>212</v>
      </c>
      <c r="C7" t="s">
        <v>62</v>
      </c>
      <c r="D7" t="s">
        <v>204</v>
      </c>
      <c r="E7" t="s">
        <v>4834</v>
      </c>
      <c r="F7" t="s">
        <v>4776</v>
      </c>
      <c r="G7" t="s">
        <v>4854</v>
      </c>
      <c r="H7" t="s">
        <v>4771</v>
      </c>
      <c r="I7" t="s">
        <v>62</v>
      </c>
      <c r="J7" t="s">
        <v>719</v>
      </c>
      <c r="K7" t="s">
        <v>720</v>
      </c>
      <c r="L7" t="s">
        <v>721</v>
      </c>
      <c r="M7" s="9">
        <f>SUMIFS(#REF!,#REF!,
$A7,#REF!,
"&gt;="&amp;'Faturado mensal'!M$2,#REF!,
"&lt;"&amp;EOMONTH('Faturado mensal'!M$2,0))</f>
        <v>1000</v>
      </c>
      <c r="N7" s="9">
        <f>SUMIFS(#REF!,#REF!,
$A7,#REF!,
"&gt;="&amp;'Faturado mensal'!N$2,#REF!,
"&lt;"&amp;EOMONTH('Faturado mensal'!N$2,0))</f>
        <v>1000</v>
      </c>
      <c r="O7" s="9">
        <f>SUMIFS(#REF!,#REF!,
$A7,#REF!,
"&gt;="&amp;'Faturado mensal'!O$2,#REF!,
"&lt;"&amp;EOMONTH('Faturado mensal'!O$2,0))</f>
        <v>1000</v>
      </c>
      <c r="P7" s="9">
        <f>SUMIFS(#REF!,#REF!,
$A7,#REF!,
"&gt;="&amp;'Faturado mensal'!P$2,#REF!,
"&lt;"&amp;EOMONTH('Faturado mensal'!P$2,0))</f>
        <v>1000</v>
      </c>
      <c r="Q7" s="9">
        <f>SUMIFS(#REF!,#REF!,
$A7,#REF!,
"&gt;="&amp;'Faturado mensal'!Q$2,#REF!,
"&lt;"&amp;EOMONTH('Faturado mensal'!Q$2,0))</f>
        <v>1000</v>
      </c>
      <c r="R7" s="9">
        <f>SUMIFS(#REF!,#REF!,
$A7,#REF!,
"&gt;="&amp;'Faturado mensal'!R$2,#REF!,
"&lt;"&amp;EOMONTH('Faturado mensal'!R$2,0))</f>
        <v>1000</v>
      </c>
      <c r="S7" s="9">
        <f>SUMIFS(#REF!,#REF!,
$A7,#REF!,
"&gt;="&amp;'Faturado mensal'!S$2,#REF!,
"&lt;"&amp;EOMONTH('Faturado mensal'!S$2,0))</f>
        <v>1000</v>
      </c>
      <c r="T7" s="9">
        <f>SUMIFS(#REF!,#REF!,
$A7,#REF!,
"&gt;="&amp;'Faturado mensal'!T$2,#REF!,
"&lt;"&amp;EOMONTH('Faturado mensal'!T$2,0))</f>
        <v>0</v>
      </c>
      <c r="U7" s="9">
        <f>SUMIFS(#REF!,#REF!,
$A7,#REF!,
"&gt;="&amp;'Faturado mensal'!U$2,#REF!,
"&lt;"&amp;EOMONTH('Faturado mensal'!U$2,0))</f>
        <v>0</v>
      </c>
      <c r="V7" s="9">
        <f>SUMIFS(#REF!,#REF!,
$A7,#REF!,
"&gt;="&amp;'Faturado mensal'!V$2,#REF!,
"&lt;"&amp;EOMONTH('Faturado mensal'!V$2,0))</f>
        <v>3000</v>
      </c>
      <c r="W7" s="9">
        <f>SUMIFS(#REF!,#REF!,
$A7,#REF!,
"&gt;="&amp;'Faturado mensal'!W$2,#REF!,
"&lt;"&amp;EOMONTH('Faturado mensal'!W$2,0))</f>
        <v>1000</v>
      </c>
      <c r="X7" s="9">
        <f>SUMIFS(#REF!,#REF!,
$A7,#REF!,
"&gt;="&amp;'Faturado mensal'!X$2,#REF!,
"&lt;"&amp;EOMONTH('Faturado mensal'!X$2,0))</f>
        <v>1000</v>
      </c>
      <c r="Y7" s="11">
        <f>SUMIFS(#REF!,#REF!,
$A7,#REF!,
"&gt;="&amp;'Faturado mensal'!M$2,#REF!,
"&lt;"&amp;EOMONTH('Faturado mensal'!M$2,12))</f>
        <v>13000</v>
      </c>
      <c r="Z7" s="9">
        <f>SUMIFS(#REF!,#REF!,
$A7,#REF!,
"&gt;="&amp;'Faturado mensal'!Z$2,#REF!,
"&lt;"&amp;EOMONTH('Faturado mensal'!Z$2,0))</f>
        <v>1000</v>
      </c>
      <c r="AA7" s="9">
        <f>SUMIFS(#REF!,#REF!,
$A7,#REF!,
"&gt;="&amp;'Faturado mensal'!AA$2,#REF!,
"&lt;"&amp;EOMONTH('Faturado mensal'!AA$2,0))</f>
        <v>1000</v>
      </c>
      <c r="AB7" s="9">
        <f>SUMIFS(#REF!,#REF!,
$A7,#REF!,
"&gt;="&amp;'Faturado mensal'!AB$2,#REF!,
"&lt;"&amp;EOMONTH('Faturado mensal'!AB$2,0))</f>
        <v>1000</v>
      </c>
      <c r="AC7" s="9">
        <f>SUMIFS(#REF!,#REF!,
$A7,#REF!,
"&gt;="&amp;'Faturado mensal'!AC$2,#REF!,
"&lt;"&amp;EOMONTH('Faturado mensal'!AC$2,0))</f>
        <v>1000</v>
      </c>
      <c r="AD7" s="9">
        <f>SUMIFS(#REF!,#REF!,
$A7,#REF!,
"&gt;="&amp;'Faturado mensal'!AD$2,#REF!,
"&lt;"&amp;EOMONTH('Faturado mensal'!AD$2,0))</f>
        <v>0</v>
      </c>
      <c r="AE7" s="9">
        <f>SUMIFS(#REF!,#REF!,
$A7,#REF!,
"&gt;="&amp;'Faturado mensal'!AE$2,#REF!,
"&lt;"&amp;EOMONTH('Faturado mensal'!AE$2,0))</f>
        <v>2000</v>
      </c>
      <c r="AF7" s="9">
        <f>SUMIFS(#REF!,#REF!,
$A7,#REF!,
"&gt;="&amp;'Faturado mensal'!AF$2,#REF!,
"&lt;"&amp;EOMONTH('Faturado mensal'!AF$2,0))</f>
        <v>0</v>
      </c>
      <c r="AG7" s="9">
        <f>SUMIFS(#REF!,#REF!,
$A7,#REF!,
"&gt;="&amp;'Faturado mensal'!AG$2,#REF!,
"&lt;"&amp;EOMONTH('Faturado mensal'!AG$2,0))</f>
        <v>0</v>
      </c>
      <c r="AH7" s="9">
        <f>SUMIFS(#REF!,#REF!,
$A7,#REF!,
"&gt;="&amp;'Faturado mensal'!AH$2,#REF!,
"&lt;"&amp;EOMONTH('Faturado mensal'!AH$2,0))</f>
        <v>0</v>
      </c>
      <c r="AI7" s="9">
        <f>SUMIFS(#REF!,#REF!,
$A7,#REF!,
"&gt;="&amp;'Faturado mensal'!AI$2,#REF!,
"&lt;"&amp;EOMONTH('Faturado mensal'!AI$2,0))</f>
        <v>0</v>
      </c>
      <c r="AJ7" s="9">
        <f>SUMIFS(#REF!,#REF!,
$A7,#REF!,
"&gt;="&amp;'Faturado mensal'!AJ$2,#REF!,
"&lt;"&amp;EOMONTH('Faturado mensal'!AJ$2,0))</f>
        <v>0</v>
      </c>
      <c r="AK7" s="9">
        <f>SUMIFS(#REF!,#REF!,
$A7,#REF!,
"&gt;="&amp;'Faturado mensal'!AK$2,#REF!,
"&lt;"&amp;EOMONTH('Faturado mensal'!AK$2,0))</f>
        <v>0</v>
      </c>
      <c r="AL7" s="9">
        <f>SUMIFS(#REF!,#REF!,
$A7,#REF!,
"&gt;="&amp;Z$2,#REF!,
"&lt;"&amp;EOMONTH(AK$2,0))</f>
        <v>6000</v>
      </c>
    </row>
    <row r="8" spans="1:38" x14ac:dyDescent="0.3">
      <c r="A8" t="s">
        <v>722</v>
      </c>
      <c r="B8" t="s">
        <v>723</v>
      </c>
      <c r="C8" t="s">
        <v>724</v>
      </c>
      <c r="D8" t="s">
        <v>209</v>
      </c>
      <c r="I8" t="s">
        <v>724</v>
      </c>
      <c r="J8" t="s">
        <v>710</v>
      </c>
      <c r="K8" t="s">
        <v>720</v>
      </c>
      <c r="L8" t="s">
        <v>721</v>
      </c>
      <c r="M8" s="9">
        <f>SUMIFS(#REF!,#REF!,
$A8,#REF!,
"&gt;="&amp;'Faturado mensal'!M$2,#REF!,
"&lt;"&amp;EOMONTH('Faturado mensal'!M$2,0))</f>
        <v>0</v>
      </c>
      <c r="N8" s="9">
        <f>SUMIFS(#REF!,#REF!,
$A8,#REF!,
"&gt;="&amp;'Faturado mensal'!N$2,#REF!,
"&lt;"&amp;EOMONTH('Faturado mensal'!N$2,0))</f>
        <v>0</v>
      </c>
      <c r="O8" s="9">
        <f>SUMIFS(#REF!,#REF!,
$A8,#REF!,
"&gt;="&amp;'Faturado mensal'!O$2,#REF!,
"&lt;"&amp;EOMONTH('Faturado mensal'!O$2,0))</f>
        <v>0</v>
      </c>
      <c r="P8" s="9">
        <f>SUMIFS(#REF!,#REF!,
$A8,#REF!,
"&gt;="&amp;'Faturado mensal'!P$2,#REF!,
"&lt;"&amp;EOMONTH('Faturado mensal'!P$2,0))</f>
        <v>0</v>
      </c>
      <c r="Q8" s="9">
        <f>SUMIFS(#REF!,#REF!,
$A8,#REF!,
"&gt;="&amp;'Faturado mensal'!Q$2,#REF!,
"&lt;"&amp;EOMONTH('Faturado mensal'!Q$2,0))</f>
        <v>0</v>
      </c>
      <c r="R8" s="9">
        <f>SUMIFS(#REF!,#REF!,
$A8,#REF!,
"&gt;="&amp;'Faturado mensal'!R$2,#REF!,
"&lt;"&amp;EOMONTH('Faturado mensal'!R$2,0))</f>
        <v>0</v>
      </c>
      <c r="S8" s="9">
        <f>SUMIFS(#REF!,#REF!,
$A8,#REF!,
"&gt;="&amp;'Faturado mensal'!S$2,#REF!,
"&lt;"&amp;EOMONTH('Faturado mensal'!S$2,0))</f>
        <v>0</v>
      </c>
      <c r="T8" s="9">
        <f>SUMIFS(#REF!,#REF!,
$A8,#REF!,
"&gt;="&amp;'Faturado mensal'!T$2,#REF!,
"&lt;"&amp;EOMONTH('Faturado mensal'!T$2,0))</f>
        <v>0</v>
      </c>
      <c r="U8" s="9">
        <f>SUMIFS(#REF!,#REF!,
$A8,#REF!,
"&gt;="&amp;'Faturado mensal'!U$2,#REF!,
"&lt;"&amp;EOMONTH('Faturado mensal'!U$2,0))</f>
        <v>0</v>
      </c>
      <c r="V8" s="9">
        <f>SUMIFS(#REF!,#REF!,
$A8,#REF!,
"&gt;="&amp;'Faturado mensal'!V$2,#REF!,
"&lt;"&amp;EOMONTH('Faturado mensal'!V$2,0))</f>
        <v>0</v>
      </c>
      <c r="W8" s="9">
        <f>SUMIFS(#REF!,#REF!,
$A8,#REF!,
"&gt;="&amp;'Faturado mensal'!W$2,#REF!,
"&lt;"&amp;EOMONTH('Faturado mensal'!W$2,0))</f>
        <v>0</v>
      </c>
      <c r="X8" s="9">
        <f>SUMIFS(#REF!,#REF!,
$A8,#REF!,
"&gt;="&amp;'Faturado mensal'!X$2,#REF!,
"&lt;"&amp;EOMONTH('Faturado mensal'!X$2,0))</f>
        <v>0</v>
      </c>
      <c r="Y8" s="11">
        <f>SUMIFS(#REF!,#REF!,
$A8,#REF!,
"&gt;="&amp;'Faturado mensal'!M$2,#REF!,
"&lt;"&amp;EOMONTH('Faturado mensal'!M$2,12))</f>
        <v>0</v>
      </c>
      <c r="Z8" s="9">
        <f>SUMIFS(#REF!,#REF!,
$A8,#REF!,
"&gt;="&amp;'Faturado mensal'!Z$2,#REF!,
"&lt;"&amp;EOMONTH('Faturado mensal'!Z$2,0))</f>
        <v>0</v>
      </c>
      <c r="AA8" s="9">
        <f>SUMIFS(#REF!,#REF!,
$A8,#REF!,
"&gt;="&amp;'Faturado mensal'!AA$2,#REF!,
"&lt;"&amp;EOMONTH('Faturado mensal'!AA$2,0))</f>
        <v>0</v>
      </c>
      <c r="AB8" s="9">
        <f>SUMIFS(#REF!,#REF!,
$A8,#REF!,
"&gt;="&amp;'Faturado mensal'!AB$2,#REF!,
"&lt;"&amp;EOMONTH('Faturado mensal'!AB$2,0))</f>
        <v>0</v>
      </c>
      <c r="AC8" s="9">
        <f>SUMIFS(#REF!,#REF!,
$A8,#REF!,
"&gt;="&amp;'Faturado mensal'!AC$2,#REF!,
"&lt;"&amp;EOMONTH('Faturado mensal'!AC$2,0))</f>
        <v>0</v>
      </c>
      <c r="AD8" s="9">
        <f>SUMIFS(#REF!,#REF!,
$A8,#REF!,
"&gt;="&amp;'Faturado mensal'!AD$2,#REF!,
"&lt;"&amp;EOMONTH('Faturado mensal'!AD$2,0))</f>
        <v>0</v>
      </c>
      <c r="AE8" s="9">
        <f>SUMIFS(#REF!,#REF!,
$A8,#REF!,
"&gt;="&amp;'Faturado mensal'!AE$2,#REF!,
"&lt;"&amp;EOMONTH('Faturado mensal'!AE$2,0))</f>
        <v>0</v>
      </c>
      <c r="AF8" s="9">
        <f>SUMIFS(#REF!,#REF!,
$A8,#REF!,
"&gt;="&amp;'Faturado mensal'!AF$2,#REF!,
"&lt;"&amp;EOMONTH('Faturado mensal'!AF$2,0))</f>
        <v>0</v>
      </c>
      <c r="AG8" s="9">
        <f>SUMIFS(#REF!,#REF!,
$A8,#REF!,
"&gt;="&amp;'Faturado mensal'!AG$2,#REF!,
"&lt;"&amp;EOMONTH('Faturado mensal'!AG$2,0))</f>
        <v>0</v>
      </c>
      <c r="AH8" s="9">
        <f>SUMIFS(#REF!,#REF!,
$A8,#REF!,
"&gt;="&amp;'Faturado mensal'!AH$2,#REF!,
"&lt;"&amp;EOMONTH('Faturado mensal'!AH$2,0))</f>
        <v>0</v>
      </c>
      <c r="AI8" s="9">
        <f>SUMIFS(#REF!,#REF!,
$A8,#REF!,
"&gt;="&amp;'Faturado mensal'!AI$2,#REF!,
"&lt;"&amp;EOMONTH('Faturado mensal'!AI$2,0))</f>
        <v>0</v>
      </c>
      <c r="AJ8" s="9">
        <f>SUMIFS(#REF!,#REF!,
$A8,#REF!,
"&gt;="&amp;'Faturado mensal'!AJ$2,#REF!,
"&lt;"&amp;EOMONTH('Faturado mensal'!AJ$2,0))</f>
        <v>0</v>
      </c>
      <c r="AK8" s="9">
        <f>SUMIFS(#REF!,#REF!,
$A8,#REF!,
"&gt;="&amp;'Faturado mensal'!AK$2,#REF!,
"&lt;"&amp;EOMONTH('Faturado mensal'!AK$2,0))</f>
        <v>0</v>
      </c>
      <c r="AL8" s="9">
        <f>SUMIFS(#REF!,#REF!,
$A8,#REF!,
"&gt;="&amp;Z$2,#REF!,
"&lt;"&amp;EOMONTH(AK$2,0))</f>
        <v>0</v>
      </c>
    </row>
    <row r="9" spans="1:38" x14ac:dyDescent="0.3">
      <c r="A9" t="s">
        <v>213</v>
      </c>
      <c r="B9" t="s">
        <v>214</v>
      </c>
      <c r="C9" t="s">
        <v>94</v>
      </c>
      <c r="D9" t="s">
        <v>204</v>
      </c>
      <c r="E9" t="s">
        <v>4834</v>
      </c>
      <c r="F9" t="s">
        <v>4776</v>
      </c>
      <c r="G9" t="s">
        <v>4854</v>
      </c>
      <c r="H9" t="s">
        <v>4772</v>
      </c>
      <c r="I9" t="s">
        <v>94</v>
      </c>
      <c r="J9" t="s">
        <v>710</v>
      </c>
      <c r="K9" t="s">
        <v>720</v>
      </c>
      <c r="L9" t="s">
        <v>721</v>
      </c>
      <c r="M9" s="9">
        <f>SUMIFS(#REF!,#REF!,
$A9,#REF!,
"&gt;="&amp;'Faturado mensal'!M$2,#REF!,
"&lt;"&amp;EOMONTH('Faturado mensal'!M$2,0))</f>
        <v>28530.44</v>
      </c>
      <c r="N9" s="9">
        <f>SUMIFS(#REF!,#REF!,
$A9,#REF!,
"&gt;="&amp;'Faturado mensal'!N$2,#REF!,
"&lt;"&amp;EOMONTH('Faturado mensal'!N$2,0))</f>
        <v>0</v>
      </c>
      <c r="O9" s="9">
        <f>SUMIFS(#REF!,#REF!,
$A9,#REF!,
"&gt;="&amp;'Faturado mensal'!O$2,#REF!,
"&lt;"&amp;EOMONTH('Faturado mensal'!O$2,0))</f>
        <v>50133.850000000006</v>
      </c>
      <c r="P9" s="9">
        <f>SUMIFS(#REF!,#REF!,
$A9,#REF!,
"&gt;="&amp;'Faturado mensal'!P$2,#REF!,
"&lt;"&amp;EOMONTH('Faturado mensal'!P$2,0))</f>
        <v>0</v>
      </c>
      <c r="Q9" s="9">
        <f>SUMIFS(#REF!,#REF!,
$A9,#REF!,
"&gt;="&amp;'Faturado mensal'!Q$2,#REF!,
"&lt;"&amp;EOMONTH('Faturado mensal'!Q$2,0))</f>
        <v>50998.86</v>
      </c>
      <c r="R9" s="9">
        <f>SUMIFS(#REF!,#REF!,
$A9,#REF!,
"&gt;="&amp;'Faturado mensal'!R$2,#REF!,
"&lt;"&amp;EOMONTH('Faturado mensal'!R$2,0))</f>
        <v>0</v>
      </c>
      <c r="S9" s="9">
        <f>SUMIFS(#REF!,#REF!,
$A9,#REF!,
"&gt;="&amp;'Faturado mensal'!S$2,#REF!,
"&lt;"&amp;EOMONTH('Faturado mensal'!S$2,0))</f>
        <v>28535.23</v>
      </c>
      <c r="T9" s="9">
        <f>SUMIFS(#REF!,#REF!,
$A9,#REF!,
"&gt;="&amp;'Faturado mensal'!T$2,#REF!,
"&lt;"&amp;EOMONTH('Faturado mensal'!T$2,0))</f>
        <v>54722.229999999996</v>
      </c>
      <c r="U9" s="9">
        <f>SUMIFS(#REF!,#REF!,
$A9,#REF!,
"&gt;="&amp;'Faturado mensal'!U$2,#REF!,
"&lt;"&amp;EOMONTH('Faturado mensal'!U$2,0))</f>
        <v>0</v>
      </c>
      <c r="V9" s="9">
        <f>SUMIFS(#REF!,#REF!,
$A9,#REF!,
"&gt;="&amp;'Faturado mensal'!V$2,#REF!,
"&lt;"&amp;EOMONTH('Faturado mensal'!V$2,0))</f>
        <v>51944.759999999995</v>
      </c>
      <c r="W9" s="9">
        <f>SUMIFS(#REF!,#REF!,
$A9,#REF!,
"&gt;="&amp;'Faturado mensal'!W$2,#REF!,
"&lt;"&amp;EOMONTH('Faturado mensal'!W$2,0))</f>
        <v>0</v>
      </c>
      <c r="X9" s="9">
        <f>SUMIFS(#REF!,#REF!,
$A9,#REF!,
"&gt;="&amp;'Faturado mensal'!X$2,#REF!,
"&lt;"&amp;EOMONTH('Faturado mensal'!X$2,0))</f>
        <v>49878.03</v>
      </c>
      <c r="Y9" s="11">
        <f>SUMIFS(#REF!,#REF!,
$A9,#REF!,
"&gt;="&amp;'Faturado mensal'!M$2,#REF!,
"&lt;"&amp;EOMONTH('Faturado mensal'!M$2,12))</f>
        <v>332211.30000000005</v>
      </c>
      <c r="Z9" s="9">
        <f>SUMIFS(#REF!,#REF!,
$A9,#REF!,
"&gt;="&amp;'Faturado mensal'!Z$2,#REF!,
"&lt;"&amp;EOMONTH('Faturado mensal'!Z$2,0))</f>
        <v>17467.900000000001</v>
      </c>
      <c r="AA9" s="9">
        <f>SUMIFS(#REF!,#REF!,
$A9,#REF!,
"&gt;="&amp;'Faturado mensal'!AA$2,#REF!,
"&lt;"&amp;EOMONTH('Faturado mensal'!AA$2,0))</f>
        <v>20128.939999999999</v>
      </c>
      <c r="AB9" s="9">
        <f>SUMIFS(#REF!,#REF!,
$A9,#REF!,
"&gt;="&amp;'Faturado mensal'!AB$2,#REF!,
"&lt;"&amp;EOMONTH('Faturado mensal'!AB$2,0))</f>
        <v>15777.94</v>
      </c>
      <c r="AC9" s="9">
        <f>SUMIFS(#REF!,#REF!,
$A9,#REF!,
"&gt;="&amp;'Faturado mensal'!AC$2,#REF!,
"&lt;"&amp;EOMONTH('Faturado mensal'!AC$2,0))</f>
        <v>17028.240000000002</v>
      </c>
      <c r="AD9" s="9">
        <f>SUMIFS(#REF!,#REF!,
$A9,#REF!,
"&gt;="&amp;'Faturado mensal'!AD$2,#REF!,
"&lt;"&amp;EOMONTH('Faturado mensal'!AD$2,0))</f>
        <v>16481.86</v>
      </c>
      <c r="AE9" s="9">
        <f>SUMIFS(#REF!,#REF!,
$A9,#REF!,
"&gt;="&amp;'Faturado mensal'!AE$2,#REF!,
"&lt;"&amp;EOMONTH('Faturado mensal'!AE$2,0))</f>
        <v>0</v>
      </c>
      <c r="AF9" s="9">
        <f>SUMIFS(#REF!,#REF!,
$A9,#REF!,
"&gt;="&amp;'Faturado mensal'!AF$2,#REF!,
"&lt;"&amp;EOMONTH('Faturado mensal'!AF$2,0))</f>
        <v>0</v>
      </c>
      <c r="AG9" s="9">
        <f>SUMIFS(#REF!,#REF!,
$A9,#REF!,
"&gt;="&amp;'Faturado mensal'!AG$2,#REF!,
"&lt;"&amp;EOMONTH('Faturado mensal'!AG$2,0))</f>
        <v>0</v>
      </c>
      <c r="AH9" s="9">
        <f>SUMIFS(#REF!,#REF!,
$A9,#REF!,
"&gt;="&amp;'Faturado mensal'!AH$2,#REF!,
"&lt;"&amp;EOMONTH('Faturado mensal'!AH$2,0))</f>
        <v>0</v>
      </c>
      <c r="AI9" s="9">
        <f>SUMIFS(#REF!,#REF!,
$A9,#REF!,
"&gt;="&amp;'Faturado mensal'!AI$2,#REF!,
"&lt;"&amp;EOMONTH('Faturado mensal'!AI$2,0))</f>
        <v>0</v>
      </c>
      <c r="AJ9" s="9">
        <f>SUMIFS(#REF!,#REF!,
$A9,#REF!,
"&gt;="&amp;'Faturado mensal'!AJ$2,#REF!,
"&lt;"&amp;EOMONTH('Faturado mensal'!AJ$2,0))</f>
        <v>0</v>
      </c>
      <c r="AK9" s="9">
        <f>SUMIFS(#REF!,#REF!,
$A9,#REF!,
"&gt;="&amp;'Faturado mensal'!AK$2,#REF!,
"&lt;"&amp;EOMONTH('Faturado mensal'!AK$2,0))</f>
        <v>0</v>
      </c>
      <c r="AL9" s="9">
        <f>SUMIFS(#REF!,#REF!,
$A9,#REF!,
"&gt;="&amp;Z$2,#REF!,
"&lt;"&amp;EOMONTH(AK$2,0))</f>
        <v>86884.88</v>
      </c>
    </row>
    <row r="10" spans="1:38" x14ac:dyDescent="0.3">
      <c r="A10" t="s">
        <v>215</v>
      </c>
      <c r="B10" t="s">
        <v>216</v>
      </c>
      <c r="C10" t="s">
        <v>141</v>
      </c>
      <c r="D10" t="s">
        <v>204</v>
      </c>
      <c r="E10" t="s">
        <v>4843</v>
      </c>
      <c r="F10" t="s">
        <v>4777</v>
      </c>
      <c r="G10" t="s">
        <v>4854</v>
      </c>
      <c r="H10" t="s">
        <v>4771</v>
      </c>
      <c r="I10" t="s">
        <v>725</v>
      </c>
      <c r="J10" t="s">
        <v>710</v>
      </c>
      <c r="K10" t="s">
        <v>720</v>
      </c>
      <c r="L10" t="s">
        <v>721</v>
      </c>
      <c r="M10" s="9">
        <f>SUMIFS(#REF!,#REF!,
$A10,#REF!,
"&gt;="&amp;'Faturado mensal'!M$2,#REF!,
"&lt;"&amp;EOMONTH('Faturado mensal'!M$2,0))</f>
        <v>22365</v>
      </c>
      <c r="N10" s="9">
        <f>SUMIFS(#REF!,#REF!,
$A10,#REF!,
"&gt;="&amp;'Faturado mensal'!N$2,#REF!,
"&lt;"&amp;EOMONTH('Faturado mensal'!N$2,0))</f>
        <v>0</v>
      </c>
      <c r="O10" s="9">
        <f>SUMIFS(#REF!,#REF!,
$A10,#REF!,
"&gt;="&amp;'Faturado mensal'!O$2,#REF!,
"&lt;"&amp;EOMONTH('Faturado mensal'!O$2,0))</f>
        <v>3420</v>
      </c>
      <c r="P10" s="9">
        <f>SUMIFS(#REF!,#REF!,
$A10,#REF!,
"&gt;="&amp;'Faturado mensal'!P$2,#REF!,
"&lt;"&amp;EOMONTH('Faturado mensal'!P$2,0))</f>
        <v>0</v>
      </c>
      <c r="Q10" s="9">
        <f>SUMIFS(#REF!,#REF!,
$A10,#REF!,
"&gt;="&amp;'Faturado mensal'!Q$2,#REF!,
"&lt;"&amp;EOMONTH('Faturado mensal'!Q$2,0))</f>
        <v>5200</v>
      </c>
      <c r="R10" s="9">
        <f>SUMIFS(#REF!,#REF!,
$A10,#REF!,
"&gt;="&amp;'Faturado mensal'!R$2,#REF!,
"&lt;"&amp;EOMONTH('Faturado mensal'!R$2,0))</f>
        <v>0</v>
      </c>
      <c r="S10" s="9">
        <f>SUMIFS(#REF!,#REF!,
$A10,#REF!,
"&gt;="&amp;'Faturado mensal'!S$2,#REF!,
"&lt;"&amp;EOMONTH('Faturado mensal'!S$2,0))</f>
        <v>0</v>
      </c>
      <c r="T10" s="9">
        <f>SUMIFS(#REF!,#REF!,
$A10,#REF!,
"&gt;="&amp;'Faturado mensal'!T$2,#REF!,
"&lt;"&amp;EOMONTH('Faturado mensal'!T$2,0))</f>
        <v>5400</v>
      </c>
      <c r="U10" s="9">
        <f>SUMIFS(#REF!,#REF!,
$A10,#REF!,
"&gt;="&amp;'Faturado mensal'!U$2,#REF!,
"&lt;"&amp;EOMONTH('Faturado mensal'!U$2,0))</f>
        <v>0</v>
      </c>
      <c r="V10" s="9">
        <f>SUMIFS(#REF!,#REF!,
$A10,#REF!,
"&gt;="&amp;'Faturado mensal'!V$2,#REF!,
"&lt;"&amp;EOMONTH('Faturado mensal'!V$2,0))</f>
        <v>0</v>
      </c>
      <c r="W10" s="9">
        <f>SUMIFS(#REF!,#REF!,
$A10,#REF!,
"&gt;="&amp;'Faturado mensal'!W$2,#REF!,
"&lt;"&amp;EOMONTH('Faturado mensal'!W$2,0))</f>
        <v>0</v>
      </c>
      <c r="X10" s="9">
        <f>SUMIFS(#REF!,#REF!,
$A10,#REF!,
"&gt;="&amp;'Faturado mensal'!X$2,#REF!,
"&lt;"&amp;EOMONTH('Faturado mensal'!X$2,0))</f>
        <v>0</v>
      </c>
      <c r="Y10" s="11">
        <f>SUMIFS(#REF!,#REF!,
$A10,#REF!,
"&gt;="&amp;'Faturado mensal'!M$2,#REF!,
"&lt;"&amp;EOMONTH('Faturado mensal'!M$2,12))</f>
        <v>36385</v>
      </c>
      <c r="Z10" s="9">
        <f>SUMIFS(#REF!,#REF!,
$A10,#REF!,
"&gt;="&amp;'Faturado mensal'!Z$2,#REF!,
"&lt;"&amp;EOMONTH('Faturado mensal'!Z$2,0))</f>
        <v>0</v>
      </c>
      <c r="AA10" s="9">
        <f>SUMIFS(#REF!,#REF!,
$A10,#REF!,
"&gt;="&amp;'Faturado mensal'!AA$2,#REF!,
"&lt;"&amp;EOMONTH('Faturado mensal'!AA$2,0))</f>
        <v>0</v>
      </c>
      <c r="AB10" s="9">
        <f>SUMIFS(#REF!,#REF!,
$A10,#REF!,
"&gt;="&amp;'Faturado mensal'!AB$2,#REF!,
"&lt;"&amp;EOMONTH('Faturado mensal'!AB$2,0))</f>
        <v>800</v>
      </c>
      <c r="AC10" s="9">
        <f>SUMIFS(#REF!,#REF!,
$A10,#REF!,
"&gt;="&amp;'Faturado mensal'!AC$2,#REF!,
"&lt;"&amp;EOMONTH('Faturado mensal'!AC$2,0))</f>
        <v>0</v>
      </c>
      <c r="AD10" s="9">
        <f>SUMIFS(#REF!,#REF!,
$A10,#REF!,
"&gt;="&amp;'Faturado mensal'!AD$2,#REF!,
"&lt;"&amp;EOMONTH('Faturado mensal'!AD$2,0))</f>
        <v>0</v>
      </c>
      <c r="AE10" s="9">
        <f>SUMIFS(#REF!,#REF!,
$A10,#REF!,
"&gt;="&amp;'Faturado mensal'!AE$2,#REF!,
"&lt;"&amp;EOMONTH('Faturado mensal'!AE$2,0))</f>
        <v>0</v>
      </c>
      <c r="AF10" s="9">
        <f>SUMIFS(#REF!,#REF!,
$A10,#REF!,
"&gt;="&amp;'Faturado mensal'!AF$2,#REF!,
"&lt;"&amp;EOMONTH('Faturado mensal'!AF$2,0))</f>
        <v>0</v>
      </c>
      <c r="AG10" s="9">
        <f>SUMIFS(#REF!,#REF!,
$A10,#REF!,
"&gt;="&amp;'Faturado mensal'!AG$2,#REF!,
"&lt;"&amp;EOMONTH('Faturado mensal'!AG$2,0))</f>
        <v>0</v>
      </c>
      <c r="AH10" s="9">
        <f>SUMIFS(#REF!,#REF!,
$A10,#REF!,
"&gt;="&amp;'Faturado mensal'!AH$2,#REF!,
"&lt;"&amp;EOMONTH('Faturado mensal'!AH$2,0))</f>
        <v>0</v>
      </c>
      <c r="AI10" s="9">
        <f>SUMIFS(#REF!,#REF!,
$A10,#REF!,
"&gt;="&amp;'Faturado mensal'!AI$2,#REF!,
"&lt;"&amp;EOMONTH('Faturado mensal'!AI$2,0))</f>
        <v>0</v>
      </c>
      <c r="AJ10" s="9">
        <f>SUMIFS(#REF!,#REF!,
$A10,#REF!,
"&gt;="&amp;'Faturado mensal'!AJ$2,#REF!,
"&lt;"&amp;EOMONTH('Faturado mensal'!AJ$2,0))</f>
        <v>0</v>
      </c>
      <c r="AK10" s="9">
        <f>SUMIFS(#REF!,#REF!,
$A10,#REF!,
"&gt;="&amp;'Faturado mensal'!AK$2,#REF!,
"&lt;"&amp;EOMONTH('Faturado mensal'!AK$2,0))</f>
        <v>0</v>
      </c>
      <c r="AL10" s="9">
        <f>SUMIFS(#REF!,#REF!,
$A10,#REF!,
"&gt;="&amp;Z$2,#REF!,
"&lt;"&amp;EOMONTH(AK$2,0))</f>
        <v>800</v>
      </c>
    </row>
    <row r="11" spans="1:38" x14ac:dyDescent="0.3">
      <c r="A11" t="s">
        <v>726</v>
      </c>
      <c r="B11" t="s">
        <v>349</v>
      </c>
      <c r="C11" t="s">
        <v>9</v>
      </c>
      <c r="D11" t="s">
        <v>209</v>
      </c>
      <c r="I11" t="s">
        <v>9</v>
      </c>
      <c r="J11" t="s">
        <v>710</v>
      </c>
      <c r="K11" t="s">
        <v>720</v>
      </c>
      <c r="L11" t="s">
        <v>721</v>
      </c>
      <c r="M11" s="9">
        <f>SUMIFS(#REF!,#REF!,
$A11,#REF!,
"&gt;="&amp;'Faturado mensal'!M$2,#REF!,
"&lt;"&amp;EOMONTH('Faturado mensal'!M$2,0))</f>
        <v>0</v>
      </c>
      <c r="N11" s="9">
        <f>SUMIFS(#REF!,#REF!,
$A11,#REF!,
"&gt;="&amp;'Faturado mensal'!N$2,#REF!,
"&lt;"&amp;EOMONTH('Faturado mensal'!N$2,0))</f>
        <v>0</v>
      </c>
      <c r="O11" s="9">
        <f>SUMIFS(#REF!,#REF!,
$A11,#REF!,
"&gt;="&amp;'Faturado mensal'!O$2,#REF!,
"&lt;"&amp;EOMONTH('Faturado mensal'!O$2,0))</f>
        <v>0</v>
      </c>
      <c r="P11" s="9">
        <f>SUMIFS(#REF!,#REF!,
$A11,#REF!,
"&gt;="&amp;'Faturado mensal'!P$2,#REF!,
"&lt;"&amp;EOMONTH('Faturado mensal'!P$2,0))</f>
        <v>0</v>
      </c>
      <c r="Q11" s="9">
        <f>SUMIFS(#REF!,#REF!,
$A11,#REF!,
"&gt;="&amp;'Faturado mensal'!Q$2,#REF!,
"&lt;"&amp;EOMONTH('Faturado mensal'!Q$2,0))</f>
        <v>0</v>
      </c>
      <c r="R11" s="9">
        <f>SUMIFS(#REF!,#REF!,
$A11,#REF!,
"&gt;="&amp;'Faturado mensal'!R$2,#REF!,
"&lt;"&amp;EOMONTH('Faturado mensal'!R$2,0))</f>
        <v>0</v>
      </c>
      <c r="S11" s="9">
        <f>SUMIFS(#REF!,#REF!,
$A11,#REF!,
"&gt;="&amp;'Faturado mensal'!S$2,#REF!,
"&lt;"&amp;EOMONTH('Faturado mensal'!S$2,0))</f>
        <v>0</v>
      </c>
      <c r="T11" s="9">
        <f>SUMIFS(#REF!,#REF!,
$A11,#REF!,
"&gt;="&amp;'Faturado mensal'!T$2,#REF!,
"&lt;"&amp;EOMONTH('Faturado mensal'!T$2,0))</f>
        <v>0</v>
      </c>
      <c r="U11" s="9">
        <f>SUMIFS(#REF!,#REF!,
$A11,#REF!,
"&gt;="&amp;'Faturado mensal'!U$2,#REF!,
"&lt;"&amp;EOMONTH('Faturado mensal'!U$2,0))</f>
        <v>0</v>
      </c>
      <c r="V11" s="9">
        <f>SUMIFS(#REF!,#REF!,
$A11,#REF!,
"&gt;="&amp;'Faturado mensal'!V$2,#REF!,
"&lt;"&amp;EOMONTH('Faturado mensal'!V$2,0))</f>
        <v>0</v>
      </c>
      <c r="W11" s="9">
        <f>SUMIFS(#REF!,#REF!,
$A11,#REF!,
"&gt;="&amp;'Faturado mensal'!W$2,#REF!,
"&lt;"&amp;EOMONTH('Faturado mensal'!W$2,0))</f>
        <v>0</v>
      </c>
      <c r="X11" s="9">
        <f>SUMIFS(#REF!,#REF!,
$A11,#REF!,
"&gt;="&amp;'Faturado mensal'!X$2,#REF!,
"&lt;"&amp;EOMONTH('Faturado mensal'!X$2,0))</f>
        <v>0</v>
      </c>
      <c r="Y11" s="11">
        <f>SUMIFS(#REF!,#REF!,
$A11,#REF!,
"&gt;="&amp;'Faturado mensal'!M$2,#REF!,
"&lt;"&amp;EOMONTH('Faturado mensal'!M$2,12))</f>
        <v>0</v>
      </c>
      <c r="Z11" s="9">
        <f>SUMIFS(#REF!,#REF!,
$A11,#REF!,
"&gt;="&amp;'Faturado mensal'!Z$2,#REF!,
"&lt;"&amp;EOMONTH('Faturado mensal'!Z$2,0))</f>
        <v>0</v>
      </c>
      <c r="AA11" s="9">
        <f>SUMIFS(#REF!,#REF!,
$A11,#REF!,
"&gt;="&amp;'Faturado mensal'!AA$2,#REF!,
"&lt;"&amp;EOMONTH('Faturado mensal'!AA$2,0))</f>
        <v>0</v>
      </c>
      <c r="AB11" s="9">
        <f>SUMIFS(#REF!,#REF!,
$A11,#REF!,
"&gt;="&amp;'Faturado mensal'!AB$2,#REF!,
"&lt;"&amp;EOMONTH('Faturado mensal'!AB$2,0))</f>
        <v>0</v>
      </c>
      <c r="AC11" s="9">
        <f>SUMIFS(#REF!,#REF!,
$A11,#REF!,
"&gt;="&amp;'Faturado mensal'!AC$2,#REF!,
"&lt;"&amp;EOMONTH('Faturado mensal'!AC$2,0))</f>
        <v>0</v>
      </c>
      <c r="AD11" s="9">
        <f>SUMIFS(#REF!,#REF!,
$A11,#REF!,
"&gt;="&amp;'Faturado mensal'!AD$2,#REF!,
"&lt;"&amp;EOMONTH('Faturado mensal'!AD$2,0))</f>
        <v>0</v>
      </c>
      <c r="AE11" s="9">
        <f>SUMIFS(#REF!,#REF!,
$A11,#REF!,
"&gt;="&amp;'Faturado mensal'!AE$2,#REF!,
"&lt;"&amp;EOMONTH('Faturado mensal'!AE$2,0))</f>
        <v>0</v>
      </c>
      <c r="AF11" s="9">
        <f>SUMIFS(#REF!,#REF!,
$A11,#REF!,
"&gt;="&amp;'Faturado mensal'!AF$2,#REF!,
"&lt;"&amp;EOMONTH('Faturado mensal'!AF$2,0))</f>
        <v>0</v>
      </c>
      <c r="AG11" s="9">
        <f>SUMIFS(#REF!,#REF!,
$A11,#REF!,
"&gt;="&amp;'Faturado mensal'!AG$2,#REF!,
"&lt;"&amp;EOMONTH('Faturado mensal'!AG$2,0))</f>
        <v>0</v>
      </c>
      <c r="AH11" s="9">
        <f>SUMIFS(#REF!,#REF!,
$A11,#REF!,
"&gt;="&amp;'Faturado mensal'!AH$2,#REF!,
"&lt;"&amp;EOMONTH('Faturado mensal'!AH$2,0))</f>
        <v>0</v>
      </c>
      <c r="AI11" s="9">
        <f>SUMIFS(#REF!,#REF!,
$A11,#REF!,
"&gt;="&amp;'Faturado mensal'!AI$2,#REF!,
"&lt;"&amp;EOMONTH('Faturado mensal'!AI$2,0))</f>
        <v>0</v>
      </c>
      <c r="AJ11" s="9">
        <f>SUMIFS(#REF!,#REF!,
$A11,#REF!,
"&gt;="&amp;'Faturado mensal'!AJ$2,#REF!,
"&lt;"&amp;EOMONTH('Faturado mensal'!AJ$2,0))</f>
        <v>0</v>
      </c>
      <c r="AK11" s="9">
        <f>SUMIFS(#REF!,#REF!,
$A11,#REF!,
"&gt;="&amp;'Faturado mensal'!AK$2,#REF!,
"&lt;"&amp;EOMONTH('Faturado mensal'!AK$2,0))</f>
        <v>0</v>
      </c>
      <c r="AL11" s="9">
        <f>SUMIFS(#REF!,#REF!,
$A11,#REF!,
"&gt;="&amp;Z$2,#REF!,
"&lt;"&amp;EOMONTH(AK$2,0))</f>
        <v>0</v>
      </c>
    </row>
    <row r="12" spans="1:38" x14ac:dyDescent="0.3">
      <c r="A12" t="s">
        <v>217</v>
      </c>
      <c r="B12" t="s">
        <v>218</v>
      </c>
      <c r="C12" t="s">
        <v>180</v>
      </c>
      <c r="D12" t="s">
        <v>204</v>
      </c>
      <c r="E12" t="s">
        <v>4834</v>
      </c>
      <c r="F12" t="s">
        <v>4776</v>
      </c>
      <c r="G12" t="s">
        <v>4853</v>
      </c>
      <c r="H12" t="s">
        <v>4773</v>
      </c>
      <c r="I12" t="s">
        <v>727</v>
      </c>
      <c r="J12" t="s">
        <v>710</v>
      </c>
      <c r="K12" t="s">
        <v>711</v>
      </c>
      <c r="L12" t="s">
        <v>712</v>
      </c>
      <c r="M12" s="9">
        <f>SUMIFS(#REF!,#REF!,
$A12,#REF!,
"&gt;="&amp;'Faturado mensal'!M$2,#REF!,
"&lt;"&amp;EOMONTH('Faturado mensal'!M$2,0))</f>
        <v>0</v>
      </c>
      <c r="N12" s="9">
        <f>SUMIFS(#REF!,#REF!,
$A12,#REF!,
"&gt;="&amp;'Faturado mensal'!N$2,#REF!,
"&lt;"&amp;EOMONTH('Faturado mensal'!N$2,0))</f>
        <v>0</v>
      </c>
      <c r="O12" s="9">
        <f>SUMIFS(#REF!,#REF!,
$A12,#REF!,
"&gt;="&amp;'Faturado mensal'!O$2,#REF!,
"&lt;"&amp;EOMONTH('Faturado mensal'!O$2,0))</f>
        <v>0</v>
      </c>
      <c r="P12" s="9">
        <f>SUMIFS(#REF!,#REF!,
$A12,#REF!,
"&gt;="&amp;'Faturado mensal'!P$2,#REF!,
"&lt;"&amp;EOMONTH('Faturado mensal'!P$2,0))</f>
        <v>0</v>
      </c>
      <c r="Q12" s="9">
        <f>SUMIFS(#REF!,#REF!,
$A12,#REF!,
"&gt;="&amp;'Faturado mensal'!Q$2,#REF!,
"&lt;"&amp;EOMONTH('Faturado mensal'!Q$2,0))</f>
        <v>0</v>
      </c>
      <c r="R12" s="9">
        <f>SUMIFS(#REF!,#REF!,
$A12,#REF!,
"&gt;="&amp;'Faturado mensal'!R$2,#REF!,
"&lt;"&amp;EOMONTH('Faturado mensal'!R$2,0))</f>
        <v>0</v>
      </c>
      <c r="S12" s="9">
        <f>SUMIFS(#REF!,#REF!,
$A12,#REF!,
"&gt;="&amp;'Faturado mensal'!S$2,#REF!,
"&lt;"&amp;EOMONTH('Faturado mensal'!S$2,0))</f>
        <v>0</v>
      </c>
      <c r="T12" s="9">
        <f>SUMIFS(#REF!,#REF!,
$A12,#REF!,
"&gt;="&amp;'Faturado mensal'!T$2,#REF!,
"&lt;"&amp;EOMONTH('Faturado mensal'!T$2,0))</f>
        <v>0</v>
      </c>
      <c r="U12" s="9">
        <f>SUMIFS(#REF!,#REF!,
$A12,#REF!,
"&gt;="&amp;'Faturado mensal'!U$2,#REF!,
"&lt;"&amp;EOMONTH('Faturado mensal'!U$2,0))</f>
        <v>0</v>
      </c>
      <c r="V12" s="9">
        <f>SUMIFS(#REF!,#REF!,
$A12,#REF!,
"&gt;="&amp;'Faturado mensal'!V$2,#REF!,
"&lt;"&amp;EOMONTH('Faturado mensal'!V$2,0))</f>
        <v>18878.689999999999</v>
      </c>
      <c r="W12" s="9">
        <f>SUMIFS(#REF!,#REF!,
$A12,#REF!,
"&gt;="&amp;'Faturado mensal'!W$2,#REF!,
"&lt;"&amp;EOMONTH('Faturado mensal'!W$2,0))</f>
        <v>0</v>
      </c>
      <c r="X12" s="9">
        <f>SUMIFS(#REF!,#REF!,
$A12,#REF!,
"&gt;="&amp;'Faturado mensal'!X$2,#REF!,
"&lt;"&amp;EOMONTH('Faturado mensal'!X$2,0))</f>
        <v>0</v>
      </c>
      <c r="Y12" s="11">
        <f>SUMIFS(#REF!,#REF!,
$A12,#REF!,
"&gt;="&amp;'Faturado mensal'!M$2,#REF!,
"&lt;"&amp;EOMONTH('Faturado mensal'!M$2,12))</f>
        <v>20128.699999999997</v>
      </c>
      <c r="Z12" s="9">
        <f>SUMIFS(#REF!,#REF!,
$A12,#REF!,
"&gt;="&amp;'Faturado mensal'!Z$2,#REF!,
"&lt;"&amp;EOMONTH('Faturado mensal'!Z$2,0))</f>
        <v>1250.01</v>
      </c>
      <c r="AA12" s="9">
        <f>SUMIFS(#REF!,#REF!,
$A12,#REF!,
"&gt;="&amp;'Faturado mensal'!AA$2,#REF!,
"&lt;"&amp;EOMONTH('Faturado mensal'!AA$2,0))</f>
        <v>0</v>
      </c>
      <c r="AB12" s="9">
        <f>SUMIFS(#REF!,#REF!,
$A12,#REF!,
"&gt;="&amp;'Faturado mensal'!AB$2,#REF!,
"&lt;"&amp;EOMONTH('Faturado mensal'!AB$2,0))</f>
        <v>0</v>
      </c>
      <c r="AC12" s="9">
        <f>SUMIFS(#REF!,#REF!,
$A12,#REF!,
"&gt;="&amp;'Faturado mensal'!AC$2,#REF!,
"&lt;"&amp;EOMONTH('Faturado mensal'!AC$2,0))</f>
        <v>0</v>
      </c>
      <c r="AD12" s="9">
        <f>SUMIFS(#REF!,#REF!,
$A12,#REF!,
"&gt;="&amp;'Faturado mensal'!AD$2,#REF!,
"&lt;"&amp;EOMONTH('Faturado mensal'!AD$2,0))</f>
        <v>0</v>
      </c>
      <c r="AE12" s="9">
        <f>SUMIFS(#REF!,#REF!,
$A12,#REF!,
"&gt;="&amp;'Faturado mensal'!AE$2,#REF!,
"&lt;"&amp;EOMONTH('Faturado mensal'!AE$2,0))</f>
        <v>0</v>
      </c>
      <c r="AF12" s="9">
        <f>SUMIFS(#REF!,#REF!,
$A12,#REF!,
"&gt;="&amp;'Faturado mensal'!AF$2,#REF!,
"&lt;"&amp;EOMONTH('Faturado mensal'!AF$2,0))</f>
        <v>0</v>
      </c>
      <c r="AG12" s="9">
        <f>SUMIFS(#REF!,#REF!,
$A12,#REF!,
"&gt;="&amp;'Faturado mensal'!AG$2,#REF!,
"&lt;"&amp;EOMONTH('Faturado mensal'!AG$2,0))</f>
        <v>0</v>
      </c>
      <c r="AH12" s="9">
        <f>SUMIFS(#REF!,#REF!,
$A12,#REF!,
"&gt;="&amp;'Faturado mensal'!AH$2,#REF!,
"&lt;"&amp;EOMONTH('Faturado mensal'!AH$2,0))</f>
        <v>0</v>
      </c>
      <c r="AI12" s="9">
        <f>SUMIFS(#REF!,#REF!,
$A12,#REF!,
"&gt;="&amp;'Faturado mensal'!AI$2,#REF!,
"&lt;"&amp;EOMONTH('Faturado mensal'!AI$2,0))</f>
        <v>0</v>
      </c>
      <c r="AJ12" s="9">
        <f>SUMIFS(#REF!,#REF!,
$A12,#REF!,
"&gt;="&amp;'Faturado mensal'!AJ$2,#REF!,
"&lt;"&amp;EOMONTH('Faturado mensal'!AJ$2,0))</f>
        <v>0</v>
      </c>
      <c r="AK12" s="9">
        <f>SUMIFS(#REF!,#REF!,
$A12,#REF!,
"&gt;="&amp;'Faturado mensal'!AK$2,#REF!,
"&lt;"&amp;EOMONTH('Faturado mensal'!AK$2,0))</f>
        <v>0</v>
      </c>
      <c r="AL12" s="9">
        <f>SUMIFS(#REF!,#REF!,
$A12,#REF!,
"&gt;="&amp;Z$2,#REF!,
"&lt;"&amp;EOMONTH(AK$2,0))</f>
        <v>1250.01</v>
      </c>
    </row>
    <row r="13" spans="1:38" x14ac:dyDescent="0.3">
      <c r="A13" t="s">
        <v>728</v>
      </c>
      <c r="B13" t="s">
        <v>729</v>
      </c>
      <c r="C13" t="s">
        <v>730</v>
      </c>
      <c r="D13" t="s">
        <v>209</v>
      </c>
      <c r="I13" t="s">
        <v>731</v>
      </c>
      <c r="J13" t="s">
        <v>710</v>
      </c>
      <c r="K13" t="s">
        <v>711</v>
      </c>
      <c r="L13" t="s">
        <v>712</v>
      </c>
      <c r="M13" s="9">
        <f>SUMIFS(#REF!,#REF!,
$A13,#REF!,
"&gt;="&amp;'Faturado mensal'!M$2,#REF!,
"&lt;"&amp;EOMONTH('Faturado mensal'!M$2,0))</f>
        <v>0</v>
      </c>
      <c r="N13" s="9">
        <f>SUMIFS(#REF!,#REF!,
$A13,#REF!,
"&gt;="&amp;'Faturado mensal'!N$2,#REF!,
"&lt;"&amp;EOMONTH('Faturado mensal'!N$2,0))</f>
        <v>0</v>
      </c>
      <c r="O13" s="9">
        <f>SUMIFS(#REF!,#REF!,
$A13,#REF!,
"&gt;="&amp;'Faturado mensal'!O$2,#REF!,
"&lt;"&amp;EOMONTH('Faturado mensal'!O$2,0))</f>
        <v>0</v>
      </c>
      <c r="P13" s="9">
        <f>SUMIFS(#REF!,#REF!,
$A13,#REF!,
"&gt;="&amp;'Faturado mensal'!P$2,#REF!,
"&lt;"&amp;EOMONTH('Faturado mensal'!P$2,0))</f>
        <v>0</v>
      </c>
      <c r="Q13" s="9">
        <f>SUMIFS(#REF!,#REF!,
$A13,#REF!,
"&gt;="&amp;'Faturado mensal'!Q$2,#REF!,
"&lt;"&amp;EOMONTH('Faturado mensal'!Q$2,0))</f>
        <v>0</v>
      </c>
      <c r="R13" s="9">
        <f>SUMIFS(#REF!,#REF!,
$A13,#REF!,
"&gt;="&amp;'Faturado mensal'!R$2,#REF!,
"&lt;"&amp;EOMONTH('Faturado mensal'!R$2,0))</f>
        <v>0</v>
      </c>
      <c r="S13" s="9">
        <f>SUMIFS(#REF!,#REF!,
$A13,#REF!,
"&gt;="&amp;'Faturado mensal'!S$2,#REF!,
"&lt;"&amp;EOMONTH('Faturado mensal'!S$2,0))</f>
        <v>0</v>
      </c>
      <c r="T13" s="9">
        <f>SUMIFS(#REF!,#REF!,
$A13,#REF!,
"&gt;="&amp;'Faturado mensal'!T$2,#REF!,
"&lt;"&amp;EOMONTH('Faturado mensal'!T$2,0))</f>
        <v>0</v>
      </c>
      <c r="U13" s="9">
        <f>SUMIFS(#REF!,#REF!,
$A13,#REF!,
"&gt;="&amp;'Faturado mensal'!U$2,#REF!,
"&lt;"&amp;EOMONTH('Faturado mensal'!U$2,0))</f>
        <v>0</v>
      </c>
      <c r="V13" s="9">
        <f>SUMIFS(#REF!,#REF!,
$A13,#REF!,
"&gt;="&amp;'Faturado mensal'!V$2,#REF!,
"&lt;"&amp;EOMONTH('Faturado mensal'!V$2,0))</f>
        <v>0</v>
      </c>
      <c r="W13" s="9">
        <f>SUMIFS(#REF!,#REF!,
$A13,#REF!,
"&gt;="&amp;'Faturado mensal'!W$2,#REF!,
"&lt;"&amp;EOMONTH('Faturado mensal'!W$2,0))</f>
        <v>0</v>
      </c>
      <c r="X13" s="9">
        <f>SUMIFS(#REF!,#REF!,
$A13,#REF!,
"&gt;="&amp;'Faturado mensal'!X$2,#REF!,
"&lt;"&amp;EOMONTH('Faturado mensal'!X$2,0))</f>
        <v>0</v>
      </c>
      <c r="Y13" s="11">
        <f>SUMIFS(#REF!,#REF!,
$A13,#REF!,
"&gt;="&amp;'Faturado mensal'!M$2,#REF!,
"&lt;"&amp;EOMONTH('Faturado mensal'!M$2,12))</f>
        <v>0</v>
      </c>
      <c r="Z13" s="9">
        <f>SUMIFS(#REF!,#REF!,
$A13,#REF!,
"&gt;="&amp;'Faturado mensal'!Z$2,#REF!,
"&lt;"&amp;EOMONTH('Faturado mensal'!Z$2,0))</f>
        <v>0</v>
      </c>
      <c r="AA13" s="9">
        <f>SUMIFS(#REF!,#REF!,
$A13,#REF!,
"&gt;="&amp;'Faturado mensal'!AA$2,#REF!,
"&lt;"&amp;EOMONTH('Faturado mensal'!AA$2,0))</f>
        <v>0</v>
      </c>
      <c r="AB13" s="9">
        <f>SUMIFS(#REF!,#REF!,
$A13,#REF!,
"&gt;="&amp;'Faturado mensal'!AB$2,#REF!,
"&lt;"&amp;EOMONTH('Faturado mensal'!AB$2,0))</f>
        <v>0</v>
      </c>
      <c r="AC13" s="9">
        <f>SUMIFS(#REF!,#REF!,
$A13,#REF!,
"&gt;="&amp;'Faturado mensal'!AC$2,#REF!,
"&lt;"&amp;EOMONTH('Faturado mensal'!AC$2,0))</f>
        <v>0</v>
      </c>
      <c r="AD13" s="9">
        <f>SUMIFS(#REF!,#REF!,
$A13,#REF!,
"&gt;="&amp;'Faturado mensal'!AD$2,#REF!,
"&lt;"&amp;EOMONTH('Faturado mensal'!AD$2,0))</f>
        <v>0</v>
      </c>
      <c r="AE13" s="9">
        <f>SUMIFS(#REF!,#REF!,
$A13,#REF!,
"&gt;="&amp;'Faturado mensal'!AE$2,#REF!,
"&lt;"&amp;EOMONTH('Faturado mensal'!AE$2,0))</f>
        <v>0</v>
      </c>
      <c r="AF13" s="9">
        <f>SUMIFS(#REF!,#REF!,
$A13,#REF!,
"&gt;="&amp;'Faturado mensal'!AF$2,#REF!,
"&lt;"&amp;EOMONTH('Faturado mensal'!AF$2,0))</f>
        <v>0</v>
      </c>
      <c r="AG13" s="9">
        <f>SUMIFS(#REF!,#REF!,
$A13,#REF!,
"&gt;="&amp;'Faturado mensal'!AG$2,#REF!,
"&lt;"&amp;EOMONTH('Faturado mensal'!AG$2,0))</f>
        <v>0</v>
      </c>
      <c r="AH13" s="9">
        <f>SUMIFS(#REF!,#REF!,
$A13,#REF!,
"&gt;="&amp;'Faturado mensal'!AH$2,#REF!,
"&lt;"&amp;EOMONTH('Faturado mensal'!AH$2,0))</f>
        <v>0</v>
      </c>
      <c r="AI13" s="9">
        <f>SUMIFS(#REF!,#REF!,
$A13,#REF!,
"&gt;="&amp;'Faturado mensal'!AI$2,#REF!,
"&lt;"&amp;EOMONTH('Faturado mensal'!AI$2,0))</f>
        <v>0</v>
      </c>
      <c r="AJ13" s="9">
        <f>SUMIFS(#REF!,#REF!,
$A13,#REF!,
"&gt;="&amp;'Faturado mensal'!AJ$2,#REF!,
"&lt;"&amp;EOMONTH('Faturado mensal'!AJ$2,0))</f>
        <v>0</v>
      </c>
      <c r="AK13" s="9">
        <f>SUMIFS(#REF!,#REF!,
$A13,#REF!,
"&gt;="&amp;'Faturado mensal'!AK$2,#REF!,
"&lt;"&amp;EOMONTH('Faturado mensal'!AK$2,0))</f>
        <v>0</v>
      </c>
      <c r="AL13" s="9">
        <f>SUMIFS(#REF!,#REF!,
$A13,#REF!,
"&gt;="&amp;Z$2,#REF!,
"&lt;"&amp;EOMONTH(AK$2,0))</f>
        <v>0</v>
      </c>
    </row>
    <row r="14" spans="1:38" x14ac:dyDescent="0.3">
      <c r="A14" t="s">
        <v>732</v>
      </c>
      <c r="B14" t="s">
        <v>733</v>
      </c>
      <c r="C14" t="s">
        <v>734</v>
      </c>
      <c r="D14" t="s">
        <v>209</v>
      </c>
      <c r="G14" t="s">
        <v>4853</v>
      </c>
      <c r="H14" t="s">
        <v>4773</v>
      </c>
      <c r="I14" t="s">
        <v>734</v>
      </c>
      <c r="J14" t="s">
        <v>710</v>
      </c>
      <c r="K14" t="s">
        <v>711</v>
      </c>
      <c r="L14" t="s">
        <v>712</v>
      </c>
      <c r="M14" s="9">
        <f>SUMIFS(#REF!,#REF!,
$A14,#REF!,
"&gt;="&amp;'Faturado mensal'!M$2,#REF!,
"&lt;"&amp;EOMONTH('Faturado mensal'!M$2,0))</f>
        <v>0</v>
      </c>
      <c r="N14" s="9">
        <f>SUMIFS(#REF!,#REF!,
$A14,#REF!,
"&gt;="&amp;'Faturado mensal'!N$2,#REF!,
"&lt;"&amp;EOMONTH('Faturado mensal'!N$2,0))</f>
        <v>0</v>
      </c>
      <c r="O14" s="9">
        <f>SUMIFS(#REF!,#REF!,
$A14,#REF!,
"&gt;="&amp;'Faturado mensal'!O$2,#REF!,
"&lt;"&amp;EOMONTH('Faturado mensal'!O$2,0))</f>
        <v>0</v>
      </c>
      <c r="P14" s="9">
        <f>SUMIFS(#REF!,#REF!,
$A14,#REF!,
"&gt;="&amp;'Faturado mensal'!P$2,#REF!,
"&lt;"&amp;EOMONTH('Faturado mensal'!P$2,0))</f>
        <v>0</v>
      </c>
      <c r="Q14" s="9">
        <f>SUMIFS(#REF!,#REF!,
$A14,#REF!,
"&gt;="&amp;'Faturado mensal'!Q$2,#REF!,
"&lt;"&amp;EOMONTH('Faturado mensal'!Q$2,0))</f>
        <v>0</v>
      </c>
      <c r="R14" s="9">
        <f>SUMIFS(#REF!,#REF!,
$A14,#REF!,
"&gt;="&amp;'Faturado mensal'!R$2,#REF!,
"&lt;"&amp;EOMONTH('Faturado mensal'!R$2,0))</f>
        <v>0</v>
      </c>
      <c r="S14" s="9">
        <f>SUMIFS(#REF!,#REF!,
$A14,#REF!,
"&gt;="&amp;'Faturado mensal'!S$2,#REF!,
"&lt;"&amp;EOMONTH('Faturado mensal'!S$2,0))</f>
        <v>0</v>
      </c>
      <c r="T14" s="9">
        <f>SUMIFS(#REF!,#REF!,
$A14,#REF!,
"&gt;="&amp;'Faturado mensal'!T$2,#REF!,
"&lt;"&amp;EOMONTH('Faturado mensal'!T$2,0))</f>
        <v>0</v>
      </c>
      <c r="U14" s="9">
        <f>SUMIFS(#REF!,#REF!,
$A14,#REF!,
"&gt;="&amp;'Faturado mensal'!U$2,#REF!,
"&lt;"&amp;EOMONTH('Faturado mensal'!U$2,0))</f>
        <v>0</v>
      </c>
      <c r="V14" s="9">
        <f>SUMIFS(#REF!,#REF!,
$A14,#REF!,
"&gt;="&amp;'Faturado mensal'!V$2,#REF!,
"&lt;"&amp;EOMONTH('Faturado mensal'!V$2,0))</f>
        <v>0</v>
      </c>
      <c r="W14" s="9">
        <f>SUMIFS(#REF!,#REF!,
$A14,#REF!,
"&gt;="&amp;'Faturado mensal'!W$2,#REF!,
"&lt;"&amp;EOMONTH('Faturado mensal'!W$2,0))</f>
        <v>0</v>
      </c>
      <c r="X14" s="9">
        <f>SUMIFS(#REF!,#REF!,
$A14,#REF!,
"&gt;="&amp;'Faturado mensal'!X$2,#REF!,
"&lt;"&amp;EOMONTH('Faturado mensal'!X$2,0))</f>
        <v>0</v>
      </c>
      <c r="Y14" s="11">
        <f>SUMIFS(#REF!,#REF!,
$A14,#REF!,
"&gt;="&amp;'Faturado mensal'!M$2,#REF!,
"&lt;"&amp;EOMONTH('Faturado mensal'!M$2,12))</f>
        <v>0</v>
      </c>
      <c r="Z14" s="9">
        <f>SUMIFS(#REF!,#REF!,
$A14,#REF!,
"&gt;="&amp;'Faturado mensal'!Z$2,#REF!,
"&lt;"&amp;EOMONTH('Faturado mensal'!Z$2,0))</f>
        <v>0</v>
      </c>
      <c r="AA14" s="9">
        <f>SUMIFS(#REF!,#REF!,
$A14,#REF!,
"&gt;="&amp;'Faturado mensal'!AA$2,#REF!,
"&lt;"&amp;EOMONTH('Faturado mensal'!AA$2,0))</f>
        <v>0</v>
      </c>
      <c r="AB14" s="9">
        <f>SUMIFS(#REF!,#REF!,
$A14,#REF!,
"&gt;="&amp;'Faturado mensal'!AB$2,#REF!,
"&lt;"&amp;EOMONTH('Faturado mensal'!AB$2,0))</f>
        <v>0</v>
      </c>
      <c r="AC14" s="9">
        <f>SUMIFS(#REF!,#REF!,
$A14,#REF!,
"&gt;="&amp;'Faturado mensal'!AC$2,#REF!,
"&lt;"&amp;EOMONTH('Faturado mensal'!AC$2,0))</f>
        <v>0</v>
      </c>
      <c r="AD14" s="9">
        <f>SUMIFS(#REF!,#REF!,
$A14,#REF!,
"&gt;="&amp;'Faturado mensal'!AD$2,#REF!,
"&lt;"&amp;EOMONTH('Faturado mensal'!AD$2,0))</f>
        <v>0</v>
      </c>
      <c r="AE14" s="9">
        <f>SUMIFS(#REF!,#REF!,
$A14,#REF!,
"&gt;="&amp;'Faturado mensal'!AE$2,#REF!,
"&lt;"&amp;EOMONTH('Faturado mensal'!AE$2,0))</f>
        <v>0</v>
      </c>
      <c r="AF14" s="9">
        <f>SUMIFS(#REF!,#REF!,
$A14,#REF!,
"&gt;="&amp;'Faturado mensal'!AF$2,#REF!,
"&lt;"&amp;EOMONTH('Faturado mensal'!AF$2,0))</f>
        <v>0</v>
      </c>
      <c r="AG14" s="9">
        <f>SUMIFS(#REF!,#REF!,
$A14,#REF!,
"&gt;="&amp;'Faturado mensal'!AG$2,#REF!,
"&lt;"&amp;EOMONTH('Faturado mensal'!AG$2,0))</f>
        <v>0</v>
      </c>
      <c r="AH14" s="9">
        <f>SUMIFS(#REF!,#REF!,
$A14,#REF!,
"&gt;="&amp;'Faturado mensal'!AH$2,#REF!,
"&lt;"&amp;EOMONTH('Faturado mensal'!AH$2,0))</f>
        <v>0</v>
      </c>
      <c r="AI14" s="9">
        <f>SUMIFS(#REF!,#REF!,
$A14,#REF!,
"&gt;="&amp;'Faturado mensal'!AI$2,#REF!,
"&lt;"&amp;EOMONTH('Faturado mensal'!AI$2,0))</f>
        <v>0</v>
      </c>
      <c r="AJ14" s="9">
        <f>SUMIFS(#REF!,#REF!,
$A14,#REF!,
"&gt;="&amp;'Faturado mensal'!AJ$2,#REF!,
"&lt;"&amp;EOMONTH('Faturado mensal'!AJ$2,0))</f>
        <v>0</v>
      </c>
      <c r="AK14" s="9">
        <f>SUMIFS(#REF!,#REF!,
$A14,#REF!,
"&gt;="&amp;'Faturado mensal'!AK$2,#REF!,
"&lt;"&amp;EOMONTH('Faturado mensal'!AK$2,0))</f>
        <v>0</v>
      </c>
      <c r="AL14" s="9">
        <f>SUMIFS(#REF!,#REF!,
$A14,#REF!,
"&gt;="&amp;Z$2,#REF!,
"&lt;"&amp;EOMONTH(AK$2,0))</f>
        <v>0</v>
      </c>
    </row>
    <row r="15" spans="1:38" x14ac:dyDescent="0.3">
      <c r="A15" t="s">
        <v>219</v>
      </c>
      <c r="B15" t="s">
        <v>220</v>
      </c>
      <c r="C15" t="s">
        <v>15</v>
      </c>
      <c r="D15" t="s">
        <v>204</v>
      </c>
      <c r="E15" t="s">
        <v>4834</v>
      </c>
      <c r="F15" t="s">
        <v>4776</v>
      </c>
      <c r="G15" t="s">
        <v>4853</v>
      </c>
      <c r="H15" t="s">
        <v>4773</v>
      </c>
      <c r="I15" t="s">
        <v>15</v>
      </c>
      <c r="J15" t="s">
        <v>710</v>
      </c>
      <c r="K15" t="s">
        <v>711</v>
      </c>
      <c r="L15" t="s">
        <v>712</v>
      </c>
      <c r="M15" s="9">
        <f>SUMIFS(#REF!,#REF!,
$A15,#REF!,
"&gt;="&amp;'Faturado mensal'!M$2,#REF!,
"&lt;"&amp;EOMONTH('Faturado mensal'!M$2,0))</f>
        <v>0</v>
      </c>
      <c r="N15" s="9">
        <f>SUMIFS(#REF!,#REF!,
$A15,#REF!,
"&gt;="&amp;'Faturado mensal'!N$2,#REF!,
"&lt;"&amp;EOMONTH('Faturado mensal'!N$2,0))</f>
        <v>0</v>
      </c>
      <c r="O15" s="9">
        <f>SUMIFS(#REF!,#REF!,
$A15,#REF!,
"&gt;="&amp;'Faturado mensal'!O$2,#REF!,
"&lt;"&amp;EOMONTH('Faturado mensal'!O$2,0))</f>
        <v>1261</v>
      </c>
      <c r="P15" s="9">
        <f>SUMIFS(#REF!,#REF!,
$A15,#REF!,
"&gt;="&amp;'Faturado mensal'!P$2,#REF!,
"&lt;"&amp;EOMONTH('Faturado mensal'!P$2,0))</f>
        <v>0</v>
      </c>
      <c r="Q15" s="9">
        <f>SUMIFS(#REF!,#REF!,
$A15,#REF!,
"&gt;="&amp;'Faturado mensal'!Q$2,#REF!,
"&lt;"&amp;EOMONTH('Faturado mensal'!Q$2,0))</f>
        <v>0</v>
      </c>
      <c r="R15" s="9">
        <f>SUMIFS(#REF!,#REF!,
$A15,#REF!,
"&gt;="&amp;'Faturado mensal'!R$2,#REF!,
"&lt;"&amp;EOMONTH('Faturado mensal'!R$2,0))</f>
        <v>1261</v>
      </c>
      <c r="S15" s="9">
        <f>SUMIFS(#REF!,#REF!,
$A15,#REF!,
"&gt;="&amp;'Faturado mensal'!S$2,#REF!,
"&lt;"&amp;EOMONTH('Faturado mensal'!S$2,0))</f>
        <v>0</v>
      </c>
      <c r="T15" s="9">
        <f>SUMIFS(#REF!,#REF!,
$A15,#REF!,
"&gt;="&amp;'Faturado mensal'!T$2,#REF!,
"&lt;"&amp;EOMONTH('Faturado mensal'!T$2,0))</f>
        <v>756</v>
      </c>
      <c r="U15" s="9">
        <f>SUMIFS(#REF!,#REF!,
$A15,#REF!,
"&gt;="&amp;'Faturado mensal'!U$2,#REF!,
"&lt;"&amp;EOMONTH('Faturado mensal'!U$2,0))</f>
        <v>1565</v>
      </c>
      <c r="V15" s="9">
        <f>SUMIFS(#REF!,#REF!,
$A15,#REF!,
"&gt;="&amp;'Faturado mensal'!V$2,#REF!,
"&lt;"&amp;EOMONTH('Faturado mensal'!V$2,0))</f>
        <v>0</v>
      </c>
      <c r="W15" s="9">
        <f>SUMIFS(#REF!,#REF!,
$A15,#REF!,
"&gt;="&amp;'Faturado mensal'!W$2,#REF!,
"&lt;"&amp;EOMONTH('Faturado mensal'!W$2,0))</f>
        <v>0</v>
      </c>
      <c r="X15" s="9">
        <f>SUMIFS(#REF!,#REF!,
$A15,#REF!,
"&gt;="&amp;'Faturado mensal'!X$2,#REF!,
"&lt;"&amp;EOMONTH('Faturado mensal'!X$2,0))</f>
        <v>1305</v>
      </c>
      <c r="Y15" s="11">
        <f>SUMIFS(#REF!,#REF!,
$A15,#REF!,
"&gt;="&amp;'Faturado mensal'!M$2,#REF!,
"&lt;"&amp;EOMONTH('Faturado mensal'!M$2,12))</f>
        <v>6148</v>
      </c>
      <c r="Z15" s="9">
        <f>SUMIFS(#REF!,#REF!,
$A15,#REF!,
"&gt;="&amp;'Faturado mensal'!Z$2,#REF!,
"&lt;"&amp;EOMONTH('Faturado mensal'!Z$2,0))</f>
        <v>0</v>
      </c>
      <c r="AA15" s="9">
        <f>SUMIFS(#REF!,#REF!,
$A15,#REF!,
"&gt;="&amp;'Faturado mensal'!AA$2,#REF!,
"&lt;"&amp;EOMONTH('Faturado mensal'!AA$2,0))</f>
        <v>0</v>
      </c>
      <c r="AB15" s="9">
        <f>SUMIFS(#REF!,#REF!,
$A15,#REF!,
"&gt;="&amp;'Faturado mensal'!AB$2,#REF!,
"&lt;"&amp;EOMONTH('Faturado mensal'!AB$2,0))</f>
        <v>1305</v>
      </c>
      <c r="AC15" s="9">
        <f>SUMIFS(#REF!,#REF!,
$A15,#REF!,
"&gt;="&amp;'Faturado mensal'!AC$2,#REF!,
"&lt;"&amp;EOMONTH('Faturado mensal'!AC$2,0))</f>
        <v>0</v>
      </c>
      <c r="AD15" s="9">
        <f>SUMIFS(#REF!,#REF!,
$A15,#REF!,
"&gt;="&amp;'Faturado mensal'!AD$2,#REF!,
"&lt;"&amp;EOMONTH('Faturado mensal'!AD$2,0))</f>
        <v>0</v>
      </c>
      <c r="AE15" s="9">
        <f>SUMIFS(#REF!,#REF!,
$A15,#REF!,
"&gt;="&amp;'Faturado mensal'!AE$2,#REF!,
"&lt;"&amp;EOMONTH('Faturado mensal'!AE$2,0))</f>
        <v>1305</v>
      </c>
      <c r="AF15" s="9">
        <f>SUMIFS(#REF!,#REF!,
$A15,#REF!,
"&gt;="&amp;'Faturado mensal'!AF$2,#REF!,
"&lt;"&amp;EOMONTH('Faturado mensal'!AF$2,0))</f>
        <v>0</v>
      </c>
      <c r="AG15" s="9">
        <f>SUMIFS(#REF!,#REF!,
$A15,#REF!,
"&gt;="&amp;'Faturado mensal'!AG$2,#REF!,
"&lt;"&amp;EOMONTH('Faturado mensal'!AG$2,0))</f>
        <v>0</v>
      </c>
      <c r="AH15" s="9">
        <f>SUMIFS(#REF!,#REF!,
$A15,#REF!,
"&gt;="&amp;'Faturado mensal'!AH$2,#REF!,
"&lt;"&amp;EOMONTH('Faturado mensal'!AH$2,0))</f>
        <v>0</v>
      </c>
      <c r="AI15" s="9">
        <f>SUMIFS(#REF!,#REF!,
$A15,#REF!,
"&gt;="&amp;'Faturado mensal'!AI$2,#REF!,
"&lt;"&amp;EOMONTH('Faturado mensal'!AI$2,0))</f>
        <v>0</v>
      </c>
      <c r="AJ15" s="9">
        <f>SUMIFS(#REF!,#REF!,
$A15,#REF!,
"&gt;="&amp;'Faturado mensal'!AJ$2,#REF!,
"&lt;"&amp;EOMONTH('Faturado mensal'!AJ$2,0))</f>
        <v>0</v>
      </c>
      <c r="AK15" s="9">
        <f>SUMIFS(#REF!,#REF!,
$A15,#REF!,
"&gt;="&amp;'Faturado mensal'!AK$2,#REF!,
"&lt;"&amp;EOMONTH('Faturado mensal'!AK$2,0))</f>
        <v>0</v>
      </c>
      <c r="AL15" s="9">
        <f>SUMIFS(#REF!,#REF!,
$A15,#REF!,
"&gt;="&amp;Z$2,#REF!,
"&lt;"&amp;EOMONTH(AK$2,0))</f>
        <v>2610</v>
      </c>
    </row>
    <row r="16" spans="1:38" x14ac:dyDescent="0.3">
      <c r="A16" t="s">
        <v>735</v>
      </c>
      <c r="B16" t="s">
        <v>736</v>
      </c>
      <c r="C16" t="s">
        <v>737</v>
      </c>
      <c r="D16" t="s">
        <v>209</v>
      </c>
      <c r="I16" t="s">
        <v>737</v>
      </c>
      <c r="J16" t="s">
        <v>710</v>
      </c>
      <c r="K16" t="s">
        <v>711</v>
      </c>
      <c r="L16" t="s">
        <v>712</v>
      </c>
      <c r="M16" s="9">
        <f>SUMIFS(#REF!,#REF!,
$A16,#REF!,
"&gt;="&amp;'Faturado mensal'!M$2,#REF!,
"&lt;"&amp;EOMONTH('Faturado mensal'!M$2,0))</f>
        <v>0</v>
      </c>
      <c r="N16" s="9">
        <f>SUMIFS(#REF!,#REF!,
$A16,#REF!,
"&gt;="&amp;'Faturado mensal'!N$2,#REF!,
"&lt;"&amp;EOMONTH('Faturado mensal'!N$2,0))</f>
        <v>0</v>
      </c>
      <c r="O16" s="9">
        <f>SUMIFS(#REF!,#REF!,
$A16,#REF!,
"&gt;="&amp;'Faturado mensal'!O$2,#REF!,
"&lt;"&amp;EOMONTH('Faturado mensal'!O$2,0))</f>
        <v>0</v>
      </c>
      <c r="P16" s="9">
        <f>SUMIFS(#REF!,#REF!,
$A16,#REF!,
"&gt;="&amp;'Faturado mensal'!P$2,#REF!,
"&lt;"&amp;EOMONTH('Faturado mensal'!P$2,0))</f>
        <v>0</v>
      </c>
      <c r="Q16" s="9">
        <f>SUMIFS(#REF!,#REF!,
$A16,#REF!,
"&gt;="&amp;'Faturado mensal'!Q$2,#REF!,
"&lt;"&amp;EOMONTH('Faturado mensal'!Q$2,0))</f>
        <v>0</v>
      </c>
      <c r="R16" s="9">
        <f>SUMIFS(#REF!,#REF!,
$A16,#REF!,
"&gt;="&amp;'Faturado mensal'!R$2,#REF!,
"&lt;"&amp;EOMONTH('Faturado mensal'!R$2,0))</f>
        <v>0</v>
      </c>
      <c r="S16" s="9">
        <f>SUMIFS(#REF!,#REF!,
$A16,#REF!,
"&gt;="&amp;'Faturado mensal'!S$2,#REF!,
"&lt;"&amp;EOMONTH('Faturado mensal'!S$2,0))</f>
        <v>0</v>
      </c>
      <c r="T16" s="9">
        <f>SUMIFS(#REF!,#REF!,
$A16,#REF!,
"&gt;="&amp;'Faturado mensal'!T$2,#REF!,
"&lt;"&amp;EOMONTH('Faturado mensal'!T$2,0))</f>
        <v>0</v>
      </c>
      <c r="U16" s="9">
        <f>SUMIFS(#REF!,#REF!,
$A16,#REF!,
"&gt;="&amp;'Faturado mensal'!U$2,#REF!,
"&lt;"&amp;EOMONTH('Faturado mensal'!U$2,0))</f>
        <v>0</v>
      </c>
      <c r="V16" s="9">
        <f>SUMIFS(#REF!,#REF!,
$A16,#REF!,
"&gt;="&amp;'Faturado mensal'!V$2,#REF!,
"&lt;"&amp;EOMONTH('Faturado mensal'!V$2,0))</f>
        <v>0</v>
      </c>
      <c r="W16" s="9">
        <f>SUMIFS(#REF!,#REF!,
$A16,#REF!,
"&gt;="&amp;'Faturado mensal'!W$2,#REF!,
"&lt;"&amp;EOMONTH('Faturado mensal'!W$2,0))</f>
        <v>0</v>
      </c>
      <c r="X16" s="9">
        <f>SUMIFS(#REF!,#REF!,
$A16,#REF!,
"&gt;="&amp;'Faturado mensal'!X$2,#REF!,
"&lt;"&amp;EOMONTH('Faturado mensal'!X$2,0))</f>
        <v>0</v>
      </c>
      <c r="Y16" s="11">
        <f>SUMIFS(#REF!,#REF!,
$A16,#REF!,
"&gt;="&amp;'Faturado mensal'!M$2,#REF!,
"&lt;"&amp;EOMONTH('Faturado mensal'!M$2,12))</f>
        <v>0</v>
      </c>
      <c r="Z16" s="9">
        <f>SUMIFS(#REF!,#REF!,
$A16,#REF!,
"&gt;="&amp;'Faturado mensal'!Z$2,#REF!,
"&lt;"&amp;EOMONTH('Faturado mensal'!Z$2,0))</f>
        <v>0</v>
      </c>
      <c r="AA16" s="9">
        <f>SUMIFS(#REF!,#REF!,
$A16,#REF!,
"&gt;="&amp;'Faturado mensal'!AA$2,#REF!,
"&lt;"&amp;EOMONTH('Faturado mensal'!AA$2,0))</f>
        <v>0</v>
      </c>
      <c r="AB16" s="9">
        <f>SUMIFS(#REF!,#REF!,
$A16,#REF!,
"&gt;="&amp;'Faturado mensal'!AB$2,#REF!,
"&lt;"&amp;EOMONTH('Faturado mensal'!AB$2,0))</f>
        <v>0</v>
      </c>
      <c r="AC16" s="9">
        <f>SUMIFS(#REF!,#REF!,
$A16,#REF!,
"&gt;="&amp;'Faturado mensal'!AC$2,#REF!,
"&lt;"&amp;EOMONTH('Faturado mensal'!AC$2,0))</f>
        <v>0</v>
      </c>
      <c r="AD16" s="9">
        <f>SUMIFS(#REF!,#REF!,
$A16,#REF!,
"&gt;="&amp;'Faturado mensal'!AD$2,#REF!,
"&lt;"&amp;EOMONTH('Faturado mensal'!AD$2,0))</f>
        <v>0</v>
      </c>
      <c r="AE16" s="9">
        <f>SUMIFS(#REF!,#REF!,
$A16,#REF!,
"&gt;="&amp;'Faturado mensal'!AE$2,#REF!,
"&lt;"&amp;EOMONTH('Faturado mensal'!AE$2,0))</f>
        <v>0</v>
      </c>
      <c r="AF16" s="9">
        <f>SUMIFS(#REF!,#REF!,
$A16,#REF!,
"&gt;="&amp;'Faturado mensal'!AF$2,#REF!,
"&lt;"&amp;EOMONTH('Faturado mensal'!AF$2,0))</f>
        <v>0</v>
      </c>
      <c r="AG16" s="9">
        <f>SUMIFS(#REF!,#REF!,
$A16,#REF!,
"&gt;="&amp;'Faturado mensal'!AG$2,#REF!,
"&lt;"&amp;EOMONTH('Faturado mensal'!AG$2,0))</f>
        <v>0</v>
      </c>
      <c r="AH16" s="9">
        <f>SUMIFS(#REF!,#REF!,
$A16,#REF!,
"&gt;="&amp;'Faturado mensal'!AH$2,#REF!,
"&lt;"&amp;EOMONTH('Faturado mensal'!AH$2,0))</f>
        <v>0</v>
      </c>
      <c r="AI16" s="9">
        <f>SUMIFS(#REF!,#REF!,
$A16,#REF!,
"&gt;="&amp;'Faturado mensal'!AI$2,#REF!,
"&lt;"&amp;EOMONTH('Faturado mensal'!AI$2,0))</f>
        <v>0</v>
      </c>
      <c r="AJ16" s="9">
        <f>SUMIFS(#REF!,#REF!,
$A16,#REF!,
"&gt;="&amp;'Faturado mensal'!AJ$2,#REF!,
"&lt;"&amp;EOMONTH('Faturado mensal'!AJ$2,0))</f>
        <v>0</v>
      </c>
      <c r="AK16" s="9">
        <f>SUMIFS(#REF!,#REF!,
$A16,#REF!,
"&gt;="&amp;'Faturado mensal'!AK$2,#REF!,
"&lt;"&amp;EOMONTH('Faturado mensal'!AK$2,0))</f>
        <v>0</v>
      </c>
      <c r="AL16" s="9">
        <f>SUMIFS(#REF!,#REF!,
$A16,#REF!,
"&gt;="&amp;Z$2,#REF!,
"&lt;"&amp;EOMONTH(AK$2,0))</f>
        <v>0</v>
      </c>
    </row>
    <row r="17" spans="1:38" x14ac:dyDescent="0.3">
      <c r="A17" t="s">
        <v>738</v>
      </c>
      <c r="B17" t="s">
        <v>739</v>
      </c>
      <c r="C17" t="s">
        <v>740</v>
      </c>
      <c r="D17" t="s">
        <v>209</v>
      </c>
      <c r="G17" t="s">
        <v>4853</v>
      </c>
      <c r="H17" t="s">
        <v>4774</v>
      </c>
      <c r="I17" t="s">
        <v>740</v>
      </c>
      <c r="J17" t="s">
        <v>710</v>
      </c>
      <c r="K17" t="s">
        <v>711</v>
      </c>
      <c r="L17" t="s">
        <v>712</v>
      </c>
      <c r="M17" s="9">
        <f>SUMIFS(#REF!,#REF!,
$A17,#REF!,
"&gt;="&amp;'Faturado mensal'!M$2,#REF!,
"&lt;"&amp;EOMONTH('Faturado mensal'!M$2,0))</f>
        <v>0</v>
      </c>
      <c r="N17" s="9">
        <f>SUMIFS(#REF!,#REF!,
$A17,#REF!,
"&gt;="&amp;'Faturado mensal'!N$2,#REF!,
"&lt;"&amp;EOMONTH('Faturado mensal'!N$2,0))</f>
        <v>0</v>
      </c>
      <c r="O17" s="9">
        <f>SUMIFS(#REF!,#REF!,
$A17,#REF!,
"&gt;="&amp;'Faturado mensal'!O$2,#REF!,
"&lt;"&amp;EOMONTH('Faturado mensal'!O$2,0))</f>
        <v>0</v>
      </c>
      <c r="P17" s="9">
        <f>SUMIFS(#REF!,#REF!,
$A17,#REF!,
"&gt;="&amp;'Faturado mensal'!P$2,#REF!,
"&lt;"&amp;EOMONTH('Faturado mensal'!P$2,0))</f>
        <v>0</v>
      </c>
      <c r="Q17" s="9">
        <f>SUMIFS(#REF!,#REF!,
$A17,#REF!,
"&gt;="&amp;'Faturado mensal'!Q$2,#REF!,
"&lt;"&amp;EOMONTH('Faturado mensal'!Q$2,0))</f>
        <v>0</v>
      </c>
      <c r="R17" s="9">
        <f>SUMIFS(#REF!,#REF!,
$A17,#REF!,
"&gt;="&amp;'Faturado mensal'!R$2,#REF!,
"&lt;"&amp;EOMONTH('Faturado mensal'!R$2,0))</f>
        <v>0</v>
      </c>
      <c r="S17" s="9">
        <f>SUMIFS(#REF!,#REF!,
$A17,#REF!,
"&gt;="&amp;'Faturado mensal'!S$2,#REF!,
"&lt;"&amp;EOMONTH('Faturado mensal'!S$2,0))</f>
        <v>0</v>
      </c>
      <c r="T17" s="9">
        <f>SUMIFS(#REF!,#REF!,
$A17,#REF!,
"&gt;="&amp;'Faturado mensal'!T$2,#REF!,
"&lt;"&amp;EOMONTH('Faturado mensal'!T$2,0))</f>
        <v>0</v>
      </c>
      <c r="U17" s="9">
        <f>SUMIFS(#REF!,#REF!,
$A17,#REF!,
"&gt;="&amp;'Faturado mensal'!U$2,#REF!,
"&lt;"&amp;EOMONTH('Faturado mensal'!U$2,0))</f>
        <v>0</v>
      </c>
      <c r="V17" s="9">
        <f>SUMIFS(#REF!,#REF!,
$A17,#REF!,
"&gt;="&amp;'Faturado mensal'!V$2,#REF!,
"&lt;"&amp;EOMONTH('Faturado mensal'!V$2,0))</f>
        <v>0</v>
      </c>
      <c r="W17" s="9">
        <f>SUMIFS(#REF!,#REF!,
$A17,#REF!,
"&gt;="&amp;'Faturado mensal'!W$2,#REF!,
"&lt;"&amp;EOMONTH('Faturado mensal'!W$2,0))</f>
        <v>0</v>
      </c>
      <c r="X17" s="9">
        <f>SUMIFS(#REF!,#REF!,
$A17,#REF!,
"&gt;="&amp;'Faturado mensal'!X$2,#REF!,
"&lt;"&amp;EOMONTH('Faturado mensal'!X$2,0))</f>
        <v>0</v>
      </c>
      <c r="Y17" s="11">
        <f>SUMIFS(#REF!,#REF!,
$A17,#REF!,
"&gt;="&amp;'Faturado mensal'!M$2,#REF!,
"&lt;"&amp;EOMONTH('Faturado mensal'!M$2,12))</f>
        <v>0</v>
      </c>
      <c r="Z17" s="9">
        <f>SUMIFS(#REF!,#REF!,
$A17,#REF!,
"&gt;="&amp;'Faturado mensal'!Z$2,#REF!,
"&lt;"&amp;EOMONTH('Faturado mensal'!Z$2,0))</f>
        <v>0</v>
      </c>
      <c r="AA17" s="9">
        <f>SUMIFS(#REF!,#REF!,
$A17,#REF!,
"&gt;="&amp;'Faturado mensal'!AA$2,#REF!,
"&lt;"&amp;EOMONTH('Faturado mensal'!AA$2,0))</f>
        <v>0</v>
      </c>
      <c r="AB17" s="9">
        <f>SUMIFS(#REF!,#REF!,
$A17,#REF!,
"&gt;="&amp;'Faturado mensal'!AB$2,#REF!,
"&lt;"&amp;EOMONTH('Faturado mensal'!AB$2,0))</f>
        <v>0</v>
      </c>
      <c r="AC17" s="9">
        <f>SUMIFS(#REF!,#REF!,
$A17,#REF!,
"&gt;="&amp;'Faturado mensal'!AC$2,#REF!,
"&lt;"&amp;EOMONTH('Faturado mensal'!AC$2,0))</f>
        <v>0</v>
      </c>
      <c r="AD17" s="9">
        <f>SUMIFS(#REF!,#REF!,
$A17,#REF!,
"&gt;="&amp;'Faturado mensal'!AD$2,#REF!,
"&lt;"&amp;EOMONTH('Faturado mensal'!AD$2,0))</f>
        <v>0</v>
      </c>
      <c r="AE17" s="9">
        <f>SUMIFS(#REF!,#REF!,
$A17,#REF!,
"&gt;="&amp;'Faturado mensal'!AE$2,#REF!,
"&lt;"&amp;EOMONTH('Faturado mensal'!AE$2,0))</f>
        <v>0</v>
      </c>
      <c r="AF17" s="9">
        <f>SUMIFS(#REF!,#REF!,
$A17,#REF!,
"&gt;="&amp;'Faturado mensal'!AF$2,#REF!,
"&lt;"&amp;EOMONTH('Faturado mensal'!AF$2,0))</f>
        <v>0</v>
      </c>
      <c r="AG17" s="9">
        <f>SUMIFS(#REF!,#REF!,
$A17,#REF!,
"&gt;="&amp;'Faturado mensal'!AG$2,#REF!,
"&lt;"&amp;EOMONTH('Faturado mensal'!AG$2,0))</f>
        <v>0</v>
      </c>
      <c r="AH17" s="9">
        <f>SUMIFS(#REF!,#REF!,
$A17,#REF!,
"&gt;="&amp;'Faturado mensal'!AH$2,#REF!,
"&lt;"&amp;EOMONTH('Faturado mensal'!AH$2,0))</f>
        <v>0</v>
      </c>
      <c r="AI17" s="9">
        <f>SUMIFS(#REF!,#REF!,
$A17,#REF!,
"&gt;="&amp;'Faturado mensal'!AI$2,#REF!,
"&lt;"&amp;EOMONTH('Faturado mensal'!AI$2,0))</f>
        <v>0</v>
      </c>
      <c r="AJ17" s="9">
        <f>SUMIFS(#REF!,#REF!,
$A17,#REF!,
"&gt;="&amp;'Faturado mensal'!AJ$2,#REF!,
"&lt;"&amp;EOMONTH('Faturado mensal'!AJ$2,0))</f>
        <v>0</v>
      </c>
      <c r="AK17" s="9">
        <f>SUMIFS(#REF!,#REF!,
$A17,#REF!,
"&gt;="&amp;'Faturado mensal'!AK$2,#REF!,
"&lt;"&amp;EOMONTH('Faturado mensal'!AK$2,0))</f>
        <v>0</v>
      </c>
      <c r="AL17" s="9">
        <f>SUMIFS(#REF!,#REF!,
$A17,#REF!,
"&gt;="&amp;Z$2,#REF!,
"&lt;"&amp;EOMONTH(AK$2,0))</f>
        <v>0</v>
      </c>
    </row>
    <row r="18" spans="1:38" x14ac:dyDescent="0.3">
      <c r="A18" t="s">
        <v>221</v>
      </c>
      <c r="B18" t="s">
        <v>222</v>
      </c>
      <c r="C18" t="s">
        <v>80</v>
      </c>
      <c r="D18" t="s">
        <v>209</v>
      </c>
      <c r="E18" t="s">
        <v>4834</v>
      </c>
      <c r="F18" t="s">
        <v>4778</v>
      </c>
      <c r="G18" t="s">
        <v>4857</v>
      </c>
      <c r="H18" t="s">
        <v>4773</v>
      </c>
      <c r="I18" t="s">
        <v>80</v>
      </c>
      <c r="J18" t="s">
        <v>710</v>
      </c>
      <c r="K18" t="s">
        <v>720</v>
      </c>
      <c r="L18" t="s">
        <v>721</v>
      </c>
      <c r="M18" s="9">
        <f>SUMIFS(#REF!,#REF!,
$A18,#REF!,
"&gt;="&amp;'Faturado mensal'!M$2,#REF!,
"&lt;"&amp;EOMONTH('Faturado mensal'!M$2,0))</f>
        <v>0</v>
      </c>
      <c r="N18" s="9">
        <f>SUMIFS(#REF!,#REF!,
$A18,#REF!,
"&gt;="&amp;'Faturado mensal'!N$2,#REF!,
"&lt;"&amp;EOMONTH('Faturado mensal'!N$2,0))</f>
        <v>0</v>
      </c>
      <c r="O18" s="9">
        <f>SUMIFS(#REF!,#REF!,
$A18,#REF!,
"&gt;="&amp;'Faturado mensal'!O$2,#REF!,
"&lt;"&amp;EOMONTH('Faturado mensal'!O$2,0))</f>
        <v>0</v>
      </c>
      <c r="P18" s="9">
        <f>SUMIFS(#REF!,#REF!,
$A18,#REF!,
"&gt;="&amp;'Faturado mensal'!P$2,#REF!,
"&lt;"&amp;EOMONTH('Faturado mensal'!P$2,0))</f>
        <v>0</v>
      </c>
      <c r="Q18" s="9">
        <f>SUMIFS(#REF!,#REF!,
$A18,#REF!,
"&gt;="&amp;'Faturado mensal'!Q$2,#REF!,
"&lt;"&amp;EOMONTH('Faturado mensal'!Q$2,0))</f>
        <v>0</v>
      </c>
      <c r="R18" s="9">
        <f>SUMIFS(#REF!,#REF!,
$A18,#REF!,
"&gt;="&amp;'Faturado mensal'!R$2,#REF!,
"&lt;"&amp;EOMONTH('Faturado mensal'!R$2,0))</f>
        <v>0</v>
      </c>
      <c r="S18" s="9">
        <f>SUMIFS(#REF!,#REF!,
$A18,#REF!,
"&gt;="&amp;'Faturado mensal'!S$2,#REF!,
"&lt;"&amp;EOMONTH('Faturado mensal'!S$2,0))</f>
        <v>0</v>
      </c>
      <c r="T18" s="9">
        <f>SUMIFS(#REF!,#REF!,
$A18,#REF!,
"&gt;="&amp;'Faturado mensal'!T$2,#REF!,
"&lt;"&amp;EOMONTH('Faturado mensal'!T$2,0))</f>
        <v>0</v>
      </c>
      <c r="U18" s="9">
        <f>SUMIFS(#REF!,#REF!,
$A18,#REF!,
"&gt;="&amp;'Faturado mensal'!U$2,#REF!,
"&lt;"&amp;EOMONTH('Faturado mensal'!U$2,0))</f>
        <v>0</v>
      </c>
      <c r="V18" s="9">
        <f>SUMIFS(#REF!,#REF!,
$A18,#REF!,
"&gt;="&amp;'Faturado mensal'!V$2,#REF!,
"&lt;"&amp;EOMONTH('Faturado mensal'!V$2,0))</f>
        <v>0</v>
      </c>
      <c r="W18" s="9">
        <f>SUMIFS(#REF!,#REF!,
$A18,#REF!,
"&gt;="&amp;'Faturado mensal'!W$2,#REF!,
"&lt;"&amp;EOMONTH('Faturado mensal'!W$2,0))</f>
        <v>0</v>
      </c>
      <c r="X18" s="9">
        <f>SUMIFS(#REF!,#REF!,
$A18,#REF!,
"&gt;="&amp;'Faturado mensal'!X$2,#REF!,
"&lt;"&amp;EOMONTH('Faturado mensal'!X$2,0))</f>
        <v>0</v>
      </c>
      <c r="Y18" s="11">
        <f>SUMIFS(#REF!,#REF!,
$A18,#REF!,
"&gt;="&amp;'Faturado mensal'!M$2,#REF!,
"&lt;"&amp;EOMONTH('Faturado mensal'!M$2,12))</f>
        <v>0</v>
      </c>
      <c r="Z18" s="9">
        <f>SUMIFS(#REF!,#REF!,
$A18,#REF!,
"&gt;="&amp;'Faturado mensal'!Z$2,#REF!,
"&lt;"&amp;EOMONTH('Faturado mensal'!Z$2,0))</f>
        <v>0</v>
      </c>
      <c r="AA18" s="9">
        <f>SUMIFS(#REF!,#REF!,
$A18,#REF!,
"&gt;="&amp;'Faturado mensal'!AA$2,#REF!,
"&lt;"&amp;EOMONTH('Faturado mensal'!AA$2,0))</f>
        <v>0</v>
      </c>
      <c r="AB18" s="9">
        <f>SUMIFS(#REF!,#REF!,
$A18,#REF!,
"&gt;="&amp;'Faturado mensal'!AB$2,#REF!,
"&lt;"&amp;EOMONTH('Faturado mensal'!AB$2,0))</f>
        <v>0</v>
      </c>
      <c r="AC18" s="9">
        <f>SUMIFS(#REF!,#REF!,
$A18,#REF!,
"&gt;="&amp;'Faturado mensal'!AC$2,#REF!,
"&lt;"&amp;EOMONTH('Faturado mensal'!AC$2,0))</f>
        <v>0</v>
      </c>
      <c r="AD18" s="9">
        <f>SUMIFS(#REF!,#REF!,
$A18,#REF!,
"&gt;="&amp;'Faturado mensal'!AD$2,#REF!,
"&lt;"&amp;EOMONTH('Faturado mensal'!AD$2,0))</f>
        <v>0</v>
      </c>
      <c r="AE18" s="9">
        <f>SUMIFS(#REF!,#REF!,
$A18,#REF!,
"&gt;="&amp;'Faturado mensal'!AE$2,#REF!,
"&lt;"&amp;EOMONTH('Faturado mensal'!AE$2,0))</f>
        <v>0</v>
      </c>
      <c r="AF18" s="9">
        <f>SUMIFS(#REF!,#REF!,
$A18,#REF!,
"&gt;="&amp;'Faturado mensal'!AF$2,#REF!,
"&lt;"&amp;EOMONTH('Faturado mensal'!AF$2,0))</f>
        <v>0</v>
      </c>
      <c r="AG18" s="9">
        <f>SUMIFS(#REF!,#REF!,
$A18,#REF!,
"&gt;="&amp;'Faturado mensal'!AG$2,#REF!,
"&lt;"&amp;EOMONTH('Faturado mensal'!AG$2,0))</f>
        <v>0</v>
      </c>
      <c r="AH18" s="9">
        <f>SUMIFS(#REF!,#REF!,
$A18,#REF!,
"&gt;="&amp;'Faturado mensal'!AH$2,#REF!,
"&lt;"&amp;EOMONTH('Faturado mensal'!AH$2,0))</f>
        <v>0</v>
      </c>
      <c r="AI18" s="9">
        <f>SUMIFS(#REF!,#REF!,
$A18,#REF!,
"&gt;="&amp;'Faturado mensal'!AI$2,#REF!,
"&lt;"&amp;EOMONTH('Faturado mensal'!AI$2,0))</f>
        <v>0</v>
      </c>
      <c r="AJ18" s="9">
        <f>SUMIFS(#REF!,#REF!,
$A18,#REF!,
"&gt;="&amp;'Faturado mensal'!AJ$2,#REF!,
"&lt;"&amp;EOMONTH('Faturado mensal'!AJ$2,0))</f>
        <v>0</v>
      </c>
      <c r="AK18" s="9">
        <f>SUMIFS(#REF!,#REF!,
$A18,#REF!,
"&gt;="&amp;'Faturado mensal'!AK$2,#REF!,
"&lt;"&amp;EOMONTH('Faturado mensal'!AK$2,0))</f>
        <v>0</v>
      </c>
      <c r="AL18" s="9">
        <f>SUMIFS(#REF!,#REF!,
$A18,#REF!,
"&gt;="&amp;Z$2,#REF!,
"&lt;"&amp;EOMONTH(AK$2,0))</f>
        <v>0</v>
      </c>
    </row>
    <row r="19" spans="1:38" x14ac:dyDescent="0.3">
      <c r="A19" t="s">
        <v>223</v>
      </c>
      <c r="B19" t="s">
        <v>222</v>
      </c>
      <c r="C19" t="s">
        <v>80</v>
      </c>
      <c r="D19" t="s">
        <v>204</v>
      </c>
      <c r="E19" t="s">
        <v>4834</v>
      </c>
      <c r="F19" t="s">
        <v>4778</v>
      </c>
      <c r="G19" t="s">
        <v>4857</v>
      </c>
      <c r="H19" t="s">
        <v>4773</v>
      </c>
      <c r="I19" t="s">
        <v>80</v>
      </c>
      <c r="J19" t="s">
        <v>710</v>
      </c>
      <c r="K19" t="s">
        <v>720</v>
      </c>
      <c r="L19" t="s">
        <v>721</v>
      </c>
      <c r="M19" s="9">
        <f>SUMIFS(#REF!,#REF!,
$A19,#REF!,
"&gt;="&amp;'Faturado mensal'!M$2,#REF!,
"&lt;"&amp;EOMONTH('Faturado mensal'!M$2,0))</f>
        <v>283.62</v>
      </c>
      <c r="N19" s="9">
        <f>SUMIFS(#REF!,#REF!,
$A19,#REF!,
"&gt;="&amp;'Faturado mensal'!N$2,#REF!,
"&lt;"&amp;EOMONTH('Faturado mensal'!N$2,0))</f>
        <v>0</v>
      </c>
      <c r="O19" s="9">
        <f>SUMIFS(#REF!,#REF!,
$A19,#REF!,
"&gt;="&amp;'Faturado mensal'!O$2,#REF!,
"&lt;"&amp;EOMONTH('Faturado mensal'!O$2,0))</f>
        <v>0</v>
      </c>
      <c r="P19" s="9">
        <f>SUMIFS(#REF!,#REF!,
$A19,#REF!,
"&gt;="&amp;'Faturado mensal'!P$2,#REF!,
"&lt;"&amp;EOMONTH('Faturado mensal'!P$2,0))</f>
        <v>283.62</v>
      </c>
      <c r="Q19" s="9">
        <f>SUMIFS(#REF!,#REF!,
$A19,#REF!,
"&gt;="&amp;'Faturado mensal'!Q$2,#REF!,
"&lt;"&amp;EOMONTH('Faturado mensal'!Q$2,0))</f>
        <v>0</v>
      </c>
      <c r="R19" s="9">
        <f>SUMIFS(#REF!,#REF!,
$A19,#REF!,
"&gt;="&amp;'Faturado mensal'!R$2,#REF!,
"&lt;"&amp;EOMONTH('Faturado mensal'!R$2,0))</f>
        <v>1828.63</v>
      </c>
      <c r="S19" s="9">
        <f>SUMIFS(#REF!,#REF!,
$A19,#REF!,
"&gt;="&amp;'Faturado mensal'!S$2,#REF!,
"&lt;"&amp;EOMONTH('Faturado mensal'!S$2,0))</f>
        <v>1000</v>
      </c>
      <c r="T19" s="9">
        <f>SUMIFS(#REF!,#REF!,
$A19,#REF!,
"&gt;="&amp;'Faturado mensal'!T$2,#REF!,
"&lt;"&amp;EOMONTH('Faturado mensal'!T$2,0))</f>
        <v>0</v>
      </c>
      <c r="U19" s="9">
        <f>SUMIFS(#REF!,#REF!,
$A19,#REF!,
"&gt;="&amp;'Faturado mensal'!U$2,#REF!,
"&lt;"&amp;EOMONTH('Faturado mensal'!U$2,0))</f>
        <v>1000</v>
      </c>
      <c r="V19" s="9">
        <f>SUMIFS(#REF!,#REF!,
$A19,#REF!,
"&gt;="&amp;'Faturado mensal'!V$2,#REF!,
"&lt;"&amp;EOMONTH('Faturado mensal'!V$2,0))</f>
        <v>425</v>
      </c>
      <c r="W19" s="9">
        <f>SUMIFS(#REF!,#REF!,
$A19,#REF!,
"&gt;="&amp;'Faturado mensal'!W$2,#REF!,
"&lt;"&amp;EOMONTH('Faturado mensal'!W$2,0))</f>
        <v>890</v>
      </c>
      <c r="X19" s="9">
        <f>SUMIFS(#REF!,#REF!,
$A19,#REF!,
"&gt;="&amp;'Faturado mensal'!X$2,#REF!,
"&lt;"&amp;EOMONTH('Faturado mensal'!X$2,0))</f>
        <v>4458.63</v>
      </c>
      <c r="Y19" s="11">
        <f>SUMIFS(#REF!,#REF!,
$A19,#REF!,
"&gt;="&amp;'Faturado mensal'!M$2,#REF!,
"&lt;"&amp;EOMONTH('Faturado mensal'!M$2,12))</f>
        <v>10169.5</v>
      </c>
      <c r="Z19" s="9">
        <f>SUMIFS(#REF!,#REF!,
$A19,#REF!,
"&gt;="&amp;'Faturado mensal'!Z$2,#REF!,
"&lt;"&amp;EOMONTH('Faturado mensal'!Z$2,0))</f>
        <v>0</v>
      </c>
      <c r="AA19" s="9">
        <f>SUMIFS(#REF!,#REF!,
$A19,#REF!,
"&gt;="&amp;'Faturado mensal'!AA$2,#REF!,
"&lt;"&amp;EOMONTH('Faturado mensal'!AA$2,0))</f>
        <v>2630</v>
      </c>
      <c r="AB19" s="9">
        <f>SUMIFS(#REF!,#REF!,
$A19,#REF!,
"&gt;="&amp;'Faturado mensal'!AB$2,#REF!,
"&lt;"&amp;EOMONTH('Faturado mensal'!AB$2,0))</f>
        <v>1315</v>
      </c>
      <c r="AC19" s="9">
        <f>SUMIFS(#REF!,#REF!,
$A19,#REF!,
"&gt;="&amp;'Faturado mensal'!AC$2,#REF!,
"&lt;"&amp;EOMONTH('Faturado mensal'!AC$2,0))</f>
        <v>0</v>
      </c>
      <c r="AD19" s="9">
        <f>SUMIFS(#REF!,#REF!,
$A19,#REF!,
"&gt;="&amp;'Faturado mensal'!AD$2,#REF!,
"&lt;"&amp;EOMONTH('Faturado mensal'!AD$2,0))</f>
        <v>1315</v>
      </c>
      <c r="AE19" s="9">
        <f>SUMIFS(#REF!,#REF!,
$A19,#REF!,
"&gt;="&amp;'Faturado mensal'!AE$2,#REF!,
"&lt;"&amp;EOMONTH('Faturado mensal'!AE$2,0))</f>
        <v>1315</v>
      </c>
      <c r="AF19" s="9">
        <f>SUMIFS(#REF!,#REF!,
$A19,#REF!,
"&gt;="&amp;'Faturado mensal'!AF$2,#REF!,
"&lt;"&amp;EOMONTH('Faturado mensal'!AF$2,0))</f>
        <v>0</v>
      </c>
      <c r="AG19" s="9">
        <f>SUMIFS(#REF!,#REF!,
$A19,#REF!,
"&gt;="&amp;'Faturado mensal'!AG$2,#REF!,
"&lt;"&amp;EOMONTH('Faturado mensal'!AG$2,0))</f>
        <v>0</v>
      </c>
      <c r="AH19" s="9">
        <f>SUMIFS(#REF!,#REF!,
$A19,#REF!,
"&gt;="&amp;'Faturado mensal'!AH$2,#REF!,
"&lt;"&amp;EOMONTH('Faturado mensal'!AH$2,0))</f>
        <v>0</v>
      </c>
      <c r="AI19" s="9">
        <f>SUMIFS(#REF!,#REF!,
$A19,#REF!,
"&gt;="&amp;'Faturado mensal'!AI$2,#REF!,
"&lt;"&amp;EOMONTH('Faturado mensal'!AI$2,0))</f>
        <v>0</v>
      </c>
      <c r="AJ19" s="9">
        <f>SUMIFS(#REF!,#REF!,
$A19,#REF!,
"&gt;="&amp;'Faturado mensal'!AJ$2,#REF!,
"&lt;"&amp;EOMONTH('Faturado mensal'!AJ$2,0))</f>
        <v>0</v>
      </c>
      <c r="AK19" s="9">
        <f>SUMIFS(#REF!,#REF!,
$A19,#REF!,
"&gt;="&amp;'Faturado mensal'!AK$2,#REF!,
"&lt;"&amp;EOMONTH('Faturado mensal'!AK$2,0))</f>
        <v>0</v>
      </c>
      <c r="AL19" s="9">
        <f>SUMIFS(#REF!,#REF!,
$A19,#REF!,
"&gt;="&amp;Z$2,#REF!,
"&lt;"&amp;EOMONTH(AK$2,0))</f>
        <v>6575</v>
      </c>
    </row>
    <row r="20" spans="1:38" x14ac:dyDescent="0.3">
      <c r="A20" t="s">
        <v>224</v>
      </c>
      <c r="B20" t="s">
        <v>225</v>
      </c>
      <c r="C20" t="s">
        <v>166</v>
      </c>
      <c r="D20" t="s">
        <v>204</v>
      </c>
      <c r="E20" t="s">
        <v>4849</v>
      </c>
      <c r="F20" t="s">
        <v>4776</v>
      </c>
      <c r="G20" t="s">
        <v>4855</v>
      </c>
      <c r="H20" t="s">
        <v>4773</v>
      </c>
      <c r="I20" t="s">
        <v>166</v>
      </c>
      <c r="J20" t="s">
        <v>710</v>
      </c>
      <c r="K20" t="s">
        <v>720</v>
      </c>
      <c r="L20" t="s">
        <v>721</v>
      </c>
      <c r="M20" s="9">
        <f>SUMIFS(#REF!,#REF!,
$A20,#REF!,
"&gt;="&amp;'Faturado mensal'!M$2,#REF!,
"&lt;"&amp;EOMONTH('Faturado mensal'!M$2,0))</f>
        <v>476.36</v>
      </c>
      <c r="N20" s="9">
        <f>SUMIFS(#REF!,#REF!,
$A20,#REF!,
"&gt;="&amp;'Faturado mensal'!N$2,#REF!,
"&lt;"&amp;EOMONTH('Faturado mensal'!N$2,0))</f>
        <v>476.36</v>
      </c>
      <c r="O20" s="9">
        <f>SUMIFS(#REF!,#REF!,
$A20,#REF!,
"&gt;="&amp;'Faturado mensal'!O$2,#REF!,
"&lt;"&amp;EOMONTH('Faturado mensal'!O$2,0))</f>
        <v>476.36</v>
      </c>
      <c r="P20" s="9">
        <f>SUMIFS(#REF!,#REF!,
$A20,#REF!,
"&gt;="&amp;'Faturado mensal'!P$2,#REF!,
"&lt;"&amp;EOMONTH('Faturado mensal'!P$2,0))</f>
        <v>476.36</v>
      </c>
      <c r="Q20" s="9">
        <f>SUMIFS(#REF!,#REF!,
$A20,#REF!,
"&gt;="&amp;'Faturado mensal'!Q$2,#REF!,
"&lt;"&amp;EOMONTH('Faturado mensal'!Q$2,0))</f>
        <v>476.36</v>
      </c>
      <c r="R20" s="9">
        <f>SUMIFS(#REF!,#REF!,
$A20,#REF!,
"&gt;="&amp;'Faturado mensal'!R$2,#REF!,
"&lt;"&amp;EOMONTH('Faturado mensal'!R$2,0))</f>
        <v>476.36</v>
      </c>
      <c r="S20" s="9">
        <f>SUMIFS(#REF!,#REF!,
$A20,#REF!,
"&gt;="&amp;'Faturado mensal'!S$2,#REF!,
"&lt;"&amp;EOMONTH('Faturado mensal'!S$2,0))</f>
        <v>476.36</v>
      </c>
      <c r="T20" s="9">
        <f>SUMIFS(#REF!,#REF!,
$A20,#REF!,
"&gt;="&amp;'Faturado mensal'!T$2,#REF!,
"&lt;"&amp;EOMONTH('Faturado mensal'!T$2,0))</f>
        <v>476.36</v>
      </c>
      <c r="U20" s="9">
        <f>SUMIFS(#REF!,#REF!,
$A20,#REF!,
"&gt;="&amp;'Faturado mensal'!U$2,#REF!,
"&lt;"&amp;EOMONTH('Faturado mensal'!U$2,0))</f>
        <v>476.36</v>
      </c>
      <c r="V20" s="9">
        <f>SUMIFS(#REF!,#REF!,
$A20,#REF!,
"&gt;="&amp;'Faturado mensal'!V$2,#REF!,
"&lt;"&amp;EOMONTH('Faturado mensal'!V$2,0))</f>
        <v>476.36</v>
      </c>
      <c r="W20" s="9">
        <f>SUMIFS(#REF!,#REF!,
$A20,#REF!,
"&gt;="&amp;'Faturado mensal'!W$2,#REF!,
"&lt;"&amp;EOMONTH('Faturado mensal'!W$2,0))</f>
        <v>476.36</v>
      </c>
      <c r="X20" s="9">
        <f>SUMIFS(#REF!,#REF!,
$A20,#REF!,
"&gt;="&amp;'Faturado mensal'!X$2,#REF!,
"&lt;"&amp;EOMONTH('Faturado mensal'!X$2,0))</f>
        <v>476.36</v>
      </c>
      <c r="Y20" s="11">
        <f>SUMIFS(#REF!,#REF!,
$A20,#REF!,
"&gt;="&amp;'Faturado mensal'!M$2,#REF!,
"&lt;"&amp;EOMONTH('Faturado mensal'!M$2,12))</f>
        <v>6192.6799999999994</v>
      </c>
      <c r="Z20" s="9">
        <f>SUMIFS(#REF!,#REF!,
$A20,#REF!,
"&gt;="&amp;'Faturado mensal'!Z$2,#REF!,
"&lt;"&amp;EOMONTH('Faturado mensal'!Z$2,0))</f>
        <v>476.36</v>
      </c>
      <c r="AA20" s="9">
        <f>SUMIFS(#REF!,#REF!,
$A20,#REF!,
"&gt;="&amp;'Faturado mensal'!AA$2,#REF!,
"&lt;"&amp;EOMONTH('Faturado mensal'!AA$2,0))</f>
        <v>476.36</v>
      </c>
      <c r="AB20" s="9">
        <f>SUMIFS(#REF!,#REF!,
$A20,#REF!,
"&gt;="&amp;'Faturado mensal'!AB$2,#REF!,
"&lt;"&amp;EOMONTH('Faturado mensal'!AB$2,0))</f>
        <v>476.36</v>
      </c>
      <c r="AC20" s="9">
        <f>SUMIFS(#REF!,#REF!,
$A20,#REF!,
"&gt;="&amp;'Faturado mensal'!AC$2,#REF!,
"&lt;"&amp;EOMONTH('Faturado mensal'!AC$2,0))</f>
        <v>476.36</v>
      </c>
      <c r="AD20" s="9">
        <f>SUMIFS(#REF!,#REF!,
$A20,#REF!,
"&gt;="&amp;'Faturado mensal'!AD$2,#REF!,
"&lt;"&amp;EOMONTH('Faturado mensal'!AD$2,0))</f>
        <v>476.36</v>
      </c>
      <c r="AE20" s="9">
        <f>SUMIFS(#REF!,#REF!,
$A20,#REF!,
"&gt;="&amp;'Faturado mensal'!AE$2,#REF!,
"&lt;"&amp;EOMONTH('Faturado mensal'!AE$2,0))</f>
        <v>476.36</v>
      </c>
      <c r="AF20" s="9">
        <f>SUMIFS(#REF!,#REF!,
$A20,#REF!,
"&gt;="&amp;'Faturado mensal'!AF$2,#REF!,
"&lt;"&amp;EOMONTH('Faturado mensal'!AF$2,0))</f>
        <v>0</v>
      </c>
      <c r="AG20" s="9">
        <f>SUMIFS(#REF!,#REF!,
$A20,#REF!,
"&gt;="&amp;'Faturado mensal'!AG$2,#REF!,
"&lt;"&amp;EOMONTH('Faturado mensal'!AG$2,0))</f>
        <v>0</v>
      </c>
      <c r="AH20" s="9">
        <f>SUMIFS(#REF!,#REF!,
$A20,#REF!,
"&gt;="&amp;'Faturado mensal'!AH$2,#REF!,
"&lt;"&amp;EOMONTH('Faturado mensal'!AH$2,0))</f>
        <v>0</v>
      </c>
      <c r="AI20" s="9">
        <f>SUMIFS(#REF!,#REF!,
$A20,#REF!,
"&gt;="&amp;'Faturado mensal'!AI$2,#REF!,
"&lt;"&amp;EOMONTH('Faturado mensal'!AI$2,0))</f>
        <v>0</v>
      </c>
      <c r="AJ20" s="9">
        <f>SUMIFS(#REF!,#REF!,
$A20,#REF!,
"&gt;="&amp;'Faturado mensal'!AJ$2,#REF!,
"&lt;"&amp;EOMONTH('Faturado mensal'!AJ$2,0))</f>
        <v>0</v>
      </c>
      <c r="AK20" s="9">
        <f>SUMIFS(#REF!,#REF!,
$A20,#REF!,
"&gt;="&amp;'Faturado mensal'!AK$2,#REF!,
"&lt;"&amp;EOMONTH('Faturado mensal'!AK$2,0))</f>
        <v>0</v>
      </c>
      <c r="AL20" s="9">
        <f>SUMIFS(#REF!,#REF!,
$A20,#REF!,
"&gt;="&amp;Z$2,#REF!,
"&lt;"&amp;EOMONTH(AK$2,0))</f>
        <v>2858.1600000000003</v>
      </c>
    </row>
    <row r="21" spans="1:38" x14ac:dyDescent="0.3">
      <c r="A21" t="s">
        <v>741</v>
      </c>
      <c r="B21" t="s">
        <v>742</v>
      </c>
      <c r="C21" t="s">
        <v>743</v>
      </c>
      <c r="D21" t="s">
        <v>209</v>
      </c>
      <c r="I21" t="s">
        <v>743</v>
      </c>
      <c r="J21" t="s">
        <v>710</v>
      </c>
      <c r="K21" t="s">
        <v>720</v>
      </c>
      <c r="L21" t="s">
        <v>721</v>
      </c>
      <c r="M21" s="9">
        <f>SUMIFS(#REF!,#REF!,
$A21,#REF!,
"&gt;="&amp;'Faturado mensal'!M$2,#REF!,
"&lt;"&amp;EOMONTH('Faturado mensal'!M$2,0))</f>
        <v>0</v>
      </c>
      <c r="N21" s="9">
        <f>SUMIFS(#REF!,#REF!,
$A21,#REF!,
"&gt;="&amp;'Faturado mensal'!N$2,#REF!,
"&lt;"&amp;EOMONTH('Faturado mensal'!N$2,0))</f>
        <v>0</v>
      </c>
      <c r="O21" s="9">
        <f>SUMIFS(#REF!,#REF!,
$A21,#REF!,
"&gt;="&amp;'Faturado mensal'!O$2,#REF!,
"&lt;"&amp;EOMONTH('Faturado mensal'!O$2,0))</f>
        <v>0</v>
      </c>
      <c r="P21" s="9">
        <f>SUMIFS(#REF!,#REF!,
$A21,#REF!,
"&gt;="&amp;'Faturado mensal'!P$2,#REF!,
"&lt;"&amp;EOMONTH('Faturado mensal'!P$2,0))</f>
        <v>0</v>
      </c>
      <c r="Q21" s="9">
        <f>SUMIFS(#REF!,#REF!,
$A21,#REF!,
"&gt;="&amp;'Faturado mensal'!Q$2,#REF!,
"&lt;"&amp;EOMONTH('Faturado mensal'!Q$2,0))</f>
        <v>0</v>
      </c>
      <c r="R21" s="9">
        <f>SUMIFS(#REF!,#REF!,
$A21,#REF!,
"&gt;="&amp;'Faturado mensal'!R$2,#REF!,
"&lt;"&amp;EOMONTH('Faturado mensal'!R$2,0))</f>
        <v>0</v>
      </c>
      <c r="S21" s="9">
        <f>SUMIFS(#REF!,#REF!,
$A21,#REF!,
"&gt;="&amp;'Faturado mensal'!S$2,#REF!,
"&lt;"&amp;EOMONTH('Faturado mensal'!S$2,0))</f>
        <v>0</v>
      </c>
      <c r="T21" s="9">
        <f>SUMIFS(#REF!,#REF!,
$A21,#REF!,
"&gt;="&amp;'Faturado mensal'!T$2,#REF!,
"&lt;"&amp;EOMONTH('Faturado mensal'!T$2,0))</f>
        <v>0</v>
      </c>
      <c r="U21" s="9">
        <f>SUMIFS(#REF!,#REF!,
$A21,#REF!,
"&gt;="&amp;'Faturado mensal'!U$2,#REF!,
"&lt;"&amp;EOMONTH('Faturado mensal'!U$2,0))</f>
        <v>0</v>
      </c>
      <c r="V21" s="9">
        <f>SUMIFS(#REF!,#REF!,
$A21,#REF!,
"&gt;="&amp;'Faturado mensal'!V$2,#REF!,
"&lt;"&amp;EOMONTH('Faturado mensal'!V$2,0))</f>
        <v>0</v>
      </c>
      <c r="W21" s="9">
        <f>SUMIFS(#REF!,#REF!,
$A21,#REF!,
"&gt;="&amp;'Faturado mensal'!W$2,#REF!,
"&lt;"&amp;EOMONTH('Faturado mensal'!W$2,0))</f>
        <v>0</v>
      </c>
      <c r="X21" s="9">
        <f>SUMIFS(#REF!,#REF!,
$A21,#REF!,
"&gt;="&amp;'Faturado mensal'!X$2,#REF!,
"&lt;"&amp;EOMONTH('Faturado mensal'!X$2,0))</f>
        <v>0</v>
      </c>
      <c r="Y21" s="11">
        <f>SUMIFS(#REF!,#REF!,
$A21,#REF!,
"&gt;="&amp;'Faturado mensal'!M$2,#REF!,
"&lt;"&amp;EOMONTH('Faturado mensal'!M$2,12))</f>
        <v>0</v>
      </c>
      <c r="Z21" s="9">
        <f>SUMIFS(#REF!,#REF!,
$A21,#REF!,
"&gt;="&amp;'Faturado mensal'!Z$2,#REF!,
"&lt;"&amp;EOMONTH('Faturado mensal'!Z$2,0))</f>
        <v>0</v>
      </c>
      <c r="AA21" s="9">
        <f>SUMIFS(#REF!,#REF!,
$A21,#REF!,
"&gt;="&amp;'Faturado mensal'!AA$2,#REF!,
"&lt;"&amp;EOMONTH('Faturado mensal'!AA$2,0))</f>
        <v>0</v>
      </c>
      <c r="AB21" s="9">
        <f>SUMIFS(#REF!,#REF!,
$A21,#REF!,
"&gt;="&amp;'Faturado mensal'!AB$2,#REF!,
"&lt;"&amp;EOMONTH('Faturado mensal'!AB$2,0))</f>
        <v>0</v>
      </c>
      <c r="AC21" s="9">
        <f>SUMIFS(#REF!,#REF!,
$A21,#REF!,
"&gt;="&amp;'Faturado mensal'!AC$2,#REF!,
"&lt;"&amp;EOMONTH('Faturado mensal'!AC$2,0))</f>
        <v>0</v>
      </c>
      <c r="AD21" s="9">
        <f>SUMIFS(#REF!,#REF!,
$A21,#REF!,
"&gt;="&amp;'Faturado mensal'!AD$2,#REF!,
"&lt;"&amp;EOMONTH('Faturado mensal'!AD$2,0))</f>
        <v>0</v>
      </c>
      <c r="AE21" s="9">
        <f>SUMIFS(#REF!,#REF!,
$A21,#REF!,
"&gt;="&amp;'Faturado mensal'!AE$2,#REF!,
"&lt;"&amp;EOMONTH('Faturado mensal'!AE$2,0))</f>
        <v>0</v>
      </c>
      <c r="AF21" s="9">
        <f>SUMIFS(#REF!,#REF!,
$A21,#REF!,
"&gt;="&amp;'Faturado mensal'!AF$2,#REF!,
"&lt;"&amp;EOMONTH('Faturado mensal'!AF$2,0))</f>
        <v>0</v>
      </c>
      <c r="AG21" s="9">
        <f>SUMIFS(#REF!,#REF!,
$A21,#REF!,
"&gt;="&amp;'Faturado mensal'!AG$2,#REF!,
"&lt;"&amp;EOMONTH('Faturado mensal'!AG$2,0))</f>
        <v>0</v>
      </c>
      <c r="AH21" s="9">
        <f>SUMIFS(#REF!,#REF!,
$A21,#REF!,
"&gt;="&amp;'Faturado mensal'!AH$2,#REF!,
"&lt;"&amp;EOMONTH('Faturado mensal'!AH$2,0))</f>
        <v>0</v>
      </c>
      <c r="AI21" s="9">
        <f>SUMIFS(#REF!,#REF!,
$A21,#REF!,
"&gt;="&amp;'Faturado mensal'!AI$2,#REF!,
"&lt;"&amp;EOMONTH('Faturado mensal'!AI$2,0))</f>
        <v>0</v>
      </c>
      <c r="AJ21" s="9">
        <f>SUMIFS(#REF!,#REF!,
$A21,#REF!,
"&gt;="&amp;'Faturado mensal'!AJ$2,#REF!,
"&lt;"&amp;EOMONTH('Faturado mensal'!AJ$2,0))</f>
        <v>0</v>
      </c>
      <c r="AK21" s="9">
        <f>SUMIFS(#REF!,#REF!,
$A21,#REF!,
"&gt;="&amp;'Faturado mensal'!AK$2,#REF!,
"&lt;"&amp;EOMONTH('Faturado mensal'!AK$2,0))</f>
        <v>0</v>
      </c>
      <c r="AL21" s="9">
        <f>SUMIFS(#REF!,#REF!,
$A21,#REF!,
"&gt;="&amp;Z$2,#REF!,
"&lt;"&amp;EOMONTH(AK$2,0))</f>
        <v>0</v>
      </c>
    </row>
    <row r="22" spans="1:38" x14ac:dyDescent="0.3">
      <c r="A22" t="s">
        <v>226</v>
      </c>
      <c r="B22" t="s">
        <v>228</v>
      </c>
      <c r="C22" t="s">
        <v>188</v>
      </c>
      <c r="D22" t="s">
        <v>209</v>
      </c>
      <c r="I22" t="s">
        <v>188</v>
      </c>
      <c r="J22" t="s">
        <v>710</v>
      </c>
      <c r="K22" t="s">
        <v>720</v>
      </c>
      <c r="L22" t="s">
        <v>721</v>
      </c>
      <c r="M22" s="9">
        <f>SUMIFS(#REF!,#REF!,
$A22,#REF!,
"&gt;="&amp;'Faturado mensal'!M$2,#REF!,
"&lt;"&amp;EOMONTH('Faturado mensal'!M$2,0))</f>
        <v>0</v>
      </c>
      <c r="N22" s="9">
        <f>SUMIFS(#REF!,#REF!,
$A22,#REF!,
"&gt;="&amp;'Faturado mensal'!N$2,#REF!,
"&lt;"&amp;EOMONTH('Faturado mensal'!N$2,0))</f>
        <v>0</v>
      </c>
      <c r="O22" s="9">
        <f>SUMIFS(#REF!,#REF!,
$A22,#REF!,
"&gt;="&amp;'Faturado mensal'!O$2,#REF!,
"&lt;"&amp;EOMONTH('Faturado mensal'!O$2,0))</f>
        <v>0</v>
      </c>
      <c r="P22" s="9">
        <f>SUMIFS(#REF!,#REF!,
$A22,#REF!,
"&gt;="&amp;'Faturado mensal'!P$2,#REF!,
"&lt;"&amp;EOMONTH('Faturado mensal'!P$2,0))</f>
        <v>0</v>
      </c>
      <c r="Q22" s="9">
        <f>SUMIFS(#REF!,#REF!,
$A22,#REF!,
"&gt;="&amp;'Faturado mensal'!Q$2,#REF!,
"&lt;"&amp;EOMONTH('Faturado mensal'!Q$2,0))</f>
        <v>0</v>
      </c>
      <c r="R22" s="9">
        <f>SUMIFS(#REF!,#REF!,
$A22,#REF!,
"&gt;="&amp;'Faturado mensal'!R$2,#REF!,
"&lt;"&amp;EOMONTH('Faturado mensal'!R$2,0))</f>
        <v>0</v>
      </c>
      <c r="S22" s="9">
        <f>SUMIFS(#REF!,#REF!,
$A22,#REF!,
"&gt;="&amp;'Faturado mensal'!S$2,#REF!,
"&lt;"&amp;EOMONTH('Faturado mensal'!S$2,0))</f>
        <v>0</v>
      </c>
      <c r="T22" s="9">
        <f>SUMIFS(#REF!,#REF!,
$A22,#REF!,
"&gt;="&amp;'Faturado mensal'!T$2,#REF!,
"&lt;"&amp;EOMONTH('Faturado mensal'!T$2,0))</f>
        <v>0</v>
      </c>
      <c r="U22" s="9">
        <f>SUMIFS(#REF!,#REF!,
$A22,#REF!,
"&gt;="&amp;'Faturado mensal'!U$2,#REF!,
"&lt;"&amp;EOMONTH('Faturado mensal'!U$2,0))</f>
        <v>0</v>
      </c>
      <c r="V22" s="9">
        <f>SUMIFS(#REF!,#REF!,
$A22,#REF!,
"&gt;="&amp;'Faturado mensal'!V$2,#REF!,
"&lt;"&amp;EOMONTH('Faturado mensal'!V$2,0))</f>
        <v>0</v>
      </c>
      <c r="W22" s="9">
        <f>SUMIFS(#REF!,#REF!,
$A22,#REF!,
"&gt;="&amp;'Faturado mensal'!W$2,#REF!,
"&lt;"&amp;EOMONTH('Faturado mensal'!W$2,0))</f>
        <v>0</v>
      </c>
      <c r="X22" s="9">
        <f>SUMIFS(#REF!,#REF!,
$A22,#REF!,
"&gt;="&amp;'Faturado mensal'!X$2,#REF!,
"&lt;"&amp;EOMONTH('Faturado mensal'!X$2,0))</f>
        <v>0</v>
      </c>
      <c r="Y22" s="11">
        <f>SUMIFS(#REF!,#REF!,
$A22,#REF!,
"&gt;="&amp;'Faturado mensal'!M$2,#REF!,
"&lt;"&amp;EOMONTH('Faturado mensal'!M$2,12))</f>
        <v>0</v>
      </c>
      <c r="Z22" s="9">
        <f>SUMIFS(#REF!,#REF!,
$A22,#REF!,
"&gt;="&amp;'Faturado mensal'!Z$2,#REF!,
"&lt;"&amp;EOMONTH('Faturado mensal'!Z$2,0))</f>
        <v>0</v>
      </c>
      <c r="AA22" s="9">
        <f>SUMIFS(#REF!,#REF!,
$A22,#REF!,
"&gt;="&amp;'Faturado mensal'!AA$2,#REF!,
"&lt;"&amp;EOMONTH('Faturado mensal'!AA$2,0))</f>
        <v>0</v>
      </c>
      <c r="AB22" s="9">
        <f>SUMIFS(#REF!,#REF!,
$A22,#REF!,
"&gt;="&amp;'Faturado mensal'!AB$2,#REF!,
"&lt;"&amp;EOMONTH('Faturado mensal'!AB$2,0))</f>
        <v>0</v>
      </c>
      <c r="AC22" s="9">
        <f>SUMIFS(#REF!,#REF!,
$A22,#REF!,
"&gt;="&amp;'Faturado mensal'!AC$2,#REF!,
"&lt;"&amp;EOMONTH('Faturado mensal'!AC$2,0))</f>
        <v>0</v>
      </c>
      <c r="AD22" s="9">
        <f>SUMIFS(#REF!,#REF!,
$A22,#REF!,
"&gt;="&amp;'Faturado mensal'!AD$2,#REF!,
"&lt;"&amp;EOMONTH('Faturado mensal'!AD$2,0))</f>
        <v>0</v>
      </c>
      <c r="AE22" s="9">
        <f>SUMIFS(#REF!,#REF!,
$A22,#REF!,
"&gt;="&amp;'Faturado mensal'!AE$2,#REF!,
"&lt;"&amp;EOMONTH('Faturado mensal'!AE$2,0))</f>
        <v>0</v>
      </c>
      <c r="AF22" s="9">
        <f>SUMIFS(#REF!,#REF!,
$A22,#REF!,
"&gt;="&amp;'Faturado mensal'!AF$2,#REF!,
"&lt;"&amp;EOMONTH('Faturado mensal'!AF$2,0))</f>
        <v>0</v>
      </c>
      <c r="AG22" s="9">
        <f>SUMIFS(#REF!,#REF!,
$A22,#REF!,
"&gt;="&amp;'Faturado mensal'!AG$2,#REF!,
"&lt;"&amp;EOMONTH('Faturado mensal'!AG$2,0))</f>
        <v>0</v>
      </c>
      <c r="AH22" s="9">
        <f>SUMIFS(#REF!,#REF!,
$A22,#REF!,
"&gt;="&amp;'Faturado mensal'!AH$2,#REF!,
"&lt;"&amp;EOMONTH('Faturado mensal'!AH$2,0))</f>
        <v>0</v>
      </c>
      <c r="AI22" s="9">
        <f>SUMIFS(#REF!,#REF!,
$A22,#REF!,
"&gt;="&amp;'Faturado mensal'!AI$2,#REF!,
"&lt;"&amp;EOMONTH('Faturado mensal'!AI$2,0))</f>
        <v>0</v>
      </c>
      <c r="AJ22" s="9">
        <f>SUMIFS(#REF!,#REF!,
$A22,#REF!,
"&gt;="&amp;'Faturado mensal'!AJ$2,#REF!,
"&lt;"&amp;EOMONTH('Faturado mensal'!AJ$2,0))</f>
        <v>0</v>
      </c>
      <c r="AK22" s="9">
        <f>SUMIFS(#REF!,#REF!,
$A22,#REF!,
"&gt;="&amp;'Faturado mensal'!AK$2,#REF!,
"&lt;"&amp;EOMONTH('Faturado mensal'!AK$2,0))</f>
        <v>0</v>
      </c>
      <c r="AL22" s="9">
        <f>SUMIFS(#REF!,#REF!,
$A22,#REF!,
"&gt;="&amp;Z$2,#REF!,
"&lt;"&amp;EOMONTH(AK$2,0))</f>
        <v>0</v>
      </c>
    </row>
    <row r="23" spans="1:38" x14ac:dyDescent="0.3">
      <c r="A23" t="s">
        <v>229</v>
      </c>
      <c r="B23" t="s">
        <v>230</v>
      </c>
      <c r="C23" t="s">
        <v>85</v>
      </c>
      <c r="D23" t="s">
        <v>204</v>
      </c>
      <c r="E23" t="s">
        <v>4835</v>
      </c>
      <c r="F23" t="s">
        <v>4776</v>
      </c>
      <c r="G23" t="s">
        <v>4852</v>
      </c>
      <c r="H23" t="s">
        <v>4771</v>
      </c>
      <c r="I23" t="s">
        <v>85</v>
      </c>
      <c r="J23" t="s">
        <v>710</v>
      </c>
      <c r="K23" t="s">
        <v>744</v>
      </c>
      <c r="L23" t="s">
        <v>745</v>
      </c>
      <c r="M23" s="9">
        <f>SUMIFS(#REF!,#REF!,
$A23,#REF!,
"&gt;="&amp;'Faturado mensal'!M$2,#REF!,
"&lt;"&amp;EOMONTH('Faturado mensal'!M$2,0))</f>
        <v>81089.2</v>
      </c>
      <c r="N23" s="9">
        <f>SUMIFS(#REF!,#REF!,
$A23,#REF!,
"&gt;="&amp;'Faturado mensal'!N$2,#REF!,
"&lt;"&amp;EOMONTH('Faturado mensal'!N$2,0))</f>
        <v>81786.34</v>
      </c>
      <c r="O23" s="9">
        <f>SUMIFS(#REF!,#REF!,
$A23,#REF!,
"&gt;="&amp;'Faturado mensal'!O$2,#REF!,
"&lt;"&amp;EOMONTH('Faturado mensal'!O$2,0))</f>
        <v>79690.48000000001</v>
      </c>
      <c r="P23" s="9">
        <f>SUMIFS(#REF!,#REF!,
$A23,#REF!,
"&gt;="&amp;'Faturado mensal'!P$2,#REF!,
"&lt;"&amp;EOMONTH('Faturado mensal'!P$2,0))</f>
        <v>91130.890000000014</v>
      </c>
      <c r="Q23" s="9">
        <f>SUMIFS(#REF!,#REF!,
$A23,#REF!,
"&gt;="&amp;'Faturado mensal'!Q$2,#REF!,
"&lt;"&amp;EOMONTH('Faturado mensal'!Q$2,0))</f>
        <v>83578.77</v>
      </c>
      <c r="R23" s="9">
        <f>SUMIFS(#REF!,#REF!,
$A23,#REF!,
"&gt;="&amp;'Faturado mensal'!R$2,#REF!,
"&lt;"&amp;EOMONTH('Faturado mensal'!R$2,0))</f>
        <v>82283.88</v>
      </c>
      <c r="S23" s="9">
        <f>SUMIFS(#REF!,#REF!,
$A23,#REF!,
"&gt;="&amp;'Faturado mensal'!S$2,#REF!,
"&lt;"&amp;EOMONTH('Faturado mensal'!S$2,0))</f>
        <v>78146.75</v>
      </c>
      <c r="T23" s="9">
        <f>SUMIFS(#REF!,#REF!,
$A23,#REF!,
"&gt;="&amp;'Faturado mensal'!T$2,#REF!,
"&lt;"&amp;EOMONTH('Faturado mensal'!T$2,0))</f>
        <v>93690.94</v>
      </c>
      <c r="U23" s="9">
        <f>SUMIFS(#REF!,#REF!,
$A23,#REF!,
"&gt;="&amp;'Faturado mensal'!U$2,#REF!,
"&lt;"&amp;EOMONTH('Faturado mensal'!U$2,0))</f>
        <v>94830.080000000002</v>
      </c>
      <c r="V23" s="9">
        <f>SUMIFS(#REF!,#REF!,
$A23,#REF!,
"&gt;="&amp;'Faturado mensal'!V$2,#REF!,
"&lt;"&amp;EOMONTH('Faturado mensal'!V$2,0))</f>
        <v>117502.79999999999</v>
      </c>
      <c r="W23" s="9">
        <f>SUMIFS(#REF!,#REF!,
$A23,#REF!,
"&gt;="&amp;'Faturado mensal'!W$2,#REF!,
"&lt;"&amp;EOMONTH('Faturado mensal'!W$2,0))</f>
        <v>78816.859999999986</v>
      </c>
      <c r="X23" s="9">
        <f>SUMIFS(#REF!,#REF!,
$A23,#REF!,
"&gt;="&amp;'Faturado mensal'!X$2,#REF!,
"&lt;"&amp;EOMONTH('Faturado mensal'!X$2,0))</f>
        <v>125650.73</v>
      </c>
      <c r="Y23" s="11">
        <f>SUMIFS(#REF!,#REF!,
$A23,#REF!,
"&gt;="&amp;'Faturado mensal'!M$2,#REF!,
"&lt;"&amp;EOMONTH('Faturado mensal'!M$2,12))</f>
        <v>1234291.68</v>
      </c>
      <c r="Z23" s="9">
        <f>SUMIFS(#REF!,#REF!,
$A23,#REF!,
"&gt;="&amp;'Faturado mensal'!Z$2,#REF!,
"&lt;"&amp;EOMONTH('Faturado mensal'!Z$2,0))</f>
        <v>146093.96</v>
      </c>
      <c r="AA23" s="9">
        <f>SUMIFS(#REF!,#REF!,
$A23,#REF!,
"&gt;="&amp;'Faturado mensal'!AA$2,#REF!,
"&lt;"&amp;EOMONTH('Faturado mensal'!AA$2,0))</f>
        <v>77365.62000000001</v>
      </c>
      <c r="AB23" s="9">
        <f>SUMIFS(#REF!,#REF!,
$A23,#REF!,
"&gt;="&amp;'Faturado mensal'!AB$2,#REF!,
"&lt;"&amp;EOMONTH('Faturado mensal'!AB$2,0))</f>
        <v>126650.56000000001</v>
      </c>
      <c r="AC23" s="9">
        <f>SUMIFS(#REF!,#REF!,
$A23,#REF!,
"&gt;="&amp;'Faturado mensal'!AC$2,#REF!,
"&lt;"&amp;EOMONTH('Faturado mensal'!AC$2,0))</f>
        <v>145954.6</v>
      </c>
      <c r="AD23" s="9">
        <f>SUMIFS(#REF!,#REF!,
$A23,#REF!,
"&gt;="&amp;'Faturado mensal'!AD$2,#REF!,
"&lt;"&amp;EOMONTH('Faturado mensal'!AD$2,0))</f>
        <v>121054.8</v>
      </c>
      <c r="AE23" s="9">
        <f>SUMIFS(#REF!,#REF!,
$A23,#REF!,
"&gt;="&amp;'Faturado mensal'!AE$2,#REF!,
"&lt;"&amp;EOMONTH('Faturado mensal'!AE$2,0))</f>
        <v>104715.95</v>
      </c>
      <c r="AF23" s="9">
        <f>SUMIFS(#REF!,#REF!,
$A23,#REF!,
"&gt;="&amp;'Faturado mensal'!AF$2,#REF!,
"&lt;"&amp;EOMONTH('Faturado mensal'!AF$2,0))</f>
        <v>0</v>
      </c>
      <c r="AG23" s="9">
        <f>SUMIFS(#REF!,#REF!,
$A23,#REF!,
"&gt;="&amp;'Faturado mensal'!AG$2,#REF!,
"&lt;"&amp;EOMONTH('Faturado mensal'!AG$2,0))</f>
        <v>0</v>
      </c>
      <c r="AH23" s="9">
        <f>SUMIFS(#REF!,#REF!,
$A23,#REF!,
"&gt;="&amp;'Faturado mensal'!AH$2,#REF!,
"&lt;"&amp;EOMONTH('Faturado mensal'!AH$2,0))</f>
        <v>0</v>
      </c>
      <c r="AI23" s="9">
        <f>SUMIFS(#REF!,#REF!,
$A23,#REF!,
"&gt;="&amp;'Faturado mensal'!AI$2,#REF!,
"&lt;"&amp;EOMONTH('Faturado mensal'!AI$2,0))</f>
        <v>0</v>
      </c>
      <c r="AJ23" s="9">
        <f>SUMIFS(#REF!,#REF!,
$A23,#REF!,
"&gt;="&amp;'Faturado mensal'!AJ$2,#REF!,
"&lt;"&amp;EOMONTH('Faturado mensal'!AJ$2,0))</f>
        <v>0</v>
      </c>
      <c r="AK23" s="9">
        <f>SUMIFS(#REF!,#REF!,
$A23,#REF!,
"&gt;="&amp;'Faturado mensal'!AK$2,#REF!,
"&lt;"&amp;EOMONTH('Faturado mensal'!AK$2,0))</f>
        <v>0</v>
      </c>
      <c r="AL23" s="9">
        <f>SUMIFS(#REF!,#REF!,
$A23,#REF!,
"&gt;="&amp;Z$2,#REF!,
"&lt;"&amp;EOMONTH(AK$2,0))</f>
        <v>724763.48999999976</v>
      </c>
    </row>
    <row r="24" spans="1:38" x14ac:dyDescent="0.3">
      <c r="A24" t="s">
        <v>746</v>
      </c>
      <c r="B24" t="s">
        <v>465</v>
      </c>
      <c r="C24" t="s">
        <v>172</v>
      </c>
      <c r="D24" t="s">
        <v>209</v>
      </c>
      <c r="I24" t="s">
        <v>747</v>
      </c>
      <c r="J24" t="s">
        <v>710</v>
      </c>
      <c r="K24" t="s">
        <v>748</v>
      </c>
      <c r="L24" t="s">
        <v>749</v>
      </c>
      <c r="M24" s="9">
        <f>SUMIFS(#REF!,#REF!,
$A24,#REF!,
"&gt;="&amp;'Faturado mensal'!M$2,#REF!,
"&lt;"&amp;EOMONTH('Faturado mensal'!M$2,0))</f>
        <v>0</v>
      </c>
      <c r="N24" s="9">
        <f>SUMIFS(#REF!,#REF!,
$A24,#REF!,
"&gt;="&amp;'Faturado mensal'!N$2,#REF!,
"&lt;"&amp;EOMONTH('Faturado mensal'!N$2,0))</f>
        <v>0</v>
      </c>
      <c r="O24" s="9">
        <f>SUMIFS(#REF!,#REF!,
$A24,#REF!,
"&gt;="&amp;'Faturado mensal'!O$2,#REF!,
"&lt;"&amp;EOMONTH('Faturado mensal'!O$2,0))</f>
        <v>0</v>
      </c>
      <c r="P24" s="9">
        <f>SUMIFS(#REF!,#REF!,
$A24,#REF!,
"&gt;="&amp;'Faturado mensal'!P$2,#REF!,
"&lt;"&amp;EOMONTH('Faturado mensal'!P$2,0))</f>
        <v>0</v>
      </c>
      <c r="Q24" s="9">
        <f>SUMIFS(#REF!,#REF!,
$A24,#REF!,
"&gt;="&amp;'Faturado mensal'!Q$2,#REF!,
"&lt;"&amp;EOMONTH('Faturado mensal'!Q$2,0))</f>
        <v>0</v>
      </c>
      <c r="R24" s="9">
        <f>SUMIFS(#REF!,#REF!,
$A24,#REF!,
"&gt;="&amp;'Faturado mensal'!R$2,#REF!,
"&lt;"&amp;EOMONTH('Faturado mensal'!R$2,0))</f>
        <v>0</v>
      </c>
      <c r="S24" s="9">
        <f>SUMIFS(#REF!,#REF!,
$A24,#REF!,
"&gt;="&amp;'Faturado mensal'!S$2,#REF!,
"&lt;"&amp;EOMONTH('Faturado mensal'!S$2,0))</f>
        <v>0</v>
      </c>
      <c r="T24" s="9">
        <f>SUMIFS(#REF!,#REF!,
$A24,#REF!,
"&gt;="&amp;'Faturado mensal'!T$2,#REF!,
"&lt;"&amp;EOMONTH('Faturado mensal'!T$2,0))</f>
        <v>0</v>
      </c>
      <c r="U24" s="9">
        <f>SUMIFS(#REF!,#REF!,
$A24,#REF!,
"&gt;="&amp;'Faturado mensal'!U$2,#REF!,
"&lt;"&amp;EOMONTH('Faturado mensal'!U$2,0))</f>
        <v>0</v>
      </c>
      <c r="V24" s="9">
        <f>SUMIFS(#REF!,#REF!,
$A24,#REF!,
"&gt;="&amp;'Faturado mensal'!V$2,#REF!,
"&lt;"&amp;EOMONTH('Faturado mensal'!V$2,0))</f>
        <v>0</v>
      </c>
      <c r="W24" s="9">
        <f>SUMIFS(#REF!,#REF!,
$A24,#REF!,
"&gt;="&amp;'Faturado mensal'!W$2,#REF!,
"&lt;"&amp;EOMONTH('Faturado mensal'!W$2,0))</f>
        <v>0</v>
      </c>
      <c r="X24" s="9">
        <f>SUMIFS(#REF!,#REF!,
$A24,#REF!,
"&gt;="&amp;'Faturado mensal'!X$2,#REF!,
"&lt;"&amp;EOMONTH('Faturado mensal'!X$2,0))</f>
        <v>0</v>
      </c>
      <c r="Y24" s="11">
        <f>SUMIFS(#REF!,#REF!,
$A24,#REF!,
"&gt;="&amp;'Faturado mensal'!M$2,#REF!,
"&lt;"&amp;EOMONTH('Faturado mensal'!M$2,12))</f>
        <v>0</v>
      </c>
      <c r="Z24" s="9">
        <f>SUMIFS(#REF!,#REF!,
$A24,#REF!,
"&gt;="&amp;'Faturado mensal'!Z$2,#REF!,
"&lt;"&amp;EOMONTH('Faturado mensal'!Z$2,0))</f>
        <v>0</v>
      </c>
      <c r="AA24" s="9">
        <f>SUMIFS(#REF!,#REF!,
$A24,#REF!,
"&gt;="&amp;'Faturado mensal'!AA$2,#REF!,
"&lt;"&amp;EOMONTH('Faturado mensal'!AA$2,0))</f>
        <v>0</v>
      </c>
      <c r="AB24" s="9">
        <f>SUMIFS(#REF!,#REF!,
$A24,#REF!,
"&gt;="&amp;'Faturado mensal'!AB$2,#REF!,
"&lt;"&amp;EOMONTH('Faturado mensal'!AB$2,0))</f>
        <v>0</v>
      </c>
      <c r="AC24" s="9">
        <f>SUMIFS(#REF!,#REF!,
$A24,#REF!,
"&gt;="&amp;'Faturado mensal'!AC$2,#REF!,
"&lt;"&amp;EOMONTH('Faturado mensal'!AC$2,0))</f>
        <v>0</v>
      </c>
      <c r="AD24" s="9">
        <f>SUMIFS(#REF!,#REF!,
$A24,#REF!,
"&gt;="&amp;'Faturado mensal'!AD$2,#REF!,
"&lt;"&amp;EOMONTH('Faturado mensal'!AD$2,0))</f>
        <v>0</v>
      </c>
      <c r="AE24" s="9">
        <f>SUMIFS(#REF!,#REF!,
$A24,#REF!,
"&gt;="&amp;'Faturado mensal'!AE$2,#REF!,
"&lt;"&amp;EOMONTH('Faturado mensal'!AE$2,0))</f>
        <v>0</v>
      </c>
      <c r="AF24" s="9">
        <f>SUMIFS(#REF!,#REF!,
$A24,#REF!,
"&gt;="&amp;'Faturado mensal'!AF$2,#REF!,
"&lt;"&amp;EOMONTH('Faturado mensal'!AF$2,0))</f>
        <v>0</v>
      </c>
      <c r="AG24" s="9">
        <f>SUMIFS(#REF!,#REF!,
$A24,#REF!,
"&gt;="&amp;'Faturado mensal'!AG$2,#REF!,
"&lt;"&amp;EOMONTH('Faturado mensal'!AG$2,0))</f>
        <v>0</v>
      </c>
      <c r="AH24" s="9">
        <f>SUMIFS(#REF!,#REF!,
$A24,#REF!,
"&gt;="&amp;'Faturado mensal'!AH$2,#REF!,
"&lt;"&amp;EOMONTH('Faturado mensal'!AH$2,0))</f>
        <v>0</v>
      </c>
      <c r="AI24" s="9">
        <f>SUMIFS(#REF!,#REF!,
$A24,#REF!,
"&gt;="&amp;'Faturado mensal'!AI$2,#REF!,
"&lt;"&amp;EOMONTH('Faturado mensal'!AI$2,0))</f>
        <v>0</v>
      </c>
      <c r="AJ24" s="9">
        <f>SUMIFS(#REF!,#REF!,
$A24,#REF!,
"&gt;="&amp;'Faturado mensal'!AJ$2,#REF!,
"&lt;"&amp;EOMONTH('Faturado mensal'!AJ$2,0))</f>
        <v>0</v>
      </c>
      <c r="AK24" s="9">
        <f>SUMIFS(#REF!,#REF!,
$A24,#REF!,
"&gt;="&amp;'Faturado mensal'!AK$2,#REF!,
"&lt;"&amp;EOMONTH('Faturado mensal'!AK$2,0))</f>
        <v>0</v>
      </c>
      <c r="AL24" s="9">
        <f>SUMIFS(#REF!,#REF!,
$A24,#REF!,
"&gt;="&amp;Z$2,#REF!,
"&lt;"&amp;EOMONTH(AK$2,0))</f>
        <v>0</v>
      </c>
    </row>
    <row r="25" spans="1:38" x14ac:dyDescent="0.3">
      <c r="A25" t="s">
        <v>231</v>
      </c>
      <c r="B25" t="s">
        <v>232</v>
      </c>
      <c r="C25" t="s">
        <v>87</v>
      </c>
      <c r="D25" t="s">
        <v>204</v>
      </c>
      <c r="E25" t="s">
        <v>4834</v>
      </c>
      <c r="F25" t="s">
        <v>4776</v>
      </c>
      <c r="G25" t="s">
        <v>4853</v>
      </c>
      <c r="H25" t="s">
        <v>4773</v>
      </c>
      <c r="I25" t="s">
        <v>87</v>
      </c>
      <c r="J25" t="s">
        <v>710</v>
      </c>
      <c r="K25" t="s">
        <v>711</v>
      </c>
      <c r="L25" t="s">
        <v>712</v>
      </c>
      <c r="M25" s="9">
        <f>SUMIFS(#REF!,#REF!,
$A25,#REF!,
"&gt;="&amp;'Faturado mensal'!M$2,#REF!,
"&lt;"&amp;EOMONTH('Faturado mensal'!M$2,0))</f>
        <v>0</v>
      </c>
      <c r="N25" s="9">
        <f>SUMIFS(#REF!,#REF!,
$A25,#REF!,
"&gt;="&amp;'Faturado mensal'!N$2,#REF!,
"&lt;"&amp;EOMONTH('Faturado mensal'!N$2,0))</f>
        <v>0</v>
      </c>
      <c r="O25" s="9">
        <f>SUMIFS(#REF!,#REF!,
$A25,#REF!,
"&gt;="&amp;'Faturado mensal'!O$2,#REF!,
"&lt;"&amp;EOMONTH('Faturado mensal'!O$2,0))</f>
        <v>0</v>
      </c>
      <c r="P25" s="9">
        <f>SUMIFS(#REF!,#REF!,
$A25,#REF!,
"&gt;="&amp;'Faturado mensal'!P$2,#REF!,
"&lt;"&amp;EOMONTH('Faturado mensal'!P$2,0))</f>
        <v>0</v>
      </c>
      <c r="Q25" s="9">
        <f>SUMIFS(#REF!,#REF!,
$A25,#REF!,
"&gt;="&amp;'Faturado mensal'!Q$2,#REF!,
"&lt;"&amp;EOMONTH('Faturado mensal'!Q$2,0))</f>
        <v>0</v>
      </c>
      <c r="R25" s="9">
        <f>SUMIFS(#REF!,#REF!,
$A25,#REF!,
"&gt;="&amp;'Faturado mensal'!R$2,#REF!,
"&lt;"&amp;EOMONTH('Faturado mensal'!R$2,0))</f>
        <v>14793</v>
      </c>
      <c r="S25" s="9">
        <f>SUMIFS(#REF!,#REF!,
$A25,#REF!,
"&gt;="&amp;'Faturado mensal'!S$2,#REF!,
"&lt;"&amp;EOMONTH('Faturado mensal'!S$2,0))</f>
        <v>0</v>
      </c>
      <c r="T25" s="9">
        <f>SUMIFS(#REF!,#REF!,
$A25,#REF!,
"&gt;="&amp;'Faturado mensal'!T$2,#REF!,
"&lt;"&amp;EOMONTH('Faturado mensal'!T$2,0))</f>
        <v>0</v>
      </c>
      <c r="U25" s="9">
        <f>SUMIFS(#REF!,#REF!,
$A25,#REF!,
"&gt;="&amp;'Faturado mensal'!U$2,#REF!,
"&lt;"&amp;EOMONTH('Faturado mensal'!U$2,0))</f>
        <v>0</v>
      </c>
      <c r="V25" s="9">
        <f>SUMIFS(#REF!,#REF!,
$A25,#REF!,
"&gt;="&amp;'Faturado mensal'!V$2,#REF!,
"&lt;"&amp;EOMONTH('Faturado mensal'!V$2,0))</f>
        <v>0</v>
      </c>
      <c r="W25" s="9">
        <f>SUMIFS(#REF!,#REF!,
$A25,#REF!,
"&gt;="&amp;'Faturado mensal'!W$2,#REF!,
"&lt;"&amp;EOMONTH('Faturado mensal'!W$2,0))</f>
        <v>0</v>
      </c>
      <c r="X25" s="9">
        <f>SUMIFS(#REF!,#REF!,
$A25,#REF!,
"&gt;="&amp;'Faturado mensal'!X$2,#REF!,
"&lt;"&amp;EOMONTH('Faturado mensal'!X$2,0))</f>
        <v>0</v>
      </c>
      <c r="Y25" s="11">
        <f>SUMIFS(#REF!,#REF!,
$A25,#REF!,
"&gt;="&amp;'Faturado mensal'!M$2,#REF!,
"&lt;"&amp;EOMONTH('Faturado mensal'!M$2,12))</f>
        <v>14793</v>
      </c>
      <c r="Z25" s="9">
        <f>SUMIFS(#REF!,#REF!,
$A25,#REF!,
"&gt;="&amp;'Faturado mensal'!Z$2,#REF!,
"&lt;"&amp;EOMONTH('Faturado mensal'!Z$2,0))</f>
        <v>0</v>
      </c>
      <c r="AA25" s="9">
        <f>SUMIFS(#REF!,#REF!,
$A25,#REF!,
"&gt;="&amp;'Faturado mensal'!AA$2,#REF!,
"&lt;"&amp;EOMONTH('Faturado mensal'!AA$2,0))</f>
        <v>0</v>
      </c>
      <c r="AB25" s="9">
        <f>SUMIFS(#REF!,#REF!,
$A25,#REF!,
"&gt;="&amp;'Faturado mensal'!AB$2,#REF!,
"&lt;"&amp;EOMONTH('Faturado mensal'!AB$2,0))</f>
        <v>0</v>
      </c>
      <c r="AC25" s="9">
        <f>SUMIFS(#REF!,#REF!,
$A25,#REF!,
"&gt;="&amp;'Faturado mensal'!AC$2,#REF!,
"&lt;"&amp;EOMONTH('Faturado mensal'!AC$2,0))</f>
        <v>0</v>
      </c>
      <c r="AD25" s="9">
        <f>SUMIFS(#REF!,#REF!,
$A25,#REF!,
"&gt;="&amp;'Faturado mensal'!AD$2,#REF!,
"&lt;"&amp;EOMONTH('Faturado mensal'!AD$2,0))</f>
        <v>0</v>
      </c>
      <c r="AE25" s="9">
        <f>SUMIFS(#REF!,#REF!,
$A25,#REF!,
"&gt;="&amp;'Faturado mensal'!AE$2,#REF!,
"&lt;"&amp;EOMONTH('Faturado mensal'!AE$2,0))</f>
        <v>0</v>
      </c>
      <c r="AF25" s="9">
        <f>SUMIFS(#REF!,#REF!,
$A25,#REF!,
"&gt;="&amp;'Faturado mensal'!AF$2,#REF!,
"&lt;"&amp;EOMONTH('Faturado mensal'!AF$2,0))</f>
        <v>0</v>
      </c>
      <c r="AG25" s="9">
        <f>SUMIFS(#REF!,#REF!,
$A25,#REF!,
"&gt;="&amp;'Faturado mensal'!AG$2,#REF!,
"&lt;"&amp;EOMONTH('Faturado mensal'!AG$2,0))</f>
        <v>0</v>
      </c>
      <c r="AH25" s="9">
        <f>SUMIFS(#REF!,#REF!,
$A25,#REF!,
"&gt;="&amp;'Faturado mensal'!AH$2,#REF!,
"&lt;"&amp;EOMONTH('Faturado mensal'!AH$2,0))</f>
        <v>0</v>
      </c>
      <c r="AI25" s="9">
        <f>SUMIFS(#REF!,#REF!,
$A25,#REF!,
"&gt;="&amp;'Faturado mensal'!AI$2,#REF!,
"&lt;"&amp;EOMONTH('Faturado mensal'!AI$2,0))</f>
        <v>0</v>
      </c>
      <c r="AJ25" s="9">
        <f>SUMIFS(#REF!,#REF!,
$A25,#REF!,
"&gt;="&amp;'Faturado mensal'!AJ$2,#REF!,
"&lt;"&amp;EOMONTH('Faturado mensal'!AJ$2,0))</f>
        <v>0</v>
      </c>
      <c r="AK25" s="9">
        <f>SUMIFS(#REF!,#REF!,
$A25,#REF!,
"&gt;="&amp;'Faturado mensal'!AK$2,#REF!,
"&lt;"&amp;EOMONTH('Faturado mensal'!AK$2,0))</f>
        <v>0</v>
      </c>
      <c r="AL25" s="9">
        <f>SUMIFS(#REF!,#REF!,
$A25,#REF!,
"&gt;="&amp;Z$2,#REF!,
"&lt;"&amp;EOMONTH(AK$2,0))</f>
        <v>36550</v>
      </c>
    </row>
    <row r="26" spans="1:38" x14ac:dyDescent="0.3">
      <c r="A26" t="s">
        <v>233</v>
      </c>
      <c r="B26" t="s">
        <v>222</v>
      </c>
      <c r="C26" t="s">
        <v>80</v>
      </c>
      <c r="D26" t="s">
        <v>204</v>
      </c>
      <c r="E26" t="s">
        <v>4834</v>
      </c>
      <c r="F26" t="s">
        <v>4776</v>
      </c>
      <c r="G26" t="s">
        <v>4853</v>
      </c>
      <c r="H26" t="s">
        <v>4773</v>
      </c>
      <c r="I26" t="s">
        <v>80</v>
      </c>
      <c r="J26" t="s">
        <v>710</v>
      </c>
      <c r="K26" t="s">
        <v>711</v>
      </c>
      <c r="L26" t="s">
        <v>712</v>
      </c>
      <c r="M26" s="9">
        <f>SUMIFS(#REF!,#REF!,
$A26,#REF!,
"&gt;="&amp;'Faturado mensal'!M$2,#REF!,
"&lt;"&amp;EOMONTH('Faturado mensal'!M$2,0))</f>
        <v>0</v>
      </c>
      <c r="N26" s="9">
        <f>SUMIFS(#REF!,#REF!,
$A26,#REF!,
"&gt;="&amp;'Faturado mensal'!N$2,#REF!,
"&lt;"&amp;EOMONTH('Faturado mensal'!N$2,0))</f>
        <v>0</v>
      </c>
      <c r="O26" s="9">
        <f>SUMIFS(#REF!,#REF!,
$A26,#REF!,
"&gt;="&amp;'Faturado mensal'!O$2,#REF!,
"&lt;"&amp;EOMONTH('Faturado mensal'!O$2,0))</f>
        <v>0</v>
      </c>
      <c r="P26" s="9">
        <f>SUMIFS(#REF!,#REF!,
$A26,#REF!,
"&gt;="&amp;'Faturado mensal'!P$2,#REF!,
"&lt;"&amp;EOMONTH('Faturado mensal'!P$2,0))</f>
        <v>0</v>
      </c>
      <c r="Q26" s="9">
        <f>SUMIFS(#REF!,#REF!,
$A26,#REF!,
"&gt;="&amp;'Faturado mensal'!Q$2,#REF!,
"&lt;"&amp;EOMONTH('Faturado mensal'!Q$2,0))</f>
        <v>4491.99</v>
      </c>
      <c r="R26" s="9">
        <f>SUMIFS(#REF!,#REF!,
$A26,#REF!,
"&gt;="&amp;'Faturado mensal'!R$2,#REF!,
"&lt;"&amp;EOMONTH('Faturado mensal'!R$2,0))</f>
        <v>0</v>
      </c>
      <c r="S26" s="9">
        <f>SUMIFS(#REF!,#REF!,
$A26,#REF!,
"&gt;="&amp;'Faturado mensal'!S$2,#REF!,
"&lt;"&amp;EOMONTH('Faturado mensal'!S$2,0))</f>
        <v>0</v>
      </c>
      <c r="T26" s="9">
        <f>SUMIFS(#REF!,#REF!,
$A26,#REF!,
"&gt;="&amp;'Faturado mensal'!T$2,#REF!,
"&lt;"&amp;EOMONTH('Faturado mensal'!T$2,0))</f>
        <v>0</v>
      </c>
      <c r="U26" s="9">
        <f>SUMIFS(#REF!,#REF!,
$A26,#REF!,
"&gt;="&amp;'Faturado mensal'!U$2,#REF!,
"&lt;"&amp;EOMONTH('Faturado mensal'!U$2,0))</f>
        <v>0</v>
      </c>
      <c r="V26" s="9">
        <f>SUMIFS(#REF!,#REF!,
$A26,#REF!,
"&gt;="&amp;'Faturado mensal'!V$2,#REF!,
"&lt;"&amp;EOMONTH('Faturado mensal'!V$2,0))</f>
        <v>0</v>
      </c>
      <c r="W26" s="9">
        <f>SUMIFS(#REF!,#REF!,
$A26,#REF!,
"&gt;="&amp;'Faturado mensal'!W$2,#REF!,
"&lt;"&amp;EOMONTH('Faturado mensal'!W$2,0))</f>
        <v>0</v>
      </c>
      <c r="X26" s="9">
        <f>SUMIFS(#REF!,#REF!,
$A26,#REF!,
"&gt;="&amp;'Faturado mensal'!X$2,#REF!,
"&lt;"&amp;EOMONTH('Faturado mensal'!X$2,0))</f>
        <v>4664.04</v>
      </c>
      <c r="Y26" s="11">
        <f>SUMIFS(#REF!,#REF!,
$A26,#REF!,
"&gt;="&amp;'Faturado mensal'!M$2,#REF!,
"&lt;"&amp;EOMONTH('Faturado mensal'!M$2,12))</f>
        <v>9156.0299999999988</v>
      </c>
      <c r="Z26" s="9">
        <f>SUMIFS(#REF!,#REF!,
$A26,#REF!,
"&gt;="&amp;'Faturado mensal'!Z$2,#REF!,
"&lt;"&amp;EOMONTH('Faturado mensal'!Z$2,0))</f>
        <v>0</v>
      </c>
      <c r="AA26" s="9">
        <f>SUMIFS(#REF!,#REF!,
$A26,#REF!,
"&gt;="&amp;'Faturado mensal'!AA$2,#REF!,
"&lt;"&amp;EOMONTH('Faturado mensal'!AA$2,0))</f>
        <v>0</v>
      </c>
      <c r="AB26" s="9">
        <f>SUMIFS(#REF!,#REF!,
$A26,#REF!,
"&gt;="&amp;'Faturado mensal'!AB$2,#REF!,
"&lt;"&amp;EOMONTH('Faturado mensal'!AB$2,0))</f>
        <v>0</v>
      </c>
      <c r="AC26" s="9">
        <f>SUMIFS(#REF!,#REF!,
$A26,#REF!,
"&gt;="&amp;'Faturado mensal'!AC$2,#REF!,
"&lt;"&amp;EOMONTH('Faturado mensal'!AC$2,0))</f>
        <v>0</v>
      </c>
      <c r="AD26" s="9">
        <f>SUMIFS(#REF!,#REF!,
$A26,#REF!,
"&gt;="&amp;'Faturado mensal'!AD$2,#REF!,
"&lt;"&amp;EOMONTH('Faturado mensal'!AD$2,0))</f>
        <v>0</v>
      </c>
      <c r="AE26" s="9">
        <f>SUMIFS(#REF!,#REF!,
$A26,#REF!,
"&gt;="&amp;'Faturado mensal'!AE$2,#REF!,
"&lt;"&amp;EOMONTH('Faturado mensal'!AE$2,0))</f>
        <v>0</v>
      </c>
      <c r="AF26" s="9">
        <f>SUMIFS(#REF!,#REF!,
$A26,#REF!,
"&gt;="&amp;'Faturado mensal'!AF$2,#REF!,
"&lt;"&amp;EOMONTH('Faturado mensal'!AF$2,0))</f>
        <v>0</v>
      </c>
      <c r="AG26" s="9">
        <f>SUMIFS(#REF!,#REF!,
$A26,#REF!,
"&gt;="&amp;'Faturado mensal'!AG$2,#REF!,
"&lt;"&amp;EOMONTH('Faturado mensal'!AG$2,0))</f>
        <v>0</v>
      </c>
      <c r="AH26" s="9">
        <f>SUMIFS(#REF!,#REF!,
$A26,#REF!,
"&gt;="&amp;'Faturado mensal'!AH$2,#REF!,
"&lt;"&amp;EOMONTH('Faturado mensal'!AH$2,0))</f>
        <v>0</v>
      </c>
      <c r="AI26" s="9">
        <f>SUMIFS(#REF!,#REF!,
$A26,#REF!,
"&gt;="&amp;'Faturado mensal'!AI$2,#REF!,
"&lt;"&amp;EOMONTH('Faturado mensal'!AI$2,0))</f>
        <v>0</v>
      </c>
      <c r="AJ26" s="9">
        <f>SUMIFS(#REF!,#REF!,
$A26,#REF!,
"&gt;="&amp;'Faturado mensal'!AJ$2,#REF!,
"&lt;"&amp;EOMONTH('Faturado mensal'!AJ$2,0))</f>
        <v>0</v>
      </c>
      <c r="AK26" s="9">
        <f>SUMIFS(#REF!,#REF!,
$A26,#REF!,
"&gt;="&amp;'Faturado mensal'!AK$2,#REF!,
"&lt;"&amp;EOMONTH('Faturado mensal'!AK$2,0))</f>
        <v>0</v>
      </c>
      <c r="AL26" s="9">
        <f>SUMIFS(#REF!,#REF!,
$A26,#REF!,
"&gt;="&amp;Z$2,#REF!,
"&lt;"&amp;EOMONTH(AK$2,0))</f>
        <v>0</v>
      </c>
    </row>
    <row r="27" spans="1:38" x14ac:dyDescent="0.3">
      <c r="A27" t="s">
        <v>234</v>
      </c>
      <c r="B27" t="s">
        <v>235</v>
      </c>
      <c r="C27" t="s">
        <v>129</v>
      </c>
      <c r="D27" t="s">
        <v>204</v>
      </c>
      <c r="E27" t="s">
        <v>4833</v>
      </c>
      <c r="F27" t="s">
        <v>4802</v>
      </c>
      <c r="G27" t="s">
        <v>4852</v>
      </c>
      <c r="H27" t="s">
        <v>4771</v>
      </c>
      <c r="I27" t="s">
        <v>750</v>
      </c>
      <c r="J27" t="s">
        <v>719</v>
      </c>
      <c r="K27" t="s">
        <v>717</v>
      </c>
      <c r="L27" t="s">
        <v>718</v>
      </c>
      <c r="M27" s="9">
        <f>SUMIFS(#REF!,#REF!,
$A27,#REF!,
"&gt;="&amp;'Faturado mensal'!M$2,#REF!,
"&lt;"&amp;EOMONTH('Faturado mensal'!M$2,0))</f>
        <v>0</v>
      </c>
      <c r="N27" s="9">
        <f>SUMIFS(#REF!,#REF!,
$A27,#REF!,
"&gt;="&amp;'Faturado mensal'!N$2,#REF!,
"&lt;"&amp;EOMONTH('Faturado mensal'!N$2,0))</f>
        <v>0</v>
      </c>
      <c r="O27" s="9">
        <f>SUMIFS(#REF!,#REF!,
$A27,#REF!,
"&gt;="&amp;'Faturado mensal'!O$2,#REF!,
"&lt;"&amp;EOMONTH('Faturado mensal'!O$2,0))</f>
        <v>0</v>
      </c>
      <c r="P27" s="9">
        <f>SUMIFS(#REF!,#REF!,
$A27,#REF!,
"&gt;="&amp;'Faturado mensal'!P$2,#REF!,
"&lt;"&amp;EOMONTH('Faturado mensal'!P$2,0))</f>
        <v>0</v>
      </c>
      <c r="Q27" s="9">
        <f>SUMIFS(#REF!,#REF!,
$A27,#REF!,
"&gt;="&amp;'Faturado mensal'!Q$2,#REF!,
"&lt;"&amp;EOMONTH('Faturado mensal'!Q$2,0))</f>
        <v>0</v>
      </c>
      <c r="R27" s="9">
        <f>SUMIFS(#REF!,#REF!,
$A27,#REF!,
"&gt;="&amp;'Faturado mensal'!R$2,#REF!,
"&lt;"&amp;EOMONTH('Faturado mensal'!R$2,0))</f>
        <v>0</v>
      </c>
      <c r="S27" s="9">
        <f>SUMIFS(#REF!,#REF!,
$A27,#REF!,
"&gt;="&amp;'Faturado mensal'!S$2,#REF!,
"&lt;"&amp;EOMONTH('Faturado mensal'!S$2,0))</f>
        <v>0</v>
      </c>
      <c r="T27" s="9">
        <f>SUMIFS(#REF!,#REF!,
$A27,#REF!,
"&gt;="&amp;'Faturado mensal'!T$2,#REF!,
"&lt;"&amp;EOMONTH('Faturado mensal'!T$2,0))</f>
        <v>0</v>
      </c>
      <c r="U27" s="9">
        <f>SUMIFS(#REF!,#REF!,
$A27,#REF!,
"&gt;="&amp;'Faturado mensal'!U$2,#REF!,
"&lt;"&amp;EOMONTH('Faturado mensal'!U$2,0))</f>
        <v>0</v>
      </c>
      <c r="V27" s="9">
        <f>SUMIFS(#REF!,#REF!,
$A27,#REF!,
"&gt;="&amp;'Faturado mensal'!V$2,#REF!,
"&lt;"&amp;EOMONTH('Faturado mensal'!V$2,0))</f>
        <v>0</v>
      </c>
      <c r="W27" s="9">
        <f>SUMIFS(#REF!,#REF!,
$A27,#REF!,
"&gt;="&amp;'Faturado mensal'!W$2,#REF!,
"&lt;"&amp;EOMONTH('Faturado mensal'!W$2,0))</f>
        <v>0</v>
      </c>
      <c r="X27" s="9">
        <f>SUMIFS(#REF!,#REF!,
$A27,#REF!,
"&gt;="&amp;'Faturado mensal'!X$2,#REF!,
"&lt;"&amp;EOMONTH('Faturado mensal'!X$2,0))</f>
        <v>0</v>
      </c>
      <c r="Y27" s="11">
        <f>SUMIFS(#REF!,#REF!,
$A27,#REF!,
"&gt;="&amp;'Faturado mensal'!M$2,#REF!,
"&lt;"&amp;EOMONTH('Faturado mensal'!M$2,12))</f>
        <v>0</v>
      </c>
      <c r="Z27" s="9">
        <f>SUMIFS(#REF!,#REF!,
$A27,#REF!,
"&gt;="&amp;'Faturado mensal'!Z$2,#REF!,
"&lt;"&amp;EOMONTH('Faturado mensal'!Z$2,0))</f>
        <v>0</v>
      </c>
      <c r="AA27" s="9">
        <f>SUMIFS(#REF!,#REF!,
$A27,#REF!,
"&gt;="&amp;'Faturado mensal'!AA$2,#REF!,
"&lt;"&amp;EOMONTH('Faturado mensal'!AA$2,0))</f>
        <v>0</v>
      </c>
      <c r="AB27" s="9">
        <f>SUMIFS(#REF!,#REF!,
$A27,#REF!,
"&gt;="&amp;'Faturado mensal'!AB$2,#REF!,
"&lt;"&amp;EOMONTH('Faturado mensal'!AB$2,0))</f>
        <v>0</v>
      </c>
      <c r="AC27" s="9">
        <f>SUMIFS(#REF!,#REF!,
$A27,#REF!,
"&gt;="&amp;'Faturado mensal'!AC$2,#REF!,
"&lt;"&amp;EOMONTH('Faturado mensal'!AC$2,0))</f>
        <v>488.2</v>
      </c>
      <c r="AD27" s="9">
        <f>SUMIFS(#REF!,#REF!,
$A27,#REF!,
"&gt;="&amp;'Faturado mensal'!AD$2,#REF!,
"&lt;"&amp;EOMONTH('Faturado mensal'!AD$2,0))</f>
        <v>0</v>
      </c>
      <c r="AE27" s="9">
        <f>SUMIFS(#REF!,#REF!,
$A27,#REF!,
"&gt;="&amp;'Faturado mensal'!AE$2,#REF!,
"&lt;"&amp;EOMONTH('Faturado mensal'!AE$2,0))</f>
        <v>0</v>
      </c>
      <c r="AF27" s="9">
        <f>SUMIFS(#REF!,#REF!,
$A27,#REF!,
"&gt;="&amp;'Faturado mensal'!AF$2,#REF!,
"&lt;"&amp;EOMONTH('Faturado mensal'!AF$2,0))</f>
        <v>0</v>
      </c>
      <c r="AG27" s="9">
        <f>SUMIFS(#REF!,#REF!,
$A27,#REF!,
"&gt;="&amp;'Faturado mensal'!AG$2,#REF!,
"&lt;"&amp;EOMONTH('Faturado mensal'!AG$2,0))</f>
        <v>0</v>
      </c>
      <c r="AH27" s="9">
        <f>SUMIFS(#REF!,#REF!,
$A27,#REF!,
"&gt;="&amp;'Faturado mensal'!AH$2,#REF!,
"&lt;"&amp;EOMONTH('Faturado mensal'!AH$2,0))</f>
        <v>0</v>
      </c>
      <c r="AI27" s="9">
        <f>SUMIFS(#REF!,#REF!,
$A27,#REF!,
"&gt;="&amp;'Faturado mensal'!AI$2,#REF!,
"&lt;"&amp;EOMONTH('Faturado mensal'!AI$2,0))</f>
        <v>0</v>
      </c>
      <c r="AJ27" s="9">
        <f>SUMIFS(#REF!,#REF!,
$A27,#REF!,
"&gt;="&amp;'Faturado mensal'!AJ$2,#REF!,
"&lt;"&amp;EOMONTH('Faturado mensal'!AJ$2,0))</f>
        <v>0</v>
      </c>
      <c r="AK27" s="9">
        <f>SUMIFS(#REF!,#REF!,
$A27,#REF!,
"&gt;="&amp;'Faturado mensal'!AK$2,#REF!,
"&lt;"&amp;EOMONTH('Faturado mensal'!AK$2,0))</f>
        <v>0</v>
      </c>
      <c r="AL27" s="9">
        <f>SUMIFS(#REF!,#REF!,
$A27,#REF!,
"&gt;="&amp;Z$2,#REF!,
"&lt;"&amp;EOMONTH(AK$2,0))</f>
        <v>488.19999999999993</v>
      </c>
    </row>
    <row r="28" spans="1:38" x14ac:dyDescent="0.3">
      <c r="A28" t="s">
        <v>751</v>
      </c>
      <c r="B28" t="s">
        <v>752</v>
      </c>
      <c r="C28" t="s">
        <v>753</v>
      </c>
      <c r="D28" t="s">
        <v>209</v>
      </c>
      <c r="G28" t="s">
        <v>4852</v>
      </c>
      <c r="H28" t="s">
        <v>4771</v>
      </c>
      <c r="I28" t="s">
        <v>753</v>
      </c>
      <c r="J28" t="s">
        <v>710</v>
      </c>
      <c r="K28" t="s">
        <v>720</v>
      </c>
      <c r="L28" t="s">
        <v>721</v>
      </c>
      <c r="M28" s="9">
        <f>SUMIFS(#REF!,#REF!,
$A28,#REF!,
"&gt;="&amp;'Faturado mensal'!M$2,#REF!,
"&lt;"&amp;EOMONTH('Faturado mensal'!M$2,0))</f>
        <v>0</v>
      </c>
      <c r="N28" s="9">
        <f>SUMIFS(#REF!,#REF!,
$A28,#REF!,
"&gt;="&amp;'Faturado mensal'!N$2,#REF!,
"&lt;"&amp;EOMONTH('Faturado mensal'!N$2,0))</f>
        <v>0</v>
      </c>
      <c r="O28" s="9">
        <f>SUMIFS(#REF!,#REF!,
$A28,#REF!,
"&gt;="&amp;'Faturado mensal'!O$2,#REF!,
"&lt;"&amp;EOMONTH('Faturado mensal'!O$2,0))</f>
        <v>0</v>
      </c>
      <c r="P28" s="9">
        <f>SUMIFS(#REF!,#REF!,
$A28,#REF!,
"&gt;="&amp;'Faturado mensal'!P$2,#REF!,
"&lt;"&amp;EOMONTH('Faturado mensal'!P$2,0))</f>
        <v>0</v>
      </c>
      <c r="Q28" s="9">
        <f>SUMIFS(#REF!,#REF!,
$A28,#REF!,
"&gt;="&amp;'Faturado mensal'!Q$2,#REF!,
"&lt;"&amp;EOMONTH('Faturado mensal'!Q$2,0))</f>
        <v>0</v>
      </c>
      <c r="R28" s="9">
        <f>SUMIFS(#REF!,#REF!,
$A28,#REF!,
"&gt;="&amp;'Faturado mensal'!R$2,#REF!,
"&lt;"&amp;EOMONTH('Faturado mensal'!R$2,0))</f>
        <v>0</v>
      </c>
      <c r="S28" s="9">
        <f>SUMIFS(#REF!,#REF!,
$A28,#REF!,
"&gt;="&amp;'Faturado mensal'!S$2,#REF!,
"&lt;"&amp;EOMONTH('Faturado mensal'!S$2,0))</f>
        <v>0</v>
      </c>
      <c r="T28" s="9">
        <f>SUMIFS(#REF!,#REF!,
$A28,#REF!,
"&gt;="&amp;'Faturado mensal'!T$2,#REF!,
"&lt;"&amp;EOMONTH('Faturado mensal'!T$2,0))</f>
        <v>0</v>
      </c>
      <c r="U28" s="9">
        <f>SUMIFS(#REF!,#REF!,
$A28,#REF!,
"&gt;="&amp;'Faturado mensal'!U$2,#REF!,
"&lt;"&amp;EOMONTH('Faturado mensal'!U$2,0))</f>
        <v>0</v>
      </c>
      <c r="V28" s="9">
        <f>SUMIFS(#REF!,#REF!,
$A28,#REF!,
"&gt;="&amp;'Faturado mensal'!V$2,#REF!,
"&lt;"&amp;EOMONTH('Faturado mensal'!V$2,0))</f>
        <v>0</v>
      </c>
      <c r="W28" s="9">
        <f>SUMIFS(#REF!,#REF!,
$A28,#REF!,
"&gt;="&amp;'Faturado mensal'!W$2,#REF!,
"&lt;"&amp;EOMONTH('Faturado mensal'!W$2,0))</f>
        <v>0</v>
      </c>
      <c r="X28" s="9">
        <f>SUMIFS(#REF!,#REF!,
$A28,#REF!,
"&gt;="&amp;'Faturado mensal'!X$2,#REF!,
"&lt;"&amp;EOMONTH('Faturado mensal'!X$2,0))</f>
        <v>0</v>
      </c>
      <c r="Y28" s="11">
        <f>SUMIFS(#REF!,#REF!,
$A28,#REF!,
"&gt;="&amp;'Faturado mensal'!M$2,#REF!,
"&lt;"&amp;EOMONTH('Faturado mensal'!M$2,12))</f>
        <v>0</v>
      </c>
      <c r="Z28" s="9">
        <f>SUMIFS(#REF!,#REF!,
$A28,#REF!,
"&gt;="&amp;'Faturado mensal'!Z$2,#REF!,
"&lt;"&amp;EOMONTH('Faturado mensal'!Z$2,0))</f>
        <v>0</v>
      </c>
      <c r="AA28" s="9">
        <f>SUMIFS(#REF!,#REF!,
$A28,#REF!,
"&gt;="&amp;'Faturado mensal'!AA$2,#REF!,
"&lt;"&amp;EOMONTH('Faturado mensal'!AA$2,0))</f>
        <v>0</v>
      </c>
      <c r="AB28" s="9">
        <f>SUMIFS(#REF!,#REF!,
$A28,#REF!,
"&gt;="&amp;'Faturado mensal'!AB$2,#REF!,
"&lt;"&amp;EOMONTH('Faturado mensal'!AB$2,0))</f>
        <v>0</v>
      </c>
      <c r="AC28" s="9">
        <f>SUMIFS(#REF!,#REF!,
$A28,#REF!,
"&gt;="&amp;'Faturado mensal'!AC$2,#REF!,
"&lt;"&amp;EOMONTH('Faturado mensal'!AC$2,0))</f>
        <v>0</v>
      </c>
      <c r="AD28" s="9">
        <f>SUMIFS(#REF!,#REF!,
$A28,#REF!,
"&gt;="&amp;'Faturado mensal'!AD$2,#REF!,
"&lt;"&amp;EOMONTH('Faturado mensal'!AD$2,0))</f>
        <v>0</v>
      </c>
      <c r="AE28" s="9">
        <f>SUMIFS(#REF!,#REF!,
$A28,#REF!,
"&gt;="&amp;'Faturado mensal'!AE$2,#REF!,
"&lt;"&amp;EOMONTH('Faturado mensal'!AE$2,0))</f>
        <v>0</v>
      </c>
      <c r="AF28" s="9">
        <f>SUMIFS(#REF!,#REF!,
$A28,#REF!,
"&gt;="&amp;'Faturado mensal'!AF$2,#REF!,
"&lt;"&amp;EOMONTH('Faturado mensal'!AF$2,0))</f>
        <v>0</v>
      </c>
      <c r="AG28" s="9">
        <f>SUMIFS(#REF!,#REF!,
$A28,#REF!,
"&gt;="&amp;'Faturado mensal'!AG$2,#REF!,
"&lt;"&amp;EOMONTH('Faturado mensal'!AG$2,0))</f>
        <v>0</v>
      </c>
      <c r="AH28" s="9">
        <f>SUMIFS(#REF!,#REF!,
$A28,#REF!,
"&gt;="&amp;'Faturado mensal'!AH$2,#REF!,
"&lt;"&amp;EOMONTH('Faturado mensal'!AH$2,0))</f>
        <v>0</v>
      </c>
      <c r="AI28" s="9">
        <f>SUMIFS(#REF!,#REF!,
$A28,#REF!,
"&gt;="&amp;'Faturado mensal'!AI$2,#REF!,
"&lt;"&amp;EOMONTH('Faturado mensal'!AI$2,0))</f>
        <v>0</v>
      </c>
      <c r="AJ28" s="9">
        <f>SUMIFS(#REF!,#REF!,
$A28,#REF!,
"&gt;="&amp;'Faturado mensal'!AJ$2,#REF!,
"&lt;"&amp;EOMONTH('Faturado mensal'!AJ$2,0))</f>
        <v>0</v>
      </c>
      <c r="AK28" s="9">
        <f>SUMIFS(#REF!,#REF!,
$A28,#REF!,
"&gt;="&amp;'Faturado mensal'!AK$2,#REF!,
"&lt;"&amp;EOMONTH('Faturado mensal'!AK$2,0))</f>
        <v>0</v>
      </c>
      <c r="AL28" s="9">
        <f>SUMIFS(#REF!,#REF!,
$A28,#REF!,
"&gt;="&amp;Z$2,#REF!,
"&lt;"&amp;EOMONTH(AK$2,0))</f>
        <v>0</v>
      </c>
    </row>
    <row r="29" spans="1:38" x14ac:dyDescent="0.3">
      <c r="A29" t="s">
        <v>236</v>
      </c>
      <c r="B29" t="s">
        <v>237</v>
      </c>
      <c r="C29" t="s">
        <v>4</v>
      </c>
      <c r="D29" t="s">
        <v>204</v>
      </c>
      <c r="E29" t="s">
        <v>4843</v>
      </c>
      <c r="F29" t="s">
        <v>4776</v>
      </c>
      <c r="G29" t="s">
        <v>4854</v>
      </c>
      <c r="H29" t="s">
        <v>4771</v>
      </c>
      <c r="I29" t="s">
        <v>4</v>
      </c>
      <c r="J29" t="s">
        <v>710</v>
      </c>
      <c r="K29" t="s">
        <v>720</v>
      </c>
      <c r="L29" t="s">
        <v>721</v>
      </c>
      <c r="M29" s="9">
        <f>SUMIFS(#REF!,#REF!,
$A29,#REF!,
"&gt;="&amp;'Faturado mensal'!M$2,#REF!,
"&lt;"&amp;EOMONTH('Faturado mensal'!M$2,0))</f>
        <v>4926.1400000000003</v>
      </c>
      <c r="N29" s="9">
        <f>SUMIFS(#REF!,#REF!,
$A29,#REF!,
"&gt;="&amp;'Faturado mensal'!N$2,#REF!,
"&lt;"&amp;EOMONTH('Faturado mensal'!N$2,0))</f>
        <v>4926.1400000000003</v>
      </c>
      <c r="O29" s="9">
        <f>SUMIFS(#REF!,#REF!,
$A29,#REF!,
"&gt;="&amp;'Faturado mensal'!O$2,#REF!,
"&lt;"&amp;EOMONTH('Faturado mensal'!O$2,0))</f>
        <v>4926.1400000000003</v>
      </c>
      <c r="P29" s="9">
        <f>SUMIFS(#REF!,#REF!,
$A29,#REF!,
"&gt;="&amp;'Faturado mensal'!P$2,#REF!,
"&lt;"&amp;EOMONTH('Faturado mensal'!P$2,0))</f>
        <v>4926.1400000000003</v>
      </c>
      <c r="Q29" s="9">
        <f>SUMIFS(#REF!,#REF!,
$A29,#REF!,
"&gt;="&amp;'Faturado mensal'!Q$2,#REF!,
"&lt;"&amp;EOMONTH('Faturado mensal'!Q$2,0))</f>
        <v>4926.1400000000003</v>
      </c>
      <c r="R29" s="9">
        <f>SUMIFS(#REF!,#REF!,
$A29,#REF!,
"&gt;="&amp;'Faturado mensal'!R$2,#REF!,
"&lt;"&amp;EOMONTH('Faturado mensal'!R$2,0))</f>
        <v>4926.1400000000003</v>
      </c>
      <c r="S29" s="9">
        <f>SUMIFS(#REF!,#REF!,
$A29,#REF!,
"&gt;="&amp;'Faturado mensal'!S$2,#REF!,
"&lt;"&amp;EOMONTH('Faturado mensal'!S$2,0))</f>
        <v>5271</v>
      </c>
      <c r="T29" s="9">
        <f>SUMIFS(#REF!,#REF!,
$A29,#REF!,
"&gt;="&amp;'Faturado mensal'!T$2,#REF!,
"&lt;"&amp;EOMONTH('Faturado mensal'!T$2,0))</f>
        <v>5271</v>
      </c>
      <c r="U29" s="9">
        <f>SUMIFS(#REF!,#REF!,
$A29,#REF!,
"&gt;="&amp;'Faturado mensal'!U$2,#REF!,
"&lt;"&amp;EOMONTH('Faturado mensal'!U$2,0))</f>
        <v>5271</v>
      </c>
      <c r="V29" s="9">
        <f>SUMIFS(#REF!,#REF!,
$A29,#REF!,
"&gt;="&amp;'Faturado mensal'!V$2,#REF!,
"&lt;"&amp;EOMONTH('Faturado mensal'!V$2,0))</f>
        <v>5271</v>
      </c>
      <c r="W29" s="9">
        <f>SUMIFS(#REF!,#REF!,
$A29,#REF!,
"&gt;="&amp;'Faturado mensal'!W$2,#REF!,
"&lt;"&amp;EOMONTH('Faturado mensal'!W$2,0))</f>
        <v>5271</v>
      </c>
      <c r="X29" s="9">
        <f>SUMIFS(#REF!,#REF!,
$A29,#REF!,
"&gt;="&amp;'Faturado mensal'!X$2,#REF!,
"&lt;"&amp;EOMONTH('Faturado mensal'!X$2,0))</f>
        <v>5271</v>
      </c>
      <c r="Y29" s="11">
        <f>SUMIFS(#REF!,#REF!,
$A29,#REF!,
"&gt;="&amp;'Faturado mensal'!M$2,#REF!,
"&lt;"&amp;EOMONTH('Faturado mensal'!M$2,12))</f>
        <v>66453.84</v>
      </c>
      <c r="Z29" s="9">
        <f>SUMIFS(#REF!,#REF!,
$A29,#REF!,
"&gt;="&amp;'Faturado mensal'!Z$2,#REF!,
"&lt;"&amp;EOMONTH('Faturado mensal'!Z$2,0))</f>
        <v>5271</v>
      </c>
      <c r="AA29" s="9">
        <f>SUMIFS(#REF!,#REF!,
$A29,#REF!,
"&gt;="&amp;'Faturado mensal'!AA$2,#REF!,
"&lt;"&amp;EOMONTH('Faturado mensal'!AA$2,0))</f>
        <v>5271</v>
      </c>
      <c r="AB29" s="9">
        <f>SUMIFS(#REF!,#REF!,
$A29,#REF!,
"&gt;="&amp;'Faturado mensal'!AB$2,#REF!,
"&lt;"&amp;EOMONTH('Faturado mensal'!AB$2,0))</f>
        <v>5271</v>
      </c>
      <c r="AC29" s="9">
        <f>SUMIFS(#REF!,#REF!,
$A29,#REF!,
"&gt;="&amp;'Faturado mensal'!AC$2,#REF!,
"&lt;"&amp;EOMONTH('Faturado mensal'!AC$2,0))</f>
        <v>5271</v>
      </c>
      <c r="AD29" s="9">
        <f>SUMIFS(#REF!,#REF!,
$A29,#REF!,
"&gt;="&amp;'Faturado mensal'!AD$2,#REF!,
"&lt;"&amp;EOMONTH('Faturado mensal'!AD$2,0))</f>
        <v>5271</v>
      </c>
      <c r="AE29" s="9">
        <f>SUMIFS(#REF!,#REF!,
$A29,#REF!,
"&gt;="&amp;'Faturado mensal'!AE$2,#REF!,
"&lt;"&amp;EOMONTH('Faturado mensal'!AE$2,0))</f>
        <v>5271</v>
      </c>
      <c r="AF29" s="9">
        <f>SUMIFS(#REF!,#REF!,
$A29,#REF!,
"&gt;="&amp;'Faturado mensal'!AF$2,#REF!,
"&lt;"&amp;EOMONTH('Faturado mensal'!AF$2,0))</f>
        <v>0</v>
      </c>
      <c r="AG29" s="9">
        <f>SUMIFS(#REF!,#REF!,
$A29,#REF!,
"&gt;="&amp;'Faturado mensal'!AG$2,#REF!,
"&lt;"&amp;EOMONTH('Faturado mensal'!AG$2,0))</f>
        <v>0</v>
      </c>
      <c r="AH29" s="9">
        <f>SUMIFS(#REF!,#REF!,
$A29,#REF!,
"&gt;="&amp;'Faturado mensal'!AH$2,#REF!,
"&lt;"&amp;EOMONTH('Faturado mensal'!AH$2,0))</f>
        <v>0</v>
      </c>
      <c r="AI29" s="9">
        <f>SUMIFS(#REF!,#REF!,
$A29,#REF!,
"&gt;="&amp;'Faturado mensal'!AI$2,#REF!,
"&lt;"&amp;EOMONTH('Faturado mensal'!AI$2,0))</f>
        <v>0</v>
      </c>
      <c r="AJ29" s="9">
        <f>SUMIFS(#REF!,#REF!,
$A29,#REF!,
"&gt;="&amp;'Faturado mensal'!AJ$2,#REF!,
"&lt;"&amp;EOMONTH('Faturado mensal'!AJ$2,0))</f>
        <v>0</v>
      </c>
      <c r="AK29" s="9">
        <f>SUMIFS(#REF!,#REF!,
$A29,#REF!,
"&gt;="&amp;'Faturado mensal'!AK$2,#REF!,
"&lt;"&amp;EOMONTH('Faturado mensal'!AK$2,0))</f>
        <v>0</v>
      </c>
      <c r="AL29" s="9">
        <f>SUMIFS(#REF!,#REF!,
$A29,#REF!,
"&gt;="&amp;Z$2,#REF!,
"&lt;"&amp;EOMONTH(AK$2,0))</f>
        <v>31626</v>
      </c>
    </row>
    <row r="30" spans="1:38" x14ac:dyDescent="0.3">
      <c r="A30" t="s">
        <v>238</v>
      </c>
      <c r="B30" t="s">
        <v>239</v>
      </c>
      <c r="C30" t="s">
        <v>199</v>
      </c>
      <c r="D30" t="s">
        <v>204</v>
      </c>
      <c r="E30" t="s">
        <v>4847</v>
      </c>
      <c r="F30" t="s">
        <v>4779</v>
      </c>
      <c r="G30" t="s">
        <v>4852</v>
      </c>
      <c r="H30" t="s">
        <v>4771</v>
      </c>
      <c r="I30" t="s">
        <v>199</v>
      </c>
      <c r="J30" t="s">
        <v>710</v>
      </c>
      <c r="K30" t="s">
        <v>754</v>
      </c>
      <c r="L30" t="s">
        <v>755</v>
      </c>
      <c r="M30" s="9">
        <f>SUMIFS(#REF!,#REF!,
$A30,#REF!,
"&gt;="&amp;'Faturado mensal'!M$2,#REF!,
"&lt;"&amp;EOMONTH('Faturado mensal'!M$2,0))</f>
        <v>75.08</v>
      </c>
      <c r="N30" s="9">
        <f>SUMIFS(#REF!,#REF!,
$A30,#REF!,
"&gt;="&amp;'Faturado mensal'!N$2,#REF!,
"&lt;"&amp;EOMONTH('Faturado mensal'!N$2,0))</f>
        <v>75.08</v>
      </c>
      <c r="O30" s="9">
        <f>SUMIFS(#REF!,#REF!,
$A30,#REF!,
"&gt;="&amp;'Faturado mensal'!O$2,#REF!,
"&lt;"&amp;EOMONTH('Faturado mensal'!O$2,0))</f>
        <v>75.08</v>
      </c>
      <c r="P30" s="9">
        <f>SUMIFS(#REF!,#REF!,
$A30,#REF!,
"&gt;="&amp;'Faturado mensal'!P$2,#REF!,
"&lt;"&amp;EOMONTH('Faturado mensal'!P$2,0))</f>
        <v>75.08</v>
      </c>
      <c r="Q30" s="9">
        <f>SUMIFS(#REF!,#REF!,
$A30,#REF!,
"&gt;="&amp;'Faturado mensal'!Q$2,#REF!,
"&lt;"&amp;EOMONTH('Faturado mensal'!Q$2,0))</f>
        <v>75.08</v>
      </c>
      <c r="R30" s="9">
        <f>SUMIFS(#REF!,#REF!,
$A30,#REF!,
"&gt;="&amp;'Faturado mensal'!R$2,#REF!,
"&lt;"&amp;EOMONTH('Faturado mensal'!R$2,0))</f>
        <v>75.08</v>
      </c>
      <c r="S30" s="9">
        <f>SUMIFS(#REF!,#REF!,
$A30,#REF!,
"&gt;="&amp;'Faturado mensal'!S$2,#REF!,
"&lt;"&amp;EOMONTH('Faturado mensal'!S$2,0))</f>
        <v>75.08</v>
      </c>
      <c r="T30" s="9">
        <f>SUMIFS(#REF!,#REF!,
$A30,#REF!,
"&gt;="&amp;'Faturado mensal'!T$2,#REF!,
"&lt;"&amp;EOMONTH('Faturado mensal'!T$2,0))</f>
        <v>75.08</v>
      </c>
      <c r="U30" s="9">
        <f>SUMIFS(#REF!,#REF!,
$A30,#REF!,
"&gt;="&amp;'Faturado mensal'!U$2,#REF!,
"&lt;"&amp;EOMONTH('Faturado mensal'!U$2,0))</f>
        <v>75.08</v>
      </c>
      <c r="V30" s="9">
        <f>SUMIFS(#REF!,#REF!,
$A30,#REF!,
"&gt;="&amp;'Faturado mensal'!V$2,#REF!,
"&lt;"&amp;EOMONTH('Faturado mensal'!V$2,0))</f>
        <v>75.08</v>
      </c>
      <c r="W30" s="9">
        <f>SUMIFS(#REF!,#REF!,
$A30,#REF!,
"&gt;="&amp;'Faturado mensal'!W$2,#REF!,
"&lt;"&amp;EOMONTH('Faturado mensal'!W$2,0))</f>
        <v>87.32</v>
      </c>
      <c r="X30" s="9">
        <f>SUMIFS(#REF!,#REF!,
$A30,#REF!,
"&gt;="&amp;'Faturado mensal'!X$2,#REF!,
"&lt;"&amp;EOMONTH('Faturado mensal'!X$2,0))</f>
        <v>261.95999999999998</v>
      </c>
      <c r="Y30" s="11">
        <f>SUMIFS(#REF!,#REF!,
$A30,#REF!,
"&gt;="&amp;'Faturado mensal'!M$2,#REF!,
"&lt;"&amp;EOMONTH('Faturado mensal'!M$2,12))</f>
        <v>1187.3999999999999</v>
      </c>
      <c r="Z30" s="9">
        <f>SUMIFS(#REF!,#REF!,
$A30,#REF!,
"&gt;="&amp;'Faturado mensal'!Z$2,#REF!,
"&lt;"&amp;EOMONTH('Faturado mensal'!Z$2,0))</f>
        <v>87.32</v>
      </c>
      <c r="AA30" s="9">
        <f>SUMIFS(#REF!,#REF!,
$A30,#REF!,
"&gt;="&amp;'Faturado mensal'!AA$2,#REF!,
"&lt;"&amp;EOMONTH('Faturado mensal'!AA$2,0))</f>
        <v>174.64</v>
      </c>
      <c r="AB30" s="9">
        <f>SUMIFS(#REF!,#REF!,
$A30,#REF!,
"&gt;="&amp;'Faturado mensal'!AB$2,#REF!,
"&lt;"&amp;EOMONTH('Faturado mensal'!AB$2,0))</f>
        <v>0</v>
      </c>
      <c r="AC30" s="9">
        <f>SUMIFS(#REF!,#REF!,
$A30,#REF!,
"&gt;="&amp;'Faturado mensal'!AC$2,#REF!,
"&lt;"&amp;EOMONTH('Faturado mensal'!AC$2,0))</f>
        <v>0</v>
      </c>
      <c r="AD30" s="9">
        <f>SUMIFS(#REF!,#REF!,
$A30,#REF!,
"&gt;="&amp;'Faturado mensal'!AD$2,#REF!,
"&lt;"&amp;EOMONTH('Faturado mensal'!AD$2,0))</f>
        <v>0</v>
      </c>
      <c r="AE30" s="9">
        <f>SUMIFS(#REF!,#REF!,
$A30,#REF!,
"&gt;="&amp;'Faturado mensal'!AE$2,#REF!,
"&lt;"&amp;EOMONTH('Faturado mensal'!AE$2,0))</f>
        <v>0</v>
      </c>
      <c r="AF30" s="9">
        <f>SUMIFS(#REF!,#REF!,
$A30,#REF!,
"&gt;="&amp;'Faturado mensal'!AF$2,#REF!,
"&lt;"&amp;EOMONTH('Faturado mensal'!AF$2,0))</f>
        <v>0</v>
      </c>
      <c r="AG30" s="9">
        <f>SUMIFS(#REF!,#REF!,
$A30,#REF!,
"&gt;="&amp;'Faturado mensal'!AG$2,#REF!,
"&lt;"&amp;EOMONTH('Faturado mensal'!AG$2,0))</f>
        <v>0</v>
      </c>
      <c r="AH30" s="9">
        <f>SUMIFS(#REF!,#REF!,
$A30,#REF!,
"&gt;="&amp;'Faturado mensal'!AH$2,#REF!,
"&lt;"&amp;EOMONTH('Faturado mensal'!AH$2,0))</f>
        <v>0</v>
      </c>
      <c r="AI30" s="9">
        <f>SUMIFS(#REF!,#REF!,
$A30,#REF!,
"&gt;="&amp;'Faturado mensal'!AI$2,#REF!,
"&lt;"&amp;EOMONTH('Faturado mensal'!AI$2,0))</f>
        <v>0</v>
      </c>
      <c r="AJ30" s="9">
        <f>SUMIFS(#REF!,#REF!,
$A30,#REF!,
"&gt;="&amp;'Faturado mensal'!AJ$2,#REF!,
"&lt;"&amp;EOMONTH('Faturado mensal'!AJ$2,0))</f>
        <v>0</v>
      </c>
      <c r="AK30" s="9">
        <f>SUMIFS(#REF!,#REF!,
$A30,#REF!,
"&gt;="&amp;'Faturado mensal'!AK$2,#REF!,
"&lt;"&amp;EOMONTH('Faturado mensal'!AK$2,0))</f>
        <v>0</v>
      </c>
      <c r="AL30" s="9">
        <f>SUMIFS(#REF!,#REF!,
$A30,#REF!,
"&gt;="&amp;Z$2,#REF!,
"&lt;"&amp;EOMONTH(AK$2,0))</f>
        <v>261.95999999999998</v>
      </c>
    </row>
    <row r="31" spans="1:38" x14ac:dyDescent="0.3">
      <c r="A31" t="s">
        <v>240</v>
      </c>
      <c r="B31" t="s">
        <v>241</v>
      </c>
      <c r="C31" t="s">
        <v>10</v>
      </c>
      <c r="D31" t="s">
        <v>209</v>
      </c>
      <c r="G31" t="s">
        <v>4856</v>
      </c>
      <c r="H31" t="s">
        <v>4773</v>
      </c>
      <c r="I31" t="s">
        <v>10</v>
      </c>
      <c r="J31" t="s">
        <v>710</v>
      </c>
      <c r="K31" t="s">
        <v>748</v>
      </c>
      <c r="L31" t="s">
        <v>749</v>
      </c>
      <c r="M31" s="9">
        <f>SUMIFS(#REF!,#REF!,
$A31,#REF!,
"&gt;="&amp;'Faturado mensal'!M$2,#REF!,
"&lt;"&amp;EOMONTH('Faturado mensal'!M$2,0))</f>
        <v>0</v>
      </c>
      <c r="N31" s="9">
        <f>SUMIFS(#REF!,#REF!,
$A31,#REF!,
"&gt;="&amp;'Faturado mensal'!N$2,#REF!,
"&lt;"&amp;EOMONTH('Faturado mensal'!N$2,0))</f>
        <v>0</v>
      </c>
      <c r="O31" s="9">
        <f>SUMIFS(#REF!,#REF!,
$A31,#REF!,
"&gt;="&amp;'Faturado mensal'!O$2,#REF!,
"&lt;"&amp;EOMONTH('Faturado mensal'!O$2,0))</f>
        <v>0</v>
      </c>
      <c r="P31" s="9">
        <f>SUMIFS(#REF!,#REF!,
$A31,#REF!,
"&gt;="&amp;'Faturado mensal'!P$2,#REF!,
"&lt;"&amp;EOMONTH('Faturado mensal'!P$2,0))</f>
        <v>0</v>
      </c>
      <c r="Q31" s="9">
        <f>SUMIFS(#REF!,#REF!,
$A31,#REF!,
"&gt;="&amp;'Faturado mensal'!Q$2,#REF!,
"&lt;"&amp;EOMONTH('Faturado mensal'!Q$2,0))</f>
        <v>0</v>
      </c>
      <c r="R31" s="9">
        <f>SUMIFS(#REF!,#REF!,
$A31,#REF!,
"&gt;="&amp;'Faturado mensal'!R$2,#REF!,
"&lt;"&amp;EOMONTH('Faturado mensal'!R$2,0))</f>
        <v>0</v>
      </c>
      <c r="S31" s="9">
        <f>SUMIFS(#REF!,#REF!,
$A31,#REF!,
"&gt;="&amp;'Faturado mensal'!S$2,#REF!,
"&lt;"&amp;EOMONTH('Faturado mensal'!S$2,0))</f>
        <v>0</v>
      </c>
      <c r="T31" s="9">
        <f>SUMIFS(#REF!,#REF!,
$A31,#REF!,
"&gt;="&amp;'Faturado mensal'!T$2,#REF!,
"&lt;"&amp;EOMONTH('Faturado mensal'!T$2,0))</f>
        <v>0</v>
      </c>
      <c r="U31" s="9">
        <f>SUMIFS(#REF!,#REF!,
$A31,#REF!,
"&gt;="&amp;'Faturado mensal'!U$2,#REF!,
"&lt;"&amp;EOMONTH('Faturado mensal'!U$2,0))</f>
        <v>0</v>
      </c>
      <c r="V31" s="9">
        <f>SUMIFS(#REF!,#REF!,
$A31,#REF!,
"&gt;="&amp;'Faturado mensal'!V$2,#REF!,
"&lt;"&amp;EOMONTH('Faturado mensal'!V$2,0))</f>
        <v>0</v>
      </c>
      <c r="W31" s="9">
        <f>SUMIFS(#REF!,#REF!,
$A31,#REF!,
"&gt;="&amp;'Faturado mensal'!W$2,#REF!,
"&lt;"&amp;EOMONTH('Faturado mensal'!W$2,0))</f>
        <v>0</v>
      </c>
      <c r="X31" s="9">
        <f>SUMIFS(#REF!,#REF!,
$A31,#REF!,
"&gt;="&amp;'Faturado mensal'!X$2,#REF!,
"&lt;"&amp;EOMONTH('Faturado mensal'!X$2,0))</f>
        <v>0</v>
      </c>
      <c r="Y31" s="11">
        <f>SUMIFS(#REF!,#REF!,
$A31,#REF!,
"&gt;="&amp;'Faturado mensal'!M$2,#REF!,
"&lt;"&amp;EOMONTH('Faturado mensal'!M$2,12))</f>
        <v>0</v>
      </c>
      <c r="Z31" s="9">
        <f>SUMIFS(#REF!,#REF!,
$A31,#REF!,
"&gt;="&amp;'Faturado mensal'!Z$2,#REF!,
"&lt;"&amp;EOMONTH('Faturado mensal'!Z$2,0))</f>
        <v>0</v>
      </c>
      <c r="AA31" s="9">
        <f>SUMIFS(#REF!,#REF!,
$A31,#REF!,
"&gt;="&amp;'Faturado mensal'!AA$2,#REF!,
"&lt;"&amp;EOMONTH('Faturado mensal'!AA$2,0))</f>
        <v>0</v>
      </c>
      <c r="AB31" s="9">
        <f>SUMIFS(#REF!,#REF!,
$A31,#REF!,
"&gt;="&amp;'Faturado mensal'!AB$2,#REF!,
"&lt;"&amp;EOMONTH('Faturado mensal'!AB$2,0))</f>
        <v>0</v>
      </c>
      <c r="AC31" s="9">
        <f>SUMIFS(#REF!,#REF!,
$A31,#REF!,
"&gt;="&amp;'Faturado mensal'!AC$2,#REF!,
"&lt;"&amp;EOMONTH('Faturado mensal'!AC$2,0))</f>
        <v>0</v>
      </c>
      <c r="AD31" s="9">
        <f>SUMIFS(#REF!,#REF!,
$A31,#REF!,
"&gt;="&amp;'Faturado mensal'!AD$2,#REF!,
"&lt;"&amp;EOMONTH('Faturado mensal'!AD$2,0))</f>
        <v>0</v>
      </c>
      <c r="AE31" s="9">
        <f>SUMIFS(#REF!,#REF!,
$A31,#REF!,
"&gt;="&amp;'Faturado mensal'!AE$2,#REF!,
"&lt;"&amp;EOMONTH('Faturado mensal'!AE$2,0))</f>
        <v>0</v>
      </c>
      <c r="AF31" s="9">
        <f>SUMIFS(#REF!,#REF!,
$A31,#REF!,
"&gt;="&amp;'Faturado mensal'!AF$2,#REF!,
"&lt;"&amp;EOMONTH('Faturado mensal'!AF$2,0))</f>
        <v>0</v>
      </c>
      <c r="AG31" s="9">
        <f>SUMIFS(#REF!,#REF!,
$A31,#REF!,
"&gt;="&amp;'Faturado mensal'!AG$2,#REF!,
"&lt;"&amp;EOMONTH('Faturado mensal'!AG$2,0))</f>
        <v>0</v>
      </c>
      <c r="AH31" s="9">
        <f>SUMIFS(#REF!,#REF!,
$A31,#REF!,
"&gt;="&amp;'Faturado mensal'!AH$2,#REF!,
"&lt;"&amp;EOMONTH('Faturado mensal'!AH$2,0))</f>
        <v>0</v>
      </c>
      <c r="AI31" s="9">
        <f>SUMIFS(#REF!,#REF!,
$A31,#REF!,
"&gt;="&amp;'Faturado mensal'!AI$2,#REF!,
"&lt;"&amp;EOMONTH('Faturado mensal'!AI$2,0))</f>
        <v>0</v>
      </c>
      <c r="AJ31" s="9">
        <f>SUMIFS(#REF!,#REF!,
$A31,#REF!,
"&gt;="&amp;'Faturado mensal'!AJ$2,#REF!,
"&lt;"&amp;EOMONTH('Faturado mensal'!AJ$2,0))</f>
        <v>0</v>
      </c>
      <c r="AK31" s="9">
        <f>SUMIFS(#REF!,#REF!,
$A31,#REF!,
"&gt;="&amp;'Faturado mensal'!AK$2,#REF!,
"&lt;"&amp;EOMONTH('Faturado mensal'!AK$2,0))</f>
        <v>0</v>
      </c>
      <c r="AL31" s="9">
        <f>SUMIFS(#REF!,#REF!,
$A31,#REF!,
"&gt;="&amp;Z$2,#REF!,
"&lt;"&amp;EOMONTH(AK$2,0))</f>
        <v>0</v>
      </c>
    </row>
    <row r="32" spans="1:38" x14ac:dyDescent="0.3">
      <c r="A32" t="s">
        <v>242</v>
      </c>
      <c r="B32" t="s">
        <v>243</v>
      </c>
      <c r="C32" t="s">
        <v>61</v>
      </c>
      <c r="D32" t="s">
        <v>204</v>
      </c>
      <c r="E32" t="s">
        <v>4834</v>
      </c>
      <c r="F32" t="s">
        <v>4776</v>
      </c>
      <c r="G32" t="s">
        <v>4856</v>
      </c>
      <c r="H32" t="s">
        <v>4771</v>
      </c>
      <c r="I32" t="s">
        <v>61</v>
      </c>
      <c r="J32" t="s">
        <v>710</v>
      </c>
      <c r="K32" t="s">
        <v>748</v>
      </c>
      <c r="L32" t="s">
        <v>749</v>
      </c>
      <c r="M32" s="9">
        <f>SUMIFS(#REF!,#REF!,
$A32,#REF!,
"&gt;="&amp;'Faturado mensal'!M$2,#REF!,
"&lt;"&amp;EOMONTH('Faturado mensal'!M$2,0))</f>
        <v>0</v>
      </c>
      <c r="N32" s="9">
        <f>SUMIFS(#REF!,#REF!,
$A32,#REF!,
"&gt;="&amp;'Faturado mensal'!N$2,#REF!,
"&lt;"&amp;EOMONTH('Faturado mensal'!N$2,0))</f>
        <v>9950.3700000000008</v>
      </c>
      <c r="O32" s="9">
        <f>SUMIFS(#REF!,#REF!,
$A32,#REF!,
"&gt;="&amp;'Faturado mensal'!O$2,#REF!,
"&lt;"&amp;EOMONTH('Faturado mensal'!O$2,0))</f>
        <v>874.4</v>
      </c>
      <c r="P32" s="9">
        <f>SUMIFS(#REF!,#REF!,
$A32,#REF!,
"&gt;="&amp;'Faturado mensal'!P$2,#REF!,
"&lt;"&amp;EOMONTH('Faturado mensal'!P$2,0))</f>
        <v>23.76</v>
      </c>
      <c r="Q32" s="9">
        <f>SUMIFS(#REF!,#REF!,
$A32,#REF!,
"&gt;="&amp;'Faturado mensal'!Q$2,#REF!,
"&lt;"&amp;EOMONTH('Faturado mensal'!Q$2,0))</f>
        <v>0</v>
      </c>
      <c r="R32" s="9">
        <f>SUMIFS(#REF!,#REF!,
$A32,#REF!,
"&gt;="&amp;'Faturado mensal'!R$2,#REF!,
"&lt;"&amp;EOMONTH('Faturado mensal'!R$2,0))</f>
        <v>0</v>
      </c>
      <c r="S32" s="9">
        <f>SUMIFS(#REF!,#REF!,
$A32,#REF!,
"&gt;="&amp;'Faturado mensal'!S$2,#REF!,
"&lt;"&amp;EOMONTH('Faturado mensal'!S$2,0))</f>
        <v>9852.32</v>
      </c>
      <c r="T32" s="9">
        <f>SUMIFS(#REF!,#REF!,
$A32,#REF!,
"&gt;="&amp;'Faturado mensal'!T$2,#REF!,
"&lt;"&amp;EOMONTH('Faturado mensal'!T$2,0))</f>
        <v>952.6</v>
      </c>
      <c r="U32" s="9">
        <f>SUMIFS(#REF!,#REF!,
$A32,#REF!,
"&gt;="&amp;'Faturado mensal'!U$2,#REF!,
"&lt;"&amp;EOMONTH('Faturado mensal'!U$2,0))</f>
        <v>0</v>
      </c>
      <c r="V32" s="9">
        <f>SUMIFS(#REF!,#REF!,
$A32,#REF!,
"&gt;="&amp;'Faturado mensal'!V$2,#REF!,
"&lt;"&amp;EOMONTH('Faturado mensal'!V$2,0))</f>
        <v>0</v>
      </c>
      <c r="W32" s="9">
        <f>SUMIFS(#REF!,#REF!,
$A32,#REF!,
"&gt;="&amp;'Faturado mensal'!W$2,#REF!,
"&lt;"&amp;EOMONTH('Faturado mensal'!W$2,0))</f>
        <v>13731.33</v>
      </c>
      <c r="X32" s="9">
        <f>SUMIFS(#REF!,#REF!,
$A32,#REF!,
"&gt;="&amp;'Faturado mensal'!X$2,#REF!,
"&lt;"&amp;EOMONTH('Faturado mensal'!X$2,0))</f>
        <v>0</v>
      </c>
      <c r="Y32" s="11">
        <f>SUMIFS(#REF!,#REF!,
$A32,#REF!,
"&gt;="&amp;'Faturado mensal'!M$2,#REF!,
"&lt;"&amp;EOMONTH('Faturado mensal'!M$2,12))</f>
        <v>35384.78</v>
      </c>
      <c r="Z32" s="9">
        <f>SUMIFS(#REF!,#REF!,
$A32,#REF!,
"&gt;="&amp;'Faturado mensal'!Z$2,#REF!,
"&lt;"&amp;EOMONTH('Faturado mensal'!Z$2,0))</f>
        <v>0</v>
      </c>
      <c r="AA32" s="9">
        <f>SUMIFS(#REF!,#REF!,
$A32,#REF!,
"&gt;="&amp;'Faturado mensal'!AA$2,#REF!,
"&lt;"&amp;EOMONTH('Faturado mensal'!AA$2,0))</f>
        <v>0</v>
      </c>
      <c r="AB32" s="9">
        <f>SUMIFS(#REF!,#REF!,
$A32,#REF!,
"&gt;="&amp;'Faturado mensal'!AB$2,#REF!,
"&lt;"&amp;EOMONTH('Faturado mensal'!AB$2,0))</f>
        <v>0</v>
      </c>
      <c r="AC32" s="9">
        <f>SUMIFS(#REF!,#REF!,
$A32,#REF!,
"&gt;="&amp;'Faturado mensal'!AC$2,#REF!,
"&lt;"&amp;EOMONTH('Faturado mensal'!AC$2,0))</f>
        <v>0</v>
      </c>
      <c r="AD32" s="9">
        <f>SUMIFS(#REF!,#REF!,
$A32,#REF!,
"&gt;="&amp;'Faturado mensal'!AD$2,#REF!,
"&lt;"&amp;EOMONTH('Faturado mensal'!AD$2,0))</f>
        <v>0</v>
      </c>
      <c r="AE32" s="9">
        <f>SUMIFS(#REF!,#REF!,
$A32,#REF!,
"&gt;="&amp;'Faturado mensal'!AE$2,#REF!,
"&lt;"&amp;EOMONTH('Faturado mensal'!AE$2,0))</f>
        <v>1025.04</v>
      </c>
      <c r="AF32" s="9">
        <f>SUMIFS(#REF!,#REF!,
$A32,#REF!,
"&gt;="&amp;'Faturado mensal'!AF$2,#REF!,
"&lt;"&amp;EOMONTH('Faturado mensal'!AF$2,0))</f>
        <v>0</v>
      </c>
      <c r="AG32" s="9">
        <f>SUMIFS(#REF!,#REF!,
$A32,#REF!,
"&gt;="&amp;'Faturado mensal'!AG$2,#REF!,
"&lt;"&amp;EOMONTH('Faturado mensal'!AG$2,0))</f>
        <v>0</v>
      </c>
      <c r="AH32" s="9">
        <f>SUMIFS(#REF!,#REF!,
$A32,#REF!,
"&gt;="&amp;'Faturado mensal'!AH$2,#REF!,
"&lt;"&amp;EOMONTH('Faturado mensal'!AH$2,0))</f>
        <v>0</v>
      </c>
      <c r="AI32" s="9">
        <f>SUMIFS(#REF!,#REF!,
$A32,#REF!,
"&gt;="&amp;'Faturado mensal'!AI$2,#REF!,
"&lt;"&amp;EOMONTH('Faturado mensal'!AI$2,0))</f>
        <v>0</v>
      </c>
      <c r="AJ32" s="9">
        <f>SUMIFS(#REF!,#REF!,
$A32,#REF!,
"&gt;="&amp;'Faturado mensal'!AJ$2,#REF!,
"&lt;"&amp;EOMONTH('Faturado mensal'!AJ$2,0))</f>
        <v>0</v>
      </c>
      <c r="AK32" s="9">
        <f>SUMIFS(#REF!,#REF!,
$A32,#REF!,
"&gt;="&amp;'Faturado mensal'!AK$2,#REF!,
"&lt;"&amp;EOMONTH('Faturado mensal'!AK$2,0))</f>
        <v>0</v>
      </c>
      <c r="AL32" s="9">
        <f>SUMIFS(#REF!,#REF!,
$A32,#REF!,
"&gt;="&amp;Z$2,#REF!,
"&lt;"&amp;EOMONTH(AK$2,0))</f>
        <v>1025.04</v>
      </c>
    </row>
    <row r="33" spans="1:38" x14ac:dyDescent="0.3">
      <c r="A33" t="s">
        <v>756</v>
      </c>
      <c r="B33" t="s">
        <v>757</v>
      </c>
      <c r="C33" t="s">
        <v>758</v>
      </c>
      <c r="D33" t="s">
        <v>209</v>
      </c>
      <c r="G33" t="s">
        <v>4856</v>
      </c>
      <c r="H33" t="s">
        <v>4771</v>
      </c>
      <c r="I33" t="s">
        <v>758</v>
      </c>
      <c r="J33" t="s">
        <v>710</v>
      </c>
      <c r="K33" t="s">
        <v>748</v>
      </c>
      <c r="L33" t="s">
        <v>749</v>
      </c>
      <c r="M33" s="9">
        <f>SUMIFS(#REF!,#REF!,
$A33,#REF!,
"&gt;="&amp;'Faturado mensal'!M$2,#REF!,
"&lt;"&amp;EOMONTH('Faturado mensal'!M$2,0))</f>
        <v>0</v>
      </c>
      <c r="N33" s="9">
        <f>SUMIFS(#REF!,#REF!,
$A33,#REF!,
"&gt;="&amp;'Faturado mensal'!N$2,#REF!,
"&lt;"&amp;EOMONTH('Faturado mensal'!N$2,0))</f>
        <v>0</v>
      </c>
      <c r="O33" s="9">
        <f>SUMIFS(#REF!,#REF!,
$A33,#REF!,
"&gt;="&amp;'Faturado mensal'!O$2,#REF!,
"&lt;"&amp;EOMONTH('Faturado mensal'!O$2,0))</f>
        <v>0</v>
      </c>
      <c r="P33" s="9">
        <f>SUMIFS(#REF!,#REF!,
$A33,#REF!,
"&gt;="&amp;'Faturado mensal'!P$2,#REF!,
"&lt;"&amp;EOMONTH('Faturado mensal'!P$2,0))</f>
        <v>0</v>
      </c>
      <c r="Q33" s="9">
        <f>SUMIFS(#REF!,#REF!,
$A33,#REF!,
"&gt;="&amp;'Faturado mensal'!Q$2,#REF!,
"&lt;"&amp;EOMONTH('Faturado mensal'!Q$2,0))</f>
        <v>0</v>
      </c>
      <c r="R33" s="9">
        <f>SUMIFS(#REF!,#REF!,
$A33,#REF!,
"&gt;="&amp;'Faturado mensal'!R$2,#REF!,
"&lt;"&amp;EOMONTH('Faturado mensal'!R$2,0))</f>
        <v>0</v>
      </c>
      <c r="S33" s="9">
        <f>SUMIFS(#REF!,#REF!,
$A33,#REF!,
"&gt;="&amp;'Faturado mensal'!S$2,#REF!,
"&lt;"&amp;EOMONTH('Faturado mensal'!S$2,0))</f>
        <v>0</v>
      </c>
      <c r="T33" s="9">
        <f>SUMIFS(#REF!,#REF!,
$A33,#REF!,
"&gt;="&amp;'Faturado mensal'!T$2,#REF!,
"&lt;"&amp;EOMONTH('Faturado mensal'!T$2,0))</f>
        <v>0</v>
      </c>
      <c r="U33" s="9">
        <f>SUMIFS(#REF!,#REF!,
$A33,#REF!,
"&gt;="&amp;'Faturado mensal'!U$2,#REF!,
"&lt;"&amp;EOMONTH('Faturado mensal'!U$2,0))</f>
        <v>0</v>
      </c>
      <c r="V33" s="9">
        <f>SUMIFS(#REF!,#REF!,
$A33,#REF!,
"&gt;="&amp;'Faturado mensal'!V$2,#REF!,
"&lt;"&amp;EOMONTH('Faturado mensal'!V$2,0))</f>
        <v>0</v>
      </c>
      <c r="W33" s="9">
        <f>SUMIFS(#REF!,#REF!,
$A33,#REF!,
"&gt;="&amp;'Faturado mensal'!W$2,#REF!,
"&lt;"&amp;EOMONTH('Faturado mensal'!W$2,0))</f>
        <v>0</v>
      </c>
      <c r="X33" s="9">
        <f>SUMIFS(#REF!,#REF!,
$A33,#REF!,
"&gt;="&amp;'Faturado mensal'!X$2,#REF!,
"&lt;"&amp;EOMONTH('Faturado mensal'!X$2,0))</f>
        <v>0</v>
      </c>
      <c r="Y33" s="11">
        <f>SUMIFS(#REF!,#REF!,
$A33,#REF!,
"&gt;="&amp;'Faturado mensal'!M$2,#REF!,
"&lt;"&amp;EOMONTH('Faturado mensal'!M$2,12))</f>
        <v>0</v>
      </c>
      <c r="Z33" s="9">
        <f>SUMIFS(#REF!,#REF!,
$A33,#REF!,
"&gt;="&amp;'Faturado mensal'!Z$2,#REF!,
"&lt;"&amp;EOMONTH('Faturado mensal'!Z$2,0))</f>
        <v>0</v>
      </c>
      <c r="AA33" s="9">
        <f>SUMIFS(#REF!,#REF!,
$A33,#REF!,
"&gt;="&amp;'Faturado mensal'!AA$2,#REF!,
"&lt;"&amp;EOMONTH('Faturado mensal'!AA$2,0))</f>
        <v>0</v>
      </c>
      <c r="AB33" s="9">
        <f>SUMIFS(#REF!,#REF!,
$A33,#REF!,
"&gt;="&amp;'Faturado mensal'!AB$2,#REF!,
"&lt;"&amp;EOMONTH('Faturado mensal'!AB$2,0))</f>
        <v>0</v>
      </c>
      <c r="AC33" s="9">
        <f>SUMIFS(#REF!,#REF!,
$A33,#REF!,
"&gt;="&amp;'Faturado mensal'!AC$2,#REF!,
"&lt;"&amp;EOMONTH('Faturado mensal'!AC$2,0))</f>
        <v>0</v>
      </c>
      <c r="AD33" s="9">
        <f>SUMIFS(#REF!,#REF!,
$A33,#REF!,
"&gt;="&amp;'Faturado mensal'!AD$2,#REF!,
"&lt;"&amp;EOMONTH('Faturado mensal'!AD$2,0))</f>
        <v>0</v>
      </c>
      <c r="AE33" s="9">
        <f>SUMIFS(#REF!,#REF!,
$A33,#REF!,
"&gt;="&amp;'Faturado mensal'!AE$2,#REF!,
"&lt;"&amp;EOMONTH('Faturado mensal'!AE$2,0))</f>
        <v>0</v>
      </c>
      <c r="AF33" s="9">
        <f>SUMIFS(#REF!,#REF!,
$A33,#REF!,
"&gt;="&amp;'Faturado mensal'!AF$2,#REF!,
"&lt;"&amp;EOMONTH('Faturado mensal'!AF$2,0))</f>
        <v>0</v>
      </c>
      <c r="AG33" s="9">
        <f>SUMIFS(#REF!,#REF!,
$A33,#REF!,
"&gt;="&amp;'Faturado mensal'!AG$2,#REF!,
"&lt;"&amp;EOMONTH('Faturado mensal'!AG$2,0))</f>
        <v>0</v>
      </c>
      <c r="AH33" s="9">
        <f>SUMIFS(#REF!,#REF!,
$A33,#REF!,
"&gt;="&amp;'Faturado mensal'!AH$2,#REF!,
"&lt;"&amp;EOMONTH('Faturado mensal'!AH$2,0))</f>
        <v>0</v>
      </c>
      <c r="AI33" s="9">
        <f>SUMIFS(#REF!,#REF!,
$A33,#REF!,
"&gt;="&amp;'Faturado mensal'!AI$2,#REF!,
"&lt;"&amp;EOMONTH('Faturado mensal'!AI$2,0))</f>
        <v>0</v>
      </c>
      <c r="AJ33" s="9">
        <f>SUMIFS(#REF!,#REF!,
$A33,#REF!,
"&gt;="&amp;'Faturado mensal'!AJ$2,#REF!,
"&lt;"&amp;EOMONTH('Faturado mensal'!AJ$2,0))</f>
        <v>0</v>
      </c>
      <c r="AK33" s="9">
        <f>SUMIFS(#REF!,#REF!,
$A33,#REF!,
"&gt;="&amp;'Faturado mensal'!AK$2,#REF!,
"&lt;"&amp;EOMONTH('Faturado mensal'!AK$2,0))</f>
        <v>0</v>
      </c>
      <c r="AL33" s="9">
        <f>SUMIFS(#REF!,#REF!,
$A33,#REF!,
"&gt;="&amp;Z$2,#REF!,
"&lt;"&amp;EOMONTH(AK$2,0))</f>
        <v>0</v>
      </c>
    </row>
    <row r="34" spans="1:38" x14ac:dyDescent="0.3">
      <c r="A34" t="s">
        <v>759</v>
      </c>
      <c r="B34" t="s">
        <v>340</v>
      </c>
      <c r="C34" t="s">
        <v>114</v>
      </c>
      <c r="D34" t="s">
        <v>209</v>
      </c>
      <c r="I34" t="s">
        <v>114</v>
      </c>
      <c r="J34" t="s">
        <v>710</v>
      </c>
      <c r="K34" t="s">
        <v>760</v>
      </c>
      <c r="L34" t="s">
        <v>761</v>
      </c>
      <c r="M34" s="9">
        <f>SUMIFS(#REF!,#REF!,
$A34,#REF!,
"&gt;="&amp;'Faturado mensal'!M$2,#REF!,
"&lt;"&amp;EOMONTH('Faturado mensal'!M$2,0))</f>
        <v>0</v>
      </c>
      <c r="N34" s="9">
        <f>SUMIFS(#REF!,#REF!,
$A34,#REF!,
"&gt;="&amp;'Faturado mensal'!N$2,#REF!,
"&lt;"&amp;EOMONTH('Faturado mensal'!N$2,0))</f>
        <v>0</v>
      </c>
      <c r="O34" s="9">
        <f>SUMIFS(#REF!,#REF!,
$A34,#REF!,
"&gt;="&amp;'Faturado mensal'!O$2,#REF!,
"&lt;"&amp;EOMONTH('Faturado mensal'!O$2,0))</f>
        <v>0</v>
      </c>
      <c r="P34" s="9">
        <f>SUMIFS(#REF!,#REF!,
$A34,#REF!,
"&gt;="&amp;'Faturado mensal'!P$2,#REF!,
"&lt;"&amp;EOMONTH('Faturado mensal'!P$2,0))</f>
        <v>0</v>
      </c>
      <c r="Q34" s="9">
        <f>SUMIFS(#REF!,#REF!,
$A34,#REF!,
"&gt;="&amp;'Faturado mensal'!Q$2,#REF!,
"&lt;"&amp;EOMONTH('Faturado mensal'!Q$2,0))</f>
        <v>0</v>
      </c>
      <c r="R34" s="9">
        <f>SUMIFS(#REF!,#REF!,
$A34,#REF!,
"&gt;="&amp;'Faturado mensal'!R$2,#REF!,
"&lt;"&amp;EOMONTH('Faturado mensal'!R$2,0))</f>
        <v>0</v>
      </c>
      <c r="S34" s="9">
        <f>SUMIFS(#REF!,#REF!,
$A34,#REF!,
"&gt;="&amp;'Faturado mensal'!S$2,#REF!,
"&lt;"&amp;EOMONTH('Faturado mensal'!S$2,0))</f>
        <v>0</v>
      </c>
      <c r="T34" s="9">
        <f>SUMIFS(#REF!,#REF!,
$A34,#REF!,
"&gt;="&amp;'Faturado mensal'!T$2,#REF!,
"&lt;"&amp;EOMONTH('Faturado mensal'!T$2,0))</f>
        <v>0</v>
      </c>
      <c r="U34" s="9">
        <f>SUMIFS(#REF!,#REF!,
$A34,#REF!,
"&gt;="&amp;'Faturado mensal'!U$2,#REF!,
"&lt;"&amp;EOMONTH('Faturado mensal'!U$2,0))</f>
        <v>0</v>
      </c>
      <c r="V34" s="9">
        <f>SUMIFS(#REF!,#REF!,
$A34,#REF!,
"&gt;="&amp;'Faturado mensal'!V$2,#REF!,
"&lt;"&amp;EOMONTH('Faturado mensal'!V$2,0))</f>
        <v>0</v>
      </c>
      <c r="W34" s="9">
        <f>SUMIFS(#REF!,#REF!,
$A34,#REF!,
"&gt;="&amp;'Faturado mensal'!W$2,#REF!,
"&lt;"&amp;EOMONTH('Faturado mensal'!W$2,0))</f>
        <v>0</v>
      </c>
      <c r="X34" s="9">
        <f>SUMIFS(#REF!,#REF!,
$A34,#REF!,
"&gt;="&amp;'Faturado mensal'!X$2,#REF!,
"&lt;"&amp;EOMONTH('Faturado mensal'!X$2,0))</f>
        <v>0</v>
      </c>
      <c r="Y34" s="11">
        <f>SUMIFS(#REF!,#REF!,
$A34,#REF!,
"&gt;="&amp;'Faturado mensal'!M$2,#REF!,
"&lt;"&amp;EOMONTH('Faturado mensal'!M$2,12))</f>
        <v>0</v>
      </c>
      <c r="Z34" s="9">
        <f>SUMIFS(#REF!,#REF!,
$A34,#REF!,
"&gt;="&amp;'Faturado mensal'!Z$2,#REF!,
"&lt;"&amp;EOMONTH('Faturado mensal'!Z$2,0))</f>
        <v>0</v>
      </c>
      <c r="AA34" s="9">
        <f>SUMIFS(#REF!,#REF!,
$A34,#REF!,
"&gt;="&amp;'Faturado mensal'!AA$2,#REF!,
"&lt;"&amp;EOMONTH('Faturado mensal'!AA$2,0))</f>
        <v>0</v>
      </c>
      <c r="AB34" s="9">
        <f>SUMIFS(#REF!,#REF!,
$A34,#REF!,
"&gt;="&amp;'Faturado mensal'!AB$2,#REF!,
"&lt;"&amp;EOMONTH('Faturado mensal'!AB$2,0))</f>
        <v>0</v>
      </c>
      <c r="AC34" s="9">
        <f>SUMIFS(#REF!,#REF!,
$A34,#REF!,
"&gt;="&amp;'Faturado mensal'!AC$2,#REF!,
"&lt;"&amp;EOMONTH('Faturado mensal'!AC$2,0))</f>
        <v>0</v>
      </c>
      <c r="AD34" s="9">
        <f>SUMIFS(#REF!,#REF!,
$A34,#REF!,
"&gt;="&amp;'Faturado mensal'!AD$2,#REF!,
"&lt;"&amp;EOMONTH('Faturado mensal'!AD$2,0))</f>
        <v>0</v>
      </c>
      <c r="AE34" s="9">
        <f>SUMIFS(#REF!,#REF!,
$A34,#REF!,
"&gt;="&amp;'Faturado mensal'!AE$2,#REF!,
"&lt;"&amp;EOMONTH('Faturado mensal'!AE$2,0))</f>
        <v>0</v>
      </c>
      <c r="AF34" s="9">
        <f>SUMIFS(#REF!,#REF!,
$A34,#REF!,
"&gt;="&amp;'Faturado mensal'!AF$2,#REF!,
"&lt;"&amp;EOMONTH('Faturado mensal'!AF$2,0))</f>
        <v>0</v>
      </c>
      <c r="AG34" s="9">
        <f>SUMIFS(#REF!,#REF!,
$A34,#REF!,
"&gt;="&amp;'Faturado mensal'!AG$2,#REF!,
"&lt;"&amp;EOMONTH('Faturado mensal'!AG$2,0))</f>
        <v>0</v>
      </c>
      <c r="AH34" s="9">
        <f>SUMIFS(#REF!,#REF!,
$A34,#REF!,
"&gt;="&amp;'Faturado mensal'!AH$2,#REF!,
"&lt;"&amp;EOMONTH('Faturado mensal'!AH$2,0))</f>
        <v>0</v>
      </c>
      <c r="AI34" s="9">
        <f>SUMIFS(#REF!,#REF!,
$A34,#REF!,
"&gt;="&amp;'Faturado mensal'!AI$2,#REF!,
"&lt;"&amp;EOMONTH('Faturado mensal'!AI$2,0))</f>
        <v>0</v>
      </c>
      <c r="AJ34" s="9">
        <f>SUMIFS(#REF!,#REF!,
$A34,#REF!,
"&gt;="&amp;'Faturado mensal'!AJ$2,#REF!,
"&lt;"&amp;EOMONTH('Faturado mensal'!AJ$2,0))</f>
        <v>0</v>
      </c>
      <c r="AK34" s="9">
        <f>SUMIFS(#REF!,#REF!,
$A34,#REF!,
"&gt;="&amp;'Faturado mensal'!AK$2,#REF!,
"&lt;"&amp;EOMONTH('Faturado mensal'!AK$2,0))</f>
        <v>0</v>
      </c>
      <c r="AL34" s="9">
        <f>SUMIFS(#REF!,#REF!,
$A34,#REF!,
"&gt;="&amp;Z$2,#REF!,
"&lt;"&amp;EOMONTH(AK$2,0))</f>
        <v>0</v>
      </c>
    </row>
    <row r="35" spans="1:38" x14ac:dyDescent="0.3">
      <c r="A35" t="s">
        <v>244</v>
      </c>
      <c r="B35" t="s">
        <v>245</v>
      </c>
      <c r="C35" t="s">
        <v>137</v>
      </c>
      <c r="D35" t="s">
        <v>209</v>
      </c>
      <c r="G35" t="s">
        <v>4853</v>
      </c>
      <c r="H35" t="s">
        <v>4773</v>
      </c>
      <c r="I35" t="s">
        <v>137</v>
      </c>
      <c r="J35" t="s">
        <v>710</v>
      </c>
      <c r="K35" t="s">
        <v>711</v>
      </c>
      <c r="L35" t="s">
        <v>712</v>
      </c>
      <c r="M35" s="9">
        <f>SUMIFS(#REF!,#REF!,
$A35,#REF!,
"&gt;="&amp;'Faturado mensal'!M$2,#REF!,
"&lt;"&amp;EOMONTH('Faturado mensal'!M$2,0))</f>
        <v>0</v>
      </c>
      <c r="N35" s="9">
        <f>SUMIFS(#REF!,#REF!,
$A35,#REF!,
"&gt;="&amp;'Faturado mensal'!N$2,#REF!,
"&lt;"&amp;EOMONTH('Faturado mensal'!N$2,0))</f>
        <v>0</v>
      </c>
      <c r="O35" s="9">
        <f>SUMIFS(#REF!,#REF!,
$A35,#REF!,
"&gt;="&amp;'Faturado mensal'!O$2,#REF!,
"&lt;"&amp;EOMONTH('Faturado mensal'!O$2,0))</f>
        <v>0</v>
      </c>
      <c r="P35" s="9">
        <f>SUMIFS(#REF!,#REF!,
$A35,#REF!,
"&gt;="&amp;'Faturado mensal'!P$2,#REF!,
"&lt;"&amp;EOMONTH('Faturado mensal'!P$2,0))</f>
        <v>0</v>
      </c>
      <c r="Q35" s="9">
        <f>SUMIFS(#REF!,#REF!,
$A35,#REF!,
"&gt;="&amp;'Faturado mensal'!Q$2,#REF!,
"&lt;"&amp;EOMONTH('Faturado mensal'!Q$2,0))</f>
        <v>0</v>
      </c>
      <c r="R35" s="9">
        <f>SUMIFS(#REF!,#REF!,
$A35,#REF!,
"&gt;="&amp;'Faturado mensal'!R$2,#REF!,
"&lt;"&amp;EOMONTH('Faturado mensal'!R$2,0))</f>
        <v>0</v>
      </c>
      <c r="S35" s="9">
        <f>SUMIFS(#REF!,#REF!,
$A35,#REF!,
"&gt;="&amp;'Faturado mensal'!S$2,#REF!,
"&lt;"&amp;EOMONTH('Faturado mensal'!S$2,0))</f>
        <v>0</v>
      </c>
      <c r="T35" s="9">
        <f>SUMIFS(#REF!,#REF!,
$A35,#REF!,
"&gt;="&amp;'Faturado mensal'!T$2,#REF!,
"&lt;"&amp;EOMONTH('Faturado mensal'!T$2,0))</f>
        <v>0</v>
      </c>
      <c r="U35" s="9">
        <f>SUMIFS(#REF!,#REF!,
$A35,#REF!,
"&gt;="&amp;'Faturado mensal'!U$2,#REF!,
"&lt;"&amp;EOMONTH('Faturado mensal'!U$2,0))</f>
        <v>0</v>
      </c>
      <c r="V35" s="9">
        <f>SUMIFS(#REF!,#REF!,
$A35,#REF!,
"&gt;="&amp;'Faturado mensal'!V$2,#REF!,
"&lt;"&amp;EOMONTH('Faturado mensal'!V$2,0))</f>
        <v>0</v>
      </c>
      <c r="W35" s="9">
        <f>SUMIFS(#REF!,#REF!,
$A35,#REF!,
"&gt;="&amp;'Faturado mensal'!W$2,#REF!,
"&lt;"&amp;EOMONTH('Faturado mensal'!W$2,0))</f>
        <v>0</v>
      </c>
      <c r="X35" s="9">
        <f>SUMIFS(#REF!,#REF!,
$A35,#REF!,
"&gt;="&amp;'Faturado mensal'!X$2,#REF!,
"&lt;"&amp;EOMONTH('Faturado mensal'!X$2,0))</f>
        <v>0</v>
      </c>
      <c r="Y35" s="11">
        <f>SUMIFS(#REF!,#REF!,
$A35,#REF!,
"&gt;="&amp;'Faturado mensal'!M$2,#REF!,
"&lt;"&amp;EOMONTH('Faturado mensal'!M$2,12))</f>
        <v>0</v>
      </c>
      <c r="Z35" s="9">
        <f>SUMIFS(#REF!,#REF!,
$A35,#REF!,
"&gt;="&amp;'Faturado mensal'!Z$2,#REF!,
"&lt;"&amp;EOMONTH('Faturado mensal'!Z$2,0))</f>
        <v>0</v>
      </c>
      <c r="AA35" s="9">
        <f>SUMIFS(#REF!,#REF!,
$A35,#REF!,
"&gt;="&amp;'Faturado mensal'!AA$2,#REF!,
"&lt;"&amp;EOMONTH('Faturado mensal'!AA$2,0))</f>
        <v>0</v>
      </c>
      <c r="AB35" s="9">
        <f>SUMIFS(#REF!,#REF!,
$A35,#REF!,
"&gt;="&amp;'Faturado mensal'!AB$2,#REF!,
"&lt;"&amp;EOMONTH('Faturado mensal'!AB$2,0))</f>
        <v>0</v>
      </c>
      <c r="AC35" s="9">
        <f>SUMIFS(#REF!,#REF!,
$A35,#REF!,
"&gt;="&amp;'Faturado mensal'!AC$2,#REF!,
"&lt;"&amp;EOMONTH('Faturado mensal'!AC$2,0))</f>
        <v>0</v>
      </c>
      <c r="AD35" s="9">
        <f>SUMIFS(#REF!,#REF!,
$A35,#REF!,
"&gt;="&amp;'Faturado mensal'!AD$2,#REF!,
"&lt;"&amp;EOMONTH('Faturado mensal'!AD$2,0))</f>
        <v>0</v>
      </c>
      <c r="AE35" s="9">
        <f>SUMIFS(#REF!,#REF!,
$A35,#REF!,
"&gt;="&amp;'Faturado mensal'!AE$2,#REF!,
"&lt;"&amp;EOMONTH('Faturado mensal'!AE$2,0))</f>
        <v>0</v>
      </c>
      <c r="AF35" s="9">
        <f>SUMIFS(#REF!,#REF!,
$A35,#REF!,
"&gt;="&amp;'Faturado mensal'!AF$2,#REF!,
"&lt;"&amp;EOMONTH('Faturado mensal'!AF$2,0))</f>
        <v>0</v>
      </c>
      <c r="AG35" s="9">
        <f>SUMIFS(#REF!,#REF!,
$A35,#REF!,
"&gt;="&amp;'Faturado mensal'!AG$2,#REF!,
"&lt;"&amp;EOMONTH('Faturado mensal'!AG$2,0))</f>
        <v>0</v>
      </c>
      <c r="AH35" s="9">
        <f>SUMIFS(#REF!,#REF!,
$A35,#REF!,
"&gt;="&amp;'Faturado mensal'!AH$2,#REF!,
"&lt;"&amp;EOMONTH('Faturado mensal'!AH$2,0))</f>
        <v>0</v>
      </c>
      <c r="AI35" s="9">
        <f>SUMIFS(#REF!,#REF!,
$A35,#REF!,
"&gt;="&amp;'Faturado mensal'!AI$2,#REF!,
"&lt;"&amp;EOMONTH('Faturado mensal'!AI$2,0))</f>
        <v>0</v>
      </c>
      <c r="AJ35" s="9">
        <f>SUMIFS(#REF!,#REF!,
$A35,#REF!,
"&gt;="&amp;'Faturado mensal'!AJ$2,#REF!,
"&lt;"&amp;EOMONTH('Faturado mensal'!AJ$2,0))</f>
        <v>0</v>
      </c>
      <c r="AK35" s="9">
        <f>SUMIFS(#REF!,#REF!,
$A35,#REF!,
"&gt;="&amp;'Faturado mensal'!AK$2,#REF!,
"&lt;"&amp;EOMONTH('Faturado mensal'!AK$2,0))</f>
        <v>0</v>
      </c>
      <c r="AL35" s="9">
        <f>SUMIFS(#REF!,#REF!,
$A35,#REF!,
"&gt;="&amp;Z$2,#REF!,
"&lt;"&amp;EOMONTH(AK$2,0))</f>
        <v>0</v>
      </c>
    </row>
    <row r="36" spans="1:38" x14ac:dyDescent="0.3">
      <c r="A36" t="s">
        <v>246</v>
      </c>
      <c r="B36" t="s">
        <v>243</v>
      </c>
      <c r="C36" t="s">
        <v>61</v>
      </c>
      <c r="D36" t="s">
        <v>204</v>
      </c>
      <c r="E36" t="s">
        <v>4834</v>
      </c>
      <c r="F36" t="s">
        <v>4776</v>
      </c>
      <c r="G36" t="s">
        <v>4853</v>
      </c>
      <c r="H36" t="s">
        <v>4771</v>
      </c>
      <c r="I36" t="s">
        <v>61</v>
      </c>
      <c r="J36" t="s">
        <v>710</v>
      </c>
      <c r="K36" t="s">
        <v>711</v>
      </c>
      <c r="L36" t="s">
        <v>712</v>
      </c>
      <c r="M36" s="9">
        <f>SUMIFS(#REF!,#REF!,
$A36,#REF!,
"&gt;="&amp;'Faturado mensal'!M$2,#REF!,
"&lt;"&amp;EOMONTH('Faturado mensal'!M$2,0))</f>
        <v>0</v>
      </c>
      <c r="N36" s="9">
        <f>SUMIFS(#REF!,#REF!,
$A36,#REF!,
"&gt;="&amp;'Faturado mensal'!N$2,#REF!,
"&lt;"&amp;EOMONTH('Faturado mensal'!N$2,0))</f>
        <v>0</v>
      </c>
      <c r="O36" s="9">
        <f>SUMIFS(#REF!,#REF!,
$A36,#REF!,
"&gt;="&amp;'Faturado mensal'!O$2,#REF!,
"&lt;"&amp;EOMONTH('Faturado mensal'!O$2,0))</f>
        <v>13847.93</v>
      </c>
      <c r="P36" s="9">
        <f>SUMIFS(#REF!,#REF!,
$A36,#REF!,
"&gt;="&amp;'Faturado mensal'!P$2,#REF!,
"&lt;"&amp;EOMONTH('Faturado mensal'!P$2,0))</f>
        <v>12326.81</v>
      </c>
      <c r="Q36" s="9">
        <f>SUMIFS(#REF!,#REF!,
$A36,#REF!,
"&gt;="&amp;'Faturado mensal'!Q$2,#REF!,
"&lt;"&amp;EOMONTH('Faturado mensal'!Q$2,0))</f>
        <v>0</v>
      </c>
      <c r="R36" s="9">
        <f>SUMIFS(#REF!,#REF!,
$A36,#REF!,
"&gt;="&amp;'Faturado mensal'!R$2,#REF!,
"&lt;"&amp;EOMONTH('Faturado mensal'!R$2,0))</f>
        <v>4783.17</v>
      </c>
      <c r="S36" s="9">
        <f>SUMIFS(#REF!,#REF!,
$A36,#REF!,
"&gt;="&amp;'Faturado mensal'!S$2,#REF!,
"&lt;"&amp;EOMONTH('Faturado mensal'!S$2,0))</f>
        <v>5720.6</v>
      </c>
      <c r="T36" s="9">
        <f>SUMIFS(#REF!,#REF!,
$A36,#REF!,
"&gt;="&amp;'Faturado mensal'!T$2,#REF!,
"&lt;"&amp;EOMONTH('Faturado mensal'!T$2,0))</f>
        <v>0</v>
      </c>
      <c r="U36" s="9">
        <f>SUMIFS(#REF!,#REF!,
$A36,#REF!,
"&gt;="&amp;'Faturado mensal'!U$2,#REF!,
"&lt;"&amp;EOMONTH('Faturado mensal'!U$2,0))</f>
        <v>12376.54</v>
      </c>
      <c r="V36" s="9">
        <f>SUMIFS(#REF!,#REF!,
$A36,#REF!,
"&gt;="&amp;'Faturado mensal'!V$2,#REF!,
"&lt;"&amp;EOMONTH('Faturado mensal'!V$2,0))</f>
        <v>0</v>
      </c>
      <c r="W36" s="9">
        <f>SUMIFS(#REF!,#REF!,
$A36,#REF!,
"&gt;="&amp;'Faturado mensal'!W$2,#REF!,
"&lt;"&amp;EOMONTH('Faturado mensal'!W$2,0))</f>
        <v>0</v>
      </c>
      <c r="X36" s="9">
        <f>SUMIFS(#REF!,#REF!,
$A36,#REF!,
"&gt;="&amp;'Faturado mensal'!X$2,#REF!,
"&lt;"&amp;EOMONTH('Faturado mensal'!X$2,0))</f>
        <v>20549.64</v>
      </c>
      <c r="Y36" s="11">
        <f>SUMIFS(#REF!,#REF!,
$A36,#REF!,
"&gt;="&amp;'Faturado mensal'!M$2,#REF!,
"&lt;"&amp;EOMONTH('Faturado mensal'!M$2,12))</f>
        <v>75462.98</v>
      </c>
      <c r="Z36" s="9">
        <f>SUMIFS(#REF!,#REF!,
$A36,#REF!,
"&gt;="&amp;'Faturado mensal'!Z$2,#REF!,
"&lt;"&amp;EOMONTH('Faturado mensal'!Z$2,0))</f>
        <v>5858.29</v>
      </c>
      <c r="AA36" s="9">
        <f>SUMIFS(#REF!,#REF!,
$A36,#REF!,
"&gt;="&amp;'Faturado mensal'!AA$2,#REF!,
"&lt;"&amp;EOMONTH('Faturado mensal'!AA$2,0))</f>
        <v>0</v>
      </c>
      <c r="AB36" s="9">
        <f>SUMIFS(#REF!,#REF!,
$A36,#REF!,
"&gt;="&amp;'Faturado mensal'!AB$2,#REF!,
"&lt;"&amp;EOMONTH('Faturado mensal'!AB$2,0))</f>
        <v>0</v>
      </c>
      <c r="AC36" s="9">
        <f>SUMIFS(#REF!,#REF!,
$A36,#REF!,
"&gt;="&amp;'Faturado mensal'!AC$2,#REF!,
"&lt;"&amp;EOMONTH('Faturado mensal'!AC$2,0))</f>
        <v>1535.62</v>
      </c>
      <c r="AD36" s="9">
        <f>SUMIFS(#REF!,#REF!,
$A36,#REF!,
"&gt;="&amp;'Faturado mensal'!AD$2,#REF!,
"&lt;"&amp;EOMONTH('Faturado mensal'!AD$2,0))</f>
        <v>0</v>
      </c>
      <c r="AE36" s="9">
        <f>SUMIFS(#REF!,#REF!,
$A36,#REF!,
"&gt;="&amp;'Faturado mensal'!AE$2,#REF!,
"&lt;"&amp;EOMONTH('Faturado mensal'!AE$2,0))</f>
        <v>22653.18</v>
      </c>
      <c r="AF36" s="9">
        <f>SUMIFS(#REF!,#REF!,
$A36,#REF!,
"&gt;="&amp;'Faturado mensal'!AF$2,#REF!,
"&lt;"&amp;EOMONTH('Faturado mensal'!AF$2,0))</f>
        <v>0</v>
      </c>
      <c r="AG36" s="9">
        <f>SUMIFS(#REF!,#REF!,
$A36,#REF!,
"&gt;="&amp;'Faturado mensal'!AG$2,#REF!,
"&lt;"&amp;EOMONTH('Faturado mensal'!AG$2,0))</f>
        <v>0</v>
      </c>
      <c r="AH36" s="9">
        <f>SUMIFS(#REF!,#REF!,
$A36,#REF!,
"&gt;="&amp;'Faturado mensal'!AH$2,#REF!,
"&lt;"&amp;EOMONTH('Faturado mensal'!AH$2,0))</f>
        <v>0</v>
      </c>
      <c r="AI36" s="9">
        <f>SUMIFS(#REF!,#REF!,
$A36,#REF!,
"&gt;="&amp;'Faturado mensal'!AI$2,#REF!,
"&lt;"&amp;EOMONTH('Faturado mensal'!AI$2,0))</f>
        <v>0</v>
      </c>
      <c r="AJ36" s="9">
        <f>SUMIFS(#REF!,#REF!,
$A36,#REF!,
"&gt;="&amp;'Faturado mensal'!AJ$2,#REF!,
"&lt;"&amp;EOMONTH('Faturado mensal'!AJ$2,0))</f>
        <v>0</v>
      </c>
      <c r="AK36" s="9">
        <f>SUMIFS(#REF!,#REF!,
$A36,#REF!,
"&gt;="&amp;'Faturado mensal'!AK$2,#REF!,
"&lt;"&amp;EOMONTH('Faturado mensal'!AK$2,0))</f>
        <v>0</v>
      </c>
      <c r="AL36" s="9">
        <f>SUMIFS(#REF!,#REF!,
$A36,#REF!,
"&gt;="&amp;Z$2,#REF!,
"&lt;"&amp;EOMONTH(AK$2,0))</f>
        <v>30047.09</v>
      </c>
    </row>
    <row r="37" spans="1:38" x14ac:dyDescent="0.3">
      <c r="A37" t="s">
        <v>247</v>
      </c>
      <c r="B37" t="s">
        <v>248</v>
      </c>
      <c r="C37" t="s">
        <v>13</v>
      </c>
      <c r="D37" t="s">
        <v>204</v>
      </c>
      <c r="E37" t="s">
        <v>4843</v>
      </c>
      <c r="F37" t="s">
        <v>4779</v>
      </c>
      <c r="G37" t="s">
        <v>4854</v>
      </c>
      <c r="H37" t="s">
        <v>4773</v>
      </c>
      <c r="I37" t="s">
        <v>13</v>
      </c>
      <c r="J37" t="s">
        <v>710</v>
      </c>
      <c r="K37" t="s">
        <v>720</v>
      </c>
      <c r="L37" t="s">
        <v>721</v>
      </c>
      <c r="M37" s="9">
        <f>SUMIFS(#REF!,#REF!,
$A37,#REF!,
"&gt;="&amp;'Faturado mensal'!M$2,#REF!,
"&lt;"&amp;EOMONTH('Faturado mensal'!M$2,0))</f>
        <v>488.4</v>
      </c>
      <c r="N37" s="9">
        <f>SUMIFS(#REF!,#REF!,
$A37,#REF!,
"&gt;="&amp;'Faturado mensal'!N$2,#REF!,
"&lt;"&amp;EOMONTH('Faturado mensal'!N$2,0))</f>
        <v>488.4</v>
      </c>
      <c r="O37" s="9">
        <f>SUMIFS(#REF!,#REF!,
$A37,#REF!,
"&gt;="&amp;'Faturado mensal'!O$2,#REF!,
"&lt;"&amp;EOMONTH('Faturado mensal'!O$2,0))</f>
        <v>488.4</v>
      </c>
      <c r="P37" s="9">
        <f>SUMIFS(#REF!,#REF!,
$A37,#REF!,
"&gt;="&amp;'Faturado mensal'!P$2,#REF!,
"&lt;"&amp;EOMONTH('Faturado mensal'!P$2,0))</f>
        <v>488.4</v>
      </c>
      <c r="Q37" s="9">
        <f>SUMIFS(#REF!,#REF!,
$A37,#REF!,
"&gt;="&amp;'Faturado mensal'!Q$2,#REF!,
"&lt;"&amp;EOMONTH('Faturado mensal'!Q$2,0))</f>
        <v>488.4</v>
      </c>
      <c r="R37" s="9">
        <f>SUMIFS(#REF!,#REF!,
$A37,#REF!,
"&gt;="&amp;'Faturado mensal'!R$2,#REF!,
"&lt;"&amp;EOMONTH('Faturado mensal'!R$2,0))</f>
        <v>488.4</v>
      </c>
      <c r="S37" s="9">
        <f>SUMIFS(#REF!,#REF!,
$A37,#REF!,
"&gt;="&amp;'Faturado mensal'!S$2,#REF!,
"&lt;"&amp;EOMONTH('Faturado mensal'!S$2,0))</f>
        <v>488.4</v>
      </c>
      <c r="T37" s="9">
        <f>SUMIFS(#REF!,#REF!,
$A37,#REF!,
"&gt;="&amp;'Faturado mensal'!T$2,#REF!,
"&lt;"&amp;EOMONTH('Faturado mensal'!T$2,0))</f>
        <v>488.4</v>
      </c>
      <c r="U37" s="9">
        <f>SUMIFS(#REF!,#REF!,
$A37,#REF!,
"&gt;="&amp;'Faturado mensal'!U$2,#REF!,
"&lt;"&amp;EOMONTH('Faturado mensal'!U$2,0))</f>
        <v>573.72</v>
      </c>
      <c r="V37" s="9">
        <f>SUMIFS(#REF!,#REF!,
$A37,#REF!,
"&gt;="&amp;'Faturado mensal'!V$2,#REF!,
"&lt;"&amp;EOMONTH('Faturado mensal'!V$2,0))</f>
        <v>573.72</v>
      </c>
      <c r="W37" s="9">
        <f>SUMIFS(#REF!,#REF!,
$A37,#REF!,
"&gt;="&amp;'Faturado mensal'!W$2,#REF!,
"&lt;"&amp;EOMONTH('Faturado mensal'!W$2,0))</f>
        <v>573.72</v>
      </c>
      <c r="X37" s="9">
        <f>SUMIFS(#REF!,#REF!,
$A37,#REF!,
"&gt;="&amp;'Faturado mensal'!X$2,#REF!,
"&lt;"&amp;EOMONTH('Faturado mensal'!X$2,0))</f>
        <v>573.72</v>
      </c>
      <c r="Y37" s="11">
        <f>SUMIFS(#REF!,#REF!,
$A37,#REF!,
"&gt;="&amp;'Faturado mensal'!M$2,#REF!,
"&lt;"&amp;EOMONTH('Faturado mensal'!M$2,12))</f>
        <v>6775.8000000000011</v>
      </c>
      <c r="Z37" s="9">
        <f>SUMIFS(#REF!,#REF!,
$A37,#REF!,
"&gt;="&amp;'Faturado mensal'!Z$2,#REF!,
"&lt;"&amp;EOMONTH('Faturado mensal'!Z$2,0))</f>
        <v>573.72</v>
      </c>
      <c r="AA37" s="9">
        <f>SUMIFS(#REF!,#REF!,
$A37,#REF!,
"&gt;="&amp;'Faturado mensal'!AA$2,#REF!,
"&lt;"&amp;EOMONTH('Faturado mensal'!AA$2,0))</f>
        <v>573.72</v>
      </c>
      <c r="AB37" s="9">
        <f>SUMIFS(#REF!,#REF!,
$A37,#REF!,
"&gt;="&amp;'Faturado mensal'!AB$2,#REF!,
"&lt;"&amp;EOMONTH('Faturado mensal'!AB$2,0))</f>
        <v>573.72</v>
      </c>
      <c r="AC37" s="9">
        <f>SUMIFS(#REF!,#REF!,
$A37,#REF!,
"&gt;="&amp;'Faturado mensal'!AC$2,#REF!,
"&lt;"&amp;EOMONTH('Faturado mensal'!AC$2,0))</f>
        <v>573.72</v>
      </c>
      <c r="AD37" s="9">
        <f>SUMIFS(#REF!,#REF!,
$A37,#REF!,
"&gt;="&amp;'Faturado mensal'!AD$2,#REF!,
"&lt;"&amp;EOMONTH('Faturado mensal'!AD$2,0))</f>
        <v>573.72</v>
      </c>
      <c r="AE37" s="9">
        <f>SUMIFS(#REF!,#REF!,
$A37,#REF!,
"&gt;="&amp;'Faturado mensal'!AE$2,#REF!,
"&lt;"&amp;EOMONTH('Faturado mensal'!AE$2,0))</f>
        <v>573.72</v>
      </c>
      <c r="AF37" s="9">
        <f>SUMIFS(#REF!,#REF!,
$A37,#REF!,
"&gt;="&amp;'Faturado mensal'!AF$2,#REF!,
"&lt;"&amp;EOMONTH('Faturado mensal'!AF$2,0))</f>
        <v>0</v>
      </c>
      <c r="AG37" s="9">
        <f>SUMIFS(#REF!,#REF!,
$A37,#REF!,
"&gt;="&amp;'Faturado mensal'!AG$2,#REF!,
"&lt;"&amp;EOMONTH('Faturado mensal'!AG$2,0))</f>
        <v>0</v>
      </c>
      <c r="AH37" s="9">
        <f>SUMIFS(#REF!,#REF!,
$A37,#REF!,
"&gt;="&amp;'Faturado mensal'!AH$2,#REF!,
"&lt;"&amp;EOMONTH('Faturado mensal'!AH$2,0))</f>
        <v>0</v>
      </c>
      <c r="AI37" s="9">
        <f>SUMIFS(#REF!,#REF!,
$A37,#REF!,
"&gt;="&amp;'Faturado mensal'!AI$2,#REF!,
"&lt;"&amp;EOMONTH('Faturado mensal'!AI$2,0))</f>
        <v>0</v>
      </c>
      <c r="AJ37" s="9">
        <f>SUMIFS(#REF!,#REF!,
$A37,#REF!,
"&gt;="&amp;'Faturado mensal'!AJ$2,#REF!,
"&lt;"&amp;EOMONTH('Faturado mensal'!AJ$2,0))</f>
        <v>0</v>
      </c>
      <c r="AK37" s="9">
        <f>SUMIFS(#REF!,#REF!,
$A37,#REF!,
"&gt;="&amp;'Faturado mensal'!AK$2,#REF!,
"&lt;"&amp;EOMONTH('Faturado mensal'!AK$2,0))</f>
        <v>0</v>
      </c>
      <c r="AL37" s="9">
        <f>SUMIFS(#REF!,#REF!,
$A37,#REF!,
"&gt;="&amp;Z$2,#REF!,
"&lt;"&amp;EOMONTH(AK$2,0))</f>
        <v>3442.3200000000006</v>
      </c>
    </row>
    <row r="38" spans="1:38" x14ac:dyDescent="0.3">
      <c r="A38" t="s">
        <v>249</v>
      </c>
      <c r="B38" t="s">
        <v>250</v>
      </c>
      <c r="C38" t="s">
        <v>55</v>
      </c>
      <c r="D38" t="s">
        <v>204</v>
      </c>
      <c r="E38" t="s">
        <v>4843</v>
      </c>
      <c r="F38" t="s">
        <v>4778</v>
      </c>
      <c r="G38" t="s">
        <v>4854</v>
      </c>
      <c r="H38" t="s">
        <v>4771</v>
      </c>
      <c r="I38" t="s">
        <v>55</v>
      </c>
      <c r="J38" t="s">
        <v>719</v>
      </c>
      <c r="K38" t="s">
        <v>720</v>
      </c>
      <c r="L38" t="s">
        <v>721</v>
      </c>
      <c r="M38" s="9">
        <f>SUMIFS(#REF!,#REF!,
$A38,#REF!,
"&gt;="&amp;'Faturado mensal'!M$2,#REF!,
"&lt;"&amp;EOMONTH('Faturado mensal'!M$2,0))</f>
        <v>591.63</v>
      </c>
      <c r="N38" s="9">
        <f>SUMIFS(#REF!,#REF!,
$A38,#REF!,
"&gt;="&amp;'Faturado mensal'!N$2,#REF!,
"&lt;"&amp;EOMONTH('Faturado mensal'!N$2,0))</f>
        <v>591.63</v>
      </c>
      <c r="O38" s="9">
        <f>SUMIFS(#REF!,#REF!,
$A38,#REF!,
"&gt;="&amp;'Faturado mensal'!O$2,#REF!,
"&lt;"&amp;EOMONTH('Faturado mensal'!O$2,0))</f>
        <v>643.59</v>
      </c>
      <c r="P38" s="9">
        <f>SUMIFS(#REF!,#REF!,
$A38,#REF!,
"&gt;="&amp;'Faturado mensal'!P$2,#REF!,
"&lt;"&amp;EOMONTH('Faturado mensal'!P$2,0))</f>
        <v>643.59</v>
      </c>
      <c r="Q38" s="9">
        <f>SUMIFS(#REF!,#REF!,
$A38,#REF!,
"&gt;="&amp;'Faturado mensal'!Q$2,#REF!,
"&lt;"&amp;EOMONTH('Faturado mensal'!Q$2,0))</f>
        <v>643.59</v>
      </c>
      <c r="R38" s="9">
        <f>SUMIFS(#REF!,#REF!,
$A38,#REF!,
"&gt;="&amp;'Faturado mensal'!R$2,#REF!,
"&lt;"&amp;EOMONTH('Faturado mensal'!R$2,0))</f>
        <v>643.59</v>
      </c>
      <c r="S38" s="9">
        <f>SUMIFS(#REF!,#REF!,
$A38,#REF!,
"&gt;="&amp;'Faturado mensal'!S$2,#REF!,
"&lt;"&amp;EOMONTH('Faturado mensal'!S$2,0))</f>
        <v>643.59</v>
      </c>
      <c r="T38" s="9">
        <f>SUMIFS(#REF!,#REF!,
$A38,#REF!,
"&gt;="&amp;'Faturado mensal'!T$2,#REF!,
"&lt;"&amp;EOMONTH('Faturado mensal'!T$2,0))</f>
        <v>643.59</v>
      </c>
      <c r="U38" s="9">
        <f>SUMIFS(#REF!,#REF!,
$A38,#REF!,
"&gt;="&amp;'Faturado mensal'!U$2,#REF!,
"&lt;"&amp;EOMONTH('Faturado mensal'!U$2,0))</f>
        <v>643.59</v>
      </c>
      <c r="V38" s="9">
        <f>SUMIFS(#REF!,#REF!,
$A38,#REF!,
"&gt;="&amp;'Faturado mensal'!V$2,#REF!,
"&lt;"&amp;EOMONTH('Faturado mensal'!V$2,0))</f>
        <v>643.59</v>
      </c>
      <c r="W38" s="9">
        <f>SUMIFS(#REF!,#REF!,
$A38,#REF!,
"&gt;="&amp;'Faturado mensal'!W$2,#REF!,
"&lt;"&amp;EOMONTH('Faturado mensal'!W$2,0))</f>
        <v>643.59</v>
      </c>
      <c r="X38" s="9">
        <f>SUMIFS(#REF!,#REF!,
$A38,#REF!,
"&gt;="&amp;'Faturado mensal'!X$2,#REF!,
"&lt;"&amp;EOMONTH('Faturado mensal'!X$2,0))</f>
        <v>643.59</v>
      </c>
      <c r="Y38" s="11">
        <f>SUMIFS(#REF!,#REF!,
$A38,#REF!,
"&gt;="&amp;'Faturado mensal'!M$2,#REF!,
"&lt;"&amp;EOMONTH('Faturado mensal'!M$2,12))</f>
        <v>8262.75</v>
      </c>
      <c r="Z38" s="9">
        <f>SUMIFS(#REF!,#REF!,
$A38,#REF!,
"&gt;="&amp;'Faturado mensal'!Z$2,#REF!,
"&lt;"&amp;EOMONTH('Faturado mensal'!Z$2,0))</f>
        <v>643.59</v>
      </c>
      <c r="AA38" s="9">
        <f>SUMIFS(#REF!,#REF!,
$A38,#REF!,
"&gt;="&amp;'Faturado mensal'!AA$2,#REF!,
"&lt;"&amp;EOMONTH('Faturado mensal'!AA$2,0))</f>
        <v>643.59</v>
      </c>
      <c r="AB38" s="9">
        <f>SUMIFS(#REF!,#REF!,
$A38,#REF!,
"&gt;="&amp;'Faturado mensal'!AB$2,#REF!,
"&lt;"&amp;EOMONTH('Faturado mensal'!AB$2,0))</f>
        <v>0</v>
      </c>
      <c r="AC38" s="9">
        <f>SUMIFS(#REF!,#REF!,
$A38,#REF!,
"&gt;="&amp;'Faturado mensal'!AC$2,#REF!,
"&lt;"&amp;EOMONTH('Faturado mensal'!AC$2,0))</f>
        <v>1287.18</v>
      </c>
      <c r="AD38" s="9">
        <f>SUMIFS(#REF!,#REF!,
$A38,#REF!,
"&gt;="&amp;'Faturado mensal'!AD$2,#REF!,
"&lt;"&amp;EOMONTH('Faturado mensal'!AD$2,0))</f>
        <v>643.59</v>
      </c>
      <c r="AE38" s="9">
        <f>SUMIFS(#REF!,#REF!,
$A38,#REF!,
"&gt;="&amp;'Faturado mensal'!AE$2,#REF!,
"&lt;"&amp;EOMONTH('Faturado mensal'!AE$2,0))</f>
        <v>643.59</v>
      </c>
      <c r="AF38" s="9">
        <f>SUMIFS(#REF!,#REF!,
$A38,#REF!,
"&gt;="&amp;'Faturado mensal'!AF$2,#REF!,
"&lt;"&amp;EOMONTH('Faturado mensal'!AF$2,0))</f>
        <v>0</v>
      </c>
      <c r="AG38" s="9">
        <f>SUMIFS(#REF!,#REF!,
$A38,#REF!,
"&gt;="&amp;'Faturado mensal'!AG$2,#REF!,
"&lt;"&amp;EOMONTH('Faturado mensal'!AG$2,0))</f>
        <v>0</v>
      </c>
      <c r="AH38" s="9">
        <f>SUMIFS(#REF!,#REF!,
$A38,#REF!,
"&gt;="&amp;'Faturado mensal'!AH$2,#REF!,
"&lt;"&amp;EOMONTH('Faturado mensal'!AH$2,0))</f>
        <v>0</v>
      </c>
      <c r="AI38" s="9">
        <f>SUMIFS(#REF!,#REF!,
$A38,#REF!,
"&gt;="&amp;'Faturado mensal'!AI$2,#REF!,
"&lt;"&amp;EOMONTH('Faturado mensal'!AI$2,0))</f>
        <v>0</v>
      </c>
      <c r="AJ38" s="9">
        <f>SUMIFS(#REF!,#REF!,
$A38,#REF!,
"&gt;="&amp;'Faturado mensal'!AJ$2,#REF!,
"&lt;"&amp;EOMONTH('Faturado mensal'!AJ$2,0))</f>
        <v>0</v>
      </c>
      <c r="AK38" s="9">
        <f>SUMIFS(#REF!,#REF!,
$A38,#REF!,
"&gt;="&amp;'Faturado mensal'!AK$2,#REF!,
"&lt;"&amp;EOMONTH('Faturado mensal'!AK$2,0))</f>
        <v>0</v>
      </c>
      <c r="AL38" s="9">
        <f>SUMIFS(#REF!,#REF!,
$A38,#REF!,
"&gt;="&amp;Z$2,#REF!,
"&lt;"&amp;EOMONTH(AK$2,0))</f>
        <v>3861.5400000000004</v>
      </c>
    </row>
    <row r="39" spans="1:38" x14ac:dyDescent="0.3">
      <c r="A39" t="s">
        <v>251</v>
      </c>
      <c r="B39" t="s">
        <v>252</v>
      </c>
      <c r="C39" t="s">
        <v>183</v>
      </c>
      <c r="D39" t="s">
        <v>204</v>
      </c>
      <c r="E39" t="s">
        <v>4832</v>
      </c>
      <c r="F39" t="s">
        <v>4792</v>
      </c>
      <c r="G39" t="s">
        <v>4845</v>
      </c>
      <c r="H39" t="s">
        <v>4773</v>
      </c>
      <c r="I39" t="s">
        <v>183</v>
      </c>
      <c r="J39" t="s">
        <v>719</v>
      </c>
      <c r="K39" t="s">
        <v>762</v>
      </c>
      <c r="L39" t="s">
        <v>763</v>
      </c>
      <c r="M39" s="9">
        <f>SUMIFS(#REF!,#REF!,
$A39,#REF!,
"&gt;="&amp;'Faturado mensal'!M$2,#REF!,
"&lt;"&amp;EOMONTH('Faturado mensal'!M$2,0))</f>
        <v>18900</v>
      </c>
      <c r="N39" s="9">
        <f>SUMIFS(#REF!,#REF!,
$A39,#REF!,
"&gt;="&amp;'Faturado mensal'!N$2,#REF!,
"&lt;"&amp;EOMONTH('Faturado mensal'!N$2,0))</f>
        <v>18900</v>
      </c>
      <c r="O39" s="9">
        <f>SUMIFS(#REF!,#REF!,
$A39,#REF!,
"&gt;="&amp;'Faturado mensal'!O$2,#REF!,
"&lt;"&amp;EOMONTH('Faturado mensal'!O$2,0))</f>
        <v>18900</v>
      </c>
      <c r="P39" s="9">
        <f>SUMIFS(#REF!,#REF!,
$A39,#REF!,
"&gt;="&amp;'Faturado mensal'!P$2,#REF!,
"&lt;"&amp;EOMONTH('Faturado mensal'!P$2,0))</f>
        <v>18900</v>
      </c>
      <c r="Q39" s="9">
        <f>SUMIFS(#REF!,#REF!,
$A39,#REF!,
"&gt;="&amp;'Faturado mensal'!Q$2,#REF!,
"&lt;"&amp;EOMONTH('Faturado mensal'!Q$2,0))</f>
        <v>18900</v>
      </c>
      <c r="R39" s="9">
        <f>SUMIFS(#REF!,#REF!,
$A39,#REF!,
"&gt;="&amp;'Faturado mensal'!R$2,#REF!,
"&lt;"&amp;EOMONTH('Faturado mensal'!R$2,0))</f>
        <v>18900</v>
      </c>
      <c r="S39" s="9">
        <f>SUMIFS(#REF!,#REF!,
$A39,#REF!,
"&gt;="&amp;'Faturado mensal'!S$2,#REF!,
"&lt;"&amp;EOMONTH('Faturado mensal'!S$2,0))</f>
        <v>18900</v>
      </c>
      <c r="T39" s="9">
        <f>SUMIFS(#REF!,#REF!,
$A39,#REF!,
"&gt;="&amp;'Faturado mensal'!T$2,#REF!,
"&lt;"&amp;EOMONTH('Faturado mensal'!T$2,0))</f>
        <v>18900</v>
      </c>
      <c r="U39" s="9">
        <f>SUMIFS(#REF!,#REF!,
$A39,#REF!,
"&gt;="&amp;'Faturado mensal'!U$2,#REF!,
"&lt;"&amp;EOMONTH('Faturado mensal'!U$2,0))</f>
        <v>18900</v>
      </c>
      <c r="V39" s="9">
        <f>SUMIFS(#REF!,#REF!,
$A39,#REF!,
"&gt;="&amp;'Faturado mensal'!V$2,#REF!,
"&lt;"&amp;EOMONTH('Faturado mensal'!V$2,0))</f>
        <v>18900</v>
      </c>
      <c r="W39" s="9">
        <f>SUMIFS(#REF!,#REF!,
$A39,#REF!,
"&gt;="&amp;'Faturado mensal'!W$2,#REF!,
"&lt;"&amp;EOMONTH('Faturado mensal'!W$2,0))</f>
        <v>18900</v>
      </c>
      <c r="X39" s="9">
        <f>SUMIFS(#REF!,#REF!,
$A39,#REF!,
"&gt;="&amp;'Faturado mensal'!X$2,#REF!,
"&lt;"&amp;EOMONTH('Faturado mensal'!X$2,0))</f>
        <v>18900</v>
      </c>
      <c r="Y39" s="11">
        <f>SUMIFS(#REF!,#REF!,
$A39,#REF!,
"&gt;="&amp;'Faturado mensal'!M$2,#REF!,
"&lt;"&amp;EOMONTH('Faturado mensal'!M$2,12))</f>
        <v>245700</v>
      </c>
      <c r="Z39" s="9">
        <f>SUMIFS(#REF!,#REF!,
$A39,#REF!,
"&gt;="&amp;'Faturado mensal'!Z$2,#REF!,
"&lt;"&amp;EOMONTH('Faturado mensal'!Z$2,0))</f>
        <v>18900</v>
      </c>
      <c r="AA39" s="9">
        <f>SUMIFS(#REF!,#REF!,
$A39,#REF!,
"&gt;="&amp;'Faturado mensal'!AA$2,#REF!,
"&lt;"&amp;EOMONTH('Faturado mensal'!AA$2,0))</f>
        <v>20790</v>
      </c>
      <c r="AB39" s="9">
        <f>SUMIFS(#REF!,#REF!,
$A39,#REF!,
"&gt;="&amp;'Faturado mensal'!AB$2,#REF!,
"&lt;"&amp;EOMONTH('Faturado mensal'!AB$2,0))</f>
        <v>20790</v>
      </c>
      <c r="AC39" s="9">
        <f>SUMIFS(#REF!,#REF!,
$A39,#REF!,
"&gt;="&amp;'Faturado mensal'!AC$2,#REF!,
"&lt;"&amp;EOMONTH('Faturado mensal'!AC$2,0))</f>
        <v>20790</v>
      </c>
      <c r="AD39" s="9">
        <f>SUMIFS(#REF!,#REF!,
$A39,#REF!,
"&gt;="&amp;'Faturado mensal'!AD$2,#REF!,
"&lt;"&amp;EOMONTH('Faturado mensal'!AD$2,0))</f>
        <v>20790</v>
      </c>
      <c r="AE39" s="9">
        <f>SUMIFS(#REF!,#REF!,
$A39,#REF!,
"&gt;="&amp;'Faturado mensal'!AE$2,#REF!,
"&lt;"&amp;EOMONTH('Faturado mensal'!AE$2,0))</f>
        <v>20790</v>
      </c>
      <c r="AF39" s="9">
        <f>SUMIFS(#REF!,#REF!,
$A39,#REF!,
"&gt;="&amp;'Faturado mensal'!AF$2,#REF!,
"&lt;"&amp;EOMONTH('Faturado mensal'!AF$2,0))</f>
        <v>0</v>
      </c>
      <c r="AG39" s="9">
        <f>SUMIFS(#REF!,#REF!,
$A39,#REF!,
"&gt;="&amp;'Faturado mensal'!AG$2,#REF!,
"&lt;"&amp;EOMONTH('Faturado mensal'!AG$2,0))</f>
        <v>0</v>
      </c>
      <c r="AH39" s="9">
        <f>SUMIFS(#REF!,#REF!,
$A39,#REF!,
"&gt;="&amp;'Faturado mensal'!AH$2,#REF!,
"&lt;"&amp;EOMONTH('Faturado mensal'!AH$2,0))</f>
        <v>0</v>
      </c>
      <c r="AI39" s="9">
        <f>SUMIFS(#REF!,#REF!,
$A39,#REF!,
"&gt;="&amp;'Faturado mensal'!AI$2,#REF!,
"&lt;"&amp;EOMONTH('Faturado mensal'!AI$2,0))</f>
        <v>0</v>
      </c>
      <c r="AJ39" s="9">
        <f>SUMIFS(#REF!,#REF!,
$A39,#REF!,
"&gt;="&amp;'Faturado mensal'!AJ$2,#REF!,
"&lt;"&amp;EOMONTH('Faturado mensal'!AJ$2,0))</f>
        <v>0</v>
      </c>
      <c r="AK39" s="9">
        <f>SUMIFS(#REF!,#REF!,
$A39,#REF!,
"&gt;="&amp;'Faturado mensal'!AK$2,#REF!,
"&lt;"&amp;EOMONTH('Faturado mensal'!AK$2,0))</f>
        <v>0</v>
      </c>
      <c r="AL39" s="9">
        <f>SUMIFS(#REF!,#REF!,
$A39,#REF!,
"&gt;="&amp;Z$2,#REF!,
"&lt;"&amp;EOMONTH(AK$2,0))</f>
        <v>122850</v>
      </c>
    </row>
    <row r="40" spans="1:38" x14ac:dyDescent="0.3">
      <c r="A40" t="s">
        <v>764</v>
      </c>
      <c r="B40" t="s">
        <v>765</v>
      </c>
      <c r="C40" t="s">
        <v>766</v>
      </c>
      <c r="D40" t="s">
        <v>209</v>
      </c>
      <c r="I40" t="s">
        <v>766</v>
      </c>
      <c r="J40" t="s">
        <v>710</v>
      </c>
      <c r="K40" t="s">
        <v>720</v>
      </c>
      <c r="L40" t="s">
        <v>721</v>
      </c>
      <c r="M40" s="9">
        <f>SUMIFS(#REF!,#REF!,
$A40,#REF!,
"&gt;="&amp;'Faturado mensal'!M$2,#REF!,
"&lt;"&amp;EOMONTH('Faturado mensal'!M$2,0))</f>
        <v>0</v>
      </c>
      <c r="N40" s="9">
        <f>SUMIFS(#REF!,#REF!,
$A40,#REF!,
"&gt;="&amp;'Faturado mensal'!N$2,#REF!,
"&lt;"&amp;EOMONTH('Faturado mensal'!N$2,0))</f>
        <v>0</v>
      </c>
      <c r="O40" s="9">
        <f>SUMIFS(#REF!,#REF!,
$A40,#REF!,
"&gt;="&amp;'Faturado mensal'!O$2,#REF!,
"&lt;"&amp;EOMONTH('Faturado mensal'!O$2,0))</f>
        <v>0</v>
      </c>
      <c r="P40" s="9">
        <f>SUMIFS(#REF!,#REF!,
$A40,#REF!,
"&gt;="&amp;'Faturado mensal'!P$2,#REF!,
"&lt;"&amp;EOMONTH('Faturado mensal'!P$2,0))</f>
        <v>0</v>
      </c>
      <c r="Q40" s="9">
        <f>SUMIFS(#REF!,#REF!,
$A40,#REF!,
"&gt;="&amp;'Faturado mensal'!Q$2,#REF!,
"&lt;"&amp;EOMONTH('Faturado mensal'!Q$2,0))</f>
        <v>0</v>
      </c>
      <c r="R40" s="9">
        <f>SUMIFS(#REF!,#REF!,
$A40,#REF!,
"&gt;="&amp;'Faturado mensal'!R$2,#REF!,
"&lt;"&amp;EOMONTH('Faturado mensal'!R$2,0))</f>
        <v>0</v>
      </c>
      <c r="S40" s="9">
        <f>SUMIFS(#REF!,#REF!,
$A40,#REF!,
"&gt;="&amp;'Faturado mensal'!S$2,#REF!,
"&lt;"&amp;EOMONTH('Faturado mensal'!S$2,0))</f>
        <v>0</v>
      </c>
      <c r="T40" s="9">
        <f>SUMIFS(#REF!,#REF!,
$A40,#REF!,
"&gt;="&amp;'Faturado mensal'!T$2,#REF!,
"&lt;"&amp;EOMONTH('Faturado mensal'!T$2,0))</f>
        <v>0</v>
      </c>
      <c r="U40" s="9">
        <f>SUMIFS(#REF!,#REF!,
$A40,#REF!,
"&gt;="&amp;'Faturado mensal'!U$2,#REF!,
"&lt;"&amp;EOMONTH('Faturado mensal'!U$2,0))</f>
        <v>0</v>
      </c>
      <c r="V40" s="9">
        <f>SUMIFS(#REF!,#REF!,
$A40,#REF!,
"&gt;="&amp;'Faturado mensal'!V$2,#REF!,
"&lt;"&amp;EOMONTH('Faturado mensal'!V$2,0))</f>
        <v>0</v>
      </c>
      <c r="W40" s="9">
        <f>SUMIFS(#REF!,#REF!,
$A40,#REF!,
"&gt;="&amp;'Faturado mensal'!W$2,#REF!,
"&lt;"&amp;EOMONTH('Faturado mensal'!W$2,0))</f>
        <v>0</v>
      </c>
      <c r="X40" s="9">
        <f>SUMIFS(#REF!,#REF!,
$A40,#REF!,
"&gt;="&amp;'Faturado mensal'!X$2,#REF!,
"&lt;"&amp;EOMONTH('Faturado mensal'!X$2,0))</f>
        <v>0</v>
      </c>
      <c r="Y40" s="11">
        <f>SUMIFS(#REF!,#REF!,
$A40,#REF!,
"&gt;="&amp;'Faturado mensal'!M$2,#REF!,
"&lt;"&amp;EOMONTH('Faturado mensal'!M$2,12))</f>
        <v>0</v>
      </c>
      <c r="Z40" s="9">
        <f>SUMIFS(#REF!,#REF!,
$A40,#REF!,
"&gt;="&amp;'Faturado mensal'!Z$2,#REF!,
"&lt;"&amp;EOMONTH('Faturado mensal'!Z$2,0))</f>
        <v>0</v>
      </c>
      <c r="AA40" s="9">
        <f>SUMIFS(#REF!,#REF!,
$A40,#REF!,
"&gt;="&amp;'Faturado mensal'!AA$2,#REF!,
"&lt;"&amp;EOMONTH('Faturado mensal'!AA$2,0))</f>
        <v>0</v>
      </c>
      <c r="AB40" s="9">
        <f>SUMIFS(#REF!,#REF!,
$A40,#REF!,
"&gt;="&amp;'Faturado mensal'!AB$2,#REF!,
"&lt;"&amp;EOMONTH('Faturado mensal'!AB$2,0))</f>
        <v>0</v>
      </c>
      <c r="AC40" s="9">
        <f>SUMIFS(#REF!,#REF!,
$A40,#REF!,
"&gt;="&amp;'Faturado mensal'!AC$2,#REF!,
"&lt;"&amp;EOMONTH('Faturado mensal'!AC$2,0))</f>
        <v>0</v>
      </c>
      <c r="AD40" s="9">
        <f>SUMIFS(#REF!,#REF!,
$A40,#REF!,
"&gt;="&amp;'Faturado mensal'!AD$2,#REF!,
"&lt;"&amp;EOMONTH('Faturado mensal'!AD$2,0))</f>
        <v>0</v>
      </c>
      <c r="AE40" s="9">
        <f>SUMIFS(#REF!,#REF!,
$A40,#REF!,
"&gt;="&amp;'Faturado mensal'!AE$2,#REF!,
"&lt;"&amp;EOMONTH('Faturado mensal'!AE$2,0))</f>
        <v>0</v>
      </c>
      <c r="AF40" s="9">
        <f>SUMIFS(#REF!,#REF!,
$A40,#REF!,
"&gt;="&amp;'Faturado mensal'!AF$2,#REF!,
"&lt;"&amp;EOMONTH('Faturado mensal'!AF$2,0))</f>
        <v>0</v>
      </c>
      <c r="AG40" s="9">
        <f>SUMIFS(#REF!,#REF!,
$A40,#REF!,
"&gt;="&amp;'Faturado mensal'!AG$2,#REF!,
"&lt;"&amp;EOMONTH('Faturado mensal'!AG$2,0))</f>
        <v>0</v>
      </c>
      <c r="AH40" s="9">
        <f>SUMIFS(#REF!,#REF!,
$A40,#REF!,
"&gt;="&amp;'Faturado mensal'!AH$2,#REF!,
"&lt;"&amp;EOMONTH('Faturado mensal'!AH$2,0))</f>
        <v>0</v>
      </c>
      <c r="AI40" s="9">
        <f>SUMIFS(#REF!,#REF!,
$A40,#REF!,
"&gt;="&amp;'Faturado mensal'!AI$2,#REF!,
"&lt;"&amp;EOMONTH('Faturado mensal'!AI$2,0))</f>
        <v>0</v>
      </c>
      <c r="AJ40" s="9">
        <f>SUMIFS(#REF!,#REF!,
$A40,#REF!,
"&gt;="&amp;'Faturado mensal'!AJ$2,#REF!,
"&lt;"&amp;EOMONTH('Faturado mensal'!AJ$2,0))</f>
        <v>0</v>
      </c>
      <c r="AK40" s="9">
        <f>SUMIFS(#REF!,#REF!,
$A40,#REF!,
"&gt;="&amp;'Faturado mensal'!AK$2,#REF!,
"&lt;"&amp;EOMONTH('Faturado mensal'!AK$2,0))</f>
        <v>0</v>
      </c>
      <c r="AL40" s="9">
        <f>SUMIFS(#REF!,#REF!,
$A40,#REF!,
"&gt;="&amp;Z$2,#REF!,
"&lt;"&amp;EOMONTH(AK$2,0))</f>
        <v>0</v>
      </c>
    </row>
    <row r="41" spans="1:38" x14ac:dyDescent="0.3">
      <c r="A41" t="s">
        <v>767</v>
      </c>
      <c r="B41" t="s">
        <v>254</v>
      </c>
      <c r="C41" t="s">
        <v>151</v>
      </c>
      <c r="D41" t="s">
        <v>209</v>
      </c>
      <c r="G41" t="s">
        <v>4856</v>
      </c>
      <c r="H41" t="s">
        <v>4771</v>
      </c>
      <c r="I41" t="s">
        <v>151</v>
      </c>
      <c r="J41" t="s">
        <v>710</v>
      </c>
      <c r="K41" t="s">
        <v>768</v>
      </c>
      <c r="L41" t="s">
        <v>769</v>
      </c>
      <c r="M41" s="9">
        <f>SUMIFS(#REF!,#REF!,
$A41,#REF!,
"&gt;="&amp;'Faturado mensal'!M$2,#REF!,
"&lt;"&amp;EOMONTH('Faturado mensal'!M$2,0))</f>
        <v>0</v>
      </c>
      <c r="N41" s="9">
        <f>SUMIFS(#REF!,#REF!,
$A41,#REF!,
"&gt;="&amp;'Faturado mensal'!N$2,#REF!,
"&lt;"&amp;EOMONTH('Faturado mensal'!N$2,0))</f>
        <v>0</v>
      </c>
      <c r="O41" s="9">
        <f>SUMIFS(#REF!,#REF!,
$A41,#REF!,
"&gt;="&amp;'Faturado mensal'!O$2,#REF!,
"&lt;"&amp;EOMONTH('Faturado mensal'!O$2,0))</f>
        <v>0</v>
      </c>
      <c r="P41" s="9">
        <f>SUMIFS(#REF!,#REF!,
$A41,#REF!,
"&gt;="&amp;'Faturado mensal'!P$2,#REF!,
"&lt;"&amp;EOMONTH('Faturado mensal'!P$2,0))</f>
        <v>0</v>
      </c>
      <c r="Q41" s="9">
        <f>SUMIFS(#REF!,#REF!,
$A41,#REF!,
"&gt;="&amp;'Faturado mensal'!Q$2,#REF!,
"&lt;"&amp;EOMONTH('Faturado mensal'!Q$2,0))</f>
        <v>0</v>
      </c>
      <c r="R41" s="9">
        <f>SUMIFS(#REF!,#REF!,
$A41,#REF!,
"&gt;="&amp;'Faturado mensal'!R$2,#REF!,
"&lt;"&amp;EOMONTH('Faturado mensal'!R$2,0))</f>
        <v>0</v>
      </c>
      <c r="S41" s="9">
        <f>SUMIFS(#REF!,#REF!,
$A41,#REF!,
"&gt;="&amp;'Faturado mensal'!S$2,#REF!,
"&lt;"&amp;EOMONTH('Faturado mensal'!S$2,0))</f>
        <v>0</v>
      </c>
      <c r="T41" s="9">
        <f>SUMIFS(#REF!,#REF!,
$A41,#REF!,
"&gt;="&amp;'Faturado mensal'!T$2,#REF!,
"&lt;"&amp;EOMONTH('Faturado mensal'!T$2,0))</f>
        <v>0</v>
      </c>
      <c r="U41" s="9">
        <f>SUMIFS(#REF!,#REF!,
$A41,#REF!,
"&gt;="&amp;'Faturado mensal'!U$2,#REF!,
"&lt;"&amp;EOMONTH('Faturado mensal'!U$2,0))</f>
        <v>0</v>
      </c>
      <c r="V41" s="9">
        <f>SUMIFS(#REF!,#REF!,
$A41,#REF!,
"&gt;="&amp;'Faturado mensal'!V$2,#REF!,
"&lt;"&amp;EOMONTH('Faturado mensal'!V$2,0))</f>
        <v>0</v>
      </c>
      <c r="W41" s="9">
        <f>SUMIFS(#REF!,#REF!,
$A41,#REF!,
"&gt;="&amp;'Faturado mensal'!W$2,#REF!,
"&lt;"&amp;EOMONTH('Faturado mensal'!W$2,0))</f>
        <v>0</v>
      </c>
      <c r="X41" s="9">
        <f>SUMIFS(#REF!,#REF!,
$A41,#REF!,
"&gt;="&amp;'Faturado mensal'!X$2,#REF!,
"&lt;"&amp;EOMONTH('Faturado mensal'!X$2,0))</f>
        <v>0</v>
      </c>
      <c r="Y41" s="11">
        <f>SUMIFS(#REF!,#REF!,
$A41,#REF!,
"&gt;="&amp;'Faturado mensal'!M$2,#REF!,
"&lt;"&amp;EOMONTH('Faturado mensal'!M$2,12))</f>
        <v>0</v>
      </c>
      <c r="Z41" s="9">
        <f>SUMIFS(#REF!,#REF!,
$A41,#REF!,
"&gt;="&amp;'Faturado mensal'!Z$2,#REF!,
"&lt;"&amp;EOMONTH('Faturado mensal'!Z$2,0))</f>
        <v>0</v>
      </c>
      <c r="AA41" s="9">
        <f>SUMIFS(#REF!,#REF!,
$A41,#REF!,
"&gt;="&amp;'Faturado mensal'!AA$2,#REF!,
"&lt;"&amp;EOMONTH('Faturado mensal'!AA$2,0))</f>
        <v>0</v>
      </c>
      <c r="AB41" s="9">
        <f>SUMIFS(#REF!,#REF!,
$A41,#REF!,
"&gt;="&amp;'Faturado mensal'!AB$2,#REF!,
"&lt;"&amp;EOMONTH('Faturado mensal'!AB$2,0))</f>
        <v>0</v>
      </c>
      <c r="AC41" s="9">
        <f>SUMIFS(#REF!,#REF!,
$A41,#REF!,
"&gt;="&amp;'Faturado mensal'!AC$2,#REF!,
"&lt;"&amp;EOMONTH('Faturado mensal'!AC$2,0))</f>
        <v>0</v>
      </c>
      <c r="AD41" s="9">
        <f>SUMIFS(#REF!,#REF!,
$A41,#REF!,
"&gt;="&amp;'Faturado mensal'!AD$2,#REF!,
"&lt;"&amp;EOMONTH('Faturado mensal'!AD$2,0))</f>
        <v>0</v>
      </c>
      <c r="AE41" s="9">
        <f>SUMIFS(#REF!,#REF!,
$A41,#REF!,
"&gt;="&amp;'Faturado mensal'!AE$2,#REF!,
"&lt;"&amp;EOMONTH('Faturado mensal'!AE$2,0))</f>
        <v>0</v>
      </c>
      <c r="AF41" s="9">
        <f>SUMIFS(#REF!,#REF!,
$A41,#REF!,
"&gt;="&amp;'Faturado mensal'!AF$2,#REF!,
"&lt;"&amp;EOMONTH('Faturado mensal'!AF$2,0))</f>
        <v>0</v>
      </c>
      <c r="AG41" s="9">
        <f>SUMIFS(#REF!,#REF!,
$A41,#REF!,
"&gt;="&amp;'Faturado mensal'!AG$2,#REF!,
"&lt;"&amp;EOMONTH('Faturado mensal'!AG$2,0))</f>
        <v>0</v>
      </c>
      <c r="AH41" s="9">
        <f>SUMIFS(#REF!,#REF!,
$A41,#REF!,
"&gt;="&amp;'Faturado mensal'!AH$2,#REF!,
"&lt;"&amp;EOMONTH('Faturado mensal'!AH$2,0))</f>
        <v>0</v>
      </c>
      <c r="AI41" s="9">
        <f>SUMIFS(#REF!,#REF!,
$A41,#REF!,
"&gt;="&amp;'Faturado mensal'!AI$2,#REF!,
"&lt;"&amp;EOMONTH('Faturado mensal'!AI$2,0))</f>
        <v>0</v>
      </c>
      <c r="AJ41" s="9">
        <f>SUMIFS(#REF!,#REF!,
$A41,#REF!,
"&gt;="&amp;'Faturado mensal'!AJ$2,#REF!,
"&lt;"&amp;EOMONTH('Faturado mensal'!AJ$2,0))</f>
        <v>0</v>
      </c>
      <c r="AK41" s="9">
        <f>SUMIFS(#REF!,#REF!,
$A41,#REF!,
"&gt;="&amp;'Faturado mensal'!AK$2,#REF!,
"&lt;"&amp;EOMONTH('Faturado mensal'!AK$2,0))</f>
        <v>0</v>
      </c>
      <c r="AL41" s="9">
        <f>SUMIFS(#REF!,#REF!,
$A41,#REF!,
"&gt;="&amp;Z$2,#REF!,
"&lt;"&amp;EOMONTH(AK$2,0))</f>
        <v>0</v>
      </c>
    </row>
    <row r="42" spans="1:38" x14ac:dyDescent="0.3">
      <c r="A42" t="s">
        <v>253</v>
      </c>
      <c r="B42" t="s">
        <v>254</v>
      </c>
      <c r="C42" t="s">
        <v>151</v>
      </c>
      <c r="D42" t="s">
        <v>209</v>
      </c>
      <c r="G42" t="s">
        <v>4856</v>
      </c>
      <c r="H42" t="s">
        <v>4771</v>
      </c>
      <c r="I42" t="s">
        <v>151</v>
      </c>
      <c r="J42" t="s">
        <v>710</v>
      </c>
      <c r="K42" t="s">
        <v>768</v>
      </c>
      <c r="L42" t="s">
        <v>769</v>
      </c>
      <c r="M42" s="9">
        <f>SUMIFS(#REF!,#REF!,
$A42,#REF!,
"&gt;="&amp;'Faturado mensal'!M$2,#REF!,
"&lt;"&amp;EOMONTH('Faturado mensal'!M$2,0))</f>
        <v>0</v>
      </c>
      <c r="N42" s="9">
        <f>SUMIFS(#REF!,#REF!,
$A42,#REF!,
"&gt;="&amp;'Faturado mensal'!N$2,#REF!,
"&lt;"&amp;EOMONTH('Faturado mensal'!N$2,0))</f>
        <v>0</v>
      </c>
      <c r="O42" s="9">
        <f>SUMIFS(#REF!,#REF!,
$A42,#REF!,
"&gt;="&amp;'Faturado mensal'!O$2,#REF!,
"&lt;"&amp;EOMONTH('Faturado mensal'!O$2,0))</f>
        <v>0</v>
      </c>
      <c r="P42" s="9">
        <f>SUMIFS(#REF!,#REF!,
$A42,#REF!,
"&gt;="&amp;'Faturado mensal'!P$2,#REF!,
"&lt;"&amp;EOMONTH('Faturado mensal'!P$2,0))</f>
        <v>0</v>
      </c>
      <c r="Q42" s="9">
        <f>SUMIFS(#REF!,#REF!,
$A42,#REF!,
"&gt;="&amp;'Faturado mensal'!Q$2,#REF!,
"&lt;"&amp;EOMONTH('Faturado mensal'!Q$2,0))</f>
        <v>0</v>
      </c>
      <c r="R42" s="9">
        <f>SUMIFS(#REF!,#REF!,
$A42,#REF!,
"&gt;="&amp;'Faturado mensal'!R$2,#REF!,
"&lt;"&amp;EOMONTH('Faturado mensal'!R$2,0))</f>
        <v>0</v>
      </c>
      <c r="S42" s="9">
        <f>SUMIFS(#REF!,#REF!,
$A42,#REF!,
"&gt;="&amp;'Faturado mensal'!S$2,#REF!,
"&lt;"&amp;EOMONTH('Faturado mensal'!S$2,0))</f>
        <v>0</v>
      </c>
      <c r="T42" s="9">
        <f>SUMIFS(#REF!,#REF!,
$A42,#REF!,
"&gt;="&amp;'Faturado mensal'!T$2,#REF!,
"&lt;"&amp;EOMONTH('Faturado mensal'!T$2,0))</f>
        <v>0</v>
      </c>
      <c r="U42" s="9">
        <f>SUMIFS(#REF!,#REF!,
$A42,#REF!,
"&gt;="&amp;'Faturado mensal'!U$2,#REF!,
"&lt;"&amp;EOMONTH('Faturado mensal'!U$2,0))</f>
        <v>0</v>
      </c>
      <c r="V42" s="9">
        <f>SUMIFS(#REF!,#REF!,
$A42,#REF!,
"&gt;="&amp;'Faturado mensal'!V$2,#REF!,
"&lt;"&amp;EOMONTH('Faturado mensal'!V$2,0))</f>
        <v>0</v>
      </c>
      <c r="W42" s="9">
        <f>SUMIFS(#REF!,#REF!,
$A42,#REF!,
"&gt;="&amp;'Faturado mensal'!W$2,#REF!,
"&lt;"&amp;EOMONTH('Faturado mensal'!W$2,0))</f>
        <v>0</v>
      </c>
      <c r="X42" s="9">
        <f>SUMIFS(#REF!,#REF!,
$A42,#REF!,
"&gt;="&amp;'Faturado mensal'!X$2,#REF!,
"&lt;"&amp;EOMONTH('Faturado mensal'!X$2,0))</f>
        <v>0</v>
      </c>
      <c r="Y42" s="11">
        <f>SUMIFS(#REF!,#REF!,
$A42,#REF!,
"&gt;="&amp;'Faturado mensal'!M$2,#REF!,
"&lt;"&amp;EOMONTH('Faturado mensal'!M$2,12))</f>
        <v>0</v>
      </c>
      <c r="Z42" s="9">
        <f>SUMIFS(#REF!,#REF!,
$A42,#REF!,
"&gt;="&amp;'Faturado mensal'!Z$2,#REF!,
"&lt;"&amp;EOMONTH('Faturado mensal'!Z$2,0))</f>
        <v>0</v>
      </c>
      <c r="AA42" s="9">
        <f>SUMIFS(#REF!,#REF!,
$A42,#REF!,
"&gt;="&amp;'Faturado mensal'!AA$2,#REF!,
"&lt;"&amp;EOMONTH('Faturado mensal'!AA$2,0))</f>
        <v>0</v>
      </c>
      <c r="AB42" s="9">
        <f>SUMIFS(#REF!,#REF!,
$A42,#REF!,
"&gt;="&amp;'Faturado mensal'!AB$2,#REF!,
"&lt;"&amp;EOMONTH('Faturado mensal'!AB$2,0))</f>
        <v>0</v>
      </c>
      <c r="AC42" s="9">
        <f>SUMIFS(#REF!,#REF!,
$A42,#REF!,
"&gt;="&amp;'Faturado mensal'!AC$2,#REF!,
"&lt;"&amp;EOMONTH('Faturado mensal'!AC$2,0))</f>
        <v>0</v>
      </c>
      <c r="AD42" s="9">
        <f>SUMIFS(#REF!,#REF!,
$A42,#REF!,
"&gt;="&amp;'Faturado mensal'!AD$2,#REF!,
"&lt;"&amp;EOMONTH('Faturado mensal'!AD$2,0))</f>
        <v>0</v>
      </c>
      <c r="AE42" s="9">
        <f>SUMIFS(#REF!,#REF!,
$A42,#REF!,
"&gt;="&amp;'Faturado mensal'!AE$2,#REF!,
"&lt;"&amp;EOMONTH('Faturado mensal'!AE$2,0))</f>
        <v>0</v>
      </c>
      <c r="AF42" s="9">
        <f>SUMIFS(#REF!,#REF!,
$A42,#REF!,
"&gt;="&amp;'Faturado mensal'!AF$2,#REF!,
"&lt;"&amp;EOMONTH('Faturado mensal'!AF$2,0))</f>
        <v>0</v>
      </c>
      <c r="AG42" s="9">
        <f>SUMIFS(#REF!,#REF!,
$A42,#REF!,
"&gt;="&amp;'Faturado mensal'!AG$2,#REF!,
"&lt;"&amp;EOMONTH('Faturado mensal'!AG$2,0))</f>
        <v>0</v>
      </c>
      <c r="AH42" s="9">
        <f>SUMIFS(#REF!,#REF!,
$A42,#REF!,
"&gt;="&amp;'Faturado mensal'!AH$2,#REF!,
"&lt;"&amp;EOMONTH('Faturado mensal'!AH$2,0))</f>
        <v>0</v>
      </c>
      <c r="AI42" s="9">
        <f>SUMIFS(#REF!,#REF!,
$A42,#REF!,
"&gt;="&amp;'Faturado mensal'!AI$2,#REF!,
"&lt;"&amp;EOMONTH('Faturado mensal'!AI$2,0))</f>
        <v>0</v>
      </c>
      <c r="AJ42" s="9">
        <f>SUMIFS(#REF!,#REF!,
$A42,#REF!,
"&gt;="&amp;'Faturado mensal'!AJ$2,#REF!,
"&lt;"&amp;EOMONTH('Faturado mensal'!AJ$2,0))</f>
        <v>0</v>
      </c>
      <c r="AK42" s="9">
        <f>SUMIFS(#REF!,#REF!,
$A42,#REF!,
"&gt;="&amp;'Faturado mensal'!AK$2,#REF!,
"&lt;"&amp;EOMONTH('Faturado mensal'!AK$2,0))</f>
        <v>0</v>
      </c>
      <c r="AL42" s="9">
        <f>SUMIFS(#REF!,#REF!,
$A42,#REF!,
"&gt;="&amp;Z$2,#REF!,
"&lt;"&amp;EOMONTH(AK$2,0))</f>
        <v>0</v>
      </c>
    </row>
    <row r="43" spans="1:38" x14ac:dyDescent="0.3">
      <c r="A43" t="s">
        <v>770</v>
      </c>
      <c r="B43" t="s">
        <v>771</v>
      </c>
      <c r="C43" t="s">
        <v>772</v>
      </c>
      <c r="D43" t="s">
        <v>209</v>
      </c>
      <c r="I43" t="s">
        <v>772</v>
      </c>
      <c r="J43" t="s">
        <v>710</v>
      </c>
      <c r="K43" t="s">
        <v>711</v>
      </c>
      <c r="L43" t="s">
        <v>712</v>
      </c>
      <c r="M43" s="9">
        <f>SUMIFS(#REF!,#REF!,
$A43,#REF!,
"&gt;="&amp;'Faturado mensal'!M$2,#REF!,
"&lt;"&amp;EOMONTH('Faturado mensal'!M$2,0))</f>
        <v>0</v>
      </c>
      <c r="N43" s="9">
        <f>SUMIFS(#REF!,#REF!,
$A43,#REF!,
"&gt;="&amp;'Faturado mensal'!N$2,#REF!,
"&lt;"&amp;EOMONTH('Faturado mensal'!N$2,0))</f>
        <v>0</v>
      </c>
      <c r="O43" s="9">
        <f>SUMIFS(#REF!,#REF!,
$A43,#REF!,
"&gt;="&amp;'Faturado mensal'!O$2,#REF!,
"&lt;"&amp;EOMONTH('Faturado mensal'!O$2,0))</f>
        <v>0</v>
      </c>
      <c r="P43" s="9">
        <f>SUMIFS(#REF!,#REF!,
$A43,#REF!,
"&gt;="&amp;'Faturado mensal'!P$2,#REF!,
"&lt;"&amp;EOMONTH('Faturado mensal'!P$2,0))</f>
        <v>0</v>
      </c>
      <c r="Q43" s="9">
        <f>SUMIFS(#REF!,#REF!,
$A43,#REF!,
"&gt;="&amp;'Faturado mensal'!Q$2,#REF!,
"&lt;"&amp;EOMONTH('Faturado mensal'!Q$2,0))</f>
        <v>0</v>
      </c>
      <c r="R43" s="9">
        <f>SUMIFS(#REF!,#REF!,
$A43,#REF!,
"&gt;="&amp;'Faturado mensal'!R$2,#REF!,
"&lt;"&amp;EOMONTH('Faturado mensal'!R$2,0))</f>
        <v>0</v>
      </c>
      <c r="S43" s="9">
        <f>SUMIFS(#REF!,#REF!,
$A43,#REF!,
"&gt;="&amp;'Faturado mensal'!S$2,#REF!,
"&lt;"&amp;EOMONTH('Faturado mensal'!S$2,0))</f>
        <v>0</v>
      </c>
      <c r="T43" s="9">
        <f>SUMIFS(#REF!,#REF!,
$A43,#REF!,
"&gt;="&amp;'Faturado mensal'!T$2,#REF!,
"&lt;"&amp;EOMONTH('Faturado mensal'!T$2,0))</f>
        <v>0</v>
      </c>
      <c r="U43" s="9">
        <f>SUMIFS(#REF!,#REF!,
$A43,#REF!,
"&gt;="&amp;'Faturado mensal'!U$2,#REF!,
"&lt;"&amp;EOMONTH('Faturado mensal'!U$2,0))</f>
        <v>0</v>
      </c>
      <c r="V43" s="9">
        <f>SUMIFS(#REF!,#REF!,
$A43,#REF!,
"&gt;="&amp;'Faturado mensal'!V$2,#REF!,
"&lt;"&amp;EOMONTH('Faturado mensal'!V$2,0))</f>
        <v>0</v>
      </c>
      <c r="W43" s="9">
        <f>SUMIFS(#REF!,#REF!,
$A43,#REF!,
"&gt;="&amp;'Faturado mensal'!W$2,#REF!,
"&lt;"&amp;EOMONTH('Faturado mensal'!W$2,0))</f>
        <v>0</v>
      </c>
      <c r="X43" s="9">
        <f>SUMIFS(#REF!,#REF!,
$A43,#REF!,
"&gt;="&amp;'Faturado mensal'!X$2,#REF!,
"&lt;"&amp;EOMONTH('Faturado mensal'!X$2,0))</f>
        <v>0</v>
      </c>
      <c r="Y43" s="11">
        <f>SUMIFS(#REF!,#REF!,
$A43,#REF!,
"&gt;="&amp;'Faturado mensal'!M$2,#REF!,
"&lt;"&amp;EOMONTH('Faturado mensal'!M$2,12))</f>
        <v>0</v>
      </c>
      <c r="Z43" s="9">
        <f>SUMIFS(#REF!,#REF!,
$A43,#REF!,
"&gt;="&amp;'Faturado mensal'!Z$2,#REF!,
"&lt;"&amp;EOMONTH('Faturado mensal'!Z$2,0))</f>
        <v>0</v>
      </c>
      <c r="AA43" s="9">
        <f>SUMIFS(#REF!,#REF!,
$A43,#REF!,
"&gt;="&amp;'Faturado mensal'!AA$2,#REF!,
"&lt;"&amp;EOMONTH('Faturado mensal'!AA$2,0))</f>
        <v>0</v>
      </c>
      <c r="AB43" s="9">
        <f>SUMIFS(#REF!,#REF!,
$A43,#REF!,
"&gt;="&amp;'Faturado mensal'!AB$2,#REF!,
"&lt;"&amp;EOMONTH('Faturado mensal'!AB$2,0))</f>
        <v>0</v>
      </c>
      <c r="AC43" s="9">
        <f>SUMIFS(#REF!,#REF!,
$A43,#REF!,
"&gt;="&amp;'Faturado mensal'!AC$2,#REF!,
"&lt;"&amp;EOMONTH('Faturado mensal'!AC$2,0))</f>
        <v>0</v>
      </c>
      <c r="AD43" s="9">
        <f>SUMIFS(#REF!,#REF!,
$A43,#REF!,
"&gt;="&amp;'Faturado mensal'!AD$2,#REF!,
"&lt;"&amp;EOMONTH('Faturado mensal'!AD$2,0))</f>
        <v>0</v>
      </c>
      <c r="AE43" s="9">
        <f>SUMIFS(#REF!,#REF!,
$A43,#REF!,
"&gt;="&amp;'Faturado mensal'!AE$2,#REF!,
"&lt;"&amp;EOMONTH('Faturado mensal'!AE$2,0))</f>
        <v>0</v>
      </c>
      <c r="AF43" s="9">
        <f>SUMIFS(#REF!,#REF!,
$A43,#REF!,
"&gt;="&amp;'Faturado mensal'!AF$2,#REF!,
"&lt;"&amp;EOMONTH('Faturado mensal'!AF$2,0))</f>
        <v>0</v>
      </c>
      <c r="AG43" s="9">
        <f>SUMIFS(#REF!,#REF!,
$A43,#REF!,
"&gt;="&amp;'Faturado mensal'!AG$2,#REF!,
"&lt;"&amp;EOMONTH('Faturado mensal'!AG$2,0))</f>
        <v>0</v>
      </c>
      <c r="AH43" s="9">
        <f>SUMIFS(#REF!,#REF!,
$A43,#REF!,
"&gt;="&amp;'Faturado mensal'!AH$2,#REF!,
"&lt;"&amp;EOMONTH('Faturado mensal'!AH$2,0))</f>
        <v>0</v>
      </c>
      <c r="AI43" s="9">
        <f>SUMIFS(#REF!,#REF!,
$A43,#REF!,
"&gt;="&amp;'Faturado mensal'!AI$2,#REF!,
"&lt;"&amp;EOMONTH('Faturado mensal'!AI$2,0))</f>
        <v>0</v>
      </c>
      <c r="AJ43" s="9">
        <f>SUMIFS(#REF!,#REF!,
$A43,#REF!,
"&gt;="&amp;'Faturado mensal'!AJ$2,#REF!,
"&lt;"&amp;EOMONTH('Faturado mensal'!AJ$2,0))</f>
        <v>0</v>
      </c>
      <c r="AK43" s="9">
        <f>SUMIFS(#REF!,#REF!,
$A43,#REF!,
"&gt;="&amp;'Faturado mensal'!AK$2,#REF!,
"&lt;"&amp;EOMONTH('Faturado mensal'!AK$2,0))</f>
        <v>0</v>
      </c>
      <c r="AL43" s="9">
        <f>SUMIFS(#REF!,#REF!,
$A43,#REF!,
"&gt;="&amp;Z$2,#REF!,
"&lt;"&amp;EOMONTH(AK$2,0))</f>
        <v>0</v>
      </c>
    </row>
    <row r="44" spans="1:38" x14ac:dyDescent="0.3">
      <c r="A44" t="s">
        <v>773</v>
      </c>
      <c r="B44" t="s">
        <v>774</v>
      </c>
      <c r="C44" t="s">
        <v>775</v>
      </c>
      <c r="D44" t="s">
        <v>204</v>
      </c>
      <c r="E44" t="s">
        <v>1042</v>
      </c>
      <c r="F44" t="s">
        <v>1006</v>
      </c>
      <c r="G44" t="s">
        <v>4853</v>
      </c>
      <c r="H44" t="s">
        <v>4771</v>
      </c>
      <c r="I44" t="s">
        <v>775</v>
      </c>
      <c r="J44" t="s">
        <v>710</v>
      </c>
      <c r="K44" t="s">
        <v>711</v>
      </c>
      <c r="L44" t="s">
        <v>712</v>
      </c>
      <c r="M44" s="9">
        <f>SUMIFS(#REF!,#REF!,
$A44,#REF!,
"&gt;="&amp;'Faturado mensal'!M$2,#REF!,
"&lt;"&amp;EOMONTH('Faturado mensal'!M$2,0))</f>
        <v>0</v>
      </c>
      <c r="N44" s="9">
        <f>SUMIFS(#REF!,#REF!,
$A44,#REF!,
"&gt;="&amp;'Faturado mensal'!N$2,#REF!,
"&lt;"&amp;EOMONTH('Faturado mensal'!N$2,0))</f>
        <v>0</v>
      </c>
      <c r="O44" s="9">
        <f>SUMIFS(#REF!,#REF!,
$A44,#REF!,
"&gt;="&amp;'Faturado mensal'!O$2,#REF!,
"&lt;"&amp;EOMONTH('Faturado mensal'!O$2,0))</f>
        <v>0</v>
      </c>
      <c r="P44" s="9">
        <f>SUMIFS(#REF!,#REF!,
$A44,#REF!,
"&gt;="&amp;'Faturado mensal'!P$2,#REF!,
"&lt;"&amp;EOMONTH('Faturado mensal'!P$2,0))</f>
        <v>0</v>
      </c>
      <c r="Q44" s="9">
        <f>SUMIFS(#REF!,#REF!,
$A44,#REF!,
"&gt;="&amp;'Faturado mensal'!Q$2,#REF!,
"&lt;"&amp;EOMONTH('Faturado mensal'!Q$2,0))</f>
        <v>0</v>
      </c>
      <c r="R44" s="9">
        <f>SUMIFS(#REF!,#REF!,
$A44,#REF!,
"&gt;="&amp;'Faturado mensal'!R$2,#REF!,
"&lt;"&amp;EOMONTH('Faturado mensal'!R$2,0))</f>
        <v>0</v>
      </c>
      <c r="S44" s="9">
        <f>SUMIFS(#REF!,#REF!,
$A44,#REF!,
"&gt;="&amp;'Faturado mensal'!S$2,#REF!,
"&lt;"&amp;EOMONTH('Faturado mensal'!S$2,0))</f>
        <v>0</v>
      </c>
      <c r="T44" s="9">
        <f>SUMIFS(#REF!,#REF!,
$A44,#REF!,
"&gt;="&amp;'Faturado mensal'!T$2,#REF!,
"&lt;"&amp;EOMONTH('Faturado mensal'!T$2,0))</f>
        <v>0</v>
      </c>
      <c r="U44" s="9">
        <f>SUMIFS(#REF!,#REF!,
$A44,#REF!,
"&gt;="&amp;'Faturado mensal'!U$2,#REF!,
"&lt;"&amp;EOMONTH('Faturado mensal'!U$2,0))</f>
        <v>0</v>
      </c>
      <c r="V44" s="9">
        <f>SUMIFS(#REF!,#REF!,
$A44,#REF!,
"&gt;="&amp;'Faturado mensal'!V$2,#REF!,
"&lt;"&amp;EOMONTH('Faturado mensal'!V$2,0))</f>
        <v>0</v>
      </c>
      <c r="W44" s="9">
        <f>SUMIFS(#REF!,#REF!,
$A44,#REF!,
"&gt;="&amp;'Faturado mensal'!W$2,#REF!,
"&lt;"&amp;EOMONTH('Faturado mensal'!W$2,0))</f>
        <v>0</v>
      </c>
      <c r="X44" s="9">
        <f>SUMIFS(#REF!,#REF!,
$A44,#REF!,
"&gt;="&amp;'Faturado mensal'!X$2,#REF!,
"&lt;"&amp;EOMONTH('Faturado mensal'!X$2,0))</f>
        <v>0</v>
      </c>
      <c r="Y44" s="11">
        <f>SUMIFS(#REF!,#REF!,
$A44,#REF!,
"&gt;="&amp;'Faturado mensal'!M$2,#REF!,
"&lt;"&amp;EOMONTH('Faturado mensal'!M$2,12))</f>
        <v>0</v>
      </c>
      <c r="Z44" s="9">
        <f>SUMIFS(#REF!,#REF!,
$A44,#REF!,
"&gt;="&amp;'Faturado mensal'!Z$2,#REF!,
"&lt;"&amp;EOMONTH('Faturado mensal'!Z$2,0))</f>
        <v>0</v>
      </c>
      <c r="AA44" s="9">
        <f>SUMIFS(#REF!,#REF!,
$A44,#REF!,
"&gt;="&amp;'Faturado mensal'!AA$2,#REF!,
"&lt;"&amp;EOMONTH('Faturado mensal'!AA$2,0))</f>
        <v>0</v>
      </c>
      <c r="AB44" s="9">
        <f>SUMIFS(#REF!,#REF!,
$A44,#REF!,
"&gt;="&amp;'Faturado mensal'!AB$2,#REF!,
"&lt;"&amp;EOMONTH('Faturado mensal'!AB$2,0))</f>
        <v>0</v>
      </c>
      <c r="AC44" s="9">
        <f>SUMIFS(#REF!,#REF!,
$A44,#REF!,
"&gt;="&amp;'Faturado mensal'!AC$2,#REF!,
"&lt;"&amp;EOMONTH('Faturado mensal'!AC$2,0))</f>
        <v>0</v>
      </c>
      <c r="AD44" s="9">
        <f>SUMIFS(#REF!,#REF!,
$A44,#REF!,
"&gt;="&amp;'Faturado mensal'!AD$2,#REF!,
"&lt;"&amp;EOMONTH('Faturado mensal'!AD$2,0))</f>
        <v>0</v>
      </c>
      <c r="AE44" s="9">
        <f>SUMIFS(#REF!,#REF!,
$A44,#REF!,
"&gt;="&amp;'Faturado mensal'!AE$2,#REF!,
"&lt;"&amp;EOMONTH('Faturado mensal'!AE$2,0))</f>
        <v>0</v>
      </c>
      <c r="AF44" s="9">
        <f>SUMIFS(#REF!,#REF!,
$A44,#REF!,
"&gt;="&amp;'Faturado mensal'!AF$2,#REF!,
"&lt;"&amp;EOMONTH('Faturado mensal'!AF$2,0))</f>
        <v>0</v>
      </c>
      <c r="AG44" s="9">
        <f>SUMIFS(#REF!,#REF!,
$A44,#REF!,
"&gt;="&amp;'Faturado mensal'!AG$2,#REF!,
"&lt;"&amp;EOMONTH('Faturado mensal'!AG$2,0))</f>
        <v>0</v>
      </c>
      <c r="AH44" s="9">
        <f>SUMIFS(#REF!,#REF!,
$A44,#REF!,
"&gt;="&amp;'Faturado mensal'!AH$2,#REF!,
"&lt;"&amp;EOMONTH('Faturado mensal'!AH$2,0))</f>
        <v>0</v>
      </c>
      <c r="AI44" s="9">
        <f>SUMIFS(#REF!,#REF!,
$A44,#REF!,
"&gt;="&amp;'Faturado mensal'!AI$2,#REF!,
"&lt;"&amp;EOMONTH('Faturado mensal'!AI$2,0))</f>
        <v>0</v>
      </c>
      <c r="AJ44" s="9">
        <f>SUMIFS(#REF!,#REF!,
$A44,#REF!,
"&gt;="&amp;'Faturado mensal'!AJ$2,#REF!,
"&lt;"&amp;EOMONTH('Faturado mensal'!AJ$2,0))</f>
        <v>0</v>
      </c>
      <c r="AK44" s="9">
        <f>SUMIFS(#REF!,#REF!,
$A44,#REF!,
"&gt;="&amp;'Faturado mensal'!AK$2,#REF!,
"&lt;"&amp;EOMONTH('Faturado mensal'!AK$2,0))</f>
        <v>0</v>
      </c>
      <c r="AL44" s="9">
        <f>SUMIFS(#REF!,#REF!,
$A44,#REF!,
"&gt;="&amp;Z$2,#REF!,
"&lt;"&amp;EOMONTH(AK$2,0))</f>
        <v>0</v>
      </c>
    </row>
    <row r="45" spans="1:38" x14ac:dyDescent="0.3">
      <c r="A45" t="s">
        <v>776</v>
      </c>
      <c r="B45" t="s">
        <v>777</v>
      </c>
      <c r="C45" t="s">
        <v>778</v>
      </c>
      <c r="D45" t="s">
        <v>209</v>
      </c>
      <c r="I45" t="s">
        <v>778</v>
      </c>
      <c r="J45" t="s">
        <v>710</v>
      </c>
      <c r="K45" t="s">
        <v>711</v>
      </c>
      <c r="L45" t="s">
        <v>712</v>
      </c>
      <c r="M45" s="9">
        <f>SUMIFS(#REF!,#REF!,
$A45,#REF!,
"&gt;="&amp;'Faturado mensal'!M$2,#REF!,
"&lt;"&amp;EOMONTH('Faturado mensal'!M$2,0))</f>
        <v>0</v>
      </c>
      <c r="N45" s="9">
        <f>SUMIFS(#REF!,#REF!,
$A45,#REF!,
"&gt;="&amp;'Faturado mensal'!N$2,#REF!,
"&lt;"&amp;EOMONTH('Faturado mensal'!N$2,0))</f>
        <v>0</v>
      </c>
      <c r="O45" s="9">
        <f>SUMIFS(#REF!,#REF!,
$A45,#REF!,
"&gt;="&amp;'Faturado mensal'!O$2,#REF!,
"&lt;"&amp;EOMONTH('Faturado mensal'!O$2,0))</f>
        <v>0</v>
      </c>
      <c r="P45" s="9">
        <f>SUMIFS(#REF!,#REF!,
$A45,#REF!,
"&gt;="&amp;'Faturado mensal'!P$2,#REF!,
"&lt;"&amp;EOMONTH('Faturado mensal'!P$2,0))</f>
        <v>0</v>
      </c>
      <c r="Q45" s="9">
        <f>SUMIFS(#REF!,#REF!,
$A45,#REF!,
"&gt;="&amp;'Faturado mensal'!Q$2,#REF!,
"&lt;"&amp;EOMONTH('Faturado mensal'!Q$2,0))</f>
        <v>0</v>
      </c>
      <c r="R45" s="9">
        <f>SUMIFS(#REF!,#REF!,
$A45,#REF!,
"&gt;="&amp;'Faturado mensal'!R$2,#REF!,
"&lt;"&amp;EOMONTH('Faturado mensal'!R$2,0))</f>
        <v>0</v>
      </c>
      <c r="S45" s="9">
        <f>SUMIFS(#REF!,#REF!,
$A45,#REF!,
"&gt;="&amp;'Faturado mensal'!S$2,#REF!,
"&lt;"&amp;EOMONTH('Faturado mensal'!S$2,0))</f>
        <v>0</v>
      </c>
      <c r="T45" s="9">
        <f>SUMIFS(#REF!,#REF!,
$A45,#REF!,
"&gt;="&amp;'Faturado mensal'!T$2,#REF!,
"&lt;"&amp;EOMONTH('Faturado mensal'!T$2,0))</f>
        <v>0</v>
      </c>
      <c r="U45" s="9">
        <f>SUMIFS(#REF!,#REF!,
$A45,#REF!,
"&gt;="&amp;'Faturado mensal'!U$2,#REF!,
"&lt;"&amp;EOMONTH('Faturado mensal'!U$2,0))</f>
        <v>0</v>
      </c>
      <c r="V45" s="9">
        <f>SUMIFS(#REF!,#REF!,
$A45,#REF!,
"&gt;="&amp;'Faturado mensal'!V$2,#REF!,
"&lt;"&amp;EOMONTH('Faturado mensal'!V$2,0))</f>
        <v>0</v>
      </c>
      <c r="W45" s="9">
        <f>SUMIFS(#REF!,#REF!,
$A45,#REF!,
"&gt;="&amp;'Faturado mensal'!W$2,#REF!,
"&lt;"&amp;EOMONTH('Faturado mensal'!W$2,0))</f>
        <v>0</v>
      </c>
      <c r="X45" s="9">
        <f>SUMIFS(#REF!,#REF!,
$A45,#REF!,
"&gt;="&amp;'Faturado mensal'!X$2,#REF!,
"&lt;"&amp;EOMONTH('Faturado mensal'!X$2,0))</f>
        <v>0</v>
      </c>
      <c r="Y45" s="11">
        <f>SUMIFS(#REF!,#REF!,
$A45,#REF!,
"&gt;="&amp;'Faturado mensal'!M$2,#REF!,
"&lt;"&amp;EOMONTH('Faturado mensal'!M$2,12))</f>
        <v>0</v>
      </c>
      <c r="Z45" s="9">
        <f>SUMIFS(#REF!,#REF!,
$A45,#REF!,
"&gt;="&amp;'Faturado mensal'!Z$2,#REF!,
"&lt;"&amp;EOMONTH('Faturado mensal'!Z$2,0))</f>
        <v>0</v>
      </c>
      <c r="AA45" s="9">
        <f>SUMIFS(#REF!,#REF!,
$A45,#REF!,
"&gt;="&amp;'Faturado mensal'!AA$2,#REF!,
"&lt;"&amp;EOMONTH('Faturado mensal'!AA$2,0))</f>
        <v>0</v>
      </c>
      <c r="AB45" s="9">
        <f>SUMIFS(#REF!,#REF!,
$A45,#REF!,
"&gt;="&amp;'Faturado mensal'!AB$2,#REF!,
"&lt;"&amp;EOMONTH('Faturado mensal'!AB$2,0))</f>
        <v>0</v>
      </c>
      <c r="AC45" s="9">
        <f>SUMIFS(#REF!,#REF!,
$A45,#REF!,
"&gt;="&amp;'Faturado mensal'!AC$2,#REF!,
"&lt;"&amp;EOMONTH('Faturado mensal'!AC$2,0))</f>
        <v>0</v>
      </c>
      <c r="AD45" s="9">
        <f>SUMIFS(#REF!,#REF!,
$A45,#REF!,
"&gt;="&amp;'Faturado mensal'!AD$2,#REF!,
"&lt;"&amp;EOMONTH('Faturado mensal'!AD$2,0))</f>
        <v>0</v>
      </c>
      <c r="AE45" s="9">
        <f>SUMIFS(#REF!,#REF!,
$A45,#REF!,
"&gt;="&amp;'Faturado mensal'!AE$2,#REF!,
"&lt;"&amp;EOMONTH('Faturado mensal'!AE$2,0))</f>
        <v>0</v>
      </c>
      <c r="AF45" s="9">
        <f>SUMIFS(#REF!,#REF!,
$A45,#REF!,
"&gt;="&amp;'Faturado mensal'!AF$2,#REF!,
"&lt;"&amp;EOMONTH('Faturado mensal'!AF$2,0))</f>
        <v>0</v>
      </c>
      <c r="AG45" s="9">
        <f>SUMIFS(#REF!,#REF!,
$A45,#REF!,
"&gt;="&amp;'Faturado mensal'!AG$2,#REF!,
"&lt;"&amp;EOMONTH('Faturado mensal'!AG$2,0))</f>
        <v>0</v>
      </c>
      <c r="AH45" s="9">
        <f>SUMIFS(#REF!,#REF!,
$A45,#REF!,
"&gt;="&amp;'Faturado mensal'!AH$2,#REF!,
"&lt;"&amp;EOMONTH('Faturado mensal'!AH$2,0))</f>
        <v>0</v>
      </c>
      <c r="AI45" s="9">
        <f>SUMIFS(#REF!,#REF!,
$A45,#REF!,
"&gt;="&amp;'Faturado mensal'!AI$2,#REF!,
"&lt;"&amp;EOMONTH('Faturado mensal'!AI$2,0))</f>
        <v>0</v>
      </c>
      <c r="AJ45" s="9">
        <f>SUMIFS(#REF!,#REF!,
$A45,#REF!,
"&gt;="&amp;'Faturado mensal'!AJ$2,#REF!,
"&lt;"&amp;EOMONTH('Faturado mensal'!AJ$2,0))</f>
        <v>0</v>
      </c>
      <c r="AK45" s="9">
        <f>SUMIFS(#REF!,#REF!,
$A45,#REF!,
"&gt;="&amp;'Faturado mensal'!AK$2,#REF!,
"&lt;"&amp;EOMONTH('Faturado mensal'!AK$2,0))</f>
        <v>0</v>
      </c>
      <c r="AL45" s="9">
        <f>SUMIFS(#REF!,#REF!,
$A45,#REF!,
"&gt;="&amp;Z$2,#REF!,
"&lt;"&amp;EOMONTH(AK$2,0))</f>
        <v>0</v>
      </c>
    </row>
    <row r="46" spans="1:38" x14ac:dyDescent="0.3">
      <c r="A46" t="s">
        <v>255</v>
      </c>
      <c r="B46" t="s">
        <v>241</v>
      </c>
      <c r="C46" t="s">
        <v>10</v>
      </c>
      <c r="D46" t="s">
        <v>209</v>
      </c>
      <c r="G46" t="s">
        <v>4856</v>
      </c>
      <c r="H46" t="s">
        <v>4773</v>
      </c>
      <c r="I46" t="s">
        <v>10</v>
      </c>
      <c r="J46" t="s">
        <v>710</v>
      </c>
      <c r="K46" t="s">
        <v>711</v>
      </c>
      <c r="L46" t="s">
        <v>712</v>
      </c>
      <c r="M46" s="9">
        <f>SUMIFS(#REF!,#REF!,
$A46,#REF!,
"&gt;="&amp;'Faturado mensal'!M$2,#REF!,
"&lt;"&amp;EOMONTH('Faturado mensal'!M$2,0))</f>
        <v>0</v>
      </c>
      <c r="N46" s="9">
        <f>SUMIFS(#REF!,#REF!,
$A46,#REF!,
"&gt;="&amp;'Faturado mensal'!N$2,#REF!,
"&lt;"&amp;EOMONTH('Faturado mensal'!N$2,0))</f>
        <v>141.74</v>
      </c>
      <c r="O46" s="9">
        <f>SUMIFS(#REF!,#REF!,
$A46,#REF!,
"&gt;="&amp;'Faturado mensal'!O$2,#REF!,
"&lt;"&amp;EOMONTH('Faturado mensal'!O$2,0))</f>
        <v>0</v>
      </c>
      <c r="P46" s="9">
        <f>SUMIFS(#REF!,#REF!,
$A46,#REF!,
"&gt;="&amp;'Faturado mensal'!P$2,#REF!,
"&lt;"&amp;EOMONTH('Faturado mensal'!P$2,0))</f>
        <v>0</v>
      </c>
      <c r="Q46" s="9">
        <f>SUMIFS(#REF!,#REF!,
$A46,#REF!,
"&gt;="&amp;'Faturado mensal'!Q$2,#REF!,
"&lt;"&amp;EOMONTH('Faturado mensal'!Q$2,0))</f>
        <v>0</v>
      </c>
      <c r="R46" s="9">
        <f>SUMIFS(#REF!,#REF!,
$A46,#REF!,
"&gt;="&amp;'Faturado mensal'!R$2,#REF!,
"&lt;"&amp;EOMONTH('Faturado mensal'!R$2,0))</f>
        <v>0</v>
      </c>
      <c r="S46" s="9">
        <f>SUMIFS(#REF!,#REF!,
$A46,#REF!,
"&gt;="&amp;'Faturado mensal'!S$2,#REF!,
"&lt;"&amp;EOMONTH('Faturado mensal'!S$2,0))</f>
        <v>0</v>
      </c>
      <c r="T46" s="9">
        <f>SUMIFS(#REF!,#REF!,
$A46,#REF!,
"&gt;="&amp;'Faturado mensal'!T$2,#REF!,
"&lt;"&amp;EOMONTH('Faturado mensal'!T$2,0))</f>
        <v>0</v>
      </c>
      <c r="U46" s="9">
        <f>SUMIFS(#REF!,#REF!,
$A46,#REF!,
"&gt;="&amp;'Faturado mensal'!U$2,#REF!,
"&lt;"&amp;EOMONTH('Faturado mensal'!U$2,0))</f>
        <v>0</v>
      </c>
      <c r="V46" s="9">
        <f>SUMIFS(#REF!,#REF!,
$A46,#REF!,
"&gt;="&amp;'Faturado mensal'!V$2,#REF!,
"&lt;"&amp;EOMONTH('Faturado mensal'!V$2,0))</f>
        <v>0</v>
      </c>
      <c r="W46" s="9">
        <f>SUMIFS(#REF!,#REF!,
$A46,#REF!,
"&gt;="&amp;'Faturado mensal'!W$2,#REF!,
"&lt;"&amp;EOMONTH('Faturado mensal'!W$2,0))</f>
        <v>0</v>
      </c>
      <c r="X46" s="9">
        <f>SUMIFS(#REF!,#REF!,
$A46,#REF!,
"&gt;="&amp;'Faturado mensal'!X$2,#REF!,
"&lt;"&amp;EOMONTH('Faturado mensal'!X$2,0))</f>
        <v>0</v>
      </c>
      <c r="Y46" s="11">
        <f>SUMIFS(#REF!,#REF!,
$A46,#REF!,
"&gt;="&amp;'Faturado mensal'!M$2,#REF!,
"&lt;"&amp;EOMONTH('Faturado mensal'!M$2,12))</f>
        <v>141.74</v>
      </c>
      <c r="Z46" s="9">
        <f>SUMIFS(#REF!,#REF!,
$A46,#REF!,
"&gt;="&amp;'Faturado mensal'!Z$2,#REF!,
"&lt;"&amp;EOMONTH('Faturado mensal'!Z$2,0))</f>
        <v>0</v>
      </c>
      <c r="AA46" s="9">
        <f>SUMIFS(#REF!,#REF!,
$A46,#REF!,
"&gt;="&amp;'Faturado mensal'!AA$2,#REF!,
"&lt;"&amp;EOMONTH('Faturado mensal'!AA$2,0))</f>
        <v>0</v>
      </c>
      <c r="AB46" s="9">
        <f>SUMIFS(#REF!,#REF!,
$A46,#REF!,
"&gt;="&amp;'Faturado mensal'!AB$2,#REF!,
"&lt;"&amp;EOMONTH('Faturado mensal'!AB$2,0))</f>
        <v>0</v>
      </c>
      <c r="AC46" s="9">
        <f>SUMIFS(#REF!,#REF!,
$A46,#REF!,
"&gt;="&amp;'Faturado mensal'!AC$2,#REF!,
"&lt;"&amp;EOMONTH('Faturado mensal'!AC$2,0))</f>
        <v>0</v>
      </c>
      <c r="AD46" s="9">
        <f>SUMIFS(#REF!,#REF!,
$A46,#REF!,
"&gt;="&amp;'Faturado mensal'!AD$2,#REF!,
"&lt;"&amp;EOMONTH('Faturado mensal'!AD$2,0))</f>
        <v>0</v>
      </c>
      <c r="AE46" s="9">
        <f>SUMIFS(#REF!,#REF!,
$A46,#REF!,
"&gt;="&amp;'Faturado mensal'!AE$2,#REF!,
"&lt;"&amp;EOMONTH('Faturado mensal'!AE$2,0))</f>
        <v>0</v>
      </c>
      <c r="AF46" s="9">
        <f>SUMIFS(#REF!,#REF!,
$A46,#REF!,
"&gt;="&amp;'Faturado mensal'!AF$2,#REF!,
"&lt;"&amp;EOMONTH('Faturado mensal'!AF$2,0))</f>
        <v>0</v>
      </c>
      <c r="AG46" s="9">
        <f>SUMIFS(#REF!,#REF!,
$A46,#REF!,
"&gt;="&amp;'Faturado mensal'!AG$2,#REF!,
"&lt;"&amp;EOMONTH('Faturado mensal'!AG$2,0))</f>
        <v>0</v>
      </c>
      <c r="AH46" s="9">
        <f>SUMIFS(#REF!,#REF!,
$A46,#REF!,
"&gt;="&amp;'Faturado mensal'!AH$2,#REF!,
"&lt;"&amp;EOMONTH('Faturado mensal'!AH$2,0))</f>
        <v>0</v>
      </c>
      <c r="AI46" s="9">
        <f>SUMIFS(#REF!,#REF!,
$A46,#REF!,
"&gt;="&amp;'Faturado mensal'!AI$2,#REF!,
"&lt;"&amp;EOMONTH('Faturado mensal'!AI$2,0))</f>
        <v>0</v>
      </c>
      <c r="AJ46" s="9">
        <f>SUMIFS(#REF!,#REF!,
$A46,#REF!,
"&gt;="&amp;'Faturado mensal'!AJ$2,#REF!,
"&lt;"&amp;EOMONTH('Faturado mensal'!AJ$2,0))</f>
        <v>0</v>
      </c>
      <c r="AK46" s="9">
        <f>SUMIFS(#REF!,#REF!,
$A46,#REF!,
"&gt;="&amp;'Faturado mensal'!AK$2,#REF!,
"&lt;"&amp;EOMONTH('Faturado mensal'!AK$2,0))</f>
        <v>0</v>
      </c>
      <c r="AL46" s="9">
        <f>SUMIFS(#REF!,#REF!,
$A46,#REF!,
"&gt;="&amp;Z$2,#REF!,
"&lt;"&amp;EOMONTH(AK$2,0))</f>
        <v>0</v>
      </c>
    </row>
    <row r="47" spans="1:38" x14ac:dyDescent="0.3">
      <c r="A47" t="s">
        <v>256</v>
      </c>
      <c r="B47" t="s">
        <v>257</v>
      </c>
      <c r="C47" t="s">
        <v>139</v>
      </c>
      <c r="D47" t="s">
        <v>204</v>
      </c>
      <c r="E47" t="s">
        <v>4811</v>
      </c>
      <c r="F47" t="s">
        <v>4776</v>
      </c>
      <c r="G47" t="s">
        <v>4859</v>
      </c>
      <c r="H47" t="s">
        <v>4773</v>
      </c>
      <c r="I47" t="s">
        <v>139</v>
      </c>
      <c r="J47" t="s">
        <v>710</v>
      </c>
      <c r="K47" t="s">
        <v>762</v>
      </c>
      <c r="L47" t="s">
        <v>763</v>
      </c>
      <c r="M47" s="9">
        <f>SUMIFS(#REF!,#REF!,
$A47,#REF!,
"&gt;="&amp;'Faturado mensal'!M$2,#REF!,
"&lt;"&amp;EOMONTH('Faturado mensal'!M$2,0))</f>
        <v>0</v>
      </c>
      <c r="N47" s="9">
        <f>SUMIFS(#REF!,#REF!,
$A47,#REF!,
"&gt;="&amp;'Faturado mensal'!N$2,#REF!,
"&lt;"&amp;EOMONTH('Faturado mensal'!N$2,0))</f>
        <v>0</v>
      </c>
      <c r="O47" s="9">
        <f>SUMIFS(#REF!,#REF!,
$A47,#REF!,
"&gt;="&amp;'Faturado mensal'!O$2,#REF!,
"&lt;"&amp;EOMONTH('Faturado mensal'!O$2,0))</f>
        <v>0</v>
      </c>
      <c r="P47" s="9">
        <f>SUMIFS(#REF!,#REF!,
$A47,#REF!,
"&gt;="&amp;'Faturado mensal'!P$2,#REF!,
"&lt;"&amp;EOMONTH('Faturado mensal'!P$2,0))</f>
        <v>0</v>
      </c>
      <c r="Q47" s="9">
        <f>SUMIFS(#REF!,#REF!,
$A47,#REF!,
"&gt;="&amp;'Faturado mensal'!Q$2,#REF!,
"&lt;"&amp;EOMONTH('Faturado mensal'!Q$2,0))</f>
        <v>0</v>
      </c>
      <c r="R47" s="9">
        <f>SUMIFS(#REF!,#REF!,
$A47,#REF!,
"&gt;="&amp;'Faturado mensal'!R$2,#REF!,
"&lt;"&amp;EOMONTH('Faturado mensal'!R$2,0))</f>
        <v>0</v>
      </c>
      <c r="S47" s="9">
        <f>SUMIFS(#REF!,#REF!,
$A47,#REF!,
"&gt;="&amp;'Faturado mensal'!S$2,#REF!,
"&lt;"&amp;EOMONTH('Faturado mensal'!S$2,0))</f>
        <v>0</v>
      </c>
      <c r="T47" s="9">
        <f>SUMIFS(#REF!,#REF!,
$A47,#REF!,
"&gt;="&amp;'Faturado mensal'!T$2,#REF!,
"&lt;"&amp;EOMONTH('Faturado mensal'!T$2,0))</f>
        <v>0</v>
      </c>
      <c r="U47" s="9">
        <f>SUMIFS(#REF!,#REF!,
$A47,#REF!,
"&gt;="&amp;'Faturado mensal'!U$2,#REF!,
"&lt;"&amp;EOMONTH('Faturado mensal'!U$2,0))</f>
        <v>0</v>
      </c>
      <c r="V47" s="9">
        <f>SUMIFS(#REF!,#REF!,
$A47,#REF!,
"&gt;="&amp;'Faturado mensal'!V$2,#REF!,
"&lt;"&amp;EOMONTH('Faturado mensal'!V$2,0))</f>
        <v>0</v>
      </c>
      <c r="W47" s="9">
        <f>SUMIFS(#REF!,#REF!,
$A47,#REF!,
"&gt;="&amp;'Faturado mensal'!W$2,#REF!,
"&lt;"&amp;EOMONTH('Faturado mensal'!W$2,0))</f>
        <v>0</v>
      </c>
      <c r="X47" s="9">
        <f>SUMIFS(#REF!,#REF!,
$A47,#REF!,
"&gt;="&amp;'Faturado mensal'!X$2,#REF!,
"&lt;"&amp;EOMONTH('Faturado mensal'!X$2,0))</f>
        <v>16140</v>
      </c>
      <c r="Y47" s="11">
        <f>SUMIFS(#REF!,#REF!,
$A47,#REF!,
"&gt;="&amp;'Faturado mensal'!M$2,#REF!,
"&lt;"&amp;EOMONTH('Faturado mensal'!M$2,12))</f>
        <v>16140</v>
      </c>
      <c r="Z47" s="9">
        <f>SUMIFS(#REF!,#REF!,
$A47,#REF!,
"&gt;="&amp;'Faturado mensal'!Z$2,#REF!,
"&lt;"&amp;EOMONTH('Faturado mensal'!Z$2,0))</f>
        <v>0</v>
      </c>
      <c r="AA47" s="9">
        <f>SUMIFS(#REF!,#REF!,
$A47,#REF!,
"&gt;="&amp;'Faturado mensal'!AA$2,#REF!,
"&lt;"&amp;EOMONTH('Faturado mensal'!AA$2,0))</f>
        <v>0</v>
      </c>
      <c r="AB47" s="9">
        <f>SUMIFS(#REF!,#REF!,
$A47,#REF!,
"&gt;="&amp;'Faturado mensal'!AB$2,#REF!,
"&lt;"&amp;EOMONTH('Faturado mensal'!AB$2,0))</f>
        <v>0</v>
      </c>
      <c r="AC47" s="9">
        <f>SUMIFS(#REF!,#REF!,
$A47,#REF!,
"&gt;="&amp;'Faturado mensal'!AC$2,#REF!,
"&lt;"&amp;EOMONTH('Faturado mensal'!AC$2,0))</f>
        <v>0</v>
      </c>
      <c r="AD47" s="9">
        <f>SUMIFS(#REF!,#REF!,
$A47,#REF!,
"&gt;="&amp;'Faturado mensal'!AD$2,#REF!,
"&lt;"&amp;EOMONTH('Faturado mensal'!AD$2,0))</f>
        <v>0</v>
      </c>
      <c r="AE47" s="9">
        <f>SUMIFS(#REF!,#REF!,
$A47,#REF!,
"&gt;="&amp;'Faturado mensal'!AE$2,#REF!,
"&lt;"&amp;EOMONTH('Faturado mensal'!AE$2,0))</f>
        <v>0</v>
      </c>
      <c r="AF47" s="9">
        <f>SUMIFS(#REF!,#REF!,
$A47,#REF!,
"&gt;="&amp;'Faturado mensal'!AF$2,#REF!,
"&lt;"&amp;EOMONTH('Faturado mensal'!AF$2,0))</f>
        <v>0</v>
      </c>
      <c r="AG47" s="9">
        <f>SUMIFS(#REF!,#REF!,
$A47,#REF!,
"&gt;="&amp;'Faturado mensal'!AG$2,#REF!,
"&lt;"&amp;EOMONTH('Faturado mensal'!AG$2,0))</f>
        <v>0</v>
      </c>
      <c r="AH47" s="9">
        <f>SUMIFS(#REF!,#REF!,
$A47,#REF!,
"&gt;="&amp;'Faturado mensal'!AH$2,#REF!,
"&lt;"&amp;EOMONTH('Faturado mensal'!AH$2,0))</f>
        <v>0</v>
      </c>
      <c r="AI47" s="9">
        <f>SUMIFS(#REF!,#REF!,
$A47,#REF!,
"&gt;="&amp;'Faturado mensal'!AI$2,#REF!,
"&lt;"&amp;EOMONTH('Faturado mensal'!AI$2,0))</f>
        <v>0</v>
      </c>
      <c r="AJ47" s="9">
        <f>SUMIFS(#REF!,#REF!,
$A47,#REF!,
"&gt;="&amp;'Faturado mensal'!AJ$2,#REF!,
"&lt;"&amp;EOMONTH('Faturado mensal'!AJ$2,0))</f>
        <v>0</v>
      </c>
      <c r="AK47" s="9">
        <f>SUMIFS(#REF!,#REF!,
$A47,#REF!,
"&gt;="&amp;'Faturado mensal'!AK$2,#REF!,
"&lt;"&amp;EOMONTH('Faturado mensal'!AK$2,0))</f>
        <v>0</v>
      </c>
      <c r="AL47" s="9">
        <f>SUMIFS(#REF!,#REF!,
$A47,#REF!,
"&gt;="&amp;Z$2,#REF!,
"&lt;"&amp;EOMONTH(AK$2,0))</f>
        <v>0</v>
      </c>
    </row>
    <row r="48" spans="1:38" x14ac:dyDescent="0.3">
      <c r="A48" t="s">
        <v>258</v>
      </c>
      <c r="B48" t="s">
        <v>259</v>
      </c>
      <c r="C48" t="s">
        <v>122</v>
      </c>
      <c r="D48" t="s">
        <v>204</v>
      </c>
      <c r="E48" t="s">
        <v>4843</v>
      </c>
      <c r="F48" t="s">
        <v>4777</v>
      </c>
      <c r="G48" t="s">
        <v>4854</v>
      </c>
      <c r="H48" t="s">
        <v>4771</v>
      </c>
      <c r="I48" t="s">
        <v>122</v>
      </c>
      <c r="J48" t="s">
        <v>710</v>
      </c>
      <c r="K48" t="s">
        <v>720</v>
      </c>
      <c r="L48" t="s">
        <v>721</v>
      </c>
      <c r="M48" s="9">
        <f>SUMIFS(#REF!,#REF!,
$A48,#REF!,
"&gt;="&amp;'Faturado mensal'!M$2,#REF!,
"&lt;"&amp;EOMONTH('Faturado mensal'!M$2,0))</f>
        <v>39804</v>
      </c>
      <c r="N48" s="9">
        <f>SUMIFS(#REF!,#REF!,
$A48,#REF!,
"&gt;="&amp;'Faturado mensal'!N$2,#REF!,
"&lt;"&amp;EOMONTH('Faturado mensal'!N$2,0))</f>
        <v>47094</v>
      </c>
      <c r="O48" s="9">
        <f>SUMIFS(#REF!,#REF!,
$A48,#REF!,
"&gt;="&amp;'Faturado mensal'!O$2,#REF!,
"&lt;"&amp;EOMONTH('Faturado mensal'!O$2,0))</f>
        <v>30394</v>
      </c>
      <c r="P48" s="9">
        <f>SUMIFS(#REF!,#REF!,
$A48,#REF!,
"&gt;="&amp;'Faturado mensal'!P$2,#REF!,
"&lt;"&amp;EOMONTH('Faturado mensal'!P$2,0))</f>
        <v>28390</v>
      </c>
      <c r="Q48" s="9">
        <f>SUMIFS(#REF!,#REF!,
$A48,#REF!,
"&gt;="&amp;'Faturado mensal'!Q$2,#REF!,
"&lt;"&amp;EOMONTH('Faturado mensal'!Q$2,0))</f>
        <v>28695.119999999999</v>
      </c>
      <c r="R48" s="9">
        <f>SUMIFS(#REF!,#REF!,
$A48,#REF!,
"&gt;="&amp;'Faturado mensal'!R$2,#REF!,
"&lt;"&amp;EOMONTH('Faturado mensal'!R$2,0))</f>
        <v>31930.400000000001</v>
      </c>
      <c r="S48" s="9">
        <f>SUMIFS(#REF!,#REF!,
$A48,#REF!,
"&gt;="&amp;'Faturado mensal'!S$2,#REF!,
"&lt;"&amp;EOMONTH('Faturado mensal'!S$2,0))</f>
        <v>29691.56</v>
      </c>
      <c r="T48" s="9">
        <f>SUMIFS(#REF!,#REF!,
$A48,#REF!,
"&gt;="&amp;'Faturado mensal'!T$2,#REF!,
"&lt;"&amp;EOMONTH('Faturado mensal'!T$2,0))</f>
        <v>0</v>
      </c>
      <c r="U48" s="9">
        <f>SUMIFS(#REF!,#REF!,
$A48,#REF!,
"&gt;="&amp;'Faturado mensal'!U$2,#REF!,
"&lt;"&amp;EOMONTH('Faturado mensal'!U$2,0))</f>
        <v>75701.799999999988</v>
      </c>
      <c r="V48" s="9">
        <f>SUMIFS(#REF!,#REF!,
$A48,#REF!,
"&gt;="&amp;'Faturado mensal'!V$2,#REF!,
"&lt;"&amp;EOMONTH('Faturado mensal'!V$2,0))</f>
        <v>17733.310000000001</v>
      </c>
      <c r="W48" s="9">
        <f>SUMIFS(#REF!,#REF!,
$A48,#REF!,
"&gt;="&amp;'Faturado mensal'!W$2,#REF!,
"&lt;"&amp;EOMONTH('Faturado mensal'!W$2,0))</f>
        <v>15364</v>
      </c>
      <c r="X48" s="9">
        <f>SUMIFS(#REF!,#REF!,
$A48,#REF!,
"&gt;="&amp;'Faturado mensal'!X$2,#REF!,
"&lt;"&amp;EOMONTH('Faturado mensal'!X$2,0))</f>
        <v>13404.88</v>
      </c>
      <c r="Y48" s="11">
        <f>SUMIFS(#REF!,#REF!,
$A48,#REF!,
"&gt;="&amp;'Faturado mensal'!M$2,#REF!,
"&lt;"&amp;EOMONTH('Faturado mensal'!M$2,12))</f>
        <v>372324.31</v>
      </c>
      <c r="Z48" s="9">
        <f>SUMIFS(#REF!,#REF!,
$A48,#REF!,
"&gt;="&amp;'Faturado mensal'!Z$2,#REF!,
"&lt;"&amp;EOMONTH('Faturado mensal'!Z$2,0))</f>
        <v>14121.24</v>
      </c>
      <c r="AA48" s="9">
        <f>SUMIFS(#REF!,#REF!,
$A48,#REF!,
"&gt;="&amp;'Faturado mensal'!AA$2,#REF!,
"&lt;"&amp;EOMONTH('Faturado mensal'!AA$2,0))</f>
        <v>0</v>
      </c>
      <c r="AB48" s="9">
        <f>SUMIFS(#REF!,#REF!,
$A48,#REF!,
"&gt;="&amp;'Faturado mensal'!AB$2,#REF!,
"&lt;"&amp;EOMONTH('Faturado mensal'!AB$2,0))</f>
        <v>40813.919999999998</v>
      </c>
      <c r="AC48" s="9">
        <f>SUMIFS(#REF!,#REF!,
$A48,#REF!,
"&gt;="&amp;'Faturado mensal'!AC$2,#REF!,
"&lt;"&amp;EOMONTH('Faturado mensal'!AC$2,0))</f>
        <v>23127.89</v>
      </c>
      <c r="AD48" s="9">
        <f>SUMIFS(#REF!,#REF!,
$A48,#REF!,
"&gt;="&amp;'Faturado mensal'!AD$2,#REF!,
"&lt;"&amp;EOMONTH('Faturado mensal'!AD$2,0))</f>
        <v>18593.009999999998</v>
      </c>
      <c r="AE48" s="9">
        <f>SUMIFS(#REF!,#REF!,
$A48,#REF!,
"&gt;="&amp;'Faturado mensal'!AE$2,#REF!,
"&lt;"&amp;EOMONTH('Faturado mensal'!AE$2,0))</f>
        <v>18139.52</v>
      </c>
      <c r="AF48" s="9">
        <f>SUMIFS(#REF!,#REF!,
$A48,#REF!,
"&gt;="&amp;'Faturado mensal'!AF$2,#REF!,
"&lt;"&amp;EOMONTH('Faturado mensal'!AF$2,0))</f>
        <v>0</v>
      </c>
      <c r="AG48" s="9">
        <f>SUMIFS(#REF!,#REF!,
$A48,#REF!,
"&gt;="&amp;'Faturado mensal'!AG$2,#REF!,
"&lt;"&amp;EOMONTH('Faturado mensal'!AG$2,0))</f>
        <v>0</v>
      </c>
      <c r="AH48" s="9">
        <f>SUMIFS(#REF!,#REF!,
$A48,#REF!,
"&gt;="&amp;'Faturado mensal'!AH$2,#REF!,
"&lt;"&amp;EOMONTH('Faturado mensal'!AH$2,0))</f>
        <v>0</v>
      </c>
      <c r="AI48" s="9">
        <f>SUMIFS(#REF!,#REF!,
$A48,#REF!,
"&gt;="&amp;'Faturado mensal'!AI$2,#REF!,
"&lt;"&amp;EOMONTH('Faturado mensal'!AI$2,0))</f>
        <v>0</v>
      </c>
      <c r="AJ48" s="9">
        <f>SUMIFS(#REF!,#REF!,
$A48,#REF!,
"&gt;="&amp;'Faturado mensal'!AJ$2,#REF!,
"&lt;"&amp;EOMONTH('Faturado mensal'!AJ$2,0))</f>
        <v>0</v>
      </c>
      <c r="AK48" s="9">
        <f>SUMIFS(#REF!,#REF!,
$A48,#REF!,
"&gt;="&amp;'Faturado mensal'!AK$2,#REF!,
"&lt;"&amp;EOMONTH('Faturado mensal'!AK$2,0))</f>
        <v>0</v>
      </c>
      <c r="AL48" s="9">
        <f>SUMIFS(#REF!,#REF!,
$A48,#REF!,
"&gt;="&amp;Z$2,#REF!,
"&lt;"&amp;EOMONTH(AK$2,0))</f>
        <v>114795.57999999999</v>
      </c>
    </row>
    <row r="49" spans="1:38" x14ac:dyDescent="0.3">
      <c r="A49" t="s">
        <v>260</v>
      </c>
      <c r="B49" t="s">
        <v>262</v>
      </c>
      <c r="C49" t="s">
        <v>155</v>
      </c>
      <c r="D49" t="s">
        <v>209</v>
      </c>
      <c r="F49" t="s">
        <v>4776</v>
      </c>
      <c r="G49" t="s">
        <v>4854</v>
      </c>
      <c r="H49" t="s">
        <v>4773</v>
      </c>
      <c r="I49" t="s">
        <v>155</v>
      </c>
      <c r="J49" t="s">
        <v>710</v>
      </c>
      <c r="K49" t="s">
        <v>720</v>
      </c>
      <c r="L49" t="s">
        <v>721</v>
      </c>
      <c r="M49" s="9">
        <f>SUMIFS(#REF!,#REF!,
$A49,#REF!,
"&gt;="&amp;'Faturado mensal'!M$2,#REF!,
"&lt;"&amp;EOMONTH('Faturado mensal'!M$2,0))</f>
        <v>0</v>
      </c>
      <c r="N49" s="9">
        <f>SUMIFS(#REF!,#REF!,
$A49,#REF!,
"&gt;="&amp;'Faturado mensal'!N$2,#REF!,
"&lt;"&amp;EOMONTH('Faturado mensal'!N$2,0))</f>
        <v>0</v>
      </c>
      <c r="O49" s="9">
        <f>SUMIFS(#REF!,#REF!,
$A49,#REF!,
"&gt;="&amp;'Faturado mensal'!O$2,#REF!,
"&lt;"&amp;EOMONTH('Faturado mensal'!O$2,0))</f>
        <v>10222.89</v>
      </c>
      <c r="P49" s="9">
        <f>SUMIFS(#REF!,#REF!,
$A49,#REF!,
"&gt;="&amp;'Faturado mensal'!P$2,#REF!,
"&lt;"&amp;EOMONTH('Faturado mensal'!P$2,0))</f>
        <v>0</v>
      </c>
      <c r="Q49" s="9">
        <f>SUMIFS(#REF!,#REF!,
$A49,#REF!,
"&gt;="&amp;'Faturado mensal'!Q$2,#REF!,
"&lt;"&amp;EOMONTH('Faturado mensal'!Q$2,0))</f>
        <v>0</v>
      </c>
      <c r="R49" s="9">
        <f>SUMIFS(#REF!,#REF!,
$A49,#REF!,
"&gt;="&amp;'Faturado mensal'!R$2,#REF!,
"&lt;"&amp;EOMONTH('Faturado mensal'!R$2,0))</f>
        <v>0</v>
      </c>
      <c r="S49" s="9">
        <f>SUMIFS(#REF!,#REF!,
$A49,#REF!,
"&gt;="&amp;'Faturado mensal'!S$2,#REF!,
"&lt;"&amp;EOMONTH('Faturado mensal'!S$2,0))</f>
        <v>0</v>
      </c>
      <c r="T49" s="9">
        <f>SUMIFS(#REF!,#REF!,
$A49,#REF!,
"&gt;="&amp;'Faturado mensal'!T$2,#REF!,
"&lt;"&amp;EOMONTH('Faturado mensal'!T$2,0))</f>
        <v>0</v>
      </c>
      <c r="U49" s="9">
        <f>SUMIFS(#REF!,#REF!,
$A49,#REF!,
"&gt;="&amp;'Faturado mensal'!U$2,#REF!,
"&lt;"&amp;EOMONTH('Faturado mensal'!U$2,0))</f>
        <v>0</v>
      </c>
      <c r="V49" s="9">
        <f>SUMIFS(#REF!,#REF!,
$A49,#REF!,
"&gt;="&amp;'Faturado mensal'!V$2,#REF!,
"&lt;"&amp;EOMONTH('Faturado mensal'!V$2,0))</f>
        <v>0</v>
      </c>
      <c r="W49" s="9">
        <f>SUMIFS(#REF!,#REF!,
$A49,#REF!,
"&gt;="&amp;'Faturado mensal'!W$2,#REF!,
"&lt;"&amp;EOMONTH('Faturado mensal'!W$2,0))</f>
        <v>0</v>
      </c>
      <c r="X49" s="9">
        <f>SUMIFS(#REF!,#REF!,
$A49,#REF!,
"&gt;="&amp;'Faturado mensal'!X$2,#REF!,
"&lt;"&amp;EOMONTH('Faturado mensal'!X$2,0))</f>
        <v>0</v>
      </c>
      <c r="Y49" s="11">
        <f>SUMIFS(#REF!,#REF!,
$A49,#REF!,
"&gt;="&amp;'Faturado mensal'!M$2,#REF!,
"&lt;"&amp;EOMONTH('Faturado mensal'!M$2,12))</f>
        <v>10222.89</v>
      </c>
      <c r="Z49" s="9">
        <f>SUMIFS(#REF!,#REF!,
$A49,#REF!,
"&gt;="&amp;'Faturado mensal'!Z$2,#REF!,
"&lt;"&amp;EOMONTH('Faturado mensal'!Z$2,0))</f>
        <v>0</v>
      </c>
      <c r="AA49" s="9">
        <f>SUMIFS(#REF!,#REF!,
$A49,#REF!,
"&gt;="&amp;'Faturado mensal'!AA$2,#REF!,
"&lt;"&amp;EOMONTH('Faturado mensal'!AA$2,0))</f>
        <v>0</v>
      </c>
      <c r="AB49" s="9">
        <f>SUMIFS(#REF!,#REF!,
$A49,#REF!,
"&gt;="&amp;'Faturado mensal'!AB$2,#REF!,
"&lt;"&amp;EOMONTH('Faturado mensal'!AB$2,0))</f>
        <v>0</v>
      </c>
      <c r="AC49" s="9">
        <f>SUMIFS(#REF!,#REF!,
$A49,#REF!,
"&gt;="&amp;'Faturado mensal'!AC$2,#REF!,
"&lt;"&amp;EOMONTH('Faturado mensal'!AC$2,0))</f>
        <v>0</v>
      </c>
      <c r="AD49" s="9">
        <f>SUMIFS(#REF!,#REF!,
$A49,#REF!,
"&gt;="&amp;'Faturado mensal'!AD$2,#REF!,
"&lt;"&amp;EOMONTH('Faturado mensal'!AD$2,0))</f>
        <v>0</v>
      </c>
      <c r="AE49" s="9">
        <f>SUMIFS(#REF!,#REF!,
$A49,#REF!,
"&gt;="&amp;'Faturado mensal'!AE$2,#REF!,
"&lt;"&amp;EOMONTH('Faturado mensal'!AE$2,0))</f>
        <v>0</v>
      </c>
      <c r="AF49" s="9">
        <f>SUMIFS(#REF!,#REF!,
$A49,#REF!,
"&gt;="&amp;'Faturado mensal'!AF$2,#REF!,
"&lt;"&amp;EOMONTH('Faturado mensal'!AF$2,0))</f>
        <v>0</v>
      </c>
      <c r="AG49" s="9">
        <f>SUMIFS(#REF!,#REF!,
$A49,#REF!,
"&gt;="&amp;'Faturado mensal'!AG$2,#REF!,
"&lt;"&amp;EOMONTH('Faturado mensal'!AG$2,0))</f>
        <v>0</v>
      </c>
      <c r="AH49" s="9">
        <f>SUMIFS(#REF!,#REF!,
$A49,#REF!,
"&gt;="&amp;'Faturado mensal'!AH$2,#REF!,
"&lt;"&amp;EOMONTH('Faturado mensal'!AH$2,0))</f>
        <v>0</v>
      </c>
      <c r="AI49" s="9">
        <f>SUMIFS(#REF!,#REF!,
$A49,#REF!,
"&gt;="&amp;'Faturado mensal'!AI$2,#REF!,
"&lt;"&amp;EOMONTH('Faturado mensal'!AI$2,0))</f>
        <v>0</v>
      </c>
      <c r="AJ49" s="9">
        <f>SUMIFS(#REF!,#REF!,
$A49,#REF!,
"&gt;="&amp;'Faturado mensal'!AJ$2,#REF!,
"&lt;"&amp;EOMONTH('Faturado mensal'!AJ$2,0))</f>
        <v>0</v>
      </c>
      <c r="AK49" s="9">
        <f>SUMIFS(#REF!,#REF!,
$A49,#REF!,
"&gt;="&amp;'Faturado mensal'!AK$2,#REF!,
"&lt;"&amp;EOMONTH('Faturado mensal'!AK$2,0))</f>
        <v>0</v>
      </c>
      <c r="AL49" s="9">
        <f>SUMIFS(#REF!,#REF!,
$A49,#REF!,
"&gt;="&amp;Z$2,#REF!,
"&lt;"&amp;EOMONTH(AK$2,0))</f>
        <v>0</v>
      </c>
    </row>
    <row r="50" spans="1:38" x14ac:dyDescent="0.3">
      <c r="A50" t="s">
        <v>263</v>
      </c>
      <c r="B50" t="s">
        <v>262</v>
      </c>
      <c r="C50" t="s">
        <v>155</v>
      </c>
      <c r="D50" t="s">
        <v>209</v>
      </c>
      <c r="F50" t="s">
        <v>4776</v>
      </c>
      <c r="G50" t="s">
        <v>4854</v>
      </c>
      <c r="H50" t="s">
        <v>4773</v>
      </c>
      <c r="I50" t="s">
        <v>155</v>
      </c>
      <c r="J50" t="s">
        <v>710</v>
      </c>
      <c r="K50" t="s">
        <v>720</v>
      </c>
      <c r="L50" t="s">
        <v>721</v>
      </c>
      <c r="M50" s="9">
        <f>SUMIFS(#REF!,#REF!,
$A50,#REF!,
"&gt;="&amp;'Faturado mensal'!M$2,#REF!,
"&lt;"&amp;EOMONTH('Faturado mensal'!M$2,0))</f>
        <v>0</v>
      </c>
      <c r="N50" s="9">
        <f>SUMIFS(#REF!,#REF!,
$A50,#REF!,
"&gt;="&amp;'Faturado mensal'!N$2,#REF!,
"&lt;"&amp;EOMONTH('Faturado mensal'!N$2,0))</f>
        <v>0</v>
      </c>
      <c r="O50" s="9">
        <f>SUMIFS(#REF!,#REF!,
$A50,#REF!,
"&gt;="&amp;'Faturado mensal'!O$2,#REF!,
"&lt;"&amp;EOMONTH('Faturado mensal'!O$2,0))</f>
        <v>0</v>
      </c>
      <c r="P50" s="9">
        <f>SUMIFS(#REF!,#REF!,
$A50,#REF!,
"&gt;="&amp;'Faturado mensal'!P$2,#REF!,
"&lt;"&amp;EOMONTH('Faturado mensal'!P$2,0))</f>
        <v>0</v>
      </c>
      <c r="Q50" s="9">
        <f>SUMIFS(#REF!,#REF!,
$A50,#REF!,
"&gt;="&amp;'Faturado mensal'!Q$2,#REF!,
"&lt;"&amp;EOMONTH('Faturado mensal'!Q$2,0))</f>
        <v>0</v>
      </c>
      <c r="R50" s="9">
        <f>SUMIFS(#REF!,#REF!,
$A50,#REF!,
"&gt;="&amp;'Faturado mensal'!R$2,#REF!,
"&lt;"&amp;EOMONTH('Faturado mensal'!R$2,0))</f>
        <v>0</v>
      </c>
      <c r="S50" s="9">
        <f>SUMIFS(#REF!,#REF!,
$A50,#REF!,
"&gt;="&amp;'Faturado mensal'!S$2,#REF!,
"&lt;"&amp;EOMONTH('Faturado mensal'!S$2,0))</f>
        <v>0</v>
      </c>
      <c r="T50" s="9">
        <f>SUMIFS(#REF!,#REF!,
$A50,#REF!,
"&gt;="&amp;'Faturado mensal'!T$2,#REF!,
"&lt;"&amp;EOMONTH('Faturado mensal'!T$2,0))</f>
        <v>0</v>
      </c>
      <c r="U50" s="9">
        <f>SUMIFS(#REF!,#REF!,
$A50,#REF!,
"&gt;="&amp;'Faturado mensal'!U$2,#REF!,
"&lt;"&amp;EOMONTH('Faturado mensal'!U$2,0))</f>
        <v>0</v>
      </c>
      <c r="V50" s="9">
        <f>SUMIFS(#REF!,#REF!,
$A50,#REF!,
"&gt;="&amp;'Faturado mensal'!V$2,#REF!,
"&lt;"&amp;EOMONTH('Faturado mensal'!V$2,0))</f>
        <v>0</v>
      </c>
      <c r="W50" s="9">
        <f>SUMIFS(#REF!,#REF!,
$A50,#REF!,
"&gt;="&amp;'Faturado mensal'!W$2,#REF!,
"&lt;"&amp;EOMONTH('Faturado mensal'!W$2,0))</f>
        <v>0</v>
      </c>
      <c r="X50" s="9">
        <f>SUMIFS(#REF!,#REF!,
$A50,#REF!,
"&gt;="&amp;'Faturado mensal'!X$2,#REF!,
"&lt;"&amp;EOMONTH('Faturado mensal'!X$2,0))</f>
        <v>0</v>
      </c>
      <c r="Y50" s="11">
        <f>SUMIFS(#REF!,#REF!,
$A50,#REF!,
"&gt;="&amp;'Faturado mensal'!M$2,#REF!,
"&lt;"&amp;EOMONTH('Faturado mensal'!M$2,12))</f>
        <v>0</v>
      </c>
      <c r="Z50" s="9">
        <f>SUMIFS(#REF!,#REF!,
$A50,#REF!,
"&gt;="&amp;'Faturado mensal'!Z$2,#REF!,
"&lt;"&amp;EOMONTH('Faturado mensal'!Z$2,0))</f>
        <v>0</v>
      </c>
      <c r="AA50" s="9">
        <f>SUMIFS(#REF!,#REF!,
$A50,#REF!,
"&gt;="&amp;'Faturado mensal'!AA$2,#REF!,
"&lt;"&amp;EOMONTH('Faturado mensal'!AA$2,0))</f>
        <v>0</v>
      </c>
      <c r="AB50" s="9">
        <f>SUMIFS(#REF!,#REF!,
$A50,#REF!,
"&gt;="&amp;'Faturado mensal'!AB$2,#REF!,
"&lt;"&amp;EOMONTH('Faturado mensal'!AB$2,0))</f>
        <v>0</v>
      </c>
      <c r="AC50" s="9">
        <f>SUMIFS(#REF!,#REF!,
$A50,#REF!,
"&gt;="&amp;'Faturado mensal'!AC$2,#REF!,
"&lt;"&amp;EOMONTH('Faturado mensal'!AC$2,0))</f>
        <v>0</v>
      </c>
      <c r="AD50" s="9">
        <f>SUMIFS(#REF!,#REF!,
$A50,#REF!,
"&gt;="&amp;'Faturado mensal'!AD$2,#REF!,
"&lt;"&amp;EOMONTH('Faturado mensal'!AD$2,0))</f>
        <v>0</v>
      </c>
      <c r="AE50" s="9">
        <f>SUMIFS(#REF!,#REF!,
$A50,#REF!,
"&gt;="&amp;'Faturado mensal'!AE$2,#REF!,
"&lt;"&amp;EOMONTH('Faturado mensal'!AE$2,0))</f>
        <v>0</v>
      </c>
      <c r="AF50" s="9">
        <f>SUMIFS(#REF!,#REF!,
$A50,#REF!,
"&gt;="&amp;'Faturado mensal'!AF$2,#REF!,
"&lt;"&amp;EOMONTH('Faturado mensal'!AF$2,0))</f>
        <v>0</v>
      </c>
      <c r="AG50" s="9">
        <f>SUMIFS(#REF!,#REF!,
$A50,#REF!,
"&gt;="&amp;'Faturado mensal'!AG$2,#REF!,
"&lt;"&amp;EOMONTH('Faturado mensal'!AG$2,0))</f>
        <v>0</v>
      </c>
      <c r="AH50" s="9">
        <f>SUMIFS(#REF!,#REF!,
$A50,#REF!,
"&gt;="&amp;'Faturado mensal'!AH$2,#REF!,
"&lt;"&amp;EOMONTH('Faturado mensal'!AH$2,0))</f>
        <v>0</v>
      </c>
      <c r="AI50" s="9">
        <f>SUMIFS(#REF!,#REF!,
$A50,#REF!,
"&gt;="&amp;'Faturado mensal'!AI$2,#REF!,
"&lt;"&amp;EOMONTH('Faturado mensal'!AI$2,0))</f>
        <v>0</v>
      </c>
      <c r="AJ50" s="9">
        <f>SUMIFS(#REF!,#REF!,
$A50,#REF!,
"&gt;="&amp;'Faturado mensal'!AJ$2,#REF!,
"&lt;"&amp;EOMONTH('Faturado mensal'!AJ$2,0))</f>
        <v>0</v>
      </c>
      <c r="AK50" s="9">
        <f>SUMIFS(#REF!,#REF!,
$A50,#REF!,
"&gt;="&amp;'Faturado mensal'!AK$2,#REF!,
"&lt;"&amp;EOMONTH('Faturado mensal'!AK$2,0))</f>
        <v>0</v>
      </c>
      <c r="AL50" s="9">
        <f>SUMIFS(#REF!,#REF!,
$A50,#REF!,
"&gt;="&amp;Z$2,#REF!,
"&lt;"&amp;EOMONTH(AK$2,0))</f>
        <v>0</v>
      </c>
    </row>
    <row r="51" spans="1:38" x14ac:dyDescent="0.3">
      <c r="A51" t="s">
        <v>779</v>
      </c>
      <c r="B51" t="s">
        <v>714</v>
      </c>
      <c r="C51" t="s">
        <v>715</v>
      </c>
      <c r="D51" t="s">
        <v>209</v>
      </c>
      <c r="I51" t="s">
        <v>715</v>
      </c>
      <c r="J51" t="s">
        <v>710</v>
      </c>
      <c r="K51" t="s">
        <v>748</v>
      </c>
      <c r="L51" t="s">
        <v>749</v>
      </c>
      <c r="M51" s="9">
        <f>SUMIFS(#REF!,#REF!,
$A51,#REF!,
"&gt;="&amp;'Faturado mensal'!M$2,#REF!,
"&lt;"&amp;EOMONTH('Faturado mensal'!M$2,0))</f>
        <v>0</v>
      </c>
      <c r="N51" s="9">
        <f>SUMIFS(#REF!,#REF!,
$A51,#REF!,
"&gt;="&amp;'Faturado mensal'!N$2,#REF!,
"&lt;"&amp;EOMONTH('Faturado mensal'!N$2,0))</f>
        <v>0</v>
      </c>
      <c r="O51" s="9">
        <f>SUMIFS(#REF!,#REF!,
$A51,#REF!,
"&gt;="&amp;'Faturado mensal'!O$2,#REF!,
"&lt;"&amp;EOMONTH('Faturado mensal'!O$2,0))</f>
        <v>0</v>
      </c>
      <c r="P51" s="9">
        <f>SUMIFS(#REF!,#REF!,
$A51,#REF!,
"&gt;="&amp;'Faturado mensal'!P$2,#REF!,
"&lt;"&amp;EOMONTH('Faturado mensal'!P$2,0))</f>
        <v>0</v>
      </c>
      <c r="Q51" s="9">
        <f>SUMIFS(#REF!,#REF!,
$A51,#REF!,
"&gt;="&amp;'Faturado mensal'!Q$2,#REF!,
"&lt;"&amp;EOMONTH('Faturado mensal'!Q$2,0))</f>
        <v>0</v>
      </c>
      <c r="R51" s="9">
        <f>SUMIFS(#REF!,#REF!,
$A51,#REF!,
"&gt;="&amp;'Faturado mensal'!R$2,#REF!,
"&lt;"&amp;EOMONTH('Faturado mensal'!R$2,0))</f>
        <v>0</v>
      </c>
      <c r="S51" s="9">
        <f>SUMIFS(#REF!,#REF!,
$A51,#REF!,
"&gt;="&amp;'Faturado mensal'!S$2,#REF!,
"&lt;"&amp;EOMONTH('Faturado mensal'!S$2,0))</f>
        <v>0</v>
      </c>
      <c r="T51" s="9">
        <f>SUMIFS(#REF!,#REF!,
$A51,#REF!,
"&gt;="&amp;'Faturado mensal'!T$2,#REF!,
"&lt;"&amp;EOMONTH('Faturado mensal'!T$2,0))</f>
        <v>0</v>
      </c>
      <c r="U51" s="9">
        <f>SUMIFS(#REF!,#REF!,
$A51,#REF!,
"&gt;="&amp;'Faturado mensal'!U$2,#REF!,
"&lt;"&amp;EOMONTH('Faturado mensal'!U$2,0))</f>
        <v>0</v>
      </c>
      <c r="V51" s="9">
        <f>SUMIFS(#REF!,#REF!,
$A51,#REF!,
"&gt;="&amp;'Faturado mensal'!V$2,#REF!,
"&lt;"&amp;EOMONTH('Faturado mensal'!V$2,0))</f>
        <v>0</v>
      </c>
      <c r="W51" s="9">
        <f>SUMIFS(#REF!,#REF!,
$A51,#REF!,
"&gt;="&amp;'Faturado mensal'!W$2,#REF!,
"&lt;"&amp;EOMONTH('Faturado mensal'!W$2,0))</f>
        <v>0</v>
      </c>
      <c r="X51" s="9">
        <f>SUMIFS(#REF!,#REF!,
$A51,#REF!,
"&gt;="&amp;'Faturado mensal'!X$2,#REF!,
"&lt;"&amp;EOMONTH('Faturado mensal'!X$2,0))</f>
        <v>0</v>
      </c>
      <c r="Y51" s="11">
        <f>SUMIFS(#REF!,#REF!,
$A51,#REF!,
"&gt;="&amp;'Faturado mensal'!M$2,#REF!,
"&lt;"&amp;EOMONTH('Faturado mensal'!M$2,12))</f>
        <v>0</v>
      </c>
      <c r="Z51" s="9">
        <f>SUMIFS(#REF!,#REF!,
$A51,#REF!,
"&gt;="&amp;'Faturado mensal'!Z$2,#REF!,
"&lt;"&amp;EOMONTH('Faturado mensal'!Z$2,0))</f>
        <v>0</v>
      </c>
      <c r="AA51" s="9">
        <f>SUMIFS(#REF!,#REF!,
$A51,#REF!,
"&gt;="&amp;'Faturado mensal'!AA$2,#REF!,
"&lt;"&amp;EOMONTH('Faturado mensal'!AA$2,0))</f>
        <v>0</v>
      </c>
      <c r="AB51" s="9">
        <f>SUMIFS(#REF!,#REF!,
$A51,#REF!,
"&gt;="&amp;'Faturado mensal'!AB$2,#REF!,
"&lt;"&amp;EOMONTH('Faturado mensal'!AB$2,0))</f>
        <v>0</v>
      </c>
      <c r="AC51" s="9">
        <f>SUMIFS(#REF!,#REF!,
$A51,#REF!,
"&gt;="&amp;'Faturado mensal'!AC$2,#REF!,
"&lt;"&amp;EOMONTH('Faturado mensal'!AC$2,0))</f>
        <v>0</v>
      </c>
      <c r="AD51" s="9">
        <f>SUMIFS(#REF!,#REF!,
$A51,#REF!,
"&gt;="&amp;'Faturado mensal'!AD$2,#REF!,
"&lt;"&amp;EOMONTH('Faturado mensal'!AD$2,0))</f>
        <v>0</v>
      </c>
      <c r="AE51" s="9">
        <f>SUMIFS(#REF!,#REF!,
$A51,#REF!,
"&gt;="&amp;'Faturado mensal'!AE$2,#REF!,
"&lt;"&amp;EOMONTH('Faturado mensal'!AE$2,0))</f>
        <v>0</v>
      </c>
      <c r="AF51" s="9">
        <f>SUMIFS(#REF!,#REF!,
$A51,#REF!,
"&gt;="&amp;'Faturado mensal'!AF$2,#REF!,
"&lt;"&amp;EOMONTH('Faturado mensal'!AF$2,0))</f>
        <v>0</v>
      </c>
      <c r="AG51" s="9">
        <f>SUMIFS(#REF!,#REF!,
$A51,#REF!,
"&gt;="&amp;'Faturado mensal'!AG$2,#REF!,
"&lt;"&amp;EOMONTH('Faturado mensal'!AG$2,0))</f>
        <v>0</v>
      </c>
      <c r="AH51" s="9">
        <f>SUMIFS(#REF!,#REF!,
$A51,#REF!,
"&gt;="&amp;'Faturado mensal'!AH$2,#REF!,
"&lt;"&amp;EOMONTH('Faturado mensal'!AH$2,0))</f>
        <v>0</v>
      </c>
      <c r="AI51" s="9">
        <f>SUMIFS(#REF!,#REF!,
$A51,#REF!,
"&gt;="&amp;'Faturado mensal'!AI$2,#REF!,
"&lt;"&amp;EOMONTH('Faturado mensal'!AI$2,0))</f>
        <v>0</v>
      </c>
      <c r="AJ51" s="9">
        <f>SUMIFS(#REF!,#REF!,
$A51,#REF!,
"&gt;="&amp;'Faturado mensal'!AJ$2,#REF!,
"&lt;"&amp;EOMONTH('Faturado mensal'!AJ$2,0))</f>
        <v>0</v>
      </c>
      <c r="AK51" s="9">
        <f>SUMIFS(#REF!,#REF!,
$A51,#REF!,
"&gt;="&amp;'Faturado mensal'!AK$2,#REF!,
"&lt;"&amp;EOMONTH('Faturado mensal'!AK$2,0))</f>
        <v>0</v>
      </c>
      <c r="AL51" s="9">
        <f>SUMIFS(#REF!,#REF!,
$A51,#REF!,
"&gt;="&amp;Z$2,#REF!,
"&lt;"&amp;EOMONTH(AK$2,0))</f>
        <v>0</v>
      </c>
    </row>
    <row r="52" spans="1:38" x14ac:dyDescent="0.3">
      <c r="A52" t="s">
        <v>264</v>
      </c>
      <c r="B52" t="s">
        <v>265</v>
      </c>
      <c r="C52" t="s">
        <v>176</v>
      </c>
      <c r="D52" t="s">
        <v>209</v>
      </c>
      <c r="I52" t="s">
        <v>176</v>
      </c>
      <c r="J52" t="s">
        <v>710</v>
      </c>
      <c r="K52" t="s">
        <v>748</v>
      </c>
      <c r="L52" t="s">
        <v>749</v>
      </c>
      <c r="M52" s="9">
        <f>SUMIFS(#REF!,#REF!,
$A52,#REF!,
"&gt;="&amp;'Faturado mensal'!M$2,#REF!,
"&lt;"&amp;EOMONTH('Faturado mensal'!M$2,0))</f>
        <v>0</v>
      </c>
      <c r="N52" s="9">
        <f>SUMIFS(#REF!,#REF!,
$A52,#REF!,
"&gt;="&amp;'Faturado mensal'!N$2,#REF!,
"&lt;"&amp;EOMONTH('Faturado mensal'!N$2,0))</f>
        <v>0</v>
      </c>
      <c r="O52" s="9">
        <f>SUMIFS(#REF!,#REF!,
$A52,#REF!,
"&gt;="&amp;'Faturado mensal'!O$2,#REF!,
"&lt;"&amp;EOMONTH('Faturado mensal'!O$2,0))</f>
        <v>0</v>
      </c>
      <c r="P52" s="9">
        <f>SUMIFS(#REF!,#REF!,
$A52,#REF!,
"&gt;="&amp;'Faturado mensal'!P$2,#REF!,
"&lt;"&amp;EOMONTH('Faturado mensal'!P$2,0))</f>
        <v>0</v>
      </c>
      <c r="Q52" s="9">
        <f>SUMIFS(#REF!,#REF!,
$A52,#REF!,
"&gt;="&amp;'Faturado mensal'!Q$2,#REF!,
"&lt;"&amp;EOMONTH('Faturado mensal'!Q$2,0))</f>
        <v>0</v>
      </c>
      <c r="R52" s="9">
        <f>SUMIFS(#REF!,#REF!,
$A52,#REF!,
"&gt;="&amp;'Faturado mensal'!R$2,#REF!,
"&lt;"&amp;EOMONTH('Faturado mensal'!R$2,0))</f>
        <v>0</v>
      </c>
      <c r="S52" s="9">
        <f>SUMIFS(#REF!,#REF!,
$A52,#REF!,
"&gt;="&amp;'Faturado mensal'!S$2,#REF!,
"&lt;"&amp;EOMONTH('Faturado mensal'!S$2,0))</f>
        <v>0</v>
      </c>
      <c r="T52" s="9">
        <f>SUMIFS(#REF!,#REF!,
$A52,#REF!,
"&gt;="&amp;'Faturado mensal'!T$2,#REF!,
"&lt;"&amp;EOMONTH('Faturado mensal'!T$2,0))</f>
        <v>0</v>
      </c>
      <c r="U52" s="9">
        <f>SUMIFS(#REF!,#REF!,
$A52,#REF!,
"&gt;="&amp;'Faturado mensal'!U$2,#REF!,
"&lt;"&amp;EOMONTH('Faturado mensal'!U$2,0))</f>
        <v>0</v>
      </c>
      <c r="V52" s="9">
        <f>SUMIFS(#REF!,#REF!,
$A52,#REF!,
"&gt;="&amp;'Faturado mensal'!V$2,#REF!,
"&lt;"&amp;EOMONTH('Faturado mensal'!V$2,0))</f>
        <v>0</v>
      </c>
      <c r="W52" s="9">
        <f>SUMIFS(#REF!,#REF!,
$A52,#REF!,
"&gt;="&amp;'Faturado mensal'!W$2,#REF!,
"&lt;"&amp;EOMONTH('Faturado mensal'!W$2,0))</f>
        <v>0</v>
      </c>
      <c r="X52" s="9">
        <f>SUMIFS(#REF!,#REF!,
$A52,#REF!,
"&gt;="&amp;'Faturado mensal'!X$2,#REF!,
"&lt;"&amp;EOMONTH('Faturado mensal'!X$2,0))</f>
        <v>0</v>
      </c>
      <c r="Y52" s="11">
        <f>SUMIFS(#REF!,#REF!,
$A52,#REF!,
"&gt;="&amp;'Faturado mensal'!M$2,#REF!,
"&lt;"&amp;EOMONTH('Faturado mensal'!M$2,12))</f>
        <v>0</v>
      </c>
      <c r="Z52" s="9">
        <f>SUMIFS(#REF!,#REF!,
$A52,#REF!,
"&gt;="&amp;'Faturado mensal'!Z$2,#REF!,
"&lt;"&amp;EOMONTH('Faturado mensal'!Z$2,0))</f>
        <v>0</v>
      </c>
      <c r="AA52" s="9">
        <f>SUMIFS(#REF!,#REF!,
$A52,#REF!,
"&gt;="&amp;'Faturado mensal'!AA$2,#REF!,
"&lt;"&amp;EOMONTH('Faturado mensal'!AA$2,0))</f>
        <v>0</v>
      </c>
      <c r="AB52" s="9">
        <f>SUMIFS(#REF!,#REF!,
$A52,#REF!,
"&gt;="&amp;'Faturado mensal'!AB$2,#REF!,
"&lt;"&amp;EOMONTH('Faturado mensal'!AB$2,0))</f>
        <v>0</v>
      </c>
      <c r="AC52" s="9">
        <f>SUMIFS(#REF!,#REF!,
$A52,#REF!,
"&gt;="&amp;'Faturado mensal'!AC$2,#REF!,
"&lt;"&amp;EOMONTH('Faturado mensal'!AC$2,0))</f>
        <v>0</v>
      </c>
      <c r="AD52" s="9">
        <f>SUMIFS(#REF!,#REF!,
$A52,#REF!,
"&gt;="&amp;'Faturado mensal'!AD$2,#REF!,
"&lt;"&amp;EOMONTH('Faturado mensal'!AD$2,0))</f>
        <v>0</v>
      </c>
      <c r="AE52" s="9">
        <f>SUMIFS(#REF!,#REF!,
$A52,#REF!,
"&gt;="&amp;'Faturado mensal'!AE$2,#REF!,
"&lt;"&amp;EOMONTH('Faturado mensal'!AE$2,0))</f>
        <v>0</v>
      </c>
      <c r="AF52" s="9">
        <f>SUMIFS(#REF!,#REF!,
$A52,#REF!,
"&gt;="&amp;'Faturado mensal'!AF$2,#REF!,
"&lt;"&amp;EOMONTH('Faturado mensal'!AF$2,0))</f>
        <v>0</v>
      </c>
      <c r="AG52" s="9">
        <f>SUMIFS(#REF!,#REF!,
$A52,#REF!,
"&gt;="&amp;'Faturado mensal'!AG$2,#REF!,
"&lt;"&amp;EOMONTH('Faturado mensal'!AG$2,0))</f>
        <v>0</v>
      </c>
      <c r="AH52" s="9">
        <f>SUMIFS(#REF!,#REF!,
$A52,#REF!,
"&gt;="&amp;'Faturado mensal'!AH$2,#REF!,
"&lt;"&amp;EOMONTH('Faturado mensal'!AH$2,0))</f>
        <v>0</v>
      </c>
      <c r="AI52" s="9">
        <f>SUMIFS(#REF!,#REF!,
$A52,#REF!,
"&gt;="&amp;'Faturado mensal'!AI$2,#REF!,
"&lt;"&amp;EOMONTH('Faturado mensal'!AI$2,0))</f>
        <v>0</v>
      </c>
      <c r="AJ52" s="9">
        <f>SUMIFS(#REF!,#REF!,
$A52,#REF!,
"&gt;="&amp;'Faturado mensal'!AJ$2,#REF!,
"&lt;"&amp;EOMONTH('Faturado mensal'!AJ$2,0))</f>
        <v>0</v>
      </c>
      <c r="AK52" s="9">
        <f>SUMIFS(#REF!,#REF!,
$A52,#REF!,
"&gt;="&amp;'Faturado mensal'!AK$2,#REF!,
"&lt;"&amp;EOMONTH('Faturado mensal'!AK$2,0))</f>
        <v>0</v>
      </c>
      <c r="AL52" s="9">
        <f>SUMIFS(#REF!,#REF!,
$A52,#REF!,
"&gt;="&amp;Z$2,#REF!,
"&lt;"&amp;EOMONTH(AK$2,0))</f>
        <v>0</v>
      </c>
    </row>
    <row r="53" spans="1:38" x14ac:dyDescent="0.3">
      <c r="A53" t="s">
        <v>266</v>
      </c>
      <c r="B53" t="s">
        <v>267</v>
      </c>
      <c r="C53" t="s">
        <v>186</v>
      </c>
      <c r="D53" t="s">
        <v>204</v>
      </c>
      <c r="E53" t="s">
        <v>1037</v>
      </c>
      <c r="F53" t="s">
        <v>4780</v>
      </c>
      <c r="G53" t="s">
        <v>4852</v>
      </c>
      <c r="H53" t="s">
        <v>4772</v>
      </c>
      <c r="I53" t="s">
        <v>186</v>
      </c>
      <c r="J53" t="s">
        <v>710</v>
      </c>
      <c r="K53" t="s">
        <v>717</v>
      </c>
      <c r="L53" t="s">
        <v>718</v>
      </c>
      <c r="M53" s="9">
        <f>SUMIFS(#REF!,#REF!,
$A53,#REF!,
"&gt;="&amp;'Faturado mensal'!M$2,#REF!,
"&lt;"&amp;EOMONTH('Faturado mensal'!M$2,0))</f>
        <v>164844.68</v>
      </c>
      <c r="N53" s="9">
        <f>SUMIFS(#REF!,#REF!,
$A53,#REF!,
"&gt;="&amp;'Faturado mensal'!N$2,#REF!,
"&lt;"&amp;EOMONTH('Faturado mensal'!N$2,0))</f>
        <v>169135.37</v>
      </c>
      <c r="O53" s="9">
        <f>SUMIFS(#REF!,#REF!,
$A53,#REF!,
"&gt;="&amp;'Faturado mensal'!O$2,#REF!,
"&lt;"&amp;EOMONTH('Faturado mensal'!O$2,0))</f>
        <v>169401.03999999998</v>
      </c>
      <c r="P53" s="9">
        <f>SUMIFS(#REF!,#REF!,
$A53,#REF!,
"&gt;="&amp;'Faturado mensal'!P$2,#REF!,
"&lt;"&amp;EOMONTH('Faturado mensal'!P$2,0))</f>
        <v>173043.58</v>
      </c>
      <c r="Q53" s="9">
        <f>SUMIFS(#REF!,#REF!,
$A53,#REF!,
"&gt;="&amp;'Faturado mensal'!Q$2,#REF!,
"&lt;"&amp;EOMONTH('Faturado mensal'!Q$2,0))</f>
        <v>172266.14999999997</v>
      </c>
      <c r="R53" s="9">
        <f>SUMIFS(#REF!,#REF!,
$A53,#REF!,
"&gt;="&amp;'Faturado mensal'!R$2,#REF!,
"&lt;"&amp;EOMONTH('Faturado mensal'!R$2,0))</f>
        <v>187286.84</v>
      </c>
      <c r="S53" s="9">
        <f>SUMIFS(#REF!,#REF!,
$A53,#REF!,
"&gt;="&amp;'Faturado mensal'!S$2,#REF!,
"&lt;"&amp;EOMONTH('Faturado mensal'!S$2,0))</f>
        <v>190964.09999999998</v>
      </c>
      <c r="T53" s="9">
        <f>SUMIFS(#REF!,#REF!,
$A53,#REF!,
"&gt;="&amp;'Faturado mensal'!T$2,#REF!,
"&lt;"&amp;EOMONTH('Faturado mensal'!T$2,0))</f>
        <v>197654.96</v>
      </c>
      <c r="U53" s="9">
        <f>SUMIFS(#REF!,#REF!,
$A53,#REF!,
"&gt;="&amp;'Faturado mensal'!U$2,#REF!,
"&lt;"&amp;EOMONTH('Faturado mensal'!U$2,0))</f>
        <v>188365.63999999998</v>
      </c>
      <c r="V53" s="9">
        <f>SUMIFS(#REF!,#REF!,
$A53,#REF!,
"&gt;="&amp;'Faturado mensal'!V$2,#REF!,
"&lt;"&amp;EOMONTH('Faturado mensal'!V$2,0))</f>
        <v>194136.00000000003</v>
      </c>
      <c r="W53" s="9">
        <f>SUMIFS(#REF!,#REF!,
$A53,#REF!,
"&gt;="&amp;'Faturado mensal'!W$2,#REF!,
"&lt;"&amp;EOMONTH('Faturado mensal'!W$2,0))</f>
        <v>199112.29000000004</v>
      </c>
      <c r="X53" s="9">
        <f>SUMIFS(#REF!,#REF!,
$A53,#REF!,
"&gt;="&amp;'Faturado mensal'!X$2,#REF!,
"&lt;"&amp;EOMONTH('Faturado mensal'!X$2,0))</f>
        <v>165808.12</v>
      </c>
      <c r="Y53" s="11">
        <f>SUMIFS(#REF!,#REF!,
$A53,#REF!,
"&gt;="&amp;'Faturado mensal'!M$2,#REF!,
"&lt;"&amp;EOMONTH('Faturado mensal'!M$2,12))</f>
        <v>2315927.6300000004</v>
      </c>
      <c r="Z53" s="9">
        <f>SUMIFS(#REF!,#REF!,
$A53,#REF!,
"&gt;="&amp;'Faturado mensal'!Z$2,#REF!,
"&lt;"&amp;EOMONTH('Faturado mensal'!Z$2,0))</f>
        <v>143908.86000000002</v>
      </c>
      <c r="AA53" s="9">
        <f>SUMIFS(#REF!,#REF!,
$A53,#REF!,
"&gt;="&amp;'Faturado mensal'!AA$2,#REF!,
"&lt;"&amp;EOMONTH('Faturado mensal'!AA$2,0))</f>
        <v>169714.2</v>
      </c>
      <c r="AB53" s="9">
        <f>SUMIFS(#REF!,#REF!,
$A53,#REF!,
"&gt;="&amp;'Faturado mensal'!AB$2,#REF!,
"&lt;"&amp;EOMONTH('Faturado mensal'!AB$2,0))</f>
        <v>167509.27000000002</v>
      </c>
      <c r="AC53" s="9">
        <f>SUMIFS(#REF!,#REF!,
$A53,#REF!,
"&gt;="&amp;'Faturado mensal'!AC$2,#REF!,
"&lt;"&amp;EOMONTH('Faturado mensal'!AC$2,0))</f>
        <v>0</v>
      </c>
      <c r="AD53" s="9">
        <f>SUMIFS(#REF!,#REF!,
$A53,#REF!,
"&gt;="&amp;'Faturado mensal'!AD$2,#REF!,
"&lt;"&amp;EOMONTH('Faturado mensal'!AD$2,0))</f>
        <v>191315.57</v>
      </c>
      <c r="AE53" s="9">
        <f>SUMIFS(#REF!,#REF!,
$A53,#REF!,
"&gt;="&amp;'Faturado mensal'!AE$2,#REF!,
"&lt;"&amp;EOMONTH('Faturado mensal'!AE$2,0))</f>
        <v>1737.2</v>
      </c>
      <c r="AF53" s="9">
        <f>SUMIFS(#REF!,#REF!,
$A53,#REF!,
"&gt;="&amp;'Faturado mensal'!AF$2,#REF!,
"&lt;"&amp;EOMONTH('Faturado mensal'!AF$2,0))</f>
        <v>0</v>
      </c>
      <c r="AG53" s="9">
        <f>SUMIFS(#REF!,#REF!,
$A53,#REF!,
"&gt;="&amp;'Faturado mensal'!AG$2,#REF!,
"&lt;"&amp;EOMONTH('Faturado mensal'!AG$2,0))</f>
        <v>0</v>
      </c>
      <c r="AH53" s="9">
        <f>SUMIFS(#REF!,#REF!,
$A53,#REF!,
"&gt;="&amp;'Faturado mensal'!AH$2,#REF!,
"&lt;"&amp;EOMONTH('Faturado mensal'!AH$2,0))</f>
        <v>0</v>
      </c>
      <c r="AI53" s="9">
        <f>SUMIFS(#REF!,#REF!,
$A53,#REF!,
"&gt;="&amp;'Faturado mensal'!AI$2,#REF!,
"&lt;"&amp;EOMONTH('Faturado mensal'!AI$2,0))</f>
        <v>0</v>
      </c>
      <c r="AJ53" s="9">
        <f>SUMIFS(#REF!,#REF!,
$A53,#REF!,
"&gt;="&amp;'Faturado mensal'!AJ$2,#REF!,
"&lt;"&amp;EOMONTH('Faturado mensal'!AJ$2,0))</f>
        <v>0</v>
      </c>
      <c r="AK53" s="9">
        <f>SUMIFS(#REF!,#REF!,
$A53,#REF!,
"&gt;="&amp;'Faturado mensal'!AK$2,#REF!,
"&lt;"&amp;EOMONTH('Faturado mensal'!AK$2,0))</f>
        <v>0</v>
      </c>
      <c r="AL53" s="9">
        <f>SUMIFS(#REF!,#REF!,
$A53,#REF!,
"&gt;="&amp;Z$2,#REF!,
"&lt;"&amp;EOMONTH(AK$2,0))</f>
        <v>871527.16</v>
      </c>
    </row>
    <row r="54" spans="1:38" x14ac:dyDescent="0.3">
      <c r="A54" t="s">
        <v>268</v>
      </c>
      <c r="B54" t="s">
        <v>239</v>
      </c>
      <c r="C54" t="s">
        <v>199</v>
      </c>
      <c r="D54" t="s">
        <v>204</v>
      </c>
      <c r="E54" t="s">
        <v>4843</v>
      </c>
      <c r="F54" t="s">
        <v>4779</v>
      </c>
      <c r="G54" t="s">
        <v>4852</v>
      </c>
      <c r="H54" t="s">
        <v>4771</v>
      </c>
      <c r="I54" t="s">
        <v>199</v>
      </c>
      <c r="J54" t="s">
        <v>710</v>
      </c>
      <c r="K54" t="s">
        <v>720</v>
      </c>
      <c r="L54" t="s">
        <v>721</v>
      </c>
      <c r="M54" s="9">
        <f>SUMIFS(#REF!,#REF!,
$A54,#REF!,
"&gt;="&amp;'Faturado mensal'!M$2,#REF!,
"&lt;"&amp;EOMONTH('Faturado mensal'!M$2,0))</f>
        <v>932.3</v>
      </c>
      <c r="N54" s="9">
        <f>SUMIFS(#REF!,#REF!,
$A54,#REF!,
"&gt;="&amp;'Faturado mensal'!N$2,#REF!,
"&lt;"&amp;EOMONTH('Faturado mensal'!N$2,0))</f>
        <v>720.12</v>
      </c>
      <c r="O54" s="9">
        <f>SUMIFS(#REF!,#REF!,
$A54,#REF!,
"&gt;="&amp;'Faturado mensal'!O$2,#REF!,
"&lt;"&amp;EOMONTH('Faturado mensal'!O$2,0))</f>
        <v>822.4</v>
      </c>
      <c r="P54" s="9">
        <f>SUMIFS(#REF!,#REF!,
$A54,#REF!,
"&gt;="&amp;'Faturado mensal'!P$2,#REF!,
"&lt;"&amp;EOMONTH('Faturado mensal'!P$2,0))</f>
        <v>822.4</v>
      </c>
      <c r="Q54" s="9">
        <f>SUMIFS(#REF!,#REF!,
$A54,#REF!,
"&gt;="&amp;'Faturado mensal'!Q$2,#REF!,
"&lt;"&amp;EOMONTH('Faturado mensal'!Q$2,0))</f>
        <v>822.4</v>
      </c>
      <c r="R54" s="9">
        <f>SUMIFS(#REF!,#REF!,
$A54,#REF!,
"&gt;="&amp;'Faturado mensal'!R$2,#REF!,
"&lt;"&amp;EOMONTH('Faturado mensal'!R$2,0))</f>
        <v>712.5</v>
      </c>
      <c r="S54" s="9">
        <f>SUMIFS(#REF!,#REF!,
$A54,#REF!,
"&gt;="&amp;'Faturado mensal'!S$2,#REF!,
"&lt;"&amp;EOMONTH('Faturado mensal'!S$2,0))</f>
        <v>822.4</v>
      </c>
      <c r="T54" s="9">
        <f>SUMIFS(#REF!,#REF!,
$A54,#REF!,
"&gt;="&amp;'Faturado mensal'!T$2,#REF!,
"&lt;"&amp;EOMONTH('Faturado mensal'!T$2,0))</f>
        <v>822.4</v>
      </c>
      <c r="U54" s="9">
        <f>SUMIFS(#REF!,#REF!,
$A54,#REF!,
"&gt;="&amp;'Faturado mensal'!U$2,#REF!,
"&lt;"&amp;EOMONTH('Faturado mensal'!U$2,0))</f>
        <v>822.4</v>
      </c>
      <c r="V54" s="9">
        <f>SUMIFS(#REF!,#REF!,
$A54,#REF!,
"&gt;="&amp;'Faturado mensal'!V$2,#REF!,
"&lt;"&amp;EOMONTH('Faturado mensal'!V$2,0))</f>
        <v>822.4</v>
      </c>
      <c r="W54" s="9">
        <f>SUMIFS(#REF!,#REF!,
$A54,#REF!,
"&gt;="&amp;'Faturado mensal'!W$2,#REF!,
"&lt;"&amp;EOMONTH('Faturado mensal'!W$2,0))</f>
        <v>785.88</v>
      </c>
      <c r="X54" s="9">
        <f>SUMIFS(#REF!,#REF!,
$A54,#REF!,
"&gt;="&amp;'Faturado mensal'!X$2,#REF!,
"&lt;"&amp;EOMONTH('Faturado mensal'!X$2,0))</f>
        <v>785.88</v>
      </c>
      <c r="Y54" s="11">
        <f>SUMIFS(#REF!,#REF!,
$A54,#REF!,
"&gt;="&amp;'Faturado mensal'!M$2,#REF!,
"&lt;"&amp;EOMONTH('Faturado mensal'!M$2,12))</f>
        <v>9913.279999999997</v>
      </c>
      <c r="Z54" s="9">
        <f>SUMIFS(#REF!,#REF!,
$A54,#REF!,
"&gt;="&amp;'Faturado mensal'!Z$2,#REF!,
"&lt;"&amp;EOMONTH('Faturado mensal'!Z$2,0))</f>
        <v>0</v>
      </c>
      <c r="AA54" s="9">
        <f>SUMIFS(#REF!,#REF!,
$A54,#REF!,
"&gt;="&amp;'Faturado mensal'!AA$2,#REF!,
"&lt;"&amp;EOMONTH('Faturado mensal'!AA$2,0))</f>
        <v>785.88</v>
      </c>
      <c r="AB54" s="9">
        <f>SUMIFS(#REF!,#REF!,
$A54,#REF!,
"&gt;="&amp;'Faturado mensal'!AB$2,#REF!,
"&lt;"&amp;EOMONTH('Faturado mensal'!AB$2,0))</f>
        <v>0</v>
      </c>
      <c r="AC54" s="9">
        <f>SUMIFS(#REF!,#REF!,
$A54,#REF!,
"&gt;="&amp;'Faturado mensal'!AC$2,#REF!,
"&lt;"&amp;EOMONTH('Faturado mensal'!AC$2,0))</f>
        <v>1484.44</v>
      </c>
      <c r="AD54" s="9">
        <f>SUMIFS(#REF!,#REF!,
$A54,#REF!,
"&gt;="&amp;'Faturado mensal'!AD$2,#REF!,
"&lt;"&amp;EOMONTH('Faturado mensal'!AD$2,0))</f>
        <v>0</v>
      </c>
      <c r="AE54" s="9">
        <f>SUMIFS(#REF!,#REF!,
$A54,#REF!,
"&gt;="&amp;'Faturado mensal'!AE$2,#REF!,
"&lt;"&amp;EOMONTH('Faturado mensal'!AE$2,0))</f>
        <v>0</v>
      </c>
      <c r="AF54" s="9">
        <f>SUMIFS(#REF!,#REF!,
$A54,#REF!,
"&gt;="&amp;'Faturado mensal'!AF$2,#REF!,
"&lt;"&amp;EOMONTH('Faturado mensal'!AF$2,0))</f>
        <v>0</v>
      </c>
      <c r="AG54" s="9">
        <f>SUMIFS(#REF!,#REF!,
$A54,#REF!,
"&gt;="&amp;'Faturado mensal'!AG$2,#REF!,
"&lt;"&amp;EOMONTH('Faturado mensal'!AG$2,0))</f>
        <v>0</v>
      </c>
      <c r="AH54" s="9">
        <f>SUMIFS(#REF!,#REF!,
$A54,#REF!,
"&gt;="&amp;'Faturado mensal'!AH$2,#REF!,
"&lt;"&amp;EOMONTH('Faturado mensal'!AH$2,0))</f>
        <v>0</v>
      </c>
      <c r="AI54" s="9">
        <f>SUMIFS(#REF!,#REF!,
$A54,#REF!,
"&gt;="&amp;'Faturado mensal'!AI$2,#REF!,
"&lt;"&amp;EOMONTH('Faturado mensal'!AI$2,0))</f>
        <v>0</v>
      </c>
      <c r="AJ54" s="9">
        <f>SUMIFS(#REF!,#REF!,
$A54,#REF!,
"&gt;="&amp;'Faturado mensal'!AJ$2,#REF!,
"&lt;"&amp;EOMONTH('Faturado mensal'!AJ$2,0))</f>
        <v>0</v>
      </c>
      <c r="AK54" s="9">
        <f>SUMIFS(#REF!,#REF!,
$A54,#REF!,
"&gt;="&amp;'Faturado mensal'!AK$2,#REF!,
"&lt;"&amp;EOMONTH('Faturado mensal'!AK$2,0))</f>
        <v>0</v>
      </c>
      <c r="AL54" s="9">
        <f>SUMIFS(#REF!,#REF!,
$A54,#REF!,
"&gt;="&amp;Z$2,#REF!,
"&lt;"&amp;EOMONTH(AK$2,0))</f>
        <v>2270.3200000000002</v>
      </c>
    </row>
    <row r="55" spans="1:38" x14ac:dyDescent="0.3">
      <c r="A55" t="s">
        <v>269</v>
      </c>
      <c r="B55" t="s">
        <v>270</v>
      </c>
      <c r="C55" t="s">
        <v>82</v>
      </c>
      <c r="D55" t="s">
        <v>209</v>
      </c>
      <c r="I55" t="s">
        <v>82</v>
      </c>
      <c r="J55" t="s">
        <v>710</v>
      </c>
      <c r="K55" t="s">
        <v>720</v>
      </c>
      <c r="L55" t="s">
        <v>721</v>
      </c>
      <c r="M55" s="9">
        <f>SUMIFS(#REF!,#REF!,
$A55,#REF!,
"&gt;="&amp;'Faturado mensal'!M$2,#REF!,
"&lt;"&amp;EOMONTH('Faturado mensal'!M$2,0))</f>
        <v>0</v>
      </c>
      <c r="N55" s="9">
        <f>SUMIFS(#REF!,#REF!,
$A55,#REF!,
"&gt;="&amp;'Faturado mensal'!N$2,#REF!,
"&lt;"&amp;EOMONTH('Faturado mensal'!N$2,0))</f>
        <v>0</v>
      </c>
      <c r="O55" s="9">
        <f>SUMIFS(#REF!,#REF!,
$A55,#REF!,
"&gt;="&amp;'Faturado mensal'!O$2,#REF!,
"&lt;"&amp;EOMONTH('Faturado mensal'!O$2,0))</f>
        <v>0</v>
      </c>
      <c r="P55" s="9">
        <f>SUMIFS(#REF!,#REF!,
$A55,#REF!,
"&gt;="&amp;'Faturado mensal'!P$2,#REF!,
"&lt;"&amp;EOMONTH('Faturado mensal'!P$2,0))</f>
        <v>0</v>
      </c>
      <c r="Q55" s="9">
        <f>SUMIFS(#REF!,#REF!,
$A55,#REF!,
"&gt;="&amp;'Faturado mensal'!Q$2,#REF!,
"&lt;"&amp;EOMONTH('Faturado mensal'!Q$2,0))</f>
        <v>0</v>
      </c>
      <c r="R55" s="9">
        <f>SUMIFS(#REF!,#REF!,
$A55,#REF!,
"&gt;="&amp;'Faturado mensal'!R$2,#REF!,
"&lt;"&amp;EOMONTH('Faturado mensal'!R$2,0))</f>
        <v>0</v>
      </c>
      <c r="S55" s="9">
        <f>SUMIFS(#REF!,#REF!,
$A55,#REF!,
"&gt;="&amp;'Faturado mensal'!S$2,#REF!,
"&lt;"&amp;EOMONTH('Faturado mensal'!S$2,0))</f>
        <v>0</v>
      </c>
      <c r="T55" s="9">
        <f>SUMIFS(#REF!,#REF!,
$A55,#REF!,
"&gt;="&amp;'Faturado mensal'!T$2,#REF!,
"&lt;"&amp;EOMONTH('Faturado mensal'!T$2,0))</f>
        <v>0</v>
      </c>
      <c r="U55" s="9">
        <f>SUMIFS(#REF!,#REF!,
$A55,#REF!,
"&gt;="&amp;'Faturado mensal'!U$2,#REF!,
"&lt;"&amp;EOMONTH('Faturado mensal'!U$2,0))</f>
        <v>0</v>
      </c>
      <c r="V55" s="9">
        <f>SUMIFS(#REF!,#REF!,
$A55,#REF!,
"&gt;="&amp;'Faturado mensal'!V$2,#REF!,
"&lt;"&amp;EOMONTH('Faturado mensal'!V$2,0))</f>
        <v>0</v>
      </c>
      <c r="W55" s="9">
        <f>SUMIFS(#REF!,#REF!,
$A55,#REF!,
"&gt;="&amp;'Faturado mensal'!W$2,#REF!,
"&lt;"&amp;EOMONTH('Faturado mensal'!W$2,0))</f>
        <v>0</v>
      </c>
      <c r="X55" s="9">
        <f>SUMIFS(#REF!,#REF!,
$A55,#REF!,
"&gt;="&amp;'Faturado mensal'!X$2,#REF!,
"&lt;"&amp;EOMONTH('Faturado mensal'!X$2,0))</f>
        <v>0</v>
      </c>
      <c r="Y55" s="11">
        <f>SUMIFS(#REF!,#REF!,
$A55,#REF!,
"&gt;="&amp;'Faturado mensal'!M$2,#REF!,
"&lt;"&amp;EOMONTH('Faturado mensal'!M$2,12))</f>
        <v>0</v>
      </c>
      <c r="Z55" s="9">
        <f>SUMIFS(#REF!,#REF!,
$A55,#REF!,
"&gt;="&amp;'Faturado mensal'!Z$2,#REF!,
"&lt;"&amp;EOMONTH('Faturado mensal'!Z$2,0))</f>
        <v>0</v>
      </c>
      <c r="AA55" s="9">
        <f>SUMIFS(#REF!,#REF!,
$A55,#REF!,
"&gt;="&amp;'Faturado mensal'!AA$2,#REF!,
"&lt;"&amp;EOMONTH('Faturado mensal'!AA$2,0))</f>
        <v>0</v>
      </c>
      <c r="AB55" s="9">
        <f>SUMIFS(#REF!,#REF!,
$A55,#REF!,
"&gt;="&amp;'Faturado mensal'!AB$2,#REF!,
"&lt;"&amp;EOMONTH('Faturado mensal'!AB$2,0))</f>
        <v>0</v>
      </c>
      <c r="AC55" s="9">
        <f>SUMIFS(#REF!,#REF!,
$A55,#REF!,
"&gt;="&amp;'Faturado mensal'!AC$2,#REF!,
"&lt;"&amp;EOMONTH('Faturado mensal'!AC$2,0))</f>
        <v>0</v>
      </c>
      <c r="AD55" s="9">
        <f>SUMIFS(#REF!,#REF!,
$A55,#REF!,
"&gt;="&amp;'Faturado mensal'!AD$2,#REF!,
"&lt;"&amp;EOMONTH('Faturado mensal'!AD$2,0))</f>
        <v>0</v>
      </c>
      <c r="AE55" s="9">
        <f>SUMIFS(#REF!,#REF!,
$A55,#REF!,
"&gt;="&amp;'Faturado mensal'!AE$2,#REF!,
"&lt;"&amp;EOMONTH('Faturado mensal'!AE$2,0))</f>
        <v>0</v>
      </c>
      <c r="AF55" s="9">
        <f>SUMIFS(#REF!,#REF!,
$A55,#REF!,
"&gt;="&amp;'Faturado mensal'!AF$2,#REF!,
"&lt;"&amp;EOMONTH('Faturado mensal'!AF$2,0))</f>
        <v>0</v>
      </c>
      <c r="AG55" s="9">
        <f>SUMIFS(#REF!,#REF!,
$A55,#REF!,
"&gt;="&amp;'Faturado mensal'!AG$2,#REF!,
"&lt;"&amp;EOMONTH('Faturado mensal'!AG$2,0))</f>
        <v>0</v>
      </c>
      <c r="AH55" s="9">
        <f>SUMIFS(#REF!,#REF!,
$A55,#REF!,
"&gt;="&amp;'Faturado mensal'!AH$2,#REF!,
"&lt;"&amp;EOMONTH('Faturado mensal'!AH$2,0))</f>
        <v>0</v>
      </c>
      <c r="AI55" s="9">
        <f>SUMIFS(#REF!,#REF!,
$A55,#REF!,
"&gt;="&amp;'Faturado mensal'!AI$2,#REF!,
"&lt;"&amp;EOMONTH('Faturado mensal'!AI$2,0))</f>
        <v>0</v>
      </c>
      <c r="AJ55" s="9">
        <f>SUMIFS(#REF!,#REF!,
$A55,#REF!,
"&gt;="&amp;'Faturado mensal'!AJ$2,#REF!,
"&lt;"&amp;EOMONTH('Faturado mensal'!AJ$2,0))</f>
        <v>0</v>
      </c>
      <c r="AK55" s="9">
        <f>SUMIFS(#REF!,#REF!,
$A55,#REF!,
"&gt;="&amp;'Faturado mensal'!AK$2,#REF!,
"&lt;"&amp;EOMONTH('Faturado mensal'!AK$2,0))</f>
        <v>0</v>
      </c>
      <c r="AL55" s="9">
        <f>SUMIFS(#REF!,#REF!,
$A55,#REF!,
"&gt;="&amp;Z$2,#REF!,
"&lt;"&amp;EOMONTH(AK$2,0))</f>
        <v>0</v>
      </c>
    </row>
    <row r="56" spans="1:38" x14ac:dyDescent="0.3">
      <c r="A56" t="s">
        <v>271</v>
      </c>
      <c r="B56" t="s">
        <v>243</v>
      </c>
      <c r="C56" t="s">
        <v>61</v>
      </c>
      <c r="D56" t="s">
        <v>204</v>
      </c>
      <c r="E56" t="s">
        <v>4834</v>
      </c>
      <c r="F56" t="s">
        <v>4776</v>
      </c>
      <c r="G56" t="s">
        <v>4858</v>
      </c>
      <c r="H56" t="s">
        <v>4771</v>
      </c>
      <c r="I56" t="s">
        <v>61</v>
      </c>
      <c r="J56" t="s">
        <v>710</v>
      </c>
      <c r="K56" t="s">
        <v>720</v>
      </c>
      <c r="L56" t="s">
        <v>721</v>
      </c>
      <c r="M56" s="9">
        <f>SUMIFS(#REF!,#REF!,
$A56,#REF!,
"&gt;="&amp;'Faturado mensal'!M$2,#REF!,
"&lt;"&amp;EOMONTH('Faturado mensal'!M$2,0))</f>
        <v>0</v>
      </c>
      <c r="N56" s="9">
        <f>SUMIFS(#REF!,#REF!,
$A56,#REF!,
"&gt;="&amp;'Faturado mensal'!N$2,#REF!,
"&lt;"&amp;EOMONTH('Faturado mensal'!N$2,0))</f>
        <v>0</v>
      </c>
      <c r="O56" s="9">
        <f>SUMIFS(#REF!,#REF!,
$A56,#REF!,
"&gt;="&amp;'Faturado mensal'!O$2,#REF!,
"&lt;"&amp;EOMONTH('Faturado mensal'!O$2,0))</f>
        <v>0</v>
      </c>
      <c r="P56" s="9">
        <f>SUMIFS(#REF!,#REF!,
$A56,#REF!,
"&gt;="&amp;'Faturado mensal'!P$2,#REF!,
"&lt;"&amp;EOMONTH('Faturado mensal'!P$2,0))</f>
        <v>0</v>
      </c>
      <c r="Q56" s="9">
        <f>SUMIFS(#REF!,#REF!,
$A56,#REF!,
"&gt;="&amp;'Faturado mensal'!Q$2,#REF!,
"&lt;"&amp;EOMONTH('Faturado mensal'!Q$2,0))</f>
        <v>0</v>
      </c>
      <c r="R56" s="9">
        <f>SUMIFS(#REF!,#REF!,
$A56,#REF!,
"&gt;="&amp;'Faturado mensal'!R$2,#REF!,
"&lt;"&amp;EOMONTH('Faturado mensal'!R$2,0))</f>
        <v>0</v>
      </c>
      <c r="S56" s="9">
        <f>SUMIFS(#REF!,#REF!,
$A56,#REF!,
"&gt;="&amp;'Faturado mensal'!S$2,#REF!,
"&lt;"&amp;EOMONTH('Faturado mensal'!S$2,0))</f>
        <v>0</v>
      </c>
      <c r="T56" s="9">
        <f>SUMIFS(#REF!,#REF!,
$A56,#REF!,
"&gt;="&amp;'Faturado mensal'!T$2,#REF!,
"&lt;"&amp;EOMONTH('Faturado mensal'!T$2,0))</f>
        <v>0</v>
      </c>
      <c r="U56" s="9">
        <f>SUMIFS(#REF!,#REF!,
$A56,#REF!,
"&gt;="&amp;'Faturado mensal'!U$2,#REF!,
"&lt;"&amp;EOMONTH('Faturado mensal'!U$2,0))</f>
        <v>24929.73</v>
      </c>
      <c r="V56" s="9">
        <f>SUMIFS(#REF!,#REF!,
$A56,#REF!,
"&gt;="&amp;'Faturado mensal'!V$2,#REF!,
"&lt;"&amp;EOMONTH('Faturado mensal'!V$2,0))</f>
        <v>4926.0200000000004</v>
      </c>
      <c r="W56" s="9">
        <f>SUMIFS(#REF!,#REF!,
$A56,#REF!,
"&gt;="&amp;'Faturado mensal'!W$2,#REF!,
"&lt;"&amp;EOMONTH('Faturado mensal'!W$2,0))</f>
        <v>0</v>
      </c>
      <c r="X56" s="9">
        <f>SUMIFS(#REF!,#REF!,
$A56,#REF!,
"&gt;="&amp;'Faturado mensal'!X$2,#REF!,
"&lt;"&amp;EOMONTH('Faturado mensal'!X$2,0))</f>
        <v>0</v>
      </c>
      <c r="Y56" s="11">
        <f>SUMIFS(#REF!,#REF!,
$A56,#REF!,
"&gt;="&amp;'Faturado mensal'!M$2,#REF!,
"&lt;"&amp;EOMONTH('Faturado mensal'!M$2,12))</f>
        <v>29855.75</v>
      </c>
      <c r="Z56" s="9">
        <f>SUMIFS(#REF!,#REF!,
$A56,#REF!,
"&gt;="&amp;'Faturado mensal'!Z$2,#REF!,
"&lt;"&amp;EOMONTH('Faturado mensal'!Z$2,0))</f>
        <v>0</v>
      </c>
      <c r="AA56" s="9">
        <f>SUMIFS(#REF!,#REF!,
$A56,#REF!,
"&gt;="&amp;'Faturado mensal'!AA$2,#REF!,
"&lt;"&amp;EOMONTH('Faturado mensal'!AA$2,0))</f>
        <v>0</v>
      </c>
      <c r="AB56" s="9">
        <f>SUMIFS(#REF!,#REF!,
$A56,#REF!,
"&gt;="&amp;'Faturado mensal'!AB$2,#REF!,
"&lt;"&amp;EOMONTH('Faturado mensal'!AB$2,0))</f>
        <v>0</v>
      </c>
      <c r="AC56" s="9">
        <f>SUMIFS(#REF!,#REF!,
$A56,#REF!,
"&gt;="&amp;'Faturado mensal'!AC$2,#REF!,
"&lt;"&amp;EOMONTH('Faturado mensal'!AC$2,0))</f>
        <v>0</v>
      </c>
      <c r="AD56" s="9">
        <f>SUMIFS(#REF!,#REF!,
$A56,#REF!,
"&gt;="&amp;'Faturado mensal'!AD$2,#REF!,
"&lt;"&amp;EOMONTH('Faturado mensal'!AD$2,0))</f>
        <v>0</v>
      </c>
      <c r="AE56" s="9">
        <f>SUMIFS(#REF!,#REF!,
$A56,#REF!,
"&gt;="&amp;'Faturado mensal'!AE$2,#REF!,
"&lt;"&amp;EOMONTH('Faturado mensal'!AE$2,0))</f>
        <v>0</v>
      </c>
      <c r="AF56" s="9">
        <f>SUMIFS(#REF!,#REF!,
$A56,#REF!,
"&gt;="&amp;'Faturado mensal'!AF$2,#REF!,
"&lt;"&amp;EOMONTH('Faturado mensal'!AF$2,0))</f>
        <v>0</v>
      </c>
      <c r="AG56" s="9">
        <f>SUMIFS(#REF!,#REF!,
$A56,#REF!,
"&gt;="&amp;'Faturado mensal'!AG$2,#REF!,
"&lt;"&amp;EOMONTH('Faturado mensal'!AG$2,0))</f>
        <v>0</v>
      </c>
      <c r="AH56" s="9">
        <f>SUMIFS(#REF!,#REF!,
$A56,#REF!,
"&gt;="&amp;'Faturado mensal'!AH$2,#REF!,
"&lt;"&amp;EOMONTH('Faturado mensal'!AH$2,0))</f>
        <v>0</v>
      </c>
      <c r="AI56" s="9">
        <f>SUMIFS(#REF!,#REF!,
$A56,#REF!,
"&gt;="&amp;'Faturado mensal'!AI$2,#REF!,
"&lt;"&amp;EOMONTH('Faturado mensal'!AI$2,0))</f>
        <v>0</v>
      </c>
      <c r="AJ56" s="9">
        <f>SUMIFS(#REF!,#REF!,
$A56,#REF!,
"&gt;="&amp;'Faturado mensal'!AJ$2,#REF!,
"&lt;"&amp;EOMONTH('Faturado mensal'!AJ$2,0))</f>
        <v>0</v>
      </c>
      <c r="AK56" s="9">
        <f>SUMIFS(#REF!,#REF!,
$A56,#REF!,
"&gt;="&amp;'Faturado mensal'!AK$2,#REF!,
"&lt;"&amp;EOMONTH('Faturado mensal'!AK$2,0))</f>
        <v>0</v>
      </c>
      <c r="AL56" s="9">
        <f>SUMIFS(#REF!,#REF!,
$A56,#REF!,
"&gt;="&amp;Z$2,#REF!,
"&lt;"&amp;EOMONTH(AK$2,0))</f>
        <v>0</v>
      </c>
    </row>
    <row r="57" spans="1:38" x14ac:dyDescent="0.3">
      <c r="A57" t="s">
        <v>780</v>
      </c>
      <c r="B57" t="s">
        <v>232</v>
      </c>
      <c r="C57" t="s">
        <v>87</v>
      </c>
      <c r="D57" t="s">
        <v>209</v>
      </c>
      <c r="E57" t="s">
        <v>4834</v>
      </c>
      <c r="F57" t="s">
        <v>4776</v>
      </c>
      <c r="G57" t="s">
        <v>4853</v>
      </c>
      <c r="H57" t="s">
        <v>4773</v>
      </c>
      <c r="I57" t="s">
        <v>87</v>
      </c>
      <c r="J57" t="s">
        <v>710</v>
      </c>
      <c r="K57" t="s">
        <v>748</v>
      </c>
      <c r="L57" t="s">
        <v>749</v>
      </c>
      <c r="M57" s="9">
        <f>SUMIFS(#REF!,#REF!,
$A57,#REF!,
"&gt;="&amp;'Faturado mensal'!M$2,#REF!,
"&lt;"&amp;EOMONTH('Faturado mensal'!M$2,0))</f>
        <v>0</v>
      </c>
      <c r="N57" s="9">
        <f>SUMIFS(#REF!,#REF!,
$A57,#REF!,
"&gt;="&amp;'Faturado mensal'!N$2,#REF!,
"&lt;"&amp;EOMONTH('Faturado mensal'!N$2,0))</f>
        <v>0</v>
      </c>
      <c r="O57" s="9">
        <f>SUMIFS(#REF!,#REF!,
$A57,#REF!,
"&gt;="&amp;'Faturado mensal'!O$2,#REF!,
"&lt;"&amp;EOMONTH('Faturado mensal'!O$2,0))</f>
        <v>0</v>
      </c>
      <c r="P57" s="9">
        <f>SUMIFS(#REF!,#REF!,
$A57,#REF!,
"&gt;="&amp;'Faturado mensal'!P$2,#REF!,
"&lt;"&amp;EOMONTH('Faturado mensal'!P$2,0))</f>
        <v>0</v>
      </c>
      <c r="Q57" s="9">
        <f>SUMIFS(#REF!,#REF!,
$A57,#REF!,
"&gt;="&amp;'Faturado mensal'!Q$2,#REF!,
"&lt;"&amp;EOMONTH('Faturado mensal'!Q$2,0))</f>
        <v>0</v>
      </c>
      <c r="R57" s="9">
        <f>SUMIFS(#REF!,#REF!,
$A57,#REF!,
"&gt;="&amp;'Faturado mensal'!R$2,#REF!,
"&lt;"&amp;EOMONTH('Faturado mensal'!R$2,0))</f>
        <v>0</v>
      </c>
      <c r="S57" s="9">
        <f>SUMIFS(#REF!,#REF!,
$A57,#REF!,
"&gt;="&amp;'Faturado mensal'!S$2,#REF!,
"&lt;"&amp;EOMONTH('Faturado mensal'!S$2,0))</f>
        <v>0</v>
      </c>
      <c r="T57" s="9">
        <f>SUMIFS(#REF!,#REF!,
$A57,#REF!,
"&gt;="&amp;'Faturado mensal'!T$2,#REF!,
"&lt;"&amp;EOMONTH('Faturado mensal'!T$2,0))</f>
        <v>0</v>
      </c>
      <c r="U57" s="9">
        <f>SUMIFS(#REF!,#REF!,
$A57,#REF!,
"&gt;="&amp;'Faturado mensal'!U$2,#REF!,
"&lt;"&amp;EOMONTH('Faturado mensal'!U$2,0))</f>
        <v>0</v>
      </c>
      <c r="V57" s="9">
        <f>SUMIFS(#REF!,#REF!,
$A57,#REF!,
"&gt;="&amp;'Faturado mensal'!V$2,#REF!,
"&lt;"&amp;EOMONTH('Faturado mensal'!V$2,0))</f>
        <v>0</v>
      </c>
      <c r="W57" s="9">
        <f>SUMIFS(#REF!,#REF!,
$A57,#REF!,
"&gt;="&amp;'Faturado mensal'!W$2,#REF!,
"&lt;"&amp;EOMONTH('Faturado mensal'!W$2,0))</f>
        <v>0</v>
      </c>
      <c r="X57" s="9">
        <f>SUMIFS(#REF!,#REF!,
$A57,#REF!,
"&gt;="&amp;'Faturado mensal'!X$2,#REF!,
"&lt;"&amp;EOMONTH('Faturado mensal'!X$2,0))</f>
        <v>0</v>
      </c>
      <c r="Y57" s="11">
        <f>SUMIFS(#REF!,#REF!,
$A57,#REF!,
"&gt;="&amp;'Faturado mensal'!M$2,#REF!,
"&lt;"&amp;EOMONTH('Faturado mensal'!M$2,12))</f>
        <v>0</v>
      </c>
      <c r="Z57" s="9">
        <f>SUMIFS(#REF!,#REF!,
$A57,#REF!,
"&gt;="&amp;'Faturado mensal'!Z$2,#REF!,
"&lt;"&amp;EOMONTH('Faturado mensal'!Z$2,0))</f>
        <v>0</v>
      </c>
      <c r="AA57" s="9">
        <f>SUMIFS(#REF!,#REF!,
$A57,#REF!,
"&gt;="&amp;'Faturado mensal'!AA$2,#REF!,
"&lt;"&amp;EOMONTH('Faturado mensal'!AA$2,0))</f>
        <v>0</v>
      </c>
      <c r="AB57" s="9">
        <f>SUMIFS(#REF!,#REF!,
$A57,#REF!,
"&gt;="&amp;'Faturado mensal'!AB$2,#REF!,
"&lt;"&amp;EOMONTH('Faturado mensal'!AB$2,0))</f>
        <v>0</v>
      </c>
      <c r="AC57" s="9">
        <f>SUMIFS(#REF!,#REF!,
$A57,#REF!,
"&gt;="&amp;'Faturado mensal'!AC$2,#REF!,
"&lt;"&amp;EOMONTH('Faturado mensal'!AC$2,0))</f>
        <v>0</v>
      </c>
      <c r="AD57" s="9">
        <f>SUMIFS(#REF!,#REF!,
$A57,#REF!,
"&gt;="&amp;'Faturado mensal'!AD$2,#REF!,
"&lt;"&amp;EOMONTH('Faturado mensal'!AD$2,0))</f>
        <v>0</v>
      </c>
      <c r="AE57" s="9">
        <f>SUMIFS(#REF!,#REF!,
$A57,#REF!,
"&gt;="&amp;'Faturado mensal'!AE$2,#REF!,
"&lt;"&amp;EOMONTH('Faturado mensal'!AE$2,0))</f>
        <v>0</v>
      </c>
      <c r="AF57" s="9">
        <f>SUMIFS(#REF!,#REF!,
$A57,#REF!,
"&gt;="&amp;'Faturado mensal'!AF$2,#REF!,
"&lt;"&amp;EOMONTH('Faturado mensal'!AF$2,0))</f>
        <v>0</v>
      </c>
      <c r="AG57" s="9">
        <f>SUMIFS(#REF!,#REF!,
$A57,#REF!,
"&gt;="&amp;'Faturado mensal'!AG$2,#REF!,
"&lt;"&amp;EOMONTH('Faturado mensal'!AG$2,0))</f>
        <v>0</v>
      </c>
      <c r="AH57" s="9">
        <f>SUMIFS(#REF!,#REF!,
$A57,#REF!,
"&gt;="&amp;'Faturado mensal'!AH$2,#REF!,
"&lt;"&amp;EOMONTH('Faturado mensal'!AH$2,0))</f>
        <v>0</v>
      </c>
      <c r="AI57" s="9">
        <f>SUMIFS(#REF!,#REF!,
$A57,#REF!,
"&gt;="&amp;'Faturado mensal'!AI$2,#REF!,
"&lt;"&amp;EOMONTH('Faturado mensal'!AI$2,0))</f>
        <v>0</v>
      </c>
      <c r="AJ57" s="9">
        <f>SUMIFS(#REF!,#REF!,
$A57,#REF!,
"&gt;="&amp;'Faturado mensal'!AJ$2,#REF!,
"&lt;"&amp;EOMONTH('Faturado mensal'!AJ$2,0))</f>
        <v>0</v>
      </c>
      <c r="AK57" s="9">
        <f>SUMIFS(#REF!,#REF!,
$A57,#REF!,
"&gt;="&amp;'Faturado mensal'!AK$2,#REF!,
"&lt;"&amp;EOMONTH('Faturado mensal'!AK$2,0))</f>
        <v>0</v>
      </c>
      <c r="AL57" s="9">
        <f>SUMIFS(#REF!,#REF!,
$A57,#REF!,
"&gt;="&amp;Z$2,#REF!,
"&lt;"&amp;EOMONTH(AK$2,0))</f>
        <v>0</v>
      </c>
    </row>
    <row r="58" spans="1:38" x14ac:dyDescent="0.3">
      <c r="A58" t="s">
        <v>272</v>
      </c>
      <c r="B58" t="s">
        <v>218</v>
      </c>
      <c r="C58" t="s">
        <v>180</v>
      </c>
      <c r="D58" t="s">
        <v>204</v>
      </c>
      <c r="E58" t="s">
        <v>4834</v>
      </c>
      <c r="F58" t="s">
        <v>4776</v>
      </c>
      <c r="G58" t="s">
        <v>4856</v>
      </c>
      <c r="H58" t="s">
        <v>4773</v>
      </c>
      <c r="I58" t="s">
        <v>727</v>
      </c>
      <c r="J58" t="s">
        <v>710</v>
      </c>
      <c r="K58" t="s">
        <v>748</v>
      </c>
      <c r="L58" t="s">
        <v>749</v>
      </c>
      <c r="M58" s="9">
        <f>SUMIFS(#REF!,#REF!,
$A58,#REF!,
"&gt;="&amp;'Faturado mensal'!M$2,#REF!,
"&lt;"&amp;EOMONTH('Faturado mensal'!M$2,0))</f>
        <v>0</v>
      </c>
      <c r="N58" s="9">
        <f>SUMIFS(#REF!,#REF!,
$A58,#REF!,
"&gt;="&amp;'Faturado mensal'!N$2,#REF!,
"&lt;"&amp;EOMONTH('Faturado mensal'!N$2,0))</f>
        <v>0</v>
      </c>
      <c r="O58" s="9">
        <f>SUMIFS(#REF!,#REF!,
$A58,#REF!,
"&gt;="&amp;'Faturado mensal'!O$2,#REF!,
"&lt;"&amp;EOMONTH('Faturado mensal'!O$2,0))</f>
        <v>0</v>
      </c>
      <c r="P58" s="9">
        <f>SUMIFS(#REF!,#REF!,
$A58,#REF!,
"&gt;="&amp;'Faturado mensal'!P$2,#REF!,
"&lt;"&amp;EOMONTH('Faturado mensal'!P$2,0))</f>
        <v>0</v>
      </c>
      <c r="Q58" s="9">
        <f>SUMIFS(#REF!,#REF!,
$A58,#REF!,
"&gt;="&amp;'Faturado mensal'!Q$2,#REF!,
"&lt;"&amp;EOMONTH('Faturado mensal'!Q$2,0))</f>
        <v>0</v>
      </c>
      <c r="R58" s="9">
        <f>SUMIFS(#REF!,#REF!,
$A58,#REF!,
"&gt;="&amp;'Faturado mensal'!R$2,#REF!,
"&lt;"&amp;EOMONTH('Faturado mensal'!R$2,0))</f>
        <v>0</v>
      </c>
      <c r="S58" s="9">
        <f>SUMIFS(#REF!,#REF!,
$A58,#REF!,
"&gt;="&amp;'Faturado mensal'!S$2,#REF!,
"&lt;"&amp;EOMONTH('Faturado mensal'!S$2,0))</f>
        <v>0</v>
      </c>
      <c r="T58" s="9">
        <f>SUMIFS(#REF!,#REF!,
$A58,#REF!,
"&gt;="&amp;'Faturado mensal'!T$2,#REF!,
"&lt;"&amp;EOMONTH('Faturado mensal'!T$2,0))</f>
        <v>0</v>
      </c>
      <c r="U58" s="9">
        <f>SUMIFS(#REF!,#REF!,
$A58,#REF!,
"&gt;="&amp;'Faturado mensal'!U$2,#REF!,
"&lt;"&amp;EOMONTH('Faturado mensal'!U$2,0))</f>
        <v>0</v>
      </c>
      <c r="V58" s="9">
        <f>SUMIFS(#REF!,#REF!,
$A58,#REF!,
"&gt;="&amp;'Faturado mensal'!V$2,#REF!,
"&lt;"&amp;EOMONTH('Faturado mensal'!V$2,0))</f>
        <v>14371.29</v>
      </c>
      <c r="W58" s="9">
        <f>SUMIFS(#REF!,#REF!,
$A58,#REF!,
"&gt;="&amp;'Faturado mensal'!W$2,#REF!,
"&lt;"&amp;EOMONTH('Faturado mensal'!W$2,0))</f>
        <v>0</v>
      </c>
      <c r="X58" s="9">
        <f>SUMIFS(#REF!,#REF!,
$A58,#REF!,
"&gt;="&amp;'Faturado mensal'!X$2,#REF!,
"&lt;"&amp;EOMONTH('Faturado mensal'!X$2,0))</f>
        <v>0</v>
      </c>
      <c r="Y58" s="11">
        <f>SUMIFS(#REF!,#REF!,
$A58,#REF!,
"&gt;="&amp;'Faturado mensal'!M$2,#REF!,
"&lt;"&amp;EOMONTH('Faturado mensal'!M$2,12))</f>
        <v>14371.29</v>
      </c>
      <c r="Z58" s="9">
        <f>SUMIFS(#REF!,#REF!,
$A58,#REF!,
"&gt;="&amp;'Faturado mensal'!Z$2,#REF!,
"&lt;"&amp;EOMONTH('Faturado mensal'!Z$2,0))</f>
        <v>0</v>
      </c>
      <c r="AA58" s="9">
        <f>SUMIFS(#REF!,#REF!,
$A58,#REF!,
"&gt;="&amp;'Faturado mensal'!AA$2,#REF!,
"&lt;"&amp;EOMONTH('Faturado mensal'!AA$2,0))</f>
        <v>0</v>
      </c>
      <c r="AB58" s="9">
        <f>SUMIFS(#REF!,#REF!,
$A58,#REF!,
"&gt;="&amp;'Faturado mensal'!AB$2,#REF!,
"&lt;"&amp;EOMONTH('Faturado mensal'!AB$2,0))</f>
        <v>0</v>
      </c>
      <c r="AC58" s="9">
        <f>SUMIFS(#REF!,#REF!,
$A58,#REF!,
"&gt;="&amp;'Faturado mensal'!AC$2,#REF!,
"&lt;"&amp;EOMONTH('Faturado mensal'!AC$2,0))</f>
        <v>0</v>
      </c>
      <c r="AD58" s="9">
        <f>SUMIFS(#REF!,#REF!,
$A58,#REF!,
"&gt;="&amp;'Faturado mensal'!AD$2,#REF!,
"&lt;"&amp;EOMONTH('Faturado mensal'!AD$2,0))</f>
        <v>0</v>
      </c>
      <c r="AE58" s="9">
        <f>SUMIFS(#REF!,#REF!,
$A58,#REF!,
"&gt;="&amp;'Faturado mensal'!AE$2,#REF!,
"&lt;"&amp;EOMONTH('Faturado mensal'!AE$2,0))</f>
        <v>0</v>
      </c>
      <c r="AF58" s="9">
        <f>SUMIFS(#REF!,#REF!,
$A58,#REF!,
"&gt;="&amp;'Faturado mensal'!AF$2,#REF!,
"&lt;"&amp;EOMONTH('Faturado mensal'!AF$2,0))</f>
        <v>0</v>
      </c>
      <c r="AG58" s="9">
        <f>SUMIFS(#REF!,#REF!,
$A58,#REF!,
"&gt;="&amp;'Faturado mensal'!AG$2,#REF!,
"&lt;"&amp;EOMONTH('Faturado mensal'!AG$2,0))</f>
        <v>0</v>
      </c>
      <c r="AH58" s="9">
        <f>SUMIFS(#REF!,#REF!,
$A58,#REF!,
"&gt;="&amp;'Faturado mensal'!AH$2,#REF!,
"&lt;"&amp;EOMONTH('Faturado mensal'!AH$2,0))</f>
        <v>0</v>
      </c>
      <c r="AI58" s="9">
        <f>SUMIFS(#REF!,#REF!,
$A58,#REF!,
"&gt;="&amp;'Faturado mensal'!AI$2,#REF!,
"&lt;"&amp;EOMONTH('Faturado mensal'!AI$2,0))</f>
        <v>0</v>
      </c>
      <c r="AJ58" s="9">
        <f>SUMIFS(#REF!,#REF!,
$A58,#REF!,
"&gt;="&amp;'Faturado mensal'!AJ$2,#REF!,
"&lt;"&amp;EOMONTH('Faturado mensal'!AJ$2,0))</f>
        <v>0</v>
      </c>
      <c r="AK58" s="9">
        <f>SUMIFS(#REF!,#REF!,
$A58,#REF!,
"&gt;="&amp;'Faturado mensal'!AK$2,#REF!,
"&lt;"&amp;EOMONTH('Faturado mensal'!AK$2,0))</f>
        <v>0</v>
      </c>
      <c r="AL58" s="9">
        <f>SUMIFS(#REF!,#REF!,
$A58,#REF!,
"&gt;="&amp;Z$2,#REF!,
"&lt;"&amp;EOMONTH(AK$2,0))</f>
        <v>0</v>
      </c>
    </row>
    <row r="59" spans="1:38" x14ac:dyDescent="0.3">
      <c r="A59" t="s">
        <v>273</v>
      </c>
      <c r="B59" t="s">
        <v>220</v>
      </c>
      <c r="C59" t="s">
        <v>15</v>
      </c>
      <c r="D59" t="s">
        <v>204</v>
      </c>
      <c r="E59" t="s">
        <v>4834</v>
      </c>
      <c r="F59" t="s">
        <v>4776</v>
      </c>
      <c r="G59" t="s">
        <v>4856</v>
      </c>
      <c r="H59" t="s">
        <v>4773</v>
      </c>
      <c r="I59" t="s">
        <v>15</v>
      </c>
      <c r="J59" t="s">
        <v>710</v>
      </c>
      <c r="K59" t="s">
        <v>748</v>
      </c>
      <c r="L59" t="s">
        <v>749</v>
      </c>
      <c r="M59" s="9">
        <f>SUMIFS(#REF!,#REF!,
$A59,#REF!,
"&gt;="&amp;'Faturado mensal'!M$2,#REF!,
"&lt;"&amp;EOMONTH('Faturado mensal'!M$2,0))</f>
        <v>0</v>
      </c>
      <c r="N59" s="9">
        <f>SUMIFS(#REF!,#REF!,
$A59,#REF!,
"&gt;="&amp;'Faturado mensal'!N$2,#REF!,
"&lt;"&amp;EOMONTH('Faturado mensal'!N$2,0))</f>
        <v>0</v>
      </c>
      <c r="O59" s="9">
        <f>SUMIFS(#REF!,#REF!,
$A59,#REF!,
"&gt;="&amp;'Faturado mensal'!O$2,#REF!,
"&lt;"&amp;EOMONTH('Faturado mensal'!O$2,0))</f>
        <v>1261</v>
      </c>
      <c r="P59" s="9">
        <f>SUMIFS(#REF!,#REF!,
$A59,#REF!,
"&gt;="&amp;'Faturado mensal'!P$2,#REF!,
"&lt;"&amp;EOMONTH('Faturado mensal'!P$2,0))</f>
        <v>0</v>
      </c>
      <c r="Q59" s="9">
        <f>SUMIFS(#REF!,#REF!,
$A59,#REF!,
"&gt;="&amp;'Faturado mensal'!Q$2,#REF!,
"&lt;"&amp;EOMONTH('Faturado mensal'!Q$2,0))</f>
        <v>0</v>
      </c>
      <c r="R59" s="9">
        <f>SUMIFS(#REF!,#REF!,
$A59,#REF!,
"&gt;="&amp;'Faturado mensal'!R$2,#REF!,
"&lt;"&amp;EOMONTH('Faturado mensal'!R$2,0))</f>
        <v>1261</v>
      </c>
      <c r="S59" s="9">
        <f>SUMIFS(#REF!,#REF!,
$A59,#REF!,
"&gt;="&amp;'Faturado mensal'!S$2,#REF!,
"&lt;"&amp;EOMONTH('Faturado mensal'!S$2,0))</f>
        <v>0</v>
      </c>
      <c r="T59" s="9">
        <f>SUMIFS(#REF!,#REF!,
$A59,#REF!,
"&gt;="&amp;'Faturado mensal'!T$2,#REF!,
"&lt;"&amp;EOMONTH('Faturado mensal'!T$2,0))</f>
        <v>0</v>
      </c>
      <c r="U59" s="9">
        <f>SUMIFS(#REF!,#REF!,
$A59,#REF!,
"&gt;="&amp;'Faturado mensal'!U$2,#REF!,
"&lt;"&amp;EOMONTH('Faturado mensal'!U$2,0))</f>
        <v>1305</v>
      </c>
      <c r="V59" s="9">
        <f>SUMIFS(#REF!,#REF!,
$A59,#REF!,
"&gt;="&amp;'Faturado mensal'!V$2,#REF!,
"&lt;"&amp;EOMONTH('Faturado mensal'!V$2,0))</f>
        <v>0</v>
      </c>
      <c r="W59" s="9">
        <f>SUMIFS(#REF!,#REF!,
$A59,#REF!,
"&gt;="&amp;'Faturado mensal'!W$2,#REF!,
"&lt;"&amp;EOMONTH('Faturado mensal'!W$2,0))</f>
        <v>0</v>
      </c>
      <c r="X59" s="9">
        <f>SUMIFS(#REF!,#REF!,
$A59,#REF!,
"&gt;="&amp;'Faturado mensal'!X$2,#REF!,
"&lt;"&amp;EOMONTH('Faturado mensal'!X$2,0))</f>
        <v>1305</v>
      </c>
      <c r="Y59" s="11">
        <f>SUMIFS(#REF!,#REF!,
$A59,#REF!,
"&gt;="&amp;'Faturado mensal'!M$2,#REF!,
"&lt;"&amp;EOMONTH('Faturado mensal'!M$2,12))</f>
        <v>5132</v>
      </c>
      <c r="Z59" s="9">
        <f>SUMIFS(#REF!,#REF!,
$A59,#REF!,
"&gt;="&amp;'Faturado mensal'!Z$2,#REF!,
"&lt;"&amp;EOMONTH('Faturado mensal'!Z$2,0))</f>
        <v>0</v>
      </c>
      <c r="AA59" s="9">
        <f>SUMIFS(#REF!,#REF!,
$A59,#REF!,
"&gt;="&amp;'Faturado mensal'!AA$2,#REF!,
"&lt;"&amp;EOMONTH('Faturado mensal'!AA$2,0))</f>
        <v>0</v>
      </c>
      <c r="AB59" s="9">
        <f>SUMIFS(#REF!,#REF!,
$A59,#REF!,
"&gt;="&amp;'Faturado mensal'!AB$2,#REF!,
"&lt;"&amp;EOMONTH('Faturado mensal'!AB$2,0))</f>
        <v>1305</v>
      </c>
      <c r="AC59" s="9">
        <f>SUMIFS(#REF!,#REF!,
$A59,#REF!,
"&gt;="&amp;'Faturado mensal'!AC$2,#REF!,
"&lt;"&amp;EOMONTH('Faturado mensal'!AC$2,0))</f>
        <v>0</v>
      </c>
      <c r="AD59" s="9">
        <f>SUMIFS(#REF!,#REF!,
$A59,#REF!,
"&gt;="&amp;'Faturado mensal'!AD$2,#REF!,
"&lt;"&amp;EOMONTH('Faturado mensal'!AD$2,0))</f>
        <v>2215</v>
      </c>
      <c r="AE59" s="9">
        <f>SUMIFS(#REF!,#REF!,
$A59,#REF!,
"&gt;="&amp;'Faturado mensal'!AE$2,#REF!,
"&lt;"&amp;EOMONTH('Faturado mensal'!AE$2,0))</f>
        <v>0</v>
      </c>
      <c r="AF59" s="9">
        <f>SUMIFS(#REF!,#REF!,
$A59,#REF!,
"&gt;="&amp;'Faturado mensal'!AF$2,#REF!,
"&lt;"&amp;EOMONTH('Faturado mensal'!AF$2,0))</f>
        <v>0</v>
      </c>
      <c r="AG59" s="9">
        <f>SUMIFS(#REF!,#REF!,
$A59,#REF!,
"&gt;="&amp;'Faturado mensal'!AG$2,#REF!,
"&lt;"&amp;EOMONTH('Faturado mensal'!AG$2,0))</f>
        <v>0</v>
      </c>
      <c r="AH59" s="9">
        <f>SUMIFS(#REF!,#REF!,
$A59,#REF!,
"&gt;="&amp;'Faturado mensal'!AH$2,#REF!,
"&lt;"&amp;EOMONTH('Faturado mensal'!AH$2,0))</f>
        <v>0</v>
      </c>
      <c r="AI59" s="9">
        <f>SUMIFS(#REF!,#REF!,
$A59,#REF!,
"&gt;="&amp;'Faturado mensal'!AI$2,#REF!,
"&lt;"&amp;EOMONTH('Faturado mensal'!AI$2,0))</f>
        <v>0</v>
      </c>
      <c r="AJ59" s="9">
        <f>SUMIFS(#REF!,#REF!,
$A59,#REF!,
"&gt;="&amp;'Faturado mensal'!AJ$2,#REF!,
"&lt;"&amp;EOMONTH('Faturado mensal'!AJ$2,0))</f>
        <v>0</v>
      </c>
      <c r="AK59" s="9">
        <f>SUMIFS(#REF!,#REF!,
$A59,#REF!,
"&gt;="&amp;'Faturado mensal'!AK$2,#REF!,
"&lt;"&amp;EOMONTH('Faturado mensal'!AK$2,0))</f>
        <v>0</v>
      </c>
      <c r="AL59" s="9">
        <f>SUMIFS(#REF!,#REF!,
$A59,#REF!,
"&gt;="&amp;Z$2,#REF!,
"&lt;"&amp;EOMONTH(AK$2,0))</f>
        <v>3520</v>
      </c>
    </row>
    <row r="60" spans="1:38" x14ac:dyDescent="0.3">
      <c r="A60" t="s">
        <v>274</v>
      </c>
      <c r="B60" t="s">
        <v>254</v>
      </c>
      <c r="C60" t="s">
        <v>151</v>
      </c>
      <c r="D60" t="s">
        <v>209</v>
      </c>
      <c r="G60" t="s">
        <v>4856</v>
      </c>
      <c r="H60" t="s">
        <v>4771</v>
      </c>
      <c r="I60" t="s">
        <v>151</v>
      </c>
      <c r="J60" t="s">
        <v>710</v>
      </c>
      <c r="K60" t="s">
        <v>717</v>
      </c>
      <c r="L60" t="s">
        <v>718</v>
      </c>
      <c r="M60" s="9">
        <f>SUMIFS(#REF!,#REF!,
$A60,#REF!,
"&gt;="&amp;'Faturado mensal'!M$2,#REF!,
"&lt;"&amp;EOMONTH('Faturado mensal'!M$2,0))</f>
        <v>0</v>
      </c>
      <c r="N60" s="9">
        <f>SUMIFS(#REF!,#REF!,
$A60,#REF!,
"&gt;="&amp;'Faturado mensal'!N$2,#REF!,
"&lt;"&amp;EOMONTH('Faturado mensal'!N$2,0))</f>
        <v>0</v>
      </c>
      <c r="O60" s="9">
        <f>SUMIFS(#REF!,#REF!,
$A60,#REF!,
"&gt;="&amp;'Faturado mensal'!O$2,#REF!,
"&lt;"&amp;EOMONTH('Faturado mensal'!O$2,0))</f>
        <v>0</v>
      </c>
      <c r="P60" s="9">
        <f>SUMIFS(#REF!,#REF!,
$A60,#REF!,
"&gt;="&amp;'Faturado mensal'!P$2,#REF!,
"&lt;"&amp;EOMONTH('Faturado mensal'!P$2,0))</f>
        <v>0</v>
      </c>
      <c r="Q60" s="9">
        <f>SUMIFS(#REF!,#REF!,
$A60,#REF!,
"&gt;="&amp;'Faturado mensal'!Q$2,#REF!,
"&lt;"&amp;EOMONTH('Faturado mensal'!Q$2,0))</f>
        <v>0</v>
      </c>
      <c r="R60" s="9">
        <f>SUMIFS(#REF!,#REF!,
$A60,#REF!,
"&gt;="&amp;'Faturado mensal'!R$2,#REF!,
"&lt;"&amp;EOMONTH('Faturado mensal'!R$2,0))</f>
        <v>0</v>
      </c>
      <c r="S60" s="9">
        <f>SUMIFS(#REF!,#REF!,
$A60,#REF!,
"&gt;="&amp;'Faturado mensal'!S$2,#REF!,
"&lt;"&amp;EOMONTH('Faturado mensal'!S$2,0))</f>
        <v>0</v>
      </c>
      <c r="T60" s="9">
        <f>SUMIFS(#REF!,#REF!,
$A60,#REF!,
"&gt;="&amp;'Faturado mensal'!T$2,#REF!,
"&lt;"&amp;EOMONTH('Faturado mensal'!T$2,0))</f>
        <v>0</v>
      </c>
      <c r="U60" s="9">
        <f>SUMIFS(#REF!,#REF!,
$A60,#REF!,
"&gt;="&amp;'Faturado mensal'!U$2,#REF!,
"&lt;"&amp;EOMONTH('Faturado mensal'!U$2,0))</f>
        <v>0</v>
      </c>
      <c r="V60" s="9">
        <f>SUMIFS(#REF!,#REF!,
$A60,#REF!,
"&gt;="&amp;'Faturado mensal'!V$2,#REF!,
"&lt;"&amp;EOMONTH('Faturado mensal'!V$2,0))</f>
        <v>0</v>
      </c>
      <c r="W60" s="9">
        <f>SUMIFS(#REF!,#REF!,
$A60,#REF!,
"&gt;="&amp;'Faturado mensal'!W$2,#REF!,
"&lt;"&amp;EOMONTH('Faturado mensal'!W$2,0))</f>
        <v>0</v>
      </c>
      <c r="X60" s="9">
        <f>SUMIFS(#REF!,#REF!,
$A60,#REF!,
"&gt;="&amp;'Faturado mensal'!X$2,#REF!,
"&lt;"&amp;EOMONTH('Faturado mensal'!X$2,0))</f>
        <v>0</v>
      </c>
      <c r="Y60" s="11">
        <f>SUMIFS(#REF!,#REF!,
$A60,#REF!,
"&gt;="&amp;'Faturado mensal'!M$2,#REF!,
"&lt;"&amp;EOMONTH('Faturado mensal'!M$2,12))</f>
        <v>0</v>
      </c>
      <c r="Z60" s="9">
        <f>SUMIFS(#REF!,#REF!,
$A60,#REF!,
"&gt;="&amp;'Faturado mensal'!Z$2,#REF!,
"&lt;"&amp;EOMONTH('Faturado mensal'!Z$2,0))</f>
        <v>0</v>
      </c>
      <c r="AA60" s="9">
        <f>SUMIFS(#REF!,#REF!,
$A60,#REF!,
"&gt;="&amp;'Faturado mensal'!AA$2,#REF!,
"&lt;"&amp;EOMONTH('Faturado mensal'!AA$2,0))</f>
        <v>0</v>
      </c>
      <c r="AB60" s="9">
        <f>SUMIFS(#REF!,#REF!,
$A60,#REF!,
"&gt;="&amp;'Faturado mensal'!AB$2,#REF!,
"&lt;"&amp;EOMONTH('Faturado mensal'!AB$2,0))</f>
        <v>0</v>
      </c>
      <c r="AC60" s="9">
        <f>SUMIFS(#REF!,#REF!,
$A60,#REF!,
"&gt;="&amp;'Faturado mensal'!AC$2,#REF!,
"&lt;"&amp;EOMONTH('Faturado mensal'!AC$2,0))</f>
        <v>0</v>
      </c>
      <c r="AD60" s="9">
        <f>SUMIFS(#REF!,#REF!,
$A60,#REF!,
"&gt;="&amp;'Faturado mensal'!AD$2,#REF!,
"&lt;"&amp;EOMONTH('Faturado mensal'!AD$2,0))</f>
        <v>0</v>
      </c>
      <c r="AE60" s="9">
        <f>SUMIFS(#REF!,#REF!,
$A60,#REF!,
"&gt;="&amp;'Faturado mensal'!AE$2,#REF!,
"&lt;"&amp;EOMONTH('Faturado mensal'!AE$2,0))</f>
        <v>0</v>
      </c>
      <c r="AF60" s="9">
        <f>SUMIFS(#REF!,#REF!,
$A60,#REF!,
"&gt;="&amp;'Faturado mensal'!AF$2,#REF!,
"&lt;"&amp;EOMONTH('Faturado mensal'!AF$2,0))</f>
        <v>0</v>
      </c>
      <c r="AG60" s="9">
        <f>SUMIFS(#REF!,#REF!,
$A60,#REF!,
"&gt;="&amp;'Faturado mensal'!AG$2,#REF!,
"&lt;"&amp;EOMONTH('Faturado mensal'!AG$2,0))</f>
        <v>0</v>
      </c>
      <c r="AH60" s="9">
        <f>SUMIFS(#REF!,#REF!,
$A60,#REF!,
"&gt;="&amp;'Faturado mensal'!AH$2,#REF!,
"&lt;"&amp;EOMONTH('Faturado mensal'!AH$2,0))</f>
        <v>0</v>
      </c>
      <c r="AI60" s="9">
        <f>SUMIFS(#REF!,#REF!,
$A60,#REF!,
"&gt;="&amp;'Faturado mensal'!AI$2,#REF!,
"&lt;"&amp;EOMONTH('Faturado mensal'!AI$2,0))</f>
        <v>0</v>
      </c>
      <c r="AJ60" s="9">
        <f>SUMIFS(#REF!,#REF!,
$A60,#REF!,
"&gt;="&amp;'Faturado mensal'!AJ$2,#REF!,
"&lt;"&amp;EOMONTH('Faturado mensal'!AJ$2,0))</f>
        <v>0</v>
      </c>
      <c r="AK60" s="9">
        <f>SUMIFS(#REF!,#REF!,
$A60,#REF!,
"&gt;="&amp;'Faturado mensal'!AK$2,#REF!,
"&lt;"&amp;EOMONTH('Faturado mensal'!AK$2,0))</f>
        <v>0</v>
      </c>
      <c r="AL60" s="9">
        <f>SUMIFS(#REF!,#REF!,
$A60,#REF!,
"&gt;="&amp;Z$2,#REF!,
"&lt;"&amp;EOMONTH(AK$2,0))</f>
        <v>0</v>
      </c>
    </row>
    <row r="61" spans="1:38" x14ac:dyDescent="0.3">
      <c r="A61" t="s">
        <v>781</v>
      </c>
      <c r="B61" t="s">
        <v>254</v>
      </c>
      <c r="C61" t="s">
        <v>151</v>
      </c>
      <c r="D61" t="s">
        <v>209</v>
      </c>
      <c r="G61" t="s">
        <v>4856</v>
      </c>
      <c r="H61" t="s">
        <v>4771</v>
      </c>
      <c r="I61" t="s">
        <v>151</v>
      </c>
      <c r="J61" t="s">
        <v>710</v>
      </c>
      <c r="K61" t="s">
        <v>717</v>
      </c>
      <c r="L61" t="s">
        <v>718</v>
      </c>
      <c r="M61" s="9">
        <f>SUMIFS(#REF!,#REF!,
$A61,#REF!,
"&gt;="&amp;'Faturado mensal'!M$2,#REF!,
"&lt;"&amp;EOMONTH('Faturado mensal'!M$2,0))</f>
        <v>0</v>
      </c>
      <c r="N61" s="9">
        <f>SUMIFS(#REF!,#REF!,
$A61,#REF!,
"&gt;="&amp;'Faturado mensal'!N$2,#REF!,
"&lt;"&amp;EOMONTH('Faturado mensal'!N$2,0))</f>
        <v>0</v>
      </c>
      <c r="O61" s="9">
        <f>SUMIFS(#REF!,#REF!,
$A61,#REF!,
"&gt;="&amp;'Faturado mensal'!O$2,#REF!,
"&lt;"&amp;EOMONTH('Faturado mensal'!O$2,0))</f>
        <v>0</v>
      </c>
      <c r="P61" s="9">
        <f>SUMIFS(#REF!,#REF!,
$A61,#REF!,
"&gt;="&amp;'Faturado mensal'!P$2,#REF!,
"&lt;"&amp;EOMONTH('Faturado mensal'!P$2,0))</f>
        <v>0</v>
      </c>
      <c r="Q61" s="9">
        <f>SUMIFS(#REF!,#REF!,
$A61,#REF!,
"&gt;="&amp;'Faturado mensal'!Q$2,#REF!,
"&lt;"&amp;EOMONTH('Faturado mensal'!Q$2,0))</f>
        <v>0</v>
      </c>
      <c r="R61" s="9">
        <f>SUMIFS(#REF!,#REF!,
$A61,#REF!,
"&gt;="&amp;'Faturado mensal'!R$2,#REF!,
"&lt;"&amp;EOMONTH('Faturado mensal'!R$2,0))</f>
        <v>0</v>
      </c>
      <c r="S61" s="9">
        <f>SUMIFS(#REF!,#REF!,
$A61,#REF!,
"&gt;="&amp;'Faturado mensal'!S$2,#REF!,
"&lt;"&amp;EOMONTH('Faturado mensal'!S$2,0))</f>
        <v>0</v>
      </c>
      <c r="T61" s="9">
        <f>SUMIFS(#REF!,#REF!,
$A61,#REF!,
"&gt;="&amp;'Faturado mensal'!T$2,#REF!,
"&lt;"&amp;EOMONTH('Faturado mensal'!T$2,0))</f>
        <v>0</v>
      </c>
      <c r="U61" s="9">
        <f>SUMIFS(#REF!,#REF!,
$A61,#REF!,
"&gt;="&amp;'Faturado mensal'!U$2,#REF!,
"&lt;"&amp;EOMONTH('Faturado mensal'!U$2,0))</f>
        <v>0</v>
      </c>
      <c r="V61" s="9">
        <f>SUMIFS(#REF!,#REF!,
$A61,#REF!,
"&gt;="&amp;'Faturado mensal'!V$2,#REF!,
"&lt;"&amp;EOMONTH('Faturado mensal'!V$2,0))</f>
        <v>0</v>
      </c>
      <c r="W61" s="9">
        <f>SUMIFS(#REF!,#REF!,
$A61,#REF!,
"&gt;="&amp;'Faturado mensal'!W$2,#REF!,
"&lt;"&amp;EOMONTH('Faturado mensal'!W$2,0))</f>
        <v>0</v>
      </c>
      <c r="X61" s="9">
        <f>SUMIFS(#REF!,#REF!,
$A61,#REF!,
"&gt;="&amp;'Faturado mensal'!X$2,#REF!,
"&lt;"&amp;EOMONTH('Faturado mensal'!X$2,0))</f>
        <v>0</v>
      </c>
      <c r="Y61" s="11">
        <f>SUMIFS(#REF!,#REF!,
$A61,#REF!,
"&gt;="&amp;'Faturado mensal'!M$2,#REF!,
"&lt;"&amp;EOMONTH('Faturado mensal'!M$2,12))</f>
        <v>0</v>
      </c>
      <c r="Z61" s="9">
        <f>SUMIFS(#REF!,#REF!,
$A61,#REF!,
"&gt;="&amp;'Faturado mensal'!Z$2,#REF!,
"&lt;"&amp;EOMONTH('Faturado mensal'!Z$2,0))</f>
        <v>0</v>
      </c>
      <c r="AA61" s="9">
        <f>SUMIFS(#REF!,#REF!,
$A61,#REF!,
"&gt;="&amp;'Faturado mensal'!AA$2,#REF!,
"&lt;"&amp;EOMONTH('Faturado mensal'!AA$2,0))</f>
        <v>0</v>
      </c>
      <c r="AB61" s="9">
        <f>SUMIFS(#REF!,#REF!,
$A61,#REF!,
"&gt;="&amp;'Faturado mensal'!AB$2,#REF!,
"&lt;"&amp;EOMONTH('Faturado mensal'!AB$2,0))</f>
        <v>0</v>
      </c>
      <c r="AC61" s="9">
        <f>SUMIFS(#REF!,#REF!,
$A61,#REF!,
"&gt;="&amp;'Faturado mensal'!AC$2,#REF!,
"&lt;"&amp;EOMONTH('Faturado mensal'!AC$2,0))</f>
        <v>0</v>
      </c>
      <c r="AD61" s="9">
        <f>SUMIFS(#REF!,#REF!,
$A61,#REF!,
"&gt;="&amp;'Faturado mensal'!AD$2,#REF!,
"&lt;"&amp;EOMONTH('Faturado mensal'!AD$2,0))</f>
        <v>0</v>
      </c>
      <c r="AE61" s="9">
        <f>SUMIFS(#REF!,#REF!,
$A61,#REF!,
"&gt;="&amp;'Faturado mensal'!AE$2,#REF!,
"&lt;"&amp;EOMONTH('Faturado mensal'!AE$2,0))</f>
        <v>0</v>
      </c>
      <c r="AF61" s="9">
        <f>SUMIFS(#REF!,#REF!,
$A61,#REF!,
"&gt;="&amp;'Faturado mensal'!AF$2,#REF!,
"&lt;"&amp;EOMONTH('Faturado mensal'!AF$2,0))</f>
        <v>0</v>
      </c>
      <c r="AG61" s="9">
        <f>SUMIFS(#REF!,#REF!,
$A61,#REF!,
"&gt;="&amp;'Faturado mensal'!AG$2,#REF!,
"&lt;"&amp;EOMONTH('Faturado mensal'!AG$2,0))</f>
        <v>0</v>
      </c>
      <c r="AH61" s="9">
        <f>SUMIFS(#REF!,#REF!,
$A61,#REF!,
"&gt;="&amp;'Faturado mensal'!AH$2,#REF!,
"&lt;"&amp;EOMONTH('Faturado mensal'!AH$2,0))</f>
        <v>0</v>
      </c>
      <c r="AI61" s="9">
        <f>SUMIFS(#REF!,#REF!,
$A61,#REF!,
"&gt;="&amp;'Faturado mensal'!AI$2,#REF!,
"&lt;"&amp;EOMONTH('Faturado mensal'!AI$2,0))</f>
        <v>0</v>
      </c>
      <c r="AJ61" s="9">
        <f>SUMIFS(#REF!,#REF!,
$A61,#REF!,
"&gt;="&amp;'Faturado mensal'!AJ$2,#REF!,
"&lt;"&amp;EOMONTH('Faturado mensal'!AJ$2,0))</f>
        <v>0</v>
      </c>
      <c r="AK61" s="9">
        <f>SUMIFS(#REF!,#REF!,
$A61,#REF!,
"&gt;="&amp;'Faturado mensal'!AK$2,#REF!,
"&lt;"&amp;EOMONTH('Faturado mensal'!AK$2,0))</f>
        <v>0</v>
      </c>
      <c r="AL61" s="9">
        <f>SUMIFS(#REF!,#REF!,
$A61,#REF!,
"&gt;="&amp;Z$2,#REF!,
"&lt;"&amp;EOMONTH(AK$2,0))</f>
        <v>0</v>
      </c>
    </row>
    <row r="62" spans="1:38" x14ac:dyDescent="0.3">
      <c r="A62" t="s">
        <v>782</v>
      </c>
      <c r="B62" t="s">
        <v>783</v>
      </c>
      <c r="C62" t="s">
        <v>784</v>
      </c>
      <c r="D62" t="s">
        <v>209</v>
      </c>
      <c r="G62" t="s">
        <v>4853</v>
      </c>
      <c r="H62" t="s">
        <v>4773</v>
      </c>
      <c r="I62" t="s">
        <v>784</v>
      </c>
      <c r="J62" t="s">
        <v>710</v>
      </c>
      <c r="K62" t="s">
        <v>711</v>
      </c>
      <c r="L62" t="s">
        <v>712</v>
      </c>
      <c r="M62" s="9">
        <f>SUMIFS(#REF!,#REF!,
$A62,#REF!,
"&gt;="&amp;'Faturado mensal'!M$2,#REF!,
"&lt;"&amp;EOMONTH('Faturado mensal'!M$2,0))</f>
        <v>0</v>
      </c>
      <c r="N62" s="9">
        <f>SUMIFS(#REF!,#REF!,
$A62,#REF!,
"&gt;="&amp;'Faturado mensal'!N$2,#REF!,
"&lt;"&amp;EOMONTH('Faturado mensal'!N$2,0))</f>
        <v>0</v>
      </c>
      <c r="O62" s="9">
        <f>SUMIFS(#REF!,#REF!,
$A62,#REF!,
"&gt;="&amp;'Faturado mensal'!O$2,#REF!,
"&lt;"&amp;EOMONTH('Faturado mensal'!O$2,0))</f>
        <v>0</v>
      </c>
      <c r="P62" s="9">
        <f>SUMIFS(#REF!,#REF!,
$A62,#REF!,
"&gt;="&amp;'Faturado mensal'!P$2,#REF!,
"&lt;"&amp;EOMONTH('Faturado mensal'!P$2,0))</f>
        <v>0</v>
      </c>
      <c r="Q62" s="9">
        <f>SUMIFS(#REF!,#REF!,
$A62,#REF!,
"&gt;="&amp;'Faturado mensal'!Q$2,#REF!,
"&lt;"&amp;EOMONTH('Faturado mensal'!Q$2,0))</f>
        <v>0</v>
      </c>
      <c r="R62" s="9">
        <f>SUMIFS(#REF!,#REF!,
$A62,#REF!,
"&gt;="&amp;'Faturado mensal'!R$2,#REF!,
"&lt;"&amp;EOMONTH('Faturado mensal'!R$2,0))</f>
        <v>0</v>
      </c>
      <c r="S62" s="9">
        <f>SUMIFS(#REF!,#REF!,
$A62,#REF!,
"&gt;="&amp;'Faturado mensal'!S$2,#REF!,
"&lt;"&amp;EOMONTH('Faturado mensal'!S$2,0))</f>
        <v>0</v>
      </c>
      <c r="T62" s="9">
        <f>SUMIFS(#REF!,#REF!,
$A62,#REF!,
"&gt;="&amp;'Faturado mensal'!T$2,#REF!,
"&lt;"&amp;EOMONTH('Faturado mensal'!T$2,0))</f>
        <v>0</v>
      </c>
      <c r="U62" s="9">
        <f>SUMIFS(#REF!,#REF!,
$A62,#REF!,
"&gt;="&amp;'Faturado mensal'!U$2,#REF!,
"&lt;"&amp;EOMONTH('Faturado mensal'!U$2,0))</f>
        <v>0</v>
      </c>
      <c r="V62" s="9">
        <f>SUMIFS(#REF!,#REF!,
$A62,#REF!,
"&gt;="&amp;'Faturado mensal'!V$2,#REF!,
"&lt;"&amp;EOMONTH('Faturado mensal'!V$2,0))</f>
        <v>0</v>
      </c>
      <c r="W62" s="9">
        <f>SUMIFS(#REF!,#REF!,
$A62,#REF!,
"&gt;="&amp;'Faturado mensal'!W$2,#REF!,
"&lt;"&amp;EOMONTH('Faturado mensal'!W$2,0))</f>
        <v>0</v>
      </c>
      <c r="X62" s="9">
        <f>SUMIFS(#REF!,#REF!,
$A62,#REF!,
"&gt;="&amp;'Faturado mensal'!X$2,#REF!,
"&lt;"&amp;EOMONTH('Faturado mensal'!X$2,0))</f>
        <v>0</v>
      </c>
      <c r="Y62" s="11">
        <f>SUMIFS(#REF!,#REF!,
$A62,#REF!,
"&gt;="&amp;'Faturado mensal'!M$2,#REF!,
"&lt;"&amp;EOMONTH('Faturado mensal'!M$2,12))</f>
        <v>0</v>
      </c>
      <c r="Z62" s="9">
        <f>SUMIFS(#REF!,#REF!,
$A62,#REF!,
"&gt;="&amp;'Faturado mensal'!Z$2,#REF!,
"&lt;"&amp;EOMONTH('Faturado mensal'!Z$2,0))</f>
        <v>0</v>
      </c>
      <c r="AA62" s="9">
        <f>SUMIFS(#REF!,#REF!,
$A62,#REF!,
"&gt;="&amp;'Faturado mensal'!AA$2,#REF!,
"&lt;"&amp;EOMONTH('Faturado mensal'!AA$2,0))</f>
        <v>0</v>
      </c>
      <c r="AB62" s="9">
        <f>SUMIFS(#REF!,#REF!,
$A62,#REF!,
"&gt;="&amp;'Faturado mensal'!AB$2,#REF!,
"&lt;"&amp;EOMONTH('Faturado mensal'!AB$2,0))</f>
        <v>0</v>
      </c>
      <c r="AC62" s="9">
        <f>SUMIFS(#REF!,#REF!,
$A62,#REF!,
"&gt;="&amp;'Faturado mensal'!AC$2,#REF!,
"&lt;"&amp;EOMONTH('Faturado mensal'!AC$2,0))</f>
        <v>0</v>
      </c>
      <c r="AD62" s="9">
        <f>SUMIFS(#REF!,#REF!,
$A62,#REF!,
"&gt;="&amp;'Faturado mensal'!AD$2,#REF!,
"&lt;"&amp;EOMONTH('Faturado mensal'!AD$2,0))</f>
        <v>0</v>
      </c>
      <c r="AE62" s="9">
        <f>SUMIFS(#REF!,#REF!,
$A62,#REF!,
"&gt;="&amp;'Faturado mensal'!AE$2,#REF!,
"&lt;"&amp;EOMONTH('Faturado mensal'!AE$2,0))</f>
        <v>0</v>
      </c>
      <c r="AF62" s="9">
        <f>SUMIFS(#REF!,#REF!,
$A62,#REF!,
"&gt;="&amp;'Faturado mensal'!AF$2,#REF!,
"&lt;"&amp;EOMONTH('Faturado mensal'!AF$2,0))</f>
        <v>0</v>
      </c>
      <c r="AG62" s="9">
        <f>SUMIFS(#REF!,#REF!,
$A62,#REF!,
"&gt;="&amp;'Faturado mensal'!AG$2,#REF!,
"&lt;"&amp;EOMONTH('Faturado mensal'!AG$2,0))</f>
        <v>0</v>
      </c>
      <c r="AH62" s="9">
        <f>SUMIFS(#REF!,#REF!,
$A62,#REF!,
"&gt;="&amp;'Faturado mensal'!AH$2,#REF!,
"&lt;"&amp;EOMONTH('Faturado mensal'!AH$2,0))</f>
        <v>0</v>
      </c>
      <c r="AI62" s="9">
        <f>SUMIFS(#REF!,#REF!,
$A62,#REF!,
"&gt;="&amp;'Faturado mensal'!AI$2,#REF!,
"&lt;"&amp;EOMONTH('Faturado mensal'!AI$2,0))</f>
        <v>0</v>
      </c>
      <c r="AJ62" s="9">
        <f>SUMIFS(#REF!,#REF!,
$A62,#REF!,
"&gt;="&amp;'Faturado mensal'!AJ$2,#REF!,
"&lt;"&amp;EOMONTH('Faturado mensal'!AJ$2,0))</f>
        <v>0</v>
      </c>
      <c r="AK62" s="9">
        <f>SUMIFS(#REF!,#REF!,
$A62,#REF!,
"&gt;="&amp;'Faturado mensal'!AK$2,#REF!,
"&lt;"&amp;EOMONTH('Faturado mensal'!AK$2,0))</f>
        <v>0</v>
      </c>
      <c r="AL62" s="9">
        <f>SUMIFS(#REF!,#REF!,
$A62,#REF!,
"&gt;="&amp;Z$2,#REF!,
"&lt;"&amp;EOMONTH(AK$2,0))</f>
        <v>0</v>
      </c>
    </row>
    <row r="63" spans="1:38" x14ac:dyDescent="0.3">
      <c r="A63" t="s">
        <v>275</v>
      </c>
      <c r="B63" t="s">
        <v>276</v>
      </c>
      <c r="C63" t="s">
        <v>5</v>
      </c>
      <c r="D63" t="s">
        <v>204</v>
      </c>
      <c r="E63" t="s">
        <v>1037</v>
      </c>
      <c r="F63" t="s">
        <v>4776</v>
      </c>
      <c r="G63" t="s">
        <v>4852</v>
      </c>
      <c r="H63" t="s">
        <v>4773</v>
      </c>
      <c r="I63" t="s">
        <v>5</v>
      </c>
      <c r="J63" t="s">
        <v>710</v>
      </c>
      <c r="K63" t="s">
        <v>717</v>
      </c>
      <c r="L63" t="s">
        <v>718</v>
      </c>
      <c r="M63" s="9">
        <f>SUMIFS(#REF!,#REF!,
$A63,#REF!,
"&gt;="&amp;'Faturado mensal'!M$2,#REF!,
"&lt;"&amp;EOMONTH('Faturado mensal'!M$2,0))</f>
        <v>49368.88</v>
      </c>
      <c r="N63" s="9">
        <f>SUMIFS(#REF!,#REF!,
$A63,#REF!,
"&gt;="&amp;'Faturado mensal'!N$2,#REF!,
"&lt;"&amp;EOMONTH('Faturado mensal'!N$2,0))</f>
        <v>31199.93</v>
      </c>
      <c r="O63" s="9">
        <f>SUMIFS(#REF!,#REF!,
$A63,#REF!,
"&gt;="&amp;'Faturado mensal'!O$2,#REF!,
"&lt;"&amp;EOMONTH('Faturado mensal'!O$2,0))</f>
        <v>31231.73</v>
      </c>
      <c r="P63" s="9">
        <f>SUMIFS(#REF!,#REF!,
$A63,#REF!,
"&gt;="&amp;'Faturado mensal'!P$2,#REF!,
"&lt;"&amp;EOMONTH('Faturado mensal'!P$2,0))</f>
        <v>31263.54</v>
      </c>
      <c r="Q63" s="9">
        <f>SUMIFS(#REF!,#REF!,
$A63,#REF!,
"&gt;="&amp;'Faturado mensal'!Q$2,#REF!,
"&lt;"&amp;EOMONTH('Faturado mensal'!Q$2,0))</f>
        <v>39802.58</v>
      </c>
      <c r="R63" s="9">
        <f>SUMIFS(#REF!,#REF!,
$A63,#REF!,
"&gt;="&amp;'Faturado mensal'!R$2,#REF!,
"&lt;"&amp;EOMONTH('Faturado mensal'!R$2,0))</f>
        <v>42185.549999999996</v>
      </c>
      <c r="S63" s="9">
        <f>SUMIFS(#REF!,#REF!,
$A63,#REF!,
"&gt;="&amp;'Faturado mensal'!S$2,#REF!,
"&lt;"&amp;EOMONTH('Faturado mensal'!S$2,0))</f>
        <v>37586.800000000003</v>
      </c>
      <c r="T63" s="9">
        <f>SUMIFS(#REF!,#REF!,
$A63,#REF!,
"&gt;="&amp;'Faturado mensal'!T$2,#REF!,
"&lt;"&amp;EOMONTH('Faturado mensal'!T$2,0))</f>
        <v>37808.76</v>
      </c>
      <c r="U63" s="9">
        <f>SUMIFS(#REF!,#REF!,
$A63,#REF!,
"&gt;="&amp;'Faturado mensal'!U$2,#REF!,
"&lt;"&amp;EOMONTH('Faturado mensal'!U$2,0))</f>
        <v>37771.760000000002</v>
      </c>
      <c r="V63" s="9">
        <f>SUMIFS(#REF!,#REF!,
$A63,#REF!,
"&gt;="&amp;'Faturado mensal'!V$2,#REF!,
"&lt;"&amp;EOMONTH('Faturado mensal'!V$2,0))</f>
        <v>37660.78</v>
      </c>
      <c r="W63" s="9">
        <f>SUMIFS(#REF!,#REF!,
$A63,#REF!,
"&gt;="&amp;'Faturado mensal'!W$2,#REF!,
"&lt;"&amp;EOMONTH('Faturado mensal'!W$2,0))</f>
        <v>36104.26</v>
      </c>
      <c r="X63" s="9">
        <f>SUMIFS(#REF!,#REF!,
$A63,#REF!,
"&gt;="&amp;'Faturado mensal'!X$2,#REF!,
"&lt;"&amp;EOMONTH('Faturado mensal'!X$2,0))</f>
        <v>55056.25</v>
      </c>
      <c r="Y63" s="11">
        <f>SUMIFS(#REF!,#REF!,
$A63,#REF!,
"&gt;="&amp;'Faturado mensal'!M$2,#REF!,
"&lt;"&amp;EOMONTH('Faturado mensal'!M$2,12))</f>
        <v>521141.27000000008</v>
      </c>
      <c r="Z63" s="9">
        <f>SUMIFS(#REF!,#REF!,
$A63,#REF!,
"&gt;="&amp;'Faturado mensal'!Z$2,#REF!,
"&lt;"&amp;EOMONTH('Faturado mensal'!Z$2,0))</f>
        <v>54100.45</v>
      </c>
      <c r="AA63" s="9">
        <f>SUMIFS(#REF!,#REF!,
$A63,#REF!,
"&gt;="&amp;'Faturado mensal'!AA$2,#REF!,
"&lt;"&amp;EOMONTH('Faturado mensal'!AA$2,0))</f>
        <v>35917.589999999997</v>
      </c>
      <c r="AB63" s="9">
        <f>SUMIFS(#REF!,#REF!,
$A63,#REF!,
"&gt;="&amp;'Faturado mensal'!AB$2,#REF!,
"&lt;"&amp;EOMONTH('Faturado mensal'!AB$2,0))</f>
        <v>36365.620000000003</v>
      </c>
      <c r="AC63" s="9">
        <f>SUMIFS(#REF!,#REF!,
$A63,#REF!,
"&gt;="&amp;'Faturado mensal'!AC$2,#REF!,
"&lt;"&amp;EOMONTH('Faturado mensal'!AC$2,0))</f>
        <v>38232.449999999997</v>
      </c>
      <c r="AD63" s="9">
        <f>SUMIFS(#REF!,#REF!,
$A63,#REF!,
"&gt;="&amp;'Faturado mensal'!AD$2,#REF!,
"&lt;"&amp;EOMONTH('Faturado mensal'!AD$2,0))</f>
        <v>38568.47</v>
      </c>
      <c r="AE63" s="9">
        <f>SUMIFS(#REF!,#REF!,
$A63,#REF!,
"&gt;="&amp;'Faturado mensal'!AE$2,#REF!,
"&lt;"&amp;EOMONTH('Faturado mensal'!AE$2,0))</f>
        <v>0</v>
      </c>
      <c r="AF63" s="9">
        <f>SUMIFS(#REF!,#REF!,
$A63,#REF!,
"&gt;="&amp;'Faturado mensal'!AF$2,#REF!,
"&lt;"&amp;EOMONTH('Faturado mensal'!AF$2,0))</f>
        <v>0</v>
      </c>
      <c r="AG63" s="9">
        <f>SUMIFS(#REF!,#REF!,
$A63,#REF!,
"&gt;="&amp;'Faturado mensal'!AG$2,#REF!,
"&lt;"&amp;EOMONTH('Faturado mensal'!AG$2,0))</f>
        <v>0</v>
      </c>
      <c r="AH63" s="9">
        <f>SUMIFS(#REF!,#REF!,
$A63,#REF!,
"&gt;="&amp;'Faturado mensal'!AH$2,#REF!,
"&lt;"&amp;EOMONTH('Faturado mensal'!AH$2,0))</f>
        <v>0</v>
      </c>
      <c r="AI63" s="9">
        <f>SUMIFS(#REF!,#REF!,
$A63,#REF!,
"&gt;="&amp;'Faturado mensal'!AI$2,#REF!,
"&lt;"&amp;EOMONTH('Faturado mensal'!AI$2,0))</f>
        <v>0</v>
      </c>
      <c r="AJ63" s="9">
        <f>SUMIFS(#REF!,#REF!,
$A63,#REF!,
"&gt;="&amp;'Faturado mensal'!AJ$2,#REF!,
"&lt;"&amp;EOMONTH('Faturado mensal'!AJ$2,0))</f>
        <v>0</v>
      </c>
      <c r="AK63" s="9">
        <f>SUMIFS(#REF!,#REF!,
$A63,#REF!,
"&gt;="&amp;'Faturado mensal'!AK$2,#REF!,
"&lt;"&amp;EOMONTH('Faturado mensal'!AK$2,0))</f>
        <v>0</v>
      </c>
      <c r="AL63" s="9">
        <f>SUMIFS(#REF!,#REF!,
$A63,#REF!,
"&gt;="&amp;Z$2,#REF!,
"&lt;"&amp;EOMONTH(AK$2,0))</f>
        <v>203184.58</v>
      </c>
    </row>
    <row r="64" spans="1:38" x14ac:dyDescent="0.3">
      <c r="A64" t="s">
        <v>277</v>
      </c>
      <c r="B64" t="s">
        <v>278</v>
      </c>
      <c r="C64" t="s">
        <v>17</v>
      </c>
      <c r="D64" t="s">
        <v>204</v>
      </c>
      <c r="E64" t="s">
        <v>1040</v>
      </c>
      <c r="F64" t="s">
        <v>4776</v>
      </c>
      <c r="G64" t="s">
        <v>4856</v>
      </c>
      <c r="H64" t="s">
        <v>4771</v>
      </c>
      <c r="I64" t="s">
        <v>17</v>
      </c>
      <c r="J64" t="s">
        <v>710</v>
      </c>
      <c r="K64" t="s">
        <v>748</v>
      </c>
      <c r="L64" t="s">
        <v>749</v>
      </c>
      <c r="M64" s="9">
        <f>SUMIFS(#REF!,#REF!,
$A64,#REF!,
"&gt;="&amp;'Faturado mensal'!M$2,#REF!,
"&lt;"&amp;EOMONTH('Faturado mensal'!M$2,0))</f>
        <v>0</v>
      </c>
      <c r="N64" s="9">
        <f>SUMIFS(#REF!,#REF!,
$A64,#REF!,
"&gt;="&amp;'Faturado mensal'!N$2,#REF!,
"&lt;"&amp;EOMONTH('Faturado mensal'!N$2,0))</f>
        <v>600</v>
      </c>
      <c r="O64" s="9">
        <f>SUMIFS(#REF!,#REF!,
$A64,#REF!,
"&gt;="&amp;'Faturado mensal'!O$2,#REF!,
"&lt;"&amp;EOMONTH('Faturado mensal'!O$2,0))</f>
        <v>0</v>
      </c>
      <c r="P64" s="9">
        <f>SUMIFS(#REF!,#REF!,
$A64,#REF!,
"&gt;="&amp;'Faturado mensal'!P$2,#REF!,
"&lt;"&amp;EOMONTH('Faturado mensal'!P$2,0))</f>
        <v>0</v>
      </c>
      <c r="Q64" s="9">
        <f>SUMIFS(#REF!,#REF!,
$A64,#REF!,
"&gt;="&amp;'Faturado mensal'!Q$2,#REF!,
"&lt;"&amp;EOMONTH('Faturado mensal'!Q$2,0))</f>
        <v>0</v>
      </c>
      <c r="R64" s="9">
        <f>SUMIFS(#REF!,#REF!,
$A64,#REF!,
"&gt;="&amp;'Faturado mensal'!R$2,#REF!,
"&lt;"&amp;EOMONTH('Faturado mensal'!R$2,0))</f>
        <v>1500</v>
      </c>
      <c r="S64" s="9">
        <f>SUMIFS(#REF!,#REF!,
$A64,#REF!,
"&gt;="&amp;'Faturado mensal'!S$2,#REF!,
"&lt;"&amp;EOMONTH('Faturado mensal'!S$2,0))</f>
        <v>0</v>
      </c>
      <c r="T64" s="9">
        <f>SUMIFS(#REF!,#REF!,
$A64,#REF!,
"&gt;="&amp;'Faturado mensal'!T$2,#REF!,
"&lt;"&amp;EOMONTH('Faturado mensal'!T$2,0))</f>
        <v>0</v>
      </c>
      <c r="U64" s="9">
        <f>SUMIFS(#REF!,#REF!,
$A64,#REF!,
"&gt;="&amp;'Faturado mensal'!U$2,#REF!,
"&lt;"&amp;EOMONTH('Faturado mensal'!U$2,0))</f>
        <v>0</v>
      </c>
      <c r="V64" s="9">
        <f>SUMIFS(#REF!,#REF!,
$A64,#REF!,
"&gt;="&amp;'Faturado mensal'!V$2,#REF!,
"&lt;"&amp;EOMONTH('Faturado mensal'!V$2,0))</f>
        <v>0</v>
      </c>
      <c r="W64" s="9">
        <f>SUMIFS(#REF!,#REF!,
$A64,#REF!,
"&gt;="&amp;'Faturado mensal'!W$2,#REF!,
"&lt;"&amp;EOMONTH('Faturado mensal'!W$2,0))</f>
        <v>0</v>
      </c>
      <c r="X64" s="9">
        <f>SUMIFS(#REF!,#REF!,
$A64,#REF!,
"&gt;="&amp;'Faturado mensal'!X$2,#REF!,
"&lt;"&amp;EOMONTH('Faturado mensal'!X$2,0))</f>
        <v>0</v>
      </c>
      <c r="Y64" s="11">
        <f>SUMIFS(#REF!,#REF!,
$A64,#REF!,
"&gt;="&amp;'Faturado mensal'!M$2,#REF!,
"&lt;"&amp;EOMONTH('Faturado mensal'!M$2,12))</f>
        <v>2100</v>
      </c>
      <c r="Z64" s="9">
        <f>SUMIFS(#REF!,#REF!,
$A64,#REF!,
"&gt;="&amp;'Faturado mensal'!Z$2,#REF!,
"&lt;"&amp;EOMONTH('Faturado mensal'!Z$2,0))</f>
        <v>0</v>
      </c>
      <c r="AA64" s="9">
        <f>SUMIFS(#REF!,#REF!,
$A64,#REF!,
"&gt;="&amp;'Faturado mensal'!AA$2,#REF!,
"&lt;"&amp;EOMONTH('Faturado mensal'!AA$2,0))</f>
        <v>600</v>
      </c>
      <c r="AB64" s="9">
        <f>SUMIFS(#REF!,#REF!,
$A64,#REF!,
"&gt;="&amp;'Faturado mensal'!AB$2,#REF!,
"&lt;"&amp;EOMONTH('Faturado mensal'!AB$2,0))</f>
        <v>0</v>
      </c>
      <c r="AC64" s="9">
        <f>SUMIFS(#REF!,#REF!,
$A64,#REF!,
"&gt;="&amp;'Faturado mensal'!AC$2,#REF!,
"&lt;"&amp;EOMONTH('Faturado mensal'!AC$2,0))</f>
        <v>0</v>
      </c>
      <c r="AD64" s="9">
        <f>SUMIFS(#REF!,#REF!,
$A64,#REF!,
"&gt;="&amp;'Faturado mensal'!AD$2,#REF!,
"&lt;"&amp;EOMONTH('Faturado mensal'!AD$2,0))</f>
        <v>0</v>
      </c>
      <c r="AE64" s="9">
        <f>SUMIFS(#REF!,#REF!,
$A64,#REF!,
"&gt;="&amp;'Faturado mensal'!AE$2,#REF!,
"&lt;"&amp;EOMONTH('Faturado mensal'!AE$2,0))</f>
        <v>0</v>
      </c>
      <c r="AF64" s="9">
        <f>SUMIFS(#REF!,#REF!,
$A64,#REF!,
"&gt;="&amp;'Faturado mensal'!AF$2,#REF!,
"&lt;"&amp;EOMONTH('Faturado mensal'!AF$2,0))</f>
        <v>0</v>
      </c>
      <c r="AG64" s="9">
        <f>SUMIFS(#REF!,#REF!,
$A64,#REF!,
"&gt;="&amp;'Faturado mensal'!AG$2,#REF!,
"&lt;"&amp;EOMONTH('Faturado mensal'!AG$2,0))</f>
        <v>0</v>
      </c>
      <c r="AH64" s="9">
        <f>SUMIFS(#REF!,#REF!,
$A64,#REF!,
"&gt;="&amp;'Faturado mensal'!AH$2,#REF!,
"&lt;"&amp;EOMONTH('Faturado mensal'!AH$2,0))</f>
        <v>0</v>
      </c>
      <c r="AI64" s="9">
        <f>SUMIFS(#REF!,#REF!,
$A64,#REF!,
"&gt;="&amp;'Faturado mensal'!AI$2,#REF!,
"&lt;"&amp;EOMONTH('Faturado mensal'!AI$2,0))</f>
        <v>0</v>
      </c>
      <c r="AJ64" s="9">
        <f>SUMIFS(#REF!,#REF!,
$A64,#REF!,
"&gt;="&amp;'Faturado mensal'!AJ$2,#REF!,
"&lt;"&amp;EOMONTH('Faturado mensal'!AJ$2,0))</f>
        <v>0</v>
      </c>
      <c r="AK64" s="9">
        <f>SUMIFS(#REF!,#REF!,
$A64,#REF!,
"&gt;="&amp;'Faturado mensal'!AK$2,#REF!,
"&lt;"&amp;EOMONTH('Faturado mensal'!AK$2,0))</f>
        <v>0</v>
      </c>
      <c r="AL64" s="9">
        <f>SUMIFS(#REF!,#REF!,
$A64,#REF!,
"&gt;="&amp;Z$2,#REF!,
"&lt;"&amp;EOMONTH(AK$2,0))</f>
        <v>600</v>
      </c>
    </row>
    <row r="65" spans="1:38" x14ac:dyDescent="0.3">
      <c r="A65" t="s">
        <v>279</v>
      </c>
      <c r="B65" t="s">
        <v>280</v>
      </c>
      <c r="C65" t="s">
        <v>133</v>
      </c>
      <c r="D65" t="s">
        <v>209</v>
      </c>
      <c r="E65" t="s">
        <v>1037</v>
      </c>
      <c r="F65" t="s">
        <v>4776</v>
      </c>
      <c r="G65" t="s">
        <v>4852</v>
      </c>
      <c r="I65" t="s">
        <v>133</v>
      </c>
      <c r="J65" t="s">
        <v>710</v>
      </c>
      <c r="K65" t="s">
        <v>785</v>
      </c>
      <c r="L65" t="s">
        <v>786</v>
      </c>
      <c r="M65" s="9">
        <f>SUMIFS(#REF!,#REF!,
$A65,#REF!,
"&gt;="&amp;'Faturado mensal'!M$2,#REF!,
"&lt;"&amp;EOMONTH('Faturado mensal'!M$2,0))</f>
        <v>14826</v>
      </c>
      <c r="N65" s="9">
        <f>SUMIFS(#REF!,#REF!,
$A65,#REF!,
"&gt;="&amp;'Faturado mensal'!N$2,#REF!,
"&lt;"&amp;EOMONTH('Faturado mensal'!N$2,0))</f>
        <v>18228</v>
      </c>
      <c r="O65" s="9">
        <f>SUMIFS(#REF!,#REF!,
$A65,#REF!,
"&gt;="&amp;'Faturado mensal'!O$2,#REF!,
"&lt;"&amp;EOMONTH('Faturado mensal'!O$2,0))</f>
        <v>19194</v>
      </c>
      <c r="P65" s="9">
        <f>SUMIFS(#REF!,#REF!,
$A65,#REF!,
"&gt;="&amp;'Faturado mensal'!P$2,#REF!,
"&lt;"&amp;EOMONTH('Faturado mensal'!P$2,0))</f>
        <v>0</v>
      </c>
      <c r="Q65" s="9">
        <f>SUMIFS(#REF!,#REF!,
$A65,#REF!,
"&gt;="&amp;'Faturado mensal'!Q$2,#REF!,
"&lt;"&amp;EOMONTH('Faturado mensal'!Q$2,0))</f>
        <v>0</v>
      </c>
      <c r="R65" s="9">
        <f>SUMIFS(#REF!,#REF!,
$A65,#REF!,
"&gt;="&amp;'Faturado mensal'!R$2,#REF!,
"&lt;"&amp;EOMONTH('Faturado mensal'!R$2,0))</f>
        <v>0</v>
      </c>
      <c r="S65" s="9">
        <f>SUMIFS(#REF!,#REF!,
$A65,#REF!,
"&gt;="&amp;'Faturado mensal'!S$2,#REF!,
"&lt;"&amp;EOMONTH('Faturado mensal'!S$2,0))</f>
        <v>0</v>
      </c>
      <c r="T65" s="9">
        <f>SUMIFS(#REF!,#REF!,
$A65,#REF!,
"&gt;="&amp;'Faturado mensal'!T$2,#REF!,
"&lt;"&amp;EOMONTH('Faturado mensal'!T$2,0))</f>
        <v>0</v>
      </c>
      <c r="U65" s="9">
        <f>SUMIFS(#REF!,#REF!,
$A65,#REF!,
"&gt;="&amp;'Faturado mensal'!U$2,#REF!,
"&lt;"&amp;EOMONTH('Faturado mensal'!U$2,0))</f>
        <v>0</v>
      </c>
      <c r="V65" s="9">
        <f>SUMIFS(#REF!,#REF!,
$A65,#REF!,
"&gt;="&amp;'Faturado mensal'!V$2,#REF!,
"&lt;"&amp;EOMONTH('Faturado mensal'!V$2,0))</f>
        <v>0</v>
      </c>
      <c r="W65" s="9">
        <f>SUMIFS(#REF!,#REF!,
$A65,#REF!,
"&gt;="&amp;'Faturado mensal'!W$2,#REF!,
"&lt;"&amp;EOMONTH('Faturado mensal'!W$2,0))</f>
        <v>0</v>
      </c>
      <c r="X65" s="9">
        <f>SUMIFS(#REF!,#REF!,
$A65,#REF!,
"&gt;="&amp;'Faturado mensal'!X$2,#REF!,
"&lt;"&amp;EOMONTH('Faturado mensal'!X$2,0))</f>
        <v>0</v>
      </c>
      <c r="Y65" s="11">
        <f>SUMIFS(#REF!,#REF!,
$A65,#REF!,
"&gt;="&amp;'Faturado mensal'!M$2,#REF!,
"&lt;"&amp;EOMONTH('Faturado mensal'!M$2,12))</f>
        <v>52248</v>
      </c>
      <c r="Z65" s="9">
        <f>SUMIFS(#REF!,#REF!,
$A65,#REF!,
"&gt;="&amp;'Faturado mensal'!Z$2,#REF!,
"&lt;"&amp;EOMONTH('Faturado mensal'!Z$2,0))</f>
        <v>0</v>
      </c>
      <c r="AA65" s="9">
        <f>SUMIFS(#REF!,#REF!,
$A65,#REF!,
"&gt;="&amp;'Faturado mensal'!AA$2,#REF!,
"&lt;"&amp;EOMONTH('Faturado mensal'!AA$2,0))</f>
        <v>0</v>
      </c>
      <c r="AB65" s="9">
        <f>SUMIFS(#REF!,#REF!,
$A65,#REF!,
"&gt;="&amp;'Faturado mensal'!AB$2,#REF!,
"&lt;"&amp;EOMONTH('Faturado mensal'!AB$2,0))</f>
        <v>0</v>
      </c>
      <c r="AC65" s="9">
        <f>SUMIFS(#REF!,#REF!,
$A65,#REF!,
"&gt;="&amp;'Faturado mensal'!AC$2,#REF!,
"&lt;"&amp;EOMONTH('Faturado mensal'!AC$2,0))</f>
        <v>0</v>
      </c>
      <c r="AD65" s="9">
        <f>SUMIFS(#REF!,#REF!,
$A65,#REF!,
"&gt;="&amp;'Faturado mensal'!AD$2,#REF!,
"&lt;"&amp;EOMONTH('Faturado mensal'!AD$2,0))</f>
        <v>0</v>
      </c>
      <c r="AE65" s="9">
        <f>SUMIFS(#REF!,#REF!,
$A65,#REF!,
"&gt;="&amp;'Faturado mensal'!AE$2,#REF!,
"&lt;"&amp;EOMONTH('Faturado mensal'!AE$2,0))</f>
        <v>0</v>
      </c>
      <c r="AF65" s="9">
        <f>SUMIFS(#REF!,#REF!,
$A65,#REF!,
"&gt;="&amp;'Faturado mensal'!AF$2,#REF!,
"&lt;"&amp;EOMONTH('Faturado mensal'!AF$2,0))</f>
        <v>0</v>
      </c>
      <c r="AG65" s="9">
        <f>SUMIFS(#REF!,#REF!,
$A65,#REF!,
"&gt;="&amp;'Faturado mensal'!AG$2,#REF!,
"&lt;"&amp;EOMONTH('Faturado mensal'!AG$2,0))</f>
        <v>0</v>
      </c>
      <c r="AH65" s="9">
        <f>SUMIFS(#REF!,#REF!,
$A65,#REF!,
"&gt;="&amp;'Faturado mensal'!AH$2,#REF!,
"&lt;"&amp;EOMONTH('Faturado mensal'!AH$2,0))</f>
        <v>0</v>
      </c>
      <c r="AI65" s="9">
        <f>SUMIFS(#REF!,#REF!,
$A65,#REF!,
"&gt;="&amp;'Faturado mensal'!AI$2,#REF!,
"&lt;"&amp;EOMONTH('Faturado mensal'!AI$2,0))</f>
        <v>0</v>
      </c>
      <c r="AJ65" s="9">
        <f>SUMIFS(#REF!,#REF!,
$A65,#REF!,
"&gt;="&amp;'Faturado mensal'!AJ$2,#REF!,
"&lt;"&amp;EOMONTH('Faturado mensal'!AJ$2,0))</f>
        <v>0</v>
      </c>
      <c r="AK65" s="9">
        <f>SUMIFS(#REF!,#REF!,
$A65,#REF!,
"&gt;="&amp;'Faturado mensal'!AK$2,#REF!,
"&lt;"&amp;EOMONTH('Faturado mensal'!AK$2,0))</f>
        <v>0</v>
      </c>
      <c r="AL65" s="9">
        <f>SUMIFS(#REF!,#REF!,
$A65,#REF!,
"&gt;="&amp;Z$2,#REF!,
"&lt;"&amp;EOMONTH(AK$2,0))</f>
        <v>0</v>
      </c>
    </row>
    <row r="66" spans="1:38" x14ac:dyDescent="0.3">
      <c r="A66" t="s">
        <v>281</v>
      </c>
      <c r="B66" t="s">
        <v>282</v>
      </c>
      <c r="C66" t="s">
        <v>6</v>
      </c>
      <c r="D66" t="s">
        <v>204</v>
      </c>
      <c r="E66" t="s">
        <v>4845</v>
      </c>
      <c r="F66" t="s">
        <v>4803</v>
      </c>
      <c r="G66" t="s">
        <v>4845</v>
      </c>
      <c r="I66" t="s">
        <v>6</v>
      </c>
      <c r="J66" t="s">
        <v>710</v>
      </c>
      <c r="K66" t="s">
        <v>762</v>
      </c>
      <c r="L66" t="s">
        <v>763</v>
      </c>
      <c r="M66" s="9">
        <f>SUMIFS(#REF!,#REF!,
$A66,#REF!,
"&gt;="&amp;'Faturado mensal'!M$2,#REF!,
"&lt;"&amp;EOMONTH('Faturado mensal'!M$2,0))</f>
        <v>0</v>
      </c>
      <c r="N66" s="9">
        <f>SUMIFS(#REF!,#REF!,
$A66,#REF!,
"&gt;="&amp;'Faturado mensal'!N$2,#REF!,
"&lt;"&amp;EOMONTH('Faturado mensal'!N$2,0))</f>
        <v>0</v>
      </c>
      <c r="O66" s="9">
        <f>SUMIFS(#REF!,#REF!,
$A66,#REF!,
"&gt;="&amp;'Faturado mensal'!O$2,#REF!,
"&lt;"&amp;EOMONTH('Faturado mensal'!O$2,0))</f>
        <v>0</v>
      </c>
      <c r="P66" s="9">
        <f>SUMIFS(#REF!,#REF!,
$A66,#REF!,
"&gt;="&amp;'Faturado mensal'!P$2,#REF!,
"&lt;"&amp;EOMONTH('Faturado mensal'!P$2,0))</f>
        <v>0</v>
      </c>
      <c r="Q66" s="9">
        <f>SUMIFS(#REF!,#REF!,
$A66,#REF!,
"&gt;="&amp;'Faturado mensal'!Q$2,#REF!,
"&lt;"&amp;EOMONTH('Faturado mensal'!Q$2,0))</f>
        <v>0</v>
      </c>
      <c r="R66" s="9">
        <f>SUMIFS(#REF!,#REF!,
$A66,#REF!,
"&gt;="&amp;'Faturado mensal'!R$2,#REF!,
"&lt;"&amp;EOMONTH('Faturado mensal'!R$2,0))</f>
        <v>0</v>
      </c>
      <c r="S66" s="9">
        <f>SUMIFS(#REF!,#REF!,
$A66,#REF!,
"&gt;="&amp;'Faturado mensal'!S$2,#REF!,
"&lt;"&amp;EOMONTH('Faturado mensal'!S$2,0))</f>
        <v>0</v>
      </c>
      <c r="T66" s="9">
        <f>SUMIFS(#REF!,#REF!,
$A66,#REF!,
"&gt;="&amp;'Faturado mensal'!T$2,#REF!,
"&lt;"&amp;EOMONTH('Faturado mensal'!T$2,0))</f>
        <v>0</v>
      </c>
      <c r="U66" s="9">
        <f>SUMIFS(#REF!,#REF!,
$A66,#REF!,
"&gt;="&amp;'Faturado mensal'!U$2,#REF!,
"&lt;"&amp;EOMONTH('Faturado mensal'!U$2,0))</f>
        <v>0</v>
      </c>
      <c r="V66" s="9">
        <f>SUMIFS(#REF!,#REF!,
$A66,#REF!,
"&gt;="&amp;'Faturado mensal'!V$2,#REF!,
"&lt;"&amp;EOMONTH('Faturado mensal'!V$2,0))</f>
        <v>0</v>
      </c>
      <c r="W66" s="9">
        <f>SUMIFS(#REF!,#REF!,
$A66,#REF!,
"&gt;="&amp;'Faturado mensal'!W$2,#REF!,
"&lt;"&amp;EOMONTH('Faturado mensal'!W$2,0))</f>
        <v>4357</v>
      </c>
      <c r="X66" s="9">
        <f>SUMIFS(#REF!,#REF!,
$A66,#REF!,
"&gt;="&amp;'Faturado mensal'!X$2,#REF!,
"&lt;"&amp;EOMONTH('Faturado mensal'!X$2,0))</f>
        <v>0</v>
      </c>
      <c r="Y66" s="11">
        <f>SUMIFS(#REF!,#REF!,
$A66,#REF!,
"&gt;="&amp;'Faturado mensal'!M$2,#REF!,
"&lt;"&amp;EOMONTH('Faturado mensal'!M$2,12))</f>
        <v>4357</v>
      </c>
      <c r="Z66" s="9">
        <f>SUMIFS(#REF!,#REF!,
$A66,#REF!,
"&gt;="&amp;'Faturado mensal'!Z$2,#REF!,
"&lt;"&amp;EOMONTH('Faturado mensal'!Z$2,0))</f>
        <v>0</v>
      </c>
      <c r="AA66" s="9">
        <f>SUMIFS(#REF!,#REF!,
$A66,#REF!,
"&gt;="&amp;'Faturado mensal'!AA$2,#REF!,
"&lt;"&amp;EOMONTH('Faturado mensal'!AA$2,0))</f>
        <v>0</v>
      </c>
      <c r="AB66" s="9">
        <f>SUMIFS(#REF!,#REF!,
$A66,#REF!,
"&gt;="&amp;'Faturado mensal'!AB$2,#REF!,
"&lt;"&amp;EOMONTH('Faturado mensal'!AB$2,0))</f>
        <v>0</v>
      </c>
      <c r="AC66" s="9">
        <f>SUMIFS(#REF!,#REF!,
$A66,#REF!,
"&gt;="&amp;'Faturado mensal'!AC$2,#REF!,
"&lt;"&amp;EOMONTH('Faturado mensal'!AC$2,0))</f>
        <v>0</v>
      </c>
      <c r="AD66" s="9">
        <f>SUMIFS(#REF!,#REF!,
$A66,#REF!,
"&gt;="&amp;'Faturado mensal'!AD$2,#REF!,
"&lt;"&amp;EOMONTH('Faturado mensal'!AD$2,0))</f>
        <v>0</v>
      </c>
      <c r="AE66" s="9">
        <f>SUMIFS(#REF!,#REF!,
$A66,#REF!,
"&gt;="&amp;'Faturado mensal'!AE$2,#REF!,
"&lt;"&amp;EOMONTH('Faturado mensal'!AE$2,0))</f>
        <v>0</v>
      </c>
      <c r="AF66" s="9">
        <f>SUMIFS(#REF!,#REF!,
$A66,#REF!,
"&gt;="&amp;'Faturado mensal'!AF$2,#REF!,
"&lt;"&amp;EOMONTH('Faturado mensal'!AF$2,0))</f>
        <v>0</v>
      </c>
      <c r="AG66" s="9">
        <f>SUMIFS(#REF!,#REF!,
$A66,#REF!,
"&gt;="&amp;'Faturado mensal'!AG$2,#REF!,
"&lt;"&amp;EOMONTH('Faturado mensal'!AG$2,0))</f>
        <v>0</v>
      </c>
      <c r="AH66" s="9">
        <f>SUMIFS(#REF!,#REF!,
$A66,#REF!,
"&gt;="&amp;'Faturado mensal'!AH$2,#REF!,
"&lt;"&amp;EOMONTH('Faturado mensal'!AH$2,0))</f>
        <v>0</v>
      </c>
      <c r="AI66" s="9">
        <f>SUMIFS(#REF!,#REF!,
$A66,#REF!,
"&gt;="&amp;'Faturado mensal'!AI$2,#REF!,
"&lt;"&amp;EOMONTH('Faturado mensal'!AI$2,0))</f>
        <v>0</v>
      </c>
      <c r="AJ66" s="9">
        <f>SUMIFS(#REF!,#REF!,
$A66,#REF!,
"&gt;="&amp;'Faturado mensal'!AJ$2,#REF!,
"&lt;"&amp;EOMONTH('Faturado mensal'!AJ$2,0))</f>
        <v>0</v>
      </c>
      <c r="AK66" s="9">
        <f>SUMIFS(#REF!,#REF!,
$A66,#REF!,
"&gt;="&amp;'Faturado mensal'!AK$2,#REF!,
"&lt;"&amp;EOMONTH('Faturado mensal'!AK$2,0))</f>
        <v>0</v>
      </c>
      <c r="AL66" s="9">
        <f>SUMIFS(#REF!,#REF!,
$A66,#REF!,
"&gt;="&amp;Z$2,#REF!,
"&lt;"&amp;EOMONTH(AK$2,0))</f>
        <v>0</v>
      </c>
    </row>
    <row r="67" spans="1:38" x14ac:dyDescent="0.3">
      <c r="A67" t="s">
        <v>283</v>
      </c>
      <c r="B67" t="s">
        <v>227</v>
      </c>
      <c r="C67" t="s">
        <v>191</v>
      </c>
      <c r="D67" t="s">
        <v>209</v>
      </c>
      <c r="E67" t="s">
        <v>4832</v>
      </c>
      <c r="F67" t="s">
        <v>4792</v>
      </c>
      <c r="G67" t="s">
        <v>4845</v>
      </c>
      <c r="H67" t="s">
        <v>4772</v>
      </c>
      <c r="I67" t="s">
        <v>191</v>
      </c>
      <c r="J67" t="s">
        <v>710</v>
      </c>
      <c r="K67" t="s">
        <v>720</v>
      </c>
      <c r="L67" t="s">
        <v>721</v>
      </c>
      <c r="M67" s="9">
        <f>SUMIFS(#REF!,#REF!,
$A67,#REF!,
"&gt;="&amp;'Faturado mensal'!M$2,#REF!,
"&lt;"&amp;EOMONTH('Faturado mensal'!M$2,0))</f>
        <v>0</v>
      </c>
      <c r="N67" s="9">
        <f>SUMIFS(#REF!,#REF!,
$A67,#REF!,
"&gt;="&amp;'Faturado mensal'!N$2,#REF!,
"&lt;"&amp;EOMONTH('Faturado mensal'!N$2,0))</f>
        <v>0</v>
      </c>
      <c r="O67" s="9">
        <f>SUMIFS(#REF!,#REF!,
$A67,#REF!,
"&gt;="&amp;'Faturado mensal'!O$2,#REF!,
"&lt;"&amp;EOMONTH('Faturado mensal'!O$2,0))</f>
        <v>0</v>
      </c>
      <c r="P67" s="9">
        <f>SUMIFS(#REF!,#REF!,
$A67,#REF!,
"&gt;="&amp;'Faturado mensal'!P$2,#REF!,
"&lt;"&amp;EOMONTH('Faturado mensal'!P$2,0))</f>
        <v>0</v>
      </c>
      <c r="Q67" s="9">
        <f>SUMIFS(#REF!,#REF!,
$A67,#REF!,
"&gt;="&amp;'Faturado mensal'!Q$2,#REF!,
"&lt;"&amp;EOMONTH('Faturado mensal'!Q$2,0))</f>
        <v>0</v>
      </c>
      <c r="R67" s="9">
        <f>SUMIFS(#REF!,#REF!,
$A67,#REF!,
"&gt;="&amp;'Faturado mensal'!R$2,#REF!,
"&lt;"&amp;EOMONTH('Faturado mensal'!R$2,0))</f>
        <v>0</v>
      </c>
      <c r="S67" s="9">
        <f>SUMIFS(#REF!,#REF!,
$A67,#REF!,
"&gt;="&amp;'Faturado mensal'!S$2,#REF!,
"&lt;"&amp;EOMONTH('Faturado mensal'!S$2,0))</f>
        <v>0</v>
      </c>
      <c r="T67" s="9">
        <f>SUMIFS(#REF!,#REF!,
$A67,#REF!,
"&gt;="&amp;'Faturado mensal'!T$2,#REF!,
"&lt;"&amp;EOMONTH('Faturado mensal'!T$2,0))</f>
        <v>0</v>
      </c>
      <c r="U67" s="9">
        <f>SUMIFS(#REF!,#REF!,
$A67,#REF!,
"&gt;="&amp;'Faturado mensal'!U$2,#REF!,
"&lt;"&amp;EOMONTH('Faturado mensal'!U$2,0))</f>
        <v>0</v>
      </c>
      <c r="V67" s="9">
        <f>SUMIFS(#REF!,#REF!,
$A67,#REF!,
"&gt;="&amp;'Faturado mensal'!V$2,#REF!,
"&lt;"&amp;EOMONTH('Faturado mensal'!V$2,0))</f>
        <v>0</v>
      </c>
      <c r="W67" s="9">
        <f>SUMIFS(#REF!,#REF!,
$A67,#REF!,
"&gt;="&amp;'Faturado mensal'!W$2,#REF!,
"&lt;"&amp;EOMONTH('Faturado mensal'!W$2,0))</f>
        <v>0</v>
      </c>
      <c r="X67" s="9">
        <f>SUMIFS(#REF!,#REF!,
$A67,#REF!,
"&gt;="&amp;'Faturado mensal'!X$2,#REF!,
"&lt;"&amp;EOMONTH('Faturado mensal'!X$2,0))</f>
        <v>0</v>
      </c>
      <c r="Y67" s="11">
        <f>SUMIFS(#REF!,#REF!,
$A67,#REF!,
"&gt;="&amp;'Faturado mensal'!M$2,#REF!,
"&lt;"&amp;EOMONTH('Faturado mensal'!M$2,12))</f>
        <v>0</v>
      </c>
      <c r="Z67" s="9">
        <f>SUMIFS(#REF!,#REF!,
$A67,#REF!,
"&gt;="&amp;'Faturado mensal'!Z$2,#REF!,
"&lt;"&amp;EOMONTH('Faturado mensal'!Z$2,0))</f>
        <v>0</v>
      </c>
      <c r="AA67" s="9">
        <f>SUMIFS(#REF!,#REF!,
$A67,#REF!,
"&gt;="&amp;'Faturado mensal'!AA$2,#REF!,
"&lt;"&amp;EOMONTH('Faturado mensal'!AA$2,0))</f>
        <v>0</v>
      </c>
      <c r="AB67" s="9">
        <f>SUMIFS(#REF!,#REF!,
$A67,#REF!,
"&gt;="&amp;'Faturado mensal'!AB$2,#REF!,
"&lt;"&amp;EOMONTH('Faturado mensal'!AB$2,0))</f>
        <v>0</v>
      </c>
      <c r="AC67" s="9">
        <f>SUMIFS(#REF!,#REF!,
$A67,#REF!,
"&gt;="&amp;'Faturado mensal'!AC$2,#REF!,
"&lt;"&amp;EOMONTH('Faturado mensal'!AC$2,0))</f>
        <v>0</v>
      </c>
      <c r="AD67" s="9">
        <f>SUMIFS(#REF!,#REF!,
$A67,#REF!,
"&gt;="&amp;'Faturado mensal'!AD$2,#REF!,
"&lt;"&amp;EOMONTH('Faturado mensal'!AD$2,0))</f>
        <v>0</v>
      </c>
      <c r="AE67" s="9">
        <f>SUMIFS(#REF!,#REF!,
$A67,#REF!,
"&gt;="&amp;'Faturado mensal'!AE$2,#REF!,
"&lt;"&amp;EOMONTH('Faturado mensal'!AE$2,0))</f>
        <v>0</v>
      </c>
      <c r="AF67" s="9">
        <f>SUMIFS(#REF!,#REF!,
$A67,#REF!,
"&gt;="&amp;'Faturado mensal'!AF$2,#REF!,
"&lt;"&amp;EOMONTH('Faturado mensal'!AF$2,0))</f>
        <v>0</v>
      </c>
      <c r="AG67" s="9">
        <f>SUMIFS(#REF!,#REF!,
$A67,#REF!,
"&gt;="&amp;'Faturado mensal'!AG$2,#REF!,
"&lt;"&amp;EOMONTH('Faturado mensal'!AG$2,0))</f>
        <v>0</v>
      </c>
      <c r="AH67" s="9">
        <f>SUMIFS(#REF!,#REF!,
$A67,#REF!,
"&gt;="&amp;'Faturado mensal'!AH$2,#REF!,
"&lt;"&amp;EOMONTH('Faturado mensal'!AH$2,0))</f>
        <v>0</v>
      </c>
      <c r="AI67" s="9">
        <f>SUMIFS(#REF!,#REF!,
$A67,#REF!,
"&gt;="&amp;'Faturado mensal'!AI$2,#REF!,
"&lt;"&amp;EOMONTH('Faturado mensal'!AI$2,0))</f>
        <v>0</v>
      </c>
      <c r="AJ67" s="9">
        <f>SUMIFS(#REF!,#REF!,
$A67,#REF!,
"&gt;="&amp;'Faturado mensal'!AJ$2,#REF!,
"&lt;"&amp;EOMONTH('Faturado mensal'!AJ$2,0))</f>
        <v>0</v>
      </c>
      <c r="AK67" s="9">
        <f>SUMIFS(#REF!,#REF!,
$A67,#REF!,
"&gt;="&amp;'Faturado mensal'!AK$2,#REF!,
"&lt;"&amp;EOMONTH('Faturado mensal'!AK$2,0))</f>
        <v>0</v>
      </c>
      <c r="AL67" s="9">
        <f>SUMIFS(#REF!,#REF!,
$A67,#REF!,
"&gt;="&amp;Z$2,#REF!,
"&lt;"&amp;EOMONTH(AK$2,0))</f>
        <v>0</v>
      </c>
    </row>
    <row r="68" spans="1:38" x14ac:dyDescent="0.3">
      <c r="A68" t="s">
        <v>787</v>
      </c>
      <c r="B68" t="s">
        <v>788</v>
      </c>
      <c r="C68" t="s">
        <v>789</v>
      </c>
      <c r="D68" t="s">
        <v>209</v>
      </c>
      <c r="I68" t="s">
        <v>789</v>
      </c>
      <c r="J68" t="s">
        <v>710</v>
      </c>
      <c r="K68" t="s">
        <v>720</v>
      </c>
      <c r="L68" t="s">
        <v>721</v>
      </c>
      <c r="M68" s="9">
        <f>SUMIFS(#REF!,#REF!,
$A68,#REF!,
"&gt;="&amp;'Faturado mensal'!M$2,#REF!,
"&lt;"&amp;EOMONTH('Faturado mensal'!M$2,0))</f>
        <v>0</v>
      </c>
      <c r="N68" s="9">
        <f>SUMIFS(#REF!,#REF!,
$A68,#REF!,
"&gt;="&amp;'Faturado mensal'!N$2,#REF!,
"&lt;"&amp;EOMONTH('Faturado mensal'!N$2,0))</f>
        <v>0</v>
      </c>
      <c r="O68" s="9">
        <f>SUMIFS(#REF!,#REF!,
$A68,#REF!,
"&gt;="&amp;'Faturado mensal'!O$2,#REF!,
"&lt;"&amp;EOMONTH('Faturado mensal'!O$2,0))</f>
        <v>0</v>
      </c>
      <c r="P68" s="9">
        <f>SUMIFS(#REF!,#REF!,
$A68,#REF!,
"&gt;="&amp;'Faturado mensal'!P$2,#REF!,
"&lt;"&amp;EOMONTH('Faturado mensal'!P$2,0))</f>
        <v>0</v>
      </c>
      <c r="Q68" s="9">
        <f>SUMIFS(#REF!,#REF!,
$A68,#REF!,
"&gt;="&amp;'Faturado mensal'!Q$2,#REF!,
"&lt;"&amp;EOMONTH('Faturado mensal'!Q$2,0))</f>
        <v>0</v>
      </c>
      <c r="R68" s="9">
        <f>SUMIFS(#REF!,#REF!,
$A68,#REF!,
"&gt;="&amp;'Faturado mensal'!R$2,#REF!,
"&lt;"&amp;EOMONTH('Faturado mensal'!R$2,0))</f>
        <v>0</v>
      </c>
      <c r="S68" s="9">
        <f>SUMIFS(#REF!,#REF!,
$A68,#REF!,
"&gt;="&amp;'Faturado mensal'!S$2,#REF!,
"&lt;"&amp;EOMONTH('Faturado mensal'!S$2,0))</f>
        <v>0</v>
      </c>
      <c r="T68" s="9">
        <f>SUMIFS(#REF!,#REF!,
$A68,#REF!,
"&gt;="&amp;'Faturado mensal'!T$2,#REF!,
"&lt;"&amp;EOMONTH('Faturado mensal'!T$2,0))</f>
        <v>0</v>
      </c>
      <c r="U68" s="9">
        <f>SUMIFS(#REF!,#REF!,
$A68,#REF!,
"&gt;="&amp;'Faturado mensal'!U$2,#REF!,
"&lt;"&amp;EOMONTH('Faturado mensal'!U$2,0))</f>
        <v>0</v>
      </c>
      <c r="V68" s="9">
        <f>SUMIFS(#REF!,#REF!,
$A68,#REF!,
"&gt;="&amp;'Faturado mensal'!V$2,#REF!,
"&lt;"&amp;EOMONTH('Faturado mensal'!V$2,0))</f>
        <v>0</v>
      </c>
      <c r="W68" s="9">
        <f>SUMIFS(#REF!,#REF!,
$A68,#REF!,
"&gt;="&amp;'Faturado mensal'!W$2,#REF!,
"&lt;"&amp;EOMONTH('Faturado mensal'!W$2,0))</f>
        <v>0</v>
      </c>
      <c r="X68" s="9">
        <f>SUMIFS(#REF!,#REF!,
$A68,#REF!,
"&gt;="&amp;'Faturado mensal'!X$2,#REF!,
"&lt;"&amp;EOMONTH('Faturado mensal'!X$2,0))</f>
        <v>0</v>
      </c>
      <c r="Y68" s="11">
        <f>SUMIFS(#REF!,#REF!,
$A68,#REF!,
"&gt;="&amp;'Faturado mensal'!M$2,#REF!,
"&lt;"&amp;EOMONTH('Faturado mensal'!M$2,12))</f>
        <v>0</v>
      </c>
      <c r="Z68" s="9">
        <f>SUMIFS(#REF!,#REF!,
$A68,#REF!,
"&gt;="&amp;'Faturado mensal'!Z$2,#REF!,
"&lt;"&amp;EOMONTH('Faturado mensal'!Z$2,0))</f>
        <v>0</v>
      </c>
      <c r="AA68" s="9">
        <f>SUMIFS(#REF!,#REF!,
$A68,#REF!,
"&gt;="&amp;'Faturado mensal'!AA$2,#REF!,
"&lt;"&amp;EOMONTH('Faturado mensal'!AA$2,0))</f>
        <v>0</v>
      </c>
      <c r="AB68" s="9">
        <f>SUMIFS(#REF!,#REF!,
$A68,#REF!,
"&gt;="&amp;'Faturado mensal'!AB$2,#REF!,
"&lt;"&amp;EOMONTH('Faturado mensal'!AB$2,0))</f>
        <v>0</v>
      </c>
      <c r="AC68" s="9">
        <f>SUMIFS(#REF!,#REF!,
$A68,#REF!,
"&gt;="&amp;'Faturado mensal'!AC$2,#REF!,
"&lt;"&amp;EOMONTH('Faturado mensal'!AC$2,0))</f>
        <v>0</v>
      </c>
      <c r="AD68" s="9">
        <f>SUMIFS(#REF!,#REF!,
$A68,#REF!,
"&gt;="&amp;'Faturado mensal'!AD$2,#REF!,
"&lt;"&amp;EOMONTH('Faturado mensal'!AD$2,0))</f>
        <v>0</v>
      </c>
      <c r="AE68" s="9">
        <f>SUMIFS(#REF!,#REF!,
$A68,#REF!,
"&gt;="&amp;'Faturado mensal'!AE$2,#REF!,
"&lt;"&amp;EOMONTH('Faturado mensal'!AE$2,0))</f>
        <v>0</v>
      </c>
      <c r="AF68" s="9">
        <f>SUMIFS(#REF!,#REF!,
$A68,#REF!,
"&gt;="&amp;'Faturado mensal'!AF$2,#REF!,
"&lt;"&amp;EOMONTH('Faturado mensal'!AF$2,0))</f>
        <v>0</v>
      </c>
      <c r="AG68" s="9">
        <f>SUMIFS(#REF!,#REF!,
$A68,#REF!,
"&gt;="&amp;'Faturado mensal'!AG$2,#REF!,
"&lt;"&amp;EOMONTH('Faturado mensal'!AG$2,0))</f>
        <v>0</v>
      </c>
      <c r="AH68" s="9">
        <f>SUMIFS(#REF!,#REF!,
$A68,#REF!,
"&gt;="&amp;'Faturado mensal'!AH$2,#REF!,
"&lt;"&amp;EOMONTH('Faturado mensal'!AH$2,0))</f>
        <v>0</v>
      </c>
      <c r="AI68" s="9">
        <f>SUMIFS(#REF!,#REF!,
$A68,#REF!,
"&gt;="&amp;'Faturado mensal'!AI$2,#REF!,
"&lt;"&amp;EOMONTH('Faturado mensal'!AI$2,0))</f>
        <v>0</v>
      </c>
      <c r="AJ68" s="9">
        <f>SUMIFS(#REF!,#REF!,
$A68,#REF!,
"&gt;="&amp;'Faturado mensal'!AJ$2,#REF!,
"&lt;"&amp;EOMONTH('Faturado mensal'!AJ$2,0))</f>
        <v>0</v>
      </c>
      <c r="AK68" s="9">
        <f>SUMIFS(#REF!,#REF!,
$A68,#REF!,
"&gt;="&amp;'Faturado mensal'!AK$2,#REF!,
"&lt;"&amp;EOMONTH('Faturado mensal'!AK$2,0))</f>
        <v>0</v>
      </c>
      <c r="AL68" s="9">
        <f>SUMIFS(#REF!,#REF!,
$A68,#REF!,
"&gt;="&amp;Z$2,#REF!,
"&lt;"&amp;EOMONTH(AK$2,0))</f>
        <v>0</v>
      </c>
    </row>
    <row r="69" spans="1:38" x14ac:dyDescent="0.3">
      <c r="A69" t="s">
        <v>284</v>
      </c>
      <c r="B69" t="s">
        <v>262</v>
      </c>
      <c r="C69" t="s">
        <v>155</v>
      </c>
      <c r="D69" t="s">
        <v>209</v>
      </c>
      <c r="F69" t="s">
        <v>4776</v>
      </c>
      <c r="G69" t="s">
        <v>4854</v>
      </c>
      <c r="H69" t="s">
        <v>4773</v>
      </c>
      <c r="I69" t="s">
        <v>155</v>
      </c>
      <c r="J69" t="s">
        <v>710</v>
      </c>
      <c r="K69" t="s">
        <v>720</v>
      </c>
      <c r="L69" t="s">
        <v>721</v>
      </c>
      <c r="M69" s="9">
        <f>SUMIFS(#REF!,#REF!,
$A69,#REF!,
"&gt;="&amp;'Faturado mensal'!M$2,#REF!,
"&lt;"&amp;EOMONTH('Faturado mensal'!M$2,0))</f>
        <v>0</v>
      </c>
      <c r="N69" s="9">
        <f>SUMIFS(#REF!,#REF!,
$A69,#REF!,
"&gt;="&amp;'Faturado mensal'!N$2,#REF!,
"&lt;"&amp;EOMONTH('Faturado mensal'!N$2,0))</f>
        <v>0</v>
      </c>
      <c r="O69" s="9">
        <f>SUMIFS(#REF!,#REF!,
$A69,#REF!,
"&gt;="&amp;'Faturado mensal'!O$2,#REF!,
"&lt;"&amp;EOMONTH('Faturado mensal'!O$2,0))</f>
        <v>0</v>
      </c>
      <c r="P69" s="9">
        <f>SUMIFS(#REF!,#REF!,
$A69,#REF!,
"&gt;="&amp;'Faturado mensal'!P$2,#REF!,
"&lt;"&amp;EOMONTH('Faturado mensal'!P$2,0))</f>
        <v>0</v>
      </c>
      <c r="Q69" s="9">
        <f>SUMIFS(#REF!,#REF!,
$A69,#REF!,
"&gt;="&amp;'Faturado mensal'!Q$2,#REF!,
"&lt;"&amp;EOMONTH('Faturado mensal'!Q$2,0))</f>
        <v>0</v>
      </c>
      <c r="R69" s="9">
        <f>SUMIFS(#REF!,#REF!,
$A69,#REF!,
"&gt;="&amp;'Faturado mensal'!R$2,#REF!,
"&lt;"&amp;EOMONTH('Faturado mensal'!R$2,0))</f>
        <v>0</v>
      </c>
      <c r="S69" s="9">
        <f>SUMIFS(#REF!,#REF!,
$A69,#REF!,
"&gt;="&amp;'Faturado mensal'!S$2,#REF!,
"&lt;"&amp;EOMONTH('Faturado mensal'!S$2,0))</f>
        <v>0</v>
      </c>
      <c r="T69" s="9">
        <f>SUMIFS(#REF!,#REF!,
$A69,#REF!,
"&gt;="&amp;'Faturado mensal'!T$2,#REF!,
"&lt;"&amp;EOMONTH('Faturado mensal'!T$2,0))</f>
        <v>0</v>
      </c>
      <c r="U69" s="9">
        <f>SUMIFS(#REF!,#REF!,
$A69,#REF!,
"&gt;="&amp;'Faturado mensal'!U$2,#REF!,
"&lt;"&amp;EOMONTH('Faturado mensal'!U$2,0))</f>
        <v>0</v>
      </c>
      <c r="V69" s="9">
        <f>SUMIFS(#REF!,#REF!,
$A69,#REF!,
"&gt;="&amp;'Faturado mensal'!V$2,#REF!,
"&lt;"&amp;EOMONTH('Faturado mensal'!V$2,0))</f>
        <v>0</v>
      </c>
      <c r="W69" s="9">
        <f>SUMIFS(#REF!,#REF!,
$A69,#REF!,
"&gt;="&amp;'Faturado mensal'!W$2,#REF!,
"&lt;"&amp;EOMONTH('Faturado mensal'!W$2,0))</f>
        <v>0</v>
      </c>
      <c r="X69" s="9">
        <f>SUMIFS(#REF!,#REF!,
$A69,#REF!,
"&gt;="&amp;'Faturado mensal'!X$2,#REF!,
"&lt;"&amp;EOMONTH('Faturado mensal'!X$2,0))</f>
        <v>0</v>
      </c>
      <c r="Y69" s="11">
        <f>SUMIFS(#REF!,#REF!,
$A69,#REF!,
"&gt;="&amp;'Faturado mensal'!M$2,#REF!,
"&lt;"&amp;EOMONTH('Faturado mensal'!M$2,12))</f>
        <v>0</v>
      </c>
      <c r="Z69" s="9">
        <f>SUMIFS(#REF!,#REF!,
$A69,#REF!,
"&gt;="&amp;'Faturado mensal'!Z$2,#REF!,
"&lt;"&amp;EOMONTH('Faturado mensal'!Z$2,0))</f>
        <v>0</v>
      </c>
      <c r="AA69" s="9">
        <f>SUMIFS(#REF!,#REF!,
$A69,#REF!,
"&gt;="&amp;'Faturado mensal'!AA$2,#REF!,
"&lt;"&amp;EOMONTH('Faturado mensal'!AA$2,0))</f>
        <v>0</v>
      </c>
      <c r="AB69" s="9">
        <f>SUMIFS(#REF!,#REF!,
$A69,#REF!,
"&gt;="&amp;'Faturado mensal'!AB$2,#REF!,
"&lt;"&amp;EOMONTH('Faturado mensal'!AB$2,0))</f>
        <v>0</v>
      </c>
      <c r="AC69" s="9">
        <f>SUMIFS(#REF!,#REF!,
$A69,#REF!,
"&gt;="&amp;'Faturado mensal'!AC$2,#REF!,
"&lt;"&amp;EOMONTH('Faturado mensal'!AC$2,0))</f>
        <v>0</v>
      </c>
      <c r="AD69" s="9">
        <f>SUMIFS(#REF!,#REF!,
$A69,#REF!,
"&gt;="&amp;'Faturado mensal'!AD$2,#REF!,
"&lt;"&amp;EOMONTH('Faturado mensal'!AD$2,0))</f>
        <v>0</v>
      </c>
      <c r="AE69" s="9">
        <f>SUMIFS(#REF!,#REF!,
$A69,#REF!,
"&gt;="&amp;'Faturado mensal'!AE$2,#REF!,
"&lt;"&amp;EOMONTH('Faturado mensal'!AE$2,0))</f>
        <v>0</v>
      </c>
      <c r="AF69" s="9">
        <f>SUMIFS(#REF!,#REF!,
$A69,#REF!,
"&gt;="&amp;'Faturado mensal'!AF$2,#REF!,
"&lt;"&amp;EOMONTH('Faturado mensal'!AF$2,0))</f>
        <v>0</v>
      </c>
      <c r="AG69" s="9">
        <f>SUMIFS(#REF!,#REF!,
$A69,#REF!,
"&gt;="&amp;'Faturado mensal'!AG$2,#REF!,
"&lt;"&amp;EOMONTH('Faturado mensal'!AG$2,0))</f>
        <v>0</v>
      </c>
      <c r="AH69" s="9">
        <f>SUMIFS(#REF!,#REF!,
$A69,#REF!,
"&gt;="&amp;'Faturado mensal'!AH$2,#REF!,
"&lt;"&amp;EOMONTH('Faturado mensal'!AH$2,0))</f>
        <v>0</v>
      </c>
      <c r="AI69" s="9">
        <f>SUMIFS(#REF!,#REF!,
$A69,#REF!,
"&gt;="&amp;'Faturado mensal'!AI$2,#REF!,
"&lt;"&amp;EOMONTH('Faturado mensal'!AI$2,0))</f>
        <v>0</v>
      </c>
      <c r="AJ69" s="9">
        <f>SUMIFS(#REF!,#REF!,
$A69,#REF!,
"&gt;="&amp;'Faturado mensal'!AJ$2,#REF!,
"&lt;"&amp;EOMONTH('Faturado mensal'!AJ$2,0))</f>
        <v>0</v>
      </c>
      <c r="AK69" s="9">
        <f>SUMIFS(#REF!,#REF!,
$A69,#REF!,
"&gt;="&amp;'Faturado mensal'!AK$2,#REF!,
"&lt;"&amp;EOMONTH('Faturado mensal'!AK$2,0))</f>
        <v>0</v>
      </c>
      <c r="AL69" s="9">
        <f>SUMIFS(#REF!,#REF!,
$A69,#REF!,
"&gt;="&amp;Z$2,#REF!,
"&lt;"&amp;EOMONTH(AK$2,0))</f>
        <v>0</v>
      </c>
    </row>
    <row r="70" spans="1:38" x14ac:dyDescent="0.3">
      <c r="A70" t="s">
        <v>285</v>
      </c>
      <c r="B70" t="s">
        <v>286</v>
      </c>
      <c r="C70" t="s">
        <v>12</v>
      </c>
      <c r="D70" t="s">
        <v>209</v>
      </c>
      <c r="I70" t="s">
        <v>12</v>
      </c>
      <c r="J70" t="s">
        <v>710</v>
      </c>
      <c r="K70" t="s">
        <v>711</v>
      </c>
      <c r="L70" t="s">
        <v>712</v>
      </c>
      <c r="M70" s="9">
        <f>SUMIFS(#REF!,#REF!,
$A70,#REF!,
"&gt;="&amp;'Faturado mensal'!M$2,#REF!,
"&lt;"&amp;EOMONTH('Faturado mensal'!M$2,0))</f>
        <v>0</v>
      </c>
      <c r="N70" s="9">
        <f>SUMIFS(#REF!,#REF!,
$A70,#REF!,
"&gt;="&amp;'Faturado mensal'!N$2,#REF!,
"&lt;"&amp;EOMONTH('Faturado mensal'!N$2,0))</f>
        <v>0</v>
      </c>
      <c r="O70" s="9">
        <f>SUMIFS(#REF!,#REF!,
$A70,#REF!,
"&gt;="&amp;'Faturado mensal'!O$2,#REF!,
"&lt;"&amp;EOMONTH('Faturado mensal'!O$2,0))</f>
        <v>0</v>
      </c>
      <c r="P70" s="9">
        <f>SUMIFS(#REF!,#REF!,
$A70,#REF!,
"&gt;="&amp;'Faturado mensal'!P$2,#REF!,
"&lt;"&amp;EOMONTH('Faturado mensal'!P$2,0))</f>
        <v>0</v>
      </c>
      <c r="Q70" s="9">
        <f>SUMIFS(#REF!,#REF!,
$A70,#REF!,
"&gt;="&amp;'Faturado mensal'!Q$2,#REF!,
"&lt;"&amp;EOMONTH('Faturado mensal'!Q$2,0))</f>
        <v>0</v>
      </c>
      <c r="R70" s="9">
        <f>SUMIFS(#REF!,#REF!,
$A70,#REF!,
"&gt;="&amp;'Faturado mensal'!R$2,#REF!,
"&lt;"&amp;EOMONTH('Faturado mensal'!R$2,0))</f>
        <v>0</v>
      </c>
      <c r="S70" s="9">
        <f>SUMIFS(#REF!,#REF!,
$A70,#REF!,
"&gt;="&amp;'Faturado mensal'!S$2,#REF!,
"&lt;"&amp;EOMONTH('Faturado mensal'!S$2,0))</f>
        <v>0</v>
      </c>
      <c r="T70" s="9">
        <f>SUMIFS(#REF!,#REF!,
$A70,#REF!,
"&gt;="&amp;'Faturado mensal'!T$2,#REF!,
"&lt;"&amp;EOMONTH('Faturado mensal'!T$2,0))</f>
        <v>0</v>
      </c>
      <c r="U70" s="9">
        <f>SUMIFS(#REF!,#REF!,
$A70,#REF!,
"&gt;="&amp;'Faturado mensal'!U$2,#REF!,
"&lt;"&amp;EOMONTH('Faturado mensal'!U$2,0))</f>
        <v>0</v>
      </c>
      <c r="V70" s="9">
        <f>SUMIFS(#REF!,#REF!,
$A70,#REF!,
"&gt;="&amp;'Faturado mensal'!V$2,#REF!,
"&lt;"&amp;EOMONTH('Faturado mensal'!V$2,0))</f>
        <v>0</v>
      </c>
      <c r="W70" s="9">
        <f>SUMIFS(#REF!,#REF!,
$A70,#REF!,
"&gt;="&amp;'Faturado mensal'!W$2,#REF!,
"&lt;"&amp;EOMONTH('Faturado mensal'!W$2,0))</f>
        <v>0</v>
      </c>
      <c r="X70" s="9">
        <f>SUMIFS(#REF!,#REF!,
$A70,#REF!,
"&gt;="&amp;'Faturado mensal'!X$2,#REF!,
"&lt;"&amp;EOMONTH('Faturado mensal'!X$2,0))</f>
        <v>0</v>
      </c>
      <c r="Y70" s="11">
        <f>SUMIFS(#REF!,#REF!,
$A70,#REF!,
"&gt;="&amp;'Faturado mensal'!M$2,#REF!,
"&lt;"&amp;EOMONTH('Faturado mensal'!M$2,12))</f>
        <v>0</v>
      </c>
      <c r="Z70" s="9">
        <f>SUMIFS(#REF!,#REF!,
$A70,#REF!,
"&gt;="&amp;'Faturado mensal'!Z$2,#REF!,
"&lt;"&amp;EOMONTH('Faturado mensal'!Z$2,0))</f>
        <v>0</v>
      </c>
      <c r="AA70" s="9">
        <f>SUMIFS(#REF!,#REF!,
$A70,#REF!,
"&gt;="&amp;'Faturado mensal'!AA$2,#REF!,
"&lt;"&amp;EOMONTH('Faturado mensal'!AA$2,0))</f>
        <v>0</v>
      </c>
      <c r="AB70" s="9">
        <f>SUMIFS(#REF!,#REF!,
$A70,#REF!,
"&gt;="&amp;'Faturado mensal'!AB$2,#REF!,
"&lt;"&amp;EOMONTH('Faturado mensal'!AB$2,0))</f>
        <v>0</v>
      </c>
      <c r="AC70" s="9">
        <f>SUMIFS(#REF!,#REF!,
$A70,#REF!,
"&gt;="&amp;'Faturado mensal'!AC$2,#REF!,
"&lt;"&amp;EOMONTH('Faturado mensal'!AC$2,0))</f>
        <v>0</v>
      </c>
      <c r="AD70" s="9">
        <f>SUMIFS(#REF!,#REF!,
$A70,#REF!,
"&gt;="&amp;'Faturado mensal'!AD$2,#REF!,
"&lt;"&amp;EOMONTH('Faturado mensal'!AD$2,0))</f>
        <v>0</v>
      </c>
      <c r="AE70" s="9">
        <f>SUMIFS(#REF!,#REF!,
$A70,#REF!,
"&gt;="&amp;'Faturado mensal'!AE$2,#REF!,
"&lt;"&amp;EOMONTH('Faturado mensal'!AE$2,0))</f>
        <v>0</v>
      </c>
      <c r="AF70" s="9">
        <f>SUMIFS(#REF!,#REF!,
$A70,#REF!,
"&gt;="&amp;'Faturado mensal'!AF$2,#REF!,
"&lt;"&amp;EOMONTH('Faturado mensal'!AF$2,0))</f>
        <v>0</v>
      </c>
      <c r="AG70" s="9">
        <f>SUMIFS(#REF!,#REF!,
$A70,#REF!,
"&gt;="&amp;'Faturado mensal'!AG$2,#REF!,
"&lt;"&amp;EOMONTH('Faturado mensal'!AG$2,0))</f>
        <v>0</v>
      </c>
      <c r="AH70" s="9">
        <f>SUMIFS(#REF!,#REF!,
$A70,#REF!,
"&gt;="&amp;'Faturado mensal'!AH$2,#REF!,
"&lt;"&amp;EOMONTH('Faturado mensal'!AH$2,0))</f>
        <v>0</v>
      </c>
      <c r="AI70" s="9">
        <f>SUMIFS(#REF!,#REF!,
$A70,#REF!,
"&gt;="&amp;'Faturado mensal'!AI$2,#REF!,
"&lt;"&amp;EOMONTH('Faturado mensal'!AI$2,0))</f>
        <v>0</v>
      </c>
      <c r="AJ70" s="9">
        <f>SUMIFS(#REF!,#REF!,
$A70,#REF!,
"&gt;="&amp;'Faturado mensal'!AJ$2,#REF!,
"&lt;"&amp;EOMONTH('Faturado mensal'!AJ$2,0))</f>
        <v>0</v>
      </c>
      <c r="AK70" s="9">
        <f>SUMIFS(#REF!,#REF!,
$A70,#REF!,
"&gt;="&amp;'Faturado mensal'!AK$2,#REF!,
"&lt;"&amp;EOMONTH('Faturado mensal'!AK$2,0))</f>
        <v>0</v>
      </c>
      <c r="AL70" s="9">
        <f>SUMIFS(#REF!,#REF!,
$A70,#REF!,
"&gt;="&amp;Z$2,#REF!,
"&lt;"&amp;EOMONTH(AK$2,0))</f>
        <v>0</v>
      </c>
    </row>
    <row r="71" spans="1:38" x14ac:dyDescent="0.3">
      <c r="A71" t="s">
        <v>287</v>
      </c>
      <c r="B71" t="s">
        <v>790</v>
      </c>
      <c r="C71" t="s">
        <v>19</v>
      </c>
      <c r="D71" t="s">
        <v>209</v>
      </c>
      <c r="E71" t="s">
        <v>1037</v>
      </c>
      <c r="F71" t="s">
        <v>4781</v>
      </c>
      <c r="G71" t="s">
        <v>4853</v>
      </c>
      <c r="H71" t="s">
        <v>4771</v>
      </c>
      <c r="I71" t="s">
        <v>19</v>
      </c>
      <c r="J71" t="s">
        <v>710</v>
      </c>
      <c r="K71" t="s">
        <v>711</v>
      </c>
      <c r="L71" t="s">
        <v>712</v>
      </c>
      <c r="M71" s="9">
        <f>SUMIFS(#REF!,#REF!,
$A71,#REF!,
"&gt;="&amp;'Faturado mensal'!M$2,#REF!,
"&lt;"&amp;EOMONTH('Faturado mensal'!M$2,0))</f>
        <v>2950</v>
      </c>
      <c r="N71" s="9">
        <f>SUMIFS(#REF!,#REF!,
$A71,#REF!,
"&gt;="&amp;'Faturado mensal'!N$2,#REF!,
"&lt;"&amp;EOMONTH('Faturado mensal'!N$2,0))</f>
        <v>2950</v>
      </c>
      <c r="O71" s="9">
        <f>SUMIFS(#REF!,#REF!,
$A71,#REF!,
"&gt;="&amp;'Faturado mensal'!O$2,#REF!,
"&lt;"&amp;EOMONTH('Faturado mensal'!O$2,0))</f>
        <v>2950</v>
      </c>
      <c r="P71" s="9">
        <f>SUMIFS(#REF!,#REF!,
$A71,#REF!,
"&gt;="&amp;'Faturado mensal'!P$2,#REF!,
"&lt;"&amp;EOMONTH('Faturado mensal'!P$2,0))</f>
        <v>2950</v>
      </c>
      <c r="Q71" s="9">
        <f>SUMIFS(#REF!,#REF!,
$A71,#REF!,
"&gt;="&amp;'Faturado mensal'!Q$2,#REF!,
"&lt;"&amp;EOMONTH('Faturado mensal'!Q$2,0))</f>
        <v>2950</v>
      </c>
      <c r="R71" s="9">
        <f>SUMIFS(#REF!,#REF!,
$A71,#REF!,
"&gt;="&amp;'Faturado mensal'!R$2,#REF!,
"&lt;"&amp;EOMONTH('Faturado mensal'!R$2,0))</f>
        <v>2950</v>
      </c>
      <c r="S71" s="9">
        <f>SUMIFS(#REF!,#REF!,
$A71,#REF!,
"&gt;="&amp;'Faturado mensal'!S$2,#REF!,
"&lt;"&amp;EOMONTH('Faturado mensal'!S$2,0))</f>
        <v>2950</v>
      </c>
      <c r="T71" s="9">
        <f>SUMIFS(#REF!,#REF!,
$A71,#REF!,
"&gt;="&amp;'Faturado mensal'!T$2,#REF!,
"&lt;"&amp;EOMONTH('Faturado mensal'!T$2,0))</f>
        <v>2950</v>
      </c>
      <c r="U71" s="9">
        <f>SUMIFS(#REF!,#REF!,
$A71,#REF!,
"&gt;="&amp;'Faturado mensal'!U$2,#REF!,
"&lt;"&amp;EOMONTH('Faturado mensal'!U$2,0))</f>
        <v>2950</v>
      </c>
      <c r="V71" s="9">
        <f>SUMIFS(#REF!,#REF!,
$A71,#REF!,
"&gt;="&amp;'Faturado mensal'!V$2,#REF!,
"&lt;"&amp;EOMONTH('Faturado mensal'!V$2,0))</f>
        <v>2950</v>
      </c>
      <c r="W71" s="9">
        <f>SUMIFS(#REF!,#REF!,
$A71,#REF!,
"&gt;="&amp;'Faturado mensal'!W$2,#REF!,
"&lt;"&amp;EOMONTH('Faturado mensal'!W$2,0))</f>
        <v>2950</v>
      </c>
      <c r="X71" s="9">
        <f>SUMIFS(#REF!,#REF!,
$A71,#REF!,
"&gt;="&amp;'Faturado mensal'!X$2,#REF!,
"&lt;"&amp;EOMONTH('Faturado mensal'!X$2,0))</f>
        <v>2950</v>
      </c>
      <c r="Y71" s="11">
        <f>SUMIFS(#REF!,#REF!,
$A71,#REF!,
"&gt;="&amp;'Faturado mensal'!M$2,#REF!,
"&lt;"&amp;EOMONTH('Faturado mensal'!M$2,12))</f>
        <v>38350</v>
      </c>
      <c r="Z71" s="9">
        <f>SUMIFS(#REF!,#REF!,
$A71,#REF!,
"&gt;="&amp;'Faturado mensal'!Z$2,#REF!,
"&lt;"&amp;EOMONTH('Faturado mensal'!Z$2,0))</f>
        <v>2950</v>
      </c>
      <c r="AA71" s="9">
        <f>SUMIFS(#REF!,#REF!,
$A71,#REF!,
"&gt;="&amp;'Faturado mensal'!AA$2,#REF!,
"&lt;"&amp;EOMONTH('Faturado mensal'!AA$2,0))</f>
        <v>2950</v>
      </c>
      <c r="AB71" s="9">
        <f>SUMIFS(#REF!,#REF!,
$A71,#REF!,
"&gt;="&amp;'Faturado mensal'!AB$2,#REF!,
"&lt;"&amp;EOMONTH('Faturado mensal'!AB$2,0))</f>
        <v>2950</v>
      </c>
      <c r="AC71" s="9">
        <f>SUMIFS(#REF!,#REF!,
$A71,#REF!,
"&gt;="&amp;'Faturado mensal'!AC$2,#REF!,
"&lt;"&amp;EOMONTH('Faturado mensal'!AC$2,0))</f>
        <v>2950</v>
      </c>
      <c r="AD71" s="9">
        <f>SUMIFS(#REF!,#REF!,
$A71,#REF!,
"&gt;="&amp;'Faturado mensal'!AD$2,#REF!,
"&lt;"&amp;EOMONTH('Faturado mensal'!AD$2,0))</f>
        <v>2950</v>
      </c>
      <c r="AE71" s="9">
        <f>SUMIFS(#REF!,#REF!,
$A71,#REF!,
"&gt;="&amp;'Faturado mensal'!AE$2,#REF!,
"&lt;"&amp;EOMONTH('Faturado mensal'!AE$2,0))</f>
        <v>2950</v>
      </c>
      <c r="AF71" s="9">
        <f>SUMIFS(#REF!,#REF!,
$A71,#REF!,
"&gt;="&amp;'Faturado mensal'!AF$2,#REF!,
"&lt;"&amp;EOMONTH('Faturado mensal'!AF$2,0))</f>
        <v>0</v>
      </c>
      <c r="AG71" s="9">
        <f>SUMIFS(#REF!,#REF!,
$A71,#REF!,
"&gt;="&amp;'Faturado mensal'!AG$2,#REF!,
"&lt;"&amp;EOMONTH('Faturado mensal'!AG$2,0))</f>
        <v>0</v>
      </c>
      <c r="AH71" s="9">
        <f>SUMIFS(#REF!,#REF!,
$A71,#REF!,
"&gt;="&amp;'Faturado mensal'!AH$2,#REF!,
"&lt;"&amp;EOMONTH('Faturado mensal'!AH$2,0))</f>
        <v>0</v>
      </c>
      <c r="AI71" s="9">
        <f>SUMIFS(#REF!,#REF!,
$A71,#REF!,
"&gt;="&amp;'Faturado mensal'!AI$2,#REF!,
"&lt;"&amp;EOMONTH('Faturado mensal'!AI$2,0))</f>
        <v>0</v>
      </c>
      <c r="AJ71" s="9">
        <f>SUMIFS(#REF!,#REF!,
$A71,#REF!,
"&gt;="&amp;'Faturado mensal'!AJ$2,#REF!,
"&lt;"&amp;EOMONTH('Faturado mensal'!AJ$2,0))</f>
        <v>0</v>
      </c>
      <c r="AK71" s="9">
        <f>SUMIFS(#REF!,#REF!,
$A71,#REF!,
"&gt;="&amp;'Faturado mensal'!AK$2,#REF!,
"&lt;"&amp;EOMONTH('Faturado mensal'!AK$2,0))</f>
        <v>0</v>
      </c>
      <c r="AL71" s="9">
        <f>SUMIFS(#REF!,#REF!,
$A71,#REF!,
"&gt;="&amp;Z$2,#REF!,
"&lt;"&amp;EOMONTH(AK$2,0))</f>
        <v>17700</v>
      </c>
    </row>
    <row r="72" spans="1:38" x14ac:dyDescent="0.3">
      <c r="A72" t="s">
        <v>791</v>
      </c>
      <c r="B72" t="s">
        <v>792</v>
      </c>
      <c r="C72" t="s">
        <v>793</v>
      </c>
      <c r="D72" t="s">
        <v>209</v>
      </c>
      <c r="G72" t="s">
        <v>4853</v>
      </c>
      <c r="H72" t="s">
        <v>4774</v>
      </c>
      <c r="I72" t="s">
        <v>794</v>
      </c>
      <c r="J72" t="s">
        <v>710</v>
      </c>
      <c r="K72" t="s">
        <v>711</v>
      </c>
      <c r="L72" t="s">
        <v>712</v>
      </c>
      <c r="M72" s="9">
        <f>SUMIFS(#REF!,#REF!,
$A72,#REF!,
"&gt;="&amp;'Faturado mensal'!M$2,#REF!,
"&lt;"&amp;EOMONTH('Faturado mensal'!M$2,0))</f>
        <v>0</v>
      </c>
      <c r="N72" s="9">
        <f>SUMIFS(#REF!,#REF!,
$A72,#REF!,
"&gt;="&amp;'Faturado mensal'!N$2,#REF!,
"&lt;"&amp;EOMONTH('Faturado mensal'!N$2,0))</f>
        <v>0</v>
      </c>
      <c r="O72" s="9">
        <f>SUMIFS(#REF!,#REF!,
$A72,#REF!,
"&gt;="&amp;'Faturado mensal'!O$2,#REF!,
"&lt;"&amp;EOMONTH('Faturado mensal'!O$2,0))</f>
        <v>0</v>
      </c>
      <c r="P72" s="9">
        <f>SUMIFS(#REF!,#REF!,
$A72,#REF!,
"&gt;="&amp;'Faturado mensal'!P$2,#REF!,
"&lt;"&amp;EOMONTH('Faturado mensal'!P$2,0))</f>
        <v>0</v>
      </c>
      <c r="Q72" s="9">
        <f>SUMIFS(#REF!,#REF!,
$A72,#REF!,
"&gt;="&amp;'Faturado mensal'!Q$2,#REF!,
"&lt;"&amp;EOMONTH('Faturado mensal'!Q$2,0))</f>
        <v>0</v>
      </c>
      <c r="R72" s="9">
        <f>SUMIFS(#REF!,#REF!,
$A72,#REF!,
"&gt;="&amp;'Faturado mensal'!R$2,#REF!,
"&lt;"&amp;EOMONTH('Faturado mensal'!R$2,0))</f>
        <v>0</v>
      </c>
      <c r="S72" s="9">
        <f>SUMIFS(#REF!,#REF!,
$A72,#REF!,
"&gt;="&amp;'Faturado mensal'!S$2,#REF!,
"&lt;"&amp;EOMONTH('Faturado mensal'!S$2,0))</f>
        <v>0</v>
      </c>
      <c r="T72" s="9">
        <f>SUMIFS(#REF!,#REF!,
$A72,#REF!,
"&gt;="&amp;'Faturado mensal'!T$2,#REF!,
"&lt;"&amp;EOMONTH('Faturado mensal'!T$2,0))</f>
        <v>0</v>
      </c>
      <c r="U72" s="9">
        <f>SUMIFS(#REF!,#REF!,
$A72,#REF!,
"&gt;="&amp;'Faturado mensal'!U$2,#REF!,
"&lt;"&amp;EOMONTH('Faturado mensal'!U$2,0))</f>
        <v>0</v>
      </c>
      <c r="V72" s="9">
        <f>SUMIFS(#REF!,#REF!,
$A72,#REF!,
"&gt;="&amp;'Faturado mensal'!V$2,#REF!,
"&lt;"&amp;EOMONTH('Faturado mensal'!V$2,0))</f>
        <v>0</v>
      </c>
      <c r="W72" s="9">
        <f>SUMIFS(#REF!,#REF!,
$A72,#REF!,
"&gt;="&amp;'Faturado mensal'!W$2,#REF!,
"&lt;"&amp;EOMONTH('Faturado mensal'!W$2,0))</f>
        <v>0</v>
      </c>
      <c r="X72" s="9">
        <f>SUMIFS(#REF!,#REF!,
$A72,#REF!,
"&gt;="&amp;'Faturado mensal'!X$2,#REF!,
"&lt;"&amp;EOMONTH('Faturado mensal'!X$2,0))</f>
        <v>0</v>
      </c>
      <c r="Y72" s="11">
        <f>SUMIFS(#REF!,#REF!,
$A72,#REF!,
"&gt;="&amp;'Faturado mensal'!M$2,#REF!,
"&lt;"&amp;EOMONTH('Faturado mensal'!M$2,12))</f>
        <v>0</v>
      </c>
      <c r="Z72" s="9">
        <f>SUMIFS(#REF!,#REF!,
$A72,#REF!,
"&gt;="&amp;'Faturado mensal'!Z$2,#REF!,
"&lt;"&amp;EOMONTH('Faturado mensal'!Z$2,0))</f>
        <v>0</v>
      </c>
      <c r="AA72" s="9">
        <f>SUMIFS(#REF!,#REF!,
$A72,#REF!,
"&gt;="&amp;'Faturado mensal'!AA$2,#REF!,
"&lt;"&amp;EOMONTH('Faturado mensal'!AA$2,0))</f>
        <v>0</v>
      </c>
      <c r="AB72" s="9">
        <f>SUMIFS(#REF!,#REF!,
$A72,#REF!,
"&gt;="&amp;'Faturado mensal'!AB$2,#REF!,
"&lt;"&amp;EOMONTH('Faturado mensal'!AB$2,0))</f>
        <v>0</v>
      </c>
      <c r="AC72" s="9">
        <f>SUMIFS(#REF!,#REF!,
$A72,#REF!,
"&gt;="&amp;'Faturado mensal'!AC$2,#REF!,
"&lt;"&amp;EOMONTH('Faturado mensal'!AC$2,0))</f>
        <v>0</v>
      </c>
      <c r="AD72" s="9">
        <f>SUMIFS(#REF!,#REF!,
$A72,#REF!,
"&gt;="&amp;'Faturado mensal'!AD$2,#REF!,
"&lt;"&amp;EOMONTH('Faturado mensal'!AD$2,0))</f>
        <v>0</v>
      </c>
      <c r="AE72" s="9">
        <f>SUMIFS(#REF!,#REF!,
$A72,#REF!,
"&gt;="&amp;'Faturado mensal'!AE$2,#REF!,
"&lt;"&amp;EOMONTH('Faturado mensal'!AE$2,0))</f>
        <v>0</v>
      </c>
      <c r="AF72" s="9">
        <f>SUMIFS(#REF!,#REF!,
$A72,#REF!,
"&gt;="&amp;'Faturado mensal'!AF$2,#REF!,
"&lt;"&amp;EOMONTH('Faturado mensal'!AF$2,0))</f>
        <v>0</v>
      </c>
      <c r="AG72" s="9">
        <f>SUMIFS(#REF!,#REF!,
$A72,#REF!,
"&gt;="&amp;'Faturado mensal'!AG$2,#REF!,
"&lt;"&amp;EOMONTH('Faturado mensal'!AG$2,0))</f>
        <v>0</v>
      </c>
      <c r="AH72" s="9">
        <f>SUMIFS(#REF!,#REF!,
$A72,#REF!,
"&gt;="&amp;'Faturado mensal'!AH$2,#REF!,
"&lt;"&amp;EOMONTH('Faturado mensal'!AH$2,0))</f>
        <v>0</v>
      </c>
      <c r="AI72" s="9">
        <f>SUMIFS(#REF!,#REF!,
$A72,#REF!,
"&gt;="&amp;'Faturado mensal'!AI$2,#REF!,
"&lt;"&amp;EOMONTH('Faturado mensal'!AI$2,0))</f>
        <v>0</v>
      </c>
      <c r="AJ72" s="9">
        <f>SUMIFS(#REF!,#REF!,
$A72,#REF!,
"&gt;="&amp;'Faturado mensal'!AJ$2,#REF!,
"&lt;"&amp;EOMONTH('Faturado mensal'!AJ$2,0))</f>
        <v>0</v>
      </c>
      <c r="AK72" s="9">
        <f>SUMIFS(#REF!,#REF!,
$A72,#REF!,
"&gt;="&amp;'Faturado mensal'!AK$2,#REF!,
"&lt;"&amp;EOMONTH('Faturado mensal'!AK$2,0))</f>
        <v>0</v>
      </c>
      <c r="AL72" s="9">
        <f>SUMIFS(#REF!,#REF!,
$A72,#REF!,
"&gt;="&amp;Z$2,#REF!,
"&lt;"&amp;EOMONTH(AK$2,0))</f>
        <v>0</v>
      </c>
    </row>
    <row r="73" spans="1:38" x14ac:dyDescent="0.3">
      <c r="A73" t="s">
        <v>288</v>
      </c>
      <c r="B73" t="s">
        <v>289</v>
      </c>
      <c r="C73" t="s">
        <v>196</v>
      </c>
      <c r="D73" t="s">
        <v>209</v>
      </c>
      <c r="G73" t="s">
        <v>4852</v>
      </c>
      <c r="H73" t="s">
        <v>4773</v>
      </c>
      <c r="I73" t="s">
        <v>795</v>
      </c>
      <c r="J73" t="s">
        <v>710</v>
      </c>
      <c r="K73" t="s">
        <v>796</v>
      </c>
      <c r="L73" t="s">
        <v>797</v>
      </c>
      <c r="M73" s="9">
        <f>SUMIFS(#REF!,#REF!,
$A73,#REF!,
"&gt;="&amp;'Faturado mensal'!M$2,#REF!,
"&lt;"&amp;EOMONTH('Faturado mensal'!M$2,0))</f>
        <v>0</v>
      </c>
      <c r="N73" s="9">
        <f>SUMIFS(#REF!,#REF!,
$A73,#REF!,
"&gt;="&amp;'Faturado mensal'!N$2,#REF!,
"&lt;"&amp;EOMONTH('Faturado mensal'!N$2,0))</f>
        <v>0</v>
      </c>
      <c r="O73" s="9">
        <f>SUMIFS(#REF!,#REF!,
$A73,#REF!,
"&gt;="&amp;'Faturado mensal'!O$2,#REF!,
"&lt;"&amp;EOMONTH('Faturado mensal'!O$2,0))</f>
        <v>0</v>
      </c>
      <c r="P73" s="9">
        <f>SUMIFS(#REF!,#REF!,
$A73,#REF!,
"&gt;="&amp;'Faturado mensal'!P$2,#REF!,
"&lt;"&amp;EOMONTH('Faturado mensal'!P$2,0))</f>
        <v>0</v>
      </c>
      <c r="Q73" s="9">
        <f>SUMIFS(#REF!,#REF!,
$A73,#REF!,
"&gt;="&amp;'Faturado mensal'!Q$2,#REF!,
"&lt;"&amp;EOMONTH('Faturado mensal'!Q$2,0))</f>
        <v>0</v>
      </c>
      <c r="R73" s="9">
        <f>SUMIFS(#REF!,#REF!,
$A73,#REF!,
"&gt;="&amp;'Faturado mensal'!R$2,#REF!,
"&lt;"&amp;EOMONTH('Faturado mensal'!R$2,0))</f>
        <v>0</v>
      </c>
      <c r="S73" s="9">
        <f>SUMIFS(#REF!,#REF!,
$A73,#REF!,
"&gt;="&amp;'Faturado mensal'!S$2,#REF!,
"&lt;"&amp;EOMONTH('Faturado mensal'!S$2,0))</f>
        <v>0</v>
      </c>
      <c r="T73" s="9">
        <f>SUMIFS(#REF!,#REF!,
$A73,#REF!,
"&gt;="&amp;'Faturado mensal'!T$2,#REF!,
"&lt;"&amp;EOMONTH('Faturado mensal'!T$2,0))</f>
        <v>0</v>
      </c>
      <c r="U73" s="9">
        <f>SUMIFS(#REF!,#REF!,
$A73,#REF!,
"&gt;="&amp;'Faturado mensal'!U$2,#REF!,
"&lt;"&amp;EOMONTH('Faturado mensal'!U$2,0))</f>
        <v>0</v>
      </c>
      <c r="V73" s="9">
        <f>SUMIFS(#REF!,#REF!,
$A73,#REF!,
"&gt;="&amp;'Faturado mensal'!V$2,#REF!,
"&lt;"&amp;EOMONTH('Faturado mensal'!V$2,0))</f>
        <v>0</v>
      </c>
      <c r="W73" s="9">
        <f>SUMIFS(#REF!,#REF!,
$A73,#REF!,
"&gt;="&amp;'Faturado mensal'!W$2,#REF!,
"&lt;"&amp;EOMONTH('Faturado mensal'!W$2,0))</f>
        <v>0</v>
      </c>
      <c r="X73" s="9">
        <f>SUMIFS(#REF!,#REF!,
$A73,#REF!,
"&gt;="&amp;'Faturado mensal'!X$2,#REF!,
"&lt;"&amp;EOMONTH('Faturado mensal'!X$2,0))</f>
        <v>0</v>
      </c>
      <c r="Y73" s="11">
        <f>SUMIFS(#REF!,#REF!,
$A73,#REF!,
"&gt;="&amp;'Faturado mensal'!M$2,#REF!,
"&lt;"&amp;EOMONTH('Faturado mensal'!M$2,12))</f>
        <v>0</v>
      </c>
      <c r="Z73" s="9">
        <f>SUMIFS(#REF!,#REF!,
$A73,#REF!,
"&gt;="&amp;'Faturado mensal'!Z$2,#REF!,
"&lt;"&amp;EOMONTH('Faturado mensal'!Z$2,0))</f>
        <v>0</v>
      </c>
      <c r="AA73" s="9">
        <f>SUMIFS(#REF!,#REF!,
$A73,#REF!,
"&gt;="&amp;'Faturado mensal'!AA$2,#REF!,
"&lt;"&amp;EOMONTH('Faturado mensal'!AA$2,0))</f>
        <v>0</v>
      </c>
      <c r="AB73" s="9">
        <f>SUMIFS(#REF!,#REF!,
$A73,#REF!,
"&gt;="&amp;'Faturado mensal'!AB$2,#REF!,
"&lt;"&amp;EOMONTH('Faturado mensal'!AB$2,0))</f>
        <v>0</v>
      </c>
      <c r="AC73" s="9">
        <f>SUMIFS(#REF!,#REF!,
$A73,#REF!,
"&gt;="&amp;'Faturado mensal'!AC$2,#REF!,
"&lt;"&amp;EOMONTH('Faturado mensal'!AC$2,0))</f>
        <v>0</v>
      </c>
      <c r="AD73" s="9">
        <f>SUMIFS(#REF!,#REF!,
$A73,#REF!,
"&gt;="&amp;'Faturado mensal'!AD$2,#REF!,
"&lt;"&amp;EOMONTH('Faturado mensal'!AD$2,0))</f>
        <v>0</v>
      </c>
      <c r="AE73" s="9">
        <f>SUMIFS(#REF!,#REF!,
$A73,#REF!,
"&gt;="&amp;'Faturado mensal'!AE$2,#REF!,
"&lt;"&amp;EOMONTH('Faturado mensal'!AE$2,0))</f>
        <v>0</v>
      </c>
      <c r="AF73" s="9">
        <f>SUMIFS(#REF!,#REF!,
$A73,#REF!,
"&gt;="&amp;'Faturado mensal'!AF$2,#REF!,
"&lt;"&amp;EOMONTH('Faturado mensal'!AF$2,0))</f>
        <v>0</v>
      </c>
      <c r="AG73" s="9">
        <f>SUMIFS(#REF!,#REF!,
$A73,#REF!,
"&gt;="&amp;'Faturado mensal'!AG$2,#REF!,
"&lt;"&amp;EOMONTH('Faturado mensal'!AG$2,0))</f>
        <v>0</v>
      </c>
      <c r="AH73" s="9">
        <f>SUMIFS(#REF!,#REF!,
$A73,#REF!,
"&gt;="&amp;'Faturado mensal'!AH$2,#REF!,
"&lt;"&amp;EOMONTH('Faturado mensal'!AH$2,0))</f>
        <v>0</v>
      </c>
      <c r="AI73" s="9">
        <f>SUMIFS(#REF!,#REF!,
$A73,#REF!,
"&gt;="&amp;'Faturado mensal'!AI$2,#REF!,
"&lt;"&amp;EOMONTH('Faturado mensal'!AI$2,0))</f>
        <v>0</v>
      </c>
      <c r="AJ73" s="9">
        <f>SUMIFS(#REF!,#REF!,
$A73,#REF!,
"&gt;="&amp;'Faturado mensal'!AJ$2,#REF!,
"&lt;"&amp;EOMONTH('Faturado mensal'!AJ$2,0))</f>
        <v>0</v>
      </c>
      <c r="AK73" s="9">
        <f>SUMIFS(#REF!,#REF!,
$A73,#REF!,
"&gt;="&amp;'Faturado mensal'!AK$2,#REF!,
"&lt;"&amp;EOMONTH('Faturado mensal'!AK$2,0))</f>
        <v>0</v>
      </c>
      <c r="AL73" s="9">
        <f>SUMIFS(#REF!,#REF!,
$A73,#REF!,
"&gt;="&amp;Z$2,#REF!,
"&lt;"&amp;EOMONTH(AK$2,0))</f>
        <v>0</v>
      </c>
    </row>
    <row r="74" spans="1:38" x14ac:dyDescent="0.3">
      <c r="A74" t="s">
        <v>290</v>
      </c>
      <c r="B74" t="s">
        <v>261</v>
      </c>
      <c r="C74" t="s">
        <v>167</v>
      </c>
      <c r="D74" t="s">
        <v>204</v>
      </c>
      <c r="E74" t="s">
        <v>4849</v>
      </c>
      <c r="F74" t="s">
        <v>4804</v>
      </c>
      <c r="G74" t="s">
        <v>4855</v>
      </c>
      <c r="H74" t="s">
        <v>4773</v>
      </c>
      <c r="I74" t="s">
        <v>167</v>
      </c>
      <c r="J74" t="s">
        <v>710</v>
      </c>
      <c r="K74" t="s">
        <v>720</v>
      </c>
      <c r="L74" t="s">
        <v>721</v>
      </c>
      <c r="M74" s="9">
        <f>SUMIFS(#REF!,#REF!,
$A74,#REF!,
"&gt;="&amp;'Faturado mensal'!M$2,#REF!,
"&lt;"&amp;EOMONTH('Faturado mensal'!M$2,0))</f>
        <v>0</v>
      </c>
      <c r="N74" s="9">
        <f>SUMIFS(#REF!,#REF!,
$A74,#REF!,
"&gt;="&amp;'Faturado mensal'!N$2,#REF!,
"&lt;"&amp;EOMONTH('Faturado mensal'!N$2,0))</f>
        <v>0</v>
      </c>
      <c r="O74" s="9">
        <f>SUMIFS(#REF!,#REF!,
$A74,#REF!,
"&gt;="&amp;'Faturado mensal'!O$2,#REF!,
"&lt;"&amp;EOMONTH('Faturado mensal'!O$2,0))</f>
        <v>0</v>
      </c>
      <c r="P74" s="9">
        <f>SUMIFS(#REF!,#REF!,
$A74,#REF!,
"&gt;="&amp;'Faturado mensal'!P$2,#REF!,
"&lt;"&amp;EOMONTH('Faturado mensal'!P$2,0))</f>
        <v>0</v>
      </c>
      <c r="Q74" s="9">
        <f>SUMIFS(#REF!,#REF!,
$A74,#REF!,
"&gt;="&amp;'Faturado mensal'!Q$2,#REF!,
"&lt;"&amp;EOMONTH('Faturado mensal'!Q$2,0))</f>
        <v>10734.03</v>
      </c>
      <c r="R74" s="9">
        <f>SUMIFS(#REF!,#REF!,
$A74,#REF!,
"&gt;="&amp;'Faturado mensal'!R$2,#REF!,
"&lt;"&amp;EOMONTH('Faturado mensal'!R$2,0))</f>
        <v>0</v>
      </c>
      <c r="S74" s="9">
        <f>SUMIFS(#REF!,#REF!,
$A74,#REF!,
"&gt;="&amp;'Faturado mensal'!S$2,#REF!,
"&lt;"&amp;EOMONTH('Faturado mensal'!S$2,0))</f>
        <v>0</v>
      </c>
      <c r="T74" s="9">
        <f>SUMIFS(#REF!,#REF!,
$A74,#REF!,
"&gt;="&amp;'Faturado mensal'!T$2,#REF!,
"&lt;"&amp;EOMONTH('Faturado mensal'!T$2,0))</f>
        <v>39413.39</v>
      </c>
      <c r="U74" s="9">
        <f>SUMIFS(#REF!,#REF!,
$A74,#REF!,
"&gt;="&amp;'Faturado mensal'!U$2,#REF!,
"&lt;"&amp;EOMONTH('Faturado mensal'!U$2,0))</f>
        <v>0</v>
      </c>
      <c r="V74" s="9">
        <f>SUMIFS(#REF!,#REF!,
$A74,#REF!,
"&gt;="&amp;'Faturado mensal'!V$2,#REF!,
"&lt;"&amp;EOMONTH('Faturado mensal'!V$2,0))</f>
        <v>0</v>
      </c>
      <c r="W74" s="9">
        <f>SUMIFS(#REF!,#REF!,
$A74,#REF!,
"&gt;="&amp;'Faturado mensal'!W$2,#REF!,
"&lt;"&amp;EOMONTH('Faturado mensal'!W$2,0))</f>
        <v>10734.03</v>
      </c>
      <c r="X74" s="9">
        <f>SUMIFS(#REF!,#REF!,
$A74,#REF!,
"&gt;="&amp;'Faturado mensal'!X$2,#REF!,
"&lt;"&amp;EOMONTH('Faturado mensal'!X$2,0))</f>
        <v>0</v>
      </c>
      <c r="Y74" s="11">
        <f>SUMIFS(#REF!,#REF!,
$A74,#REF!,
"&gt;="&amp;'Faturado mensal'!M$2,#REF!,
"&lt;"&amp;EOMONTH('Faturado mensal'!M$2,12))</f>
        <v>60881.45</v>
      </c>
      <c r="Z74" s="9">
        <f>SUMIFS(#REF!,#REF!,
$A74,#REF!,
"&gt;="&amp;'Faturado mensal'!Z$2,#REF!,
"&lt;"&amp;EOMONTH('Faturado mensal'!Z$2,0))</f>
        <v>0</v>
      </c>
      <c r="AA74" s="9">
        <f>SUMIFS(#REF!,#REF!,
$A74,#REF!,
"&gt;="&amp;'Faturado mensal'!AA$2,#REF!,
"&lt;"&amp;EOMONTH('Faturado mensal'!AA$2,0))</f>
        <v>10734.03</v>
      </c>
      <c r="AB74" s="9">
        <f>SUMIFS(#REF!,#REF!,
$A74,#REF!,
"&gt;="&amp;'Faturado mensal'!AB$2,#REF!,
"&lt;"&amp;EOMONTH('Faturado mensal'!AB$2,0))</f>
        <v>0</v>
      </c>
      <c r="AC74" s="9">
        <f>SUMIFS(#REF!,#REF!,
$A74,#REF!,
"&gt;="&amp;'Faturado mensal'!AC$2,#REF!,
"&lt;"&amp;EOMONTH('Faturado mensal'!AC$2,0))</f>
        <v>0</v>
      </c>
      <c r="AD74" s="9">
        <f>SUMIFS(#REF!,#REF!,
$A74,#REF!,
"&gt;="&amp;'Faturado mensal'!AD$2,#REF!,
"&lt;"&amp;EOMONTH('Faturado mensal'!AD$2,0))</f>
        <v>11658.95</v>
      </c>
      <c r="AE74" s="9">
        <f>SUMIFS(#REF!,#REF!,
$A74,#REF!,
"&gt;="&amp;'Faturado mensal'!AE$2,#REF!,
"&lt;"&amp;EOMONTH('Faturado mensal'!AE$2,0))</f>
        <v>0</v>
      </c>
      <c r="AF74" s="9">
        <f>SUMIFS(#REF!,#REF!,
$A74,#REF!,
"&gt;="&amp;'Faturado mensal'!AF$2,#REF!,
"&lt;"&amp;EOMONTH('Faturado mensal'!AF$2,0))</f>
        <v>0</v>
      </c>
      <c r="AG74" s="9">
        <f>SUMIFS(#REF!,#REF!,
$A74,#REF!,
"&gt;="&amp;'Faturado mensal'!AG$2,#REF!,
"&lt;"&amp;EOMONTH('Faturado mensal'!AG$2,0))</f>
        <v>0</v>
      </c>
      <c r="AH74" s="9">
        <f>SUMIFS(#REF!,#REF!,
$A74,#REF!,
"&gt;="&amp;'Faturado mensal'!AH$2,#REF!,
"&lt;"&amp;EOMONTH('Faturado mensal'!AH$2,0))</f>
        <v>0</v>
      </c>
      <c r="AI74" s="9">
        <f>SUMIFS(#REF!,#REF!,
$A74,#REF!,
"&gt;="&amp;'Faturado mensal'!AI$2,#REF!,
"&lt;"&amp;EOMONTH('Faturado mensal'!AI$2,0))</f>
        <v>0</v>
      </c>
      <c r="AJ74" s="9">
        <f>SUMIFS(#REF!,#REF!,
$A74,#REF!,
"&gt;="&amp;'Faturado mensal'!AJ$2,#REF!,
"&lt;"&amp;EOMONTH('Faturado mensal'!AJ$2,0))</f>
        <v>0</v>
      </c>
      <c r="AK74" s="9">
        <f>SUMIFS(#REF!,#REF!,
$A74,#REF!,
"&gt;="&amp;'Faturado mensal'!AK$2,#REF!,
"&lt;"&amp;EOMONTH('Faturado mensal'!AK$2,0))</f>
        <v>0</v>
      </c>
      <c r="AL74" s="9">
        <f>SUMIFS(#REF!,#REF!,
$A74,#REF!,
"&gt;="&amp;Z$2,#REF!,
"&lt;"&amp;EOMONTH(AK$2,0))</f>
        <v>22392.980000000003</v>
      </c>
    </row>
    <row r="75" spans="1:38" x14ac:dyDescent="0.3">
      <c r="A75" t="s">
        <v>798</v>
      </c>
      <c r="B75" t="s">
        <v>799</v>
      </c>
      <c r="C75" t="s">
        <v>800</v>
      </c>
      <c r="D75" t="s">
        <v>209</v>
      </c>
      <c r="G75" t="s">
        <v>4852</v>
      </c>
      <c r="H75" t="s">
        <v>4771</v>
      </c>
      <c r="I75" t="s">
        <v>800</v>
      </c>
      <c r="J75" t="s">
        <v>710</v>
      </c>
      <c r="K75" t="s">
        <v>720</v>
      </c>
      <c r="L75" t="s">
        <v>721</v>
      </c>
      <c r="M75" s="9">
        <f>SUMIFS(#REF!,#REF!,
$A75,#REF!,
"&gt;="&amp;'Faturado mensal'!M$2,#REF!,
"&lt;"&amp;EOMONTH('Faturado mensal'!M$2,0))</f>
        <v>0</v>
      </c>
      <c r="N75" s="9">
        <f>SUMIFS(#REF!,#REF!,
$A75,#REF!,
"&gt;="&amp;'Faturado mensal'!N$2,#REF!,
"&lt;"&amp;EOMONTH('Faturado mensal'!N$2,0))</f>
        <v>0</v>
      </c>
      <c r="O75" s="9">
        <f>SUMIFS(#REF!,#REF!,
$A75,#REF!,
"&gt;="&amp;'Faturado mensal'!O$2,#REF!,
"&lt;"&amp;EOMONTH('Faturado mensal'!O$2,0))</f>
        <v>0</v>
      </c>
      <c r="P75" s="9">
        <f>SUMIFS(#REF!,#REF!,
$A75,#REF!,
"&gt;="&amp;'Faturado mensal'!P$2,#REF!,
"&lt;"&amp;EOMONTH('Faturado mensal'!P$2,0))</f>
        <v>0</v>
      </c>
      <c r="Q75" s="9">
        <f>SUMIFS(#REF!,#REF!,
$A75,#REF!,
"&gt;="&amp;'Faturado mensal'!Q$2,#REF!,
"&lt;"&amp;EOMONTH('Faturado mensal'!Q$2,0))</f>
        <v>0</v>
      </c>
      <c r="R75" s="9">
        <f>SUMIFS(#REF!,#REF!,
$A75,#REF!,
"&gt;="&amp;'Faturado mensal'!R$2,#REF!,
"&lt;"&amp;EOMONTH('Faturado mensal'!R$2,0))</f>
        <v>0</v>
      </c>
      <c r="S75" s="9">
        <f>SUMIFS(#REF!,#REF!,
$A75,#REF!,
"&gt;="&amp;'Faturado mensal'!S$2,#REF!,
"&lt;"&amp;EOMONTH('Faturado mensal'!S$2,0))</f>
        <v>0</v>
      </c>
      <c r="T75" s="9">
        <f>SUMIFS(#REF!,#REF!,
$A75,#REF!,
"&gt;="&amp;'Faturado mensal'!T$2,#REF!,
"&lt;"&amp;EOMONTH('Faturado mensal'!T$2,0))</f>
        <v>0</v>
      </c>
      <c r="U75" s="9">
        <f>SUMIFS(#REF!,#REF!,
$A75,#REF!,
"&gt;="&amp;'Faturado mensal'!U$2,#REF!,
"&lt;"&amp;EOMONTH('Faturado mensal'!U$2,0))</f>
        <v>0</v>
      </c>
      <c r="V75" s="9">
        <f>SUMIFS(#REF!,#REF!,
$A75,#REF!,
"&gt;="&amp;'Faturado mensal'!V$2,#REF!,
"&lt;"&amp;EOMONTH('Faturado mensal'!V$2,0))</f>
        <v>0</v>
      </c>
      <c r="W75" s="9">
        <f>SUMIFS(#REF!,#REF!,
$A75,#REF!,
"&gt;="&amp;'Faturado mensal'!W$2,#REF!,
"&lt;"&amp;EOMONTH('Faturado mensal'!W$2,0))</f>
        <v>0</v>
      </c>
      <c r="X75" s="9">
        <f>SUMIFS(#REF!,#REF!,
$A75,#REF!,
"&gt;="&amp;'Faturado mensal'!X$2,#REF!,
"&lt;"&amp;EOMONTH('Faturado mensal'!X$2,0))</f>
        <v>0</v>
      </c>
      <c r="Y75" s="11">
        <f>SUMIFS(#REF!,#REF!,
$A75,#REF!,
"&gt;="&amp;'Faturado mensal'!M$2,#REF!,
"&lt;"&amp;EOMONTH('Faturado mensal'!M$2,12))</f>
        <v>0</v>
      </c>
      <c r="Z75" s="9">
        <f>SUMIFS(#REF!,#REF!,
$A75,#REF!,
"&gt;="&amp;'Faturado mensal'!Z$2,#REF!,
"&lt;"&amp;EOMONTH('Faturado mensal'!Z$2,0))</f>
        <v>0</v>
      </c>
      <c r="AA75" s="9">
        <f>SUMIFS(#REF!,#REF!,
$A75,#REF!,
"&gt;="&amp;'Faturado mensal'!AA$2,#REF!,
"&lt;"&amp;EOMONTH('Faturado mensal'!AA$2,0))</f>
        <v>0</v>
      </c>
      <c r="AB75" s="9">
        <f>SUMIFS(#REF!,#REF!,
$A75,#REF!,
"&gt;="&amp;'Faturado mensal'!AB$2,#REF!,
"&lt;"&amp;EOMONTH('Faturado mensal'!AB$2,0))</f>
        <v>0</v>
      </c>
      <c r="AC75" s="9">
        <f>SUMIFS(#REF!,#REF!,
$A75,#REF!,
"&gt;="&amp;'Faturado mensal'!AC$2,#REF!,
"&lt;"&amp;EOMONTH('Faturado mensal'!AC$2,0))</f>
        <v>0</v>
      </c>
      <c r="AD75" s="9">
        <f>SUMIFS(#REF!,#REF!,
$A75,#REF!,
"&gt;="&amp;'Faturado mensal'!AD$2,#REF!,
"&lt;"&amp;EOMONTH('Faturado mensal'!AD$2,0))</f>
        <v>0</v>
      </c>
      <c r="AE75" s="9">
        <f>SUMIFS(#REF!,#REF!,
$A75,#REF!,
"&gt;="&amp;'Faturado mensal'!AE$2,#REF!,
"&lt;"&amp;EOMONTH('Faturado mensal'!AE$2,0))</f>
        <v>0</v>
      </c>
      <c r="AF75" s="9">
        <f>SUMIFS(#REF!,#REF!,
$A75,#REF!,
"&gt;="&amp;'Faturado mensal'!AF$2,#REF!,
"&lt;"&amp;EOMONTH('Faturado mensal'!AF$2,0))</f>
        <v>0</v>
      </c>
      <c r="AG75" s="9">
        <f>SUMIFS(#REF!,#REF!,
$A75,#REF!,
"&gt;="&amp;'Faturado mensal'!AG$2,#REF!,
"&lt;"&amp;EOMONTH('Faturado mensal'!AG$2,0))</f>
        <v>0</v>
      </c>
      <c r="AH75" s="9">
        <f>SUMIFS(#REF!,#REF!,
$A75,#REF!,
"&gt;="&amp;'Faturado mensal'!AH$2,#REF!,
"&lt;"&amp;EOMONTH('Faturado mensal'!AH$2,0))</f>
        <v>0</v>
      </c>
      <c r="AI75" s="9">
        <f>SUMIFS(#REF!,#REF!,
$A75,#REF!,
"&gt;="&amp;'Faturado mensal'!AI$2,#REF!,
"&lt;"&amp;EOMONTH('Faturado mensal'!AI$2,0))</f>
        <v>0</v>
      </c>
      <c r="AJ75" s="9">
        <f>SUMIFS(#REF!,#REF!,
$A75,#REF!,
"&gt;="&amp;'Faturado mensal'!AJ$2,#REF!,
"&lt;"&amp;EOMONTH('Faturado mensal'!AJ$2,0))</f>
        <v>0</v>
      </c>
      <c r="AK75" s="9">
        <f>SUMIFS(#REF!,#REF!,
$A75,#REF!,
"&gt;="&amp;'Faturado mensal'!AK$2,#REF!,
"&lt;"&amp;EOMONTH('Faturado mensal'!AK$2,0))</f>
        <v>0</v>
      </c>
      <c r="AL75" s="9">
        <f>SUMIFS(#REF!,#REF!,
$A75,#REF!,
"&gt;="&amp;Z$2,#REF!,
"&lt;"&amp;EOMONTH(AK$2,0))</f>
        <v>0</v>
      </c>
    </row>
    <row r="76" spans="1:38" x14ac:dyDescent="0.3">
      <c r="A76" t="s">
        <v>291</v>
      </c>
      <c r="B76" t="s">
        <v>292</v>
      </c>
      <c r="C76" t="s">
        <v>165</v>
      </c>
      <c r="D76" t="s">
        <v>209</v>
      </c>
      <c r="I76" t="s">
        <v>165</v>
      </c>
      <c r="J76" t="s">
        <v>710</v>
      </c>
      <c r="K76" t="s">
        <v>720</v>
      </c>
      <c r="L76" t="s">
        <v>721</v>
      </c>
      <c r="M76" s="9">
        <f>SUMIFS(#REF!,#REF!,
$A76,#REF!,
"&gt;="&amp;'Faturado mensal'!M$2,#REF!,
"&lt;"&amp;EOMONTH('Faturado mensal'!M$2,0))</f>
        <v>0</v>
      </c>
      <c r="N76" s="9">
        <f>SUMIFS(#REF!,#REF!,
$A76,#REF!,
"&gt;="&amp;'Faturado mensal'!N$2,#REF!,
"&lt;"&amp;EOMONTH('Faturado mensal'!N$2,0))</f>
        <v>0</v>
      </c>
      <c r="O76" s="9">
        <f>SUMIFS(#REF!,#REF!,
$A76,#REF!,
"&gt;="&amp;'Faturado mensal'!O$2,#REF!,
"&lt;"&amp;EOMONTH('Faturado mensal'!O$2,0))</f>
        <v>0</v>
      </c>
      <c r="P76" s="9">
        <f>SUMIFS(#REF!,#REF!,
$A76,#REF!,
"&gt;="&amp;'Faturado mensal'!P$2,#REF!,
"&lt;"&amp;EOMONTH('Faturado mensal'!P$2,0))</f>
        <v>0</v>
      </c>
      <c r="Q76" s="9">
        <f>SUMIFS(#REF!,#REF!,
$A76,#REF!,
"&gt;="&amp;'Faturado mensal'!Q$2,#REF!,
"&lt;"&amp;EOMONTH('Faturado mensal'!Q$2,0))</f>
        <v>0</v>
      </c>
      <c r="R76" s="9">
        <f>SUMIFS(#REF!,#REF!,
$A76,#REF!,
"&gt;="&amp;'Faturado mensal'!R$2,#REF!,
"&lt;"&amp;EOMONTH('Faturado mensal'!R$2,0))</f>
        <v>0</v>
      </c>
      <c r="S76" s="9">
        <f>SUMIFS(#REF!,#REF!,
$A76,#REF!,
"&gt;="&amp;'Faturado mensal'!S$2,#REF!,
"&lt;"&amp;EOMONTH('Faturado mensal'!S$2,0))</f>
        <v>0</v>
      </c>
      <c r="T76" s="9">
        <f>SUMIFS(#REF!,#REF!,
$A76,#REF!,
"&gt;="&amp;'Faturado mensal'!T$2,#REF!,
"&lt;"&amp;EOMONTH('Faturado mensal'!T$2,0))</f>
        <v>0</v>
      </c>
      <c r="U76" s="9">
        <f>SUMIFS(#REF!,#REF!,
$A76,#REF!,
"&gt;="&amp;'Faturado mensal'!U$2,#REF!,
"&lt;"&amp;EOMONTH('Faturado mensal'!U$2,0))</f>
        <v>0</v>
      </c>
      <c r="V76" s="9">
        <f>SUMIFS(#REF!,#REF!,
$A76,#REF!,
"&gt;="&amp;'Faturado mensal'!V$2,#REF!,
"&lt;"&amp;EOMONTH('Faturado mensal'!V$2,0))</f>
        <v>0</v>
      </c>
      <c r="W76" s="9">
        <f>SUMIFS(#REF!,#REF!,
$A76,#REF!,
"&gt;="&amp;'Faturado mensal'!W$2,#REF!,
"&lt;"&amp;EOMONTH('Faturado mensal'!W$2,0))</f>
        <v>0</v>
      </c>
      <c r="X76" s="9">
        <f>SUMIFS(#REF!,#REF!,
$A76,#REF!,
"&gt;="&amp;'Faturado mensal'!X$2,#REF!,
"&lt;"&amp;EOMONTH('Faturado mensal'!X$2,0))</f>
        <v>0</v>
      </c>
      <c r="Y76" s="11">
        <f>SUMIFS(#REF!,#REF!,
$A76,#REF!,
"&gt;="&amp;'Faturado mensal'!M$2,#REF!,
"&lt;"&amp;EOMONTH('Faturado mensal'!M$2,12))</f>
        <v>0</v>
      </c>
      <c r="Z76" s="9">
        <f>SUMIFS(#REF!,#REF!,
$A76,#REF!,
"&gt;="&amp;'Faturado mensal'!Z$2,#REF!,
"&lt;"&amp;EOMONTH('Faturado mensal'!Z$2,0))</f>
        <v>0</v>
      </c>
      <c r="AA76" s="9">
        <f>SUMIFS(#REF!,#REF!,
$A76,#REF!,
"&gt;="&amp;'Faturado mensal'!AA$2,#REF!,
"&lt;"&amp;EOMONTH('Faturado mensal'!AA$2,0))</f>
        <v>0</v>
      </c>
      <c r="AB76" s="9">
        <f>SUMIFS(#REF!,#REF!,
$A76,#REF!,
"&gt;="&amp;'Faturado mensal'!AB$2,#REF!,
"&lt;"&amp;EOMONTH('Faturado mensal'!AB$2,0))</f>
        <v>0</v>
      </c>
      <c r="AC76" s="9">
        <f>SUMIFS(#REF!,#REF!,
$A76,#REF!,
"&gt;="&amp;'Faturado mensal'!AC$2,#REF!,
"&lt;"&amp;EOMONTH('Faturado mensal'!AC$2,0))</f>
        <v>0</v>
      </c>
      <c r="AD76" s="9">
        <f>SUMIFS(#REF!,#REF!,
$A76,#REF!,
"&gt;="&amp;'Faturado mensal'!AD$2,#REF!,
"&lt;"&amp;EOMONTH('Faturado mensal'!AD$2,0))</f>
        <v>0</v>
      </c>
      <c r="AE76" s="9">
        <f>SUMIFS(#REF!,#REF!,
$A76,#REF!,
"&gt;="&amp;'Faturado mensal'!AE$2,#REF!,
"&lt;"&amp;EOMONTH('Faturado mensal'!AE$2,0))</f>
        <v>0</v>
      </c>
      <c r="AF76" s="9">
        <f>SUMIFS(#REF!,#REF!,
$A76,#REF!,
"&gt;="&amp;'Faturado mensal'!AF$2,#REF!,
"&lt;"&amp;EOMONTH('Faturado mensal'!AF$2,0))</f>
        <v>0</v>
      </c>
      <c r="AG76" s="9">
        <f>SUMIFS(#REF!,#REF!,
$A76,#REF!,
"&gt;="&amp;'Faturado mensal'!AG$2,#REF!,
"&lt;"&amp;EOMONTH('Faturado mensal'!AG$2,0))</f>
        <v>0</v>
      </c>
      <c r="AH76" s="9">
        <f>SUMIFS(#REF!,#REF!,
$A76,#REF!,
"&gt;="&amp;'Faturado mensal'!AH$2,#REF!,
"&lt;"&amp;EOMONTH('Faturado mensal'!AH$2,0))</f>
        <v>0</v>
      </c>
      <c r="AI76" s="9">
        <f>SUMIFS(#REF!,#REF!,
$A76,#REF!,
"&gt;="&amp;'Faturado mensal'!AI$2,#REF!,
"&lt;"&amp;EOMONTH('Faturado mensal'!AI$2,0))</f>
        <v>0</v>
      </c>
      <c r="AJ76" s="9">
        <f>SUMIFS(#REF!,#REF!,
$A76,#REF!,
"&gt;="&amp;'Faturado mensal'!AJ$2,#REF!,
"&lt;"&amp;EOMONTH('Faturado mensal'!AJ$2,0))</f>
        <v>0</v>
      </c>
      <c r="AK76" s="9">
        <f>SUMIFS(#REF!,#REF!,
$A76,#REF!,
"&gt;="&amp;'Faturado mensal'!AK$2,#REF!,
"&lt;"&amp;EOMONTH('Faturado mensal'!AK$2,0))</f>
        <v>0</v>
      </c>
      <c r="AL76" s="9">
        <f>SUMIFS(#REF!,#REF!,
$A76,#REF!,
"&gt;="&amp;Z$2,#REF!,
"&lt;"&amp;EOMONTH(AK$2,0))</f>
        <v>0</v>
      </c>
    </row>
    <row r="77" spans="1:38" x14ac:dyDescent="0.3">
      <c r="A77" t="s">
        <v>801</v>
      </c>
      <c r="B77" t="s">
        <v>802</v>
      </c>
      <c r="C77" t="s">
        <v>803</v>
      </c>
      <c r="D77" t="s">
        <v>209</v>
      </c>
      <c r="I77" t="s">
        <v>803</v>
      </c>
      <c r="J77" t="s">
        <v>710</v>
      </c>
      <c r="K77" t="s">
        <v>720</v>
      </c>
      <c r="L77" t="s">
        <v>721</v>
      </c>
      <c r="M77" s="9">
        <f>SUMIFS(#REF!,#REF!,
$A77,#REF!,
"&gt;="&amp;'Faturado mensal'!M$2,#REF!,
"&lt;"&amp;EOMONTH('Faturado mensal'!M$2,0))</f>
        <v>0</v>
      </c>
      <c r="N77" s="9">
        <f>SUMIFS(#REF!,#REF!,
$A77,#REF!,
"&gt;="&amp;'Faturado mensal'!N$2,#REF!,
"&lt;"&amp;EOMONTH('Faturado mensal'!N$2,0))</f>
        <v>0</v>
      </c>
      <c r="O77" s="9">
        <f>SUMIFS(#REF!,#REF!,
$A77,#REF!,
"&gt;="&amp;'Faturado mensal'!O$2,#REF!,
"&lt;"&amp;EOMONTH('Faturado mensal'!O$2,0))</f>
        <v>0</v>
      </c>
      <c r="P77" s="9">
        <f>SUMIFS(#REF!,#REF!,
$A77,#REF!,
"&gt;="&amp;'Faturado mensal'!P$2,#REF!,
"&lt;"&amp;EOMONTH('Faturado mensal'!P$2,0))</f>
        <v>0</v>
      </c>
      <c r="Q77" s="9">
        <f>SUMIFS(#REF!,#REF!,
$A77,#REF!,
"&gt;="&amp;'Faturado mensal'!Q$2,#REF!,
"&lt;"&amp;EOMONTH('Faturado mensal'!Q$2,0))</f>
        <v>0</v>
      </c>
      <c r="R77" s="9">
        <f>SUMIFS(#REF!,#REF!,
$A77,#REF!,
"&gt;="&amp;'Faturado mensal'!R$2,#REF!,
"&lt;"&amp;EOMONTH('Faturado mensal'!R$2,0))</f>
        <v>0</v>
      </c>
      <c r="S77" s="9">
        <f>SUMIFS(#REF!,#REF!,
$A77,#REF!,
"&gt;="&amp;'Faturado mensal'!S$2,#REF!,
"&lt;"&amp;EOMONTH('Faturado mensal'!S$2,0))</f>
        <v>0</v>
      </c>
      <c r="T77" s="9">
        <f>SUMIFS(#REF!,#REF!,
$A77,#REF!,
"&gt;="&amp;'Faturado mensal'!T$2,#REF!,
"&lt;"&amp;EOMONTH('Faturado mensal'!T$2,0))</f>
        <v>0</v>
      </c>
      <c r="U77" s="9">
        <f>SUMIFS(#REF!,#REF!,
$A77,#REF!,
"&gt;="&amp;'Faturado mensal'!U$2,#REF!,
"&lt;"&amp;EOMONTH('Faturado mensal'!U$2,0))</f>
        <v>0</v>
      </c>
      <c r="V77" s="9">
        <f>SUMIFS(#REF!,#REF!,
$A77,#REF!,
"&gt;="&amp;'Faturado mensal'!V$2,#REF!,
"&lt;"&amp;EOMONTH('Faturado mensal'!V$2,0))</f>
        <v>0</v>
      </c>
      <c r="W77" s="9">
        <f>SUMIFS(#REF!,#REF!,
$A77,#REF!,
"&gt;="&amp;'Faturado mensal'!W$2,#REF!,
"&lt;"&amp;EOMONTH('Faturado mensal'!W$2,0))</f>
        <v>0</v>
      </c>
      <c r="X77" s="9">
        <f>SUMIFS(#REF!,#REF!,
$A77,#REF!,
"&gt;="&amp;'Faturado mensal'!X$2,#REF!,
"&lt;"&amp;EOMONTH('Faturado mensal'!X$2,0))</f>
        <v>0</v>
      </c>
      <c r="Y77" s="11">
        <f>SUMIFS(#REF!,#REF!,
$A77,#REF!,
"&gt;="&amp;'Faturado mensal'!M$2,#REF!,
"&lt;"&amp;EOMONTH('Faturado mensal'!M$2,12))</f>
        <v>0</v>
      </c>
      <c r="Z77" s="9">
        <f>SUMIFS(#REF!,#REF!,
$A77,#REF!,
"&gt;="&amp;'Faturado mensal'!Z$2,#REF!,
"&lt;"&amp;EOMONTH('Faturado mensal'!Z$2,0))</f>
        <v>0</v>
      </c>
      <c r="AA77" s="9">
        <f>SUMIFS(#REF!,#REF!,
$A77,#REF!,
"&gt;="&amp;'Faturado mensal'!AA$2,#REF!,
"&lt;"&amp;EOMONTH('Faturado mensal'!AA$2,0))</f>
        <v>0</v>
      </c>
      <c r="AB77" s="9">
        <f>SUMIFS(#REF!,#REF!,
$A77,#REF!,
"&gt;="&amp;'Faturado mensal'!AB$2,#REF!,
"&lt;"&amp;EOMONTH('Faturado mensal'!AB$2,0))</f>
        <v>0</v>
      </c>
      <c r="AC77" s="9">
        <f>SUMIFS(#REF!,#REF!,
$A77,#REF!,
"&gt;="&amp;'Faturado mensal'!AC$2,#REF!,
"&lt;"&amp;EOMONTH('Faturado mensal'!AC$2,0))</f>
        <v>0</v>
      </c>
      <c r="AD77" s="9">
        <f>SUMIFS(#REF!,#REF!,
$A77,#REF!,
"&gt;="&amp;'Faturado mensal'!AD$2,#REF!,
"&lt;"&amp;EOMONTH('Faturado mensal'!AD$2,0))</f>
        <v>0</v>
      </c>
      <c r="AE77" s="9">
        <f>SUMIFS(#REF!,#REF!,
$A77,#REF!,
"&gt;="&amp;'Faturado mensal'!AE$2,#REF!,
"&lt;"&amp;EOMONTH('Faturado mensal'!AE$2,0))</f>
        <v>0</v>
      </c>
      <c r="AF77" s="9">
        <f>SUMIFS(#REF!,#REF!,
$A77,#REF!,
"&gt;="&amp;'Faturado mensal'!AF$2,#REF!,
"&lt;"&amp;EOMONTH('Faturado mensal'!AF$2,0))</f>
        <v>0</v>
      </c>
      <c r="AG77" s="9">
        <f>SUMIFS(#REF!,#REF!,
$A77,#REF!,
"&gt;="&amp;'Faturado mensal'!AG$2,#REF!,
"&lt;"&amp;EOMONTH('Faturado mensal'!AG$2,0))</f>
        <v>0</v>
      </c>
      <c r="AH77" s="9">
        <f>SUMIFS(#REF!,#REF!,
$A77,#REF!,
"&gt;="&amp;'Faturado mensal'!AH$2,#REF!,
"&lt;"&amp;EOMONTH('Faturado mensal'!AH$2,0))</f>
        <v>0</v>
      </c>
      <c r="AI77" s="9">
        <f>SUMIFS(#REF!,#REF!,
$A77,#REF!,
"&gt;="&amp;'Faturado mensal'!AI$2,#REF!,
"&lt;"&amp;EOMONTH('Faturado mensal'!AI$2,0))</f>
        <v>0</v>
      </c>
      <c r="AJ77" s="9">
        <f>SUMIFS(#REF!,#REF!,
$A77,#REF!,
"&gt;="&amp;'Faturado mensal'!AJ$2,#REF!,
"&lt;"&amp;EOMONTH('Faturado mensal'!AJ$2,0))</f>
        <v>0</v>
      </c>
      <c r="AK77" s="9">
        <f>SUMIFS(#REF!,#REF!,
$A77,#REF!,
"&gt;="&amp;'Faturado mensal'!AK$2,#REF!,
"&lt;"&amp;EOMONTH('Faturado mensal'!AK$2,0))</f>
        <v>0</v>
      </c>
      <c r="AL77" s="9">
        <f>SUMIFS(#REF!,#REF!,
$A77,#REF!,
"&gt;="&amp;Z$2,#REF!,
"&lt;"&amp;EOMONTH(AK$2,0))</f>
        <v>0</v>
      </c>
    </row>
    <row r="78" spans="1:38" x14ac:dyDescent="0.3">
      <c r="A78" t="s">
        <v>293</v>
      </c>
      <c r="B78" t="s">
        <v>294</v>
      </c>
      <c r="C78" t="s">
        <v>101</v>
      </c>
      <c r="D78" t="s">
        <v>204</v>
      </c>
      <c r="E78" t="s">
        <v>4834</v>
      </c>
      <c r="F78" t="s">
        <v>4776</v>
      </c>
      <c r="G78" t="s">
        <v>4858</v>
      </c>
      <c r="H78" t="s">
        <v>4773</v>
      </c>
      <c r="I78" t="s">
        <v>101</v>
      </c>
      <c r="J78" t="s">
        <v>710</v>
      </c>
      <c r="K78" t="s">
        <v>720</v>
      </c>
      <c r="L78" t="s">
        <v>721</v>
      </c>
      <c r="M78" s="9">
        <f>SUMIFS(#REF!,#REF!,
$A78,#REF!,
"&gt;="&amp;'Faturado mensal'!M$2,#REF!,
"&lt;"&amp;EOMONTH('Faturado mensal'!M$2,0))</f>
        <v>180</v>
      </c>
      <c r="N78" s="9">
        <f>SUMIFS(#REF!,#REF!,
$A78,#REF!,
"&gt;="&amp;'Faturado mensal'!N$2,#REF!,
"&lt;"&amp;EOMONTH('Faturado mensal'!N$2,0))</f>
        <v>180</v>
      </c>
      <c r="O78" s="9">
        <f>SUMIFS(#REF!,#REF!,
$A78,#REF!,
"&gt;="&amp;'Faturado mensal'!O$2,#REF!,
"&lt;"&amp;EOMONTH('Faturado mensal'!O$2,0))</f>
        <v>0</v>
      </c>
      <c r="P78" s="9">
        <f>SUMIFS(#REF!,#REF!,
$A78,#REF!,
"&gt;="&amp;'Faturado mensal'!P$2,#REF!,
"&lt;"&amp;EOMONTH('Faturado mensal'!P$2,0))</f>
        <v>180</v>
      </c>
      <c r="Q78" s="9">
        <f>SUMIFS(#REF!,#REF!,
$A78,#REF!,
"&gt;="&amp;'Faturado mensal'!Q$2,#REF!,
"&lt;"&amp;EOMONTH('Faturado mensal'!Q$2,0))</f>
        <v>610</v>
      </c>
      <c r="R78" s="9">
        <f>SUMIFS(#REF!,#REF!,
$A78,#REF!,
"&gt;="&amp;'Faturado mensal'!R$2,#REF!,
"&lt;"&amp;EOMONTH('Faturado mensal'!R$2,0))</f>
        <v>0</v>
      </c>
      <c r="S78" s="9">
        <f>SUMIFS(#REF!,#REF!,
$A78,#REF!,
"&gt;="&amp;'Faturado mensal'!S$2,#REF!,
"&lt;"&amp;EOMONTH('Faturado mensal'!S$2,0))</f>
        <v>190</v>
      </c>
      <c r="T78" s="9">
        <f>SUMIFS(#REF!,#REF!,
$A78,#REF!,
"&gt;="&amp;'Faturado mensal'!T$2,#REF!,
"&lt;"&amp;EOMONTH('Faturado mensal'!T$2,0))</f>
        <v>190</v>
      </c>
      <c r="U78" s="9">
        <f>SUMIFS(#REF!,#REF!,
$A78,#REF!,
"&gt;="&amp;'Faturado mensal'!U$2,#REF!,
"&lt;"&amp;EOMONTH('Faturado mensal'!U$2,0))</f>
        <v>0</v>
      </c>
      <c r="V78" s="9">
        <f>SUMIFS(#REF!,#REF!,
$A78,#REF!,
"&gt;="&amp;'Faturado mensal'!V$2,#REF!,
"&lt;"&amp;EOMONTH('Faturado mensal'!V$2,0))</f>
        <v>830</v>
      </c>
      <c r="W78" s="9">
        <f>SUMIFS(#REF!,#REF!,
$A78,#REF!,
"&gt;="&amp;'Faturado mensal'!W$2,#REF!,
"&lt;"&amp;EOMONTH('Faturado mensal'!W$2,0))</f>
        <v>190</v>
      </c>
      <c r="X78" s="9">
        <f>SUMIFS(#REF!,#REF!,
$A78,#REF!,
"&gt;="&amp;'Faturado mensal'!X$2,#REF!,
"&lt;"&amp;EOMONTH('Faturado mensal'!X$2,0))</f>
        <v>640</v>
      </c>
      <c r="Y78" s="11">
        <f>SUMIFS(#REF!,#REF!,
$A78,#REF!,
"&gt;="&amp;'Faturado mensal'!M$2,#REF!,
"&lt;"&amp;EOMONTH('Faturado mensal'!M$2,12))</f>
        <v>3380</v>
      </c>
      <c r="Z78" s="9">
        <f>SUMIFS(#REF!,#REF!,
$A78,#REF!,
"&gt;="&amp;'Faturado mensal'!Z$2,#REF!,
"&lt;"&amp;EOMONTH('Faturado mensal'!Z$2,0))</f>
        <v>190</v>
      </c>
      <c r="AA78" s="9">
        <f>SUMIFS(#REF!,#REF!,
$A78,#REF!,
"&gt;="&amp;'Faturado mensal'!AA$2,#REF!,
"&lt;"&amp;EOMONTH('Faturado mensal'!AA$2,0))</f>
        <v>190</v>
      </c>
      <c r="AB78" s="9">
        <f>SUMIFS(#REF!,#REF!,
$A78,#REF!,
"&gt;="&amp;'Faturado mensal'!AB$2,#REF!,
"&lt;"&amp;EOMONTH('Faturado mensal'!AB$2,0))</f>
        <v>0</v>
      </c>
      <c r="AC78" s="9">
        <f>SUMIFS(#REF!,#REF!,
$A78,#REF!,
"&gt;="&amp;'Faturado mensal'!AC$2,#REF!,
"&lt;"&amp;EOMONTH('Faturado mensal'!AC$2,0))</f>
        <v>640</v>
      </c>
      <c r="AD78" s="9">
        <f>SUMIFS(#REF!,#REF!,
$A78,#REF!,
"&gt;="&amp;'Faturado mensal'!AD$2,#REF!,
"&lt;"&amp;EOMONTH('Faturado mensal'!AD$2,0))</f>
        <v>0</v>
      </c>
      <c r="AE78" s="9">
        <f>SUMIFS(#REF!,#REF!,
$A78,#REF!,
"&gt;="&amp;'Faturado mensal'!AE$2,#REF!,
"&lt;"&amp;EOMONTH('Faturado mensal'!AE$2,0))</f>
        <v>0</v>
      </c>
      <c r="AF78" s="9">
        <f>SUMIFS(#REF!,#REF!,
$A78,#REF!,
"&gt;="&amp;'Faturado mensal'!AF$2,#REF!,
"&lt;"&amp;EOMONTH('Faturado mensal'!AF$2,0))</f>
        <v>0</v>
      </c>
      <c r="AG78" s="9">
        <f>SUMIFS(#REF!,#REF!,
$A78,#REF!,
"&gt;="&amp;'Faturado mensal'!AG$2,#REF!,
"&lt;"&amp;EOMONTH('Faturado mensal'!AG$2,0))</f>
        <v>0</v>
      </c>
      <c r="AH78" s="9">
        <f>SUMIFS(#REF!,#REF!,
$A78,#REF!,
"&gt;="&amp;'Faturado mensal'!AH$2,#REF!,
"&lt;"&amp;EOMONTH('Faturado mensal'!AH$2,0))</f>
        <v>0</v>
      </c>
      <c r="AI78" s="9">
        <f>SUMIFS(#REF!,#REF!,
$A78,#REF!,
"&gt;="&amp;'Faturado mensal'!AI$2,#REF!,
"&lt;"&amp;EOMONTH('Faturado mensal'!AI$2,0))</f>
        <v>0</v>
      </c>
      <c r="AJ78" s="9">
        <f>SUMIFS(#REF!,#REF!,
$A78,#REF!,
"&gt;="&amp;'Faturado mensal'!AJ$2,#REF!,
"&lt;"&amp;EOMONTH('Faturado mensal'!AJ$2,0))</f>
        <v>0</v>
      </c>
      <c r="AK78" s="9">
        <f>SUMIFS(#REF!,#REF!,
$A78,#REF!,
"&gt;="&amp;'Faturado mensal'!AK$2,#REF!,
"&lt;"&amp;EOMONTH('Faturado mensal'!AK$2,0))</f>
        <v>0</v>
      </c>
      <c r="AL78" s="9">
        <f>SUMIFS(#REF!,#REF!,
$A78,#REF!,
"&gt;="&amp;Z$2,#REF!,
"&lt;"&amp;EOMONTH(AK$2,0))</f>
        <v>1220</v>
      </c>
    </row>
    <row r="79" spans="1:38" x14ac:dyDescent="0.3">
      <c r="A79" t="s">
        <v>804</v>
      </c>
      <c r="B79" t="s">
        <v>456</v>
      </c>
      <c r="C79" t="s">
        <v>71</v>
      </c>
      <c r="D79" t="s">
        <v>204</v>
      </c>
      <c r="E79" t="s">
        <v>1042</v>
      </c>
      <c r="F79" t="s">
        <v>1006</v>
      </c>
      <c r="G79" t="s">
        <v>4852</v>
      </c>
      <c r="H79" t="s">
        <v>4771</v>
      </c>
      <c r="I79" t="s">
        <v>71</v>
      </c>
      <c r="J79" t="s">
        <v>710</v>
      </c>
      <c r="K79" t="s">
        <v>720</v>
      </c>
      <c r="L79" t="s">
        <v>721</v>
      </c>
      <c r="M79" s="9">
        <f>SUMIFS(#REF!,#REF!,
$A79,#REF!,
"&gt;="&amp;'Faturado mensal'!M$2,#REF!,
"&lt;"&amp;EOMONTH('Faturado mensal'!M$2,0))</f>
        <v>0</v>
      </c>
      <c r="N79" s="9">
        <f>SUMIFS(#REF!,#REF!,
$A79,#REF!,
"&gt;="&amp;'Faturado mensal'!N$2,#REF!,
"&lt;"&amp;EOMONTH('Faturado mensal'!N$2,0))</f>
        <v>0</v>
      </c>
      <c r="O79" s="9">
        <f>SUMIFS(#REF!,#REF!,
$A79,#REF!,
"&gt;="&amp;'Faturado mensal'!O$2,#REF!,
"&lt;"&amp;EOMONTH('Faturado mensal'!O$2,0))</f>
        <v>0</v>
      </c>
      <c r="P79" s="9">
        <f>SUMIFS(#REF!,#REF!,
$A79,#REF!,
"&gt;="&amp;'Faturado mensal'!P$2,#REF!,
"&lt;"&amp;EOMONTH('Faturado mensal'!P$2,0))</f>
        <v>0</v>
      </c>
      <c r="Q79" s="9">
        <f>SUMIFS(#REF!,#REF!,
$A79,#REF!,
"&gt;="&amp;'Faturado mensal'!Q$2,#REF!,
"&lt;"&amp;EOMONTH('Faturado mensal'!Q$2,0))</f>
        <v>0</v>
      </c>
      <c r="R79" s="9">
        <f>SUMIFS(#REF!,#REF!,
$A79,#REF!,
"&gt;="&amp;'Faturado mensal'!R$2,#REF!,
"&lt;"&amp;EOMONTH('Faturado mensal'!R$2,0))</f>
        <v>0</v>
      </c>
      <c r="S79" s="9">
        <f>SUMIFS(#REF!,#REF!,
$A79,#REF!,
"&gt;="&amp;'Faturado mensal'!S$2,#REF!,
"&lt;"&amp;EOMONTH('Faturado mensal'!S$2,0))</f>
        <v>0</v>
      </c>
      <c r="T79" s="9">
        <f>SUMIFS(#REF!,#REF!,
$A79,#REF!,
"&gt;="&amp;'Faturado mensal'!T$2,#REF!,
"&lt;"&amp;EOMONTH('Faturado mensal'!T$2,0))</f>
        <v>0</v>
      </c>
      <c r="U79" s="9">
        <f>SUMIFS(#REF!,#REF!,
$A79,#REF!,
"&gt;="&amp;'Faturado mensal'!U$2,#REF!,
"&lt;"&amp;EOMONTH('Faturado mensal'!U$2,0))</f>
        <v>0</v>
      </c>
      <c r="V79" s="9">
        <f>SUMIFS(#REF!,#REF!,
$A79,#REF!,
"&gt;="&amp;'Faturado mensal'!V$2,#REF!,
"&lt;"&amp;EOMONTH('Faturado mensal'!V$2,0))</f>
        <v>0</v>
      </c>
      <c r="W79" s="9">
        <f>SUMIFS(#REF!,#REF!,
$A79,#REF!,
"&gt;="&amp;'Faturado mensal'!W$2,#REF!,
"&lt;"&amp;EOMONTH('Faturado mensal'!W$2,0))</f>
        <v>0</v>
      </c>
      <c r="X79" s="9">
        <f>SUMIFS(#REF!,#REF!,
$A79,#REF!,
"&gt;="&amp;'Faturado mensal'!X$2,#REF!,
"&lt;"&amp;EOMONTH('Faturado mensal'!X$2,0))</f>
        <v>0</v>
      </c>
      <c r="Y79" s="11">
        <f>SUMIFS(#REF!,#REF!,
$A79,#REF!,
"&gt;="&amp;'Faturado mensal'!M$2,#REF!,
"&lt;"&amp;EOMONTH('Faturado mensal'!M$2,12))</f>
        <v>0</v>
      </c>
      <c r="Z79" s="9">
        <f>SUMIFS(#REF!,#REF!,
$A79,#REF!,
"&gt;="&amp;'Faturado mensal'!Z$2,#REF!,
"&lt;"&amp;EOMONTH('Faturado mensal'!Z$2,0))</f>
        <v>0</v>
      </c>
      <c r="AA79" s="9">
        <f>SUMIFS(#REF!,#REF!,
$A79,#REF!,
"&gt;="&amp;'Faturado mensal'!AA$2,#REF!,
"&lt;"&amp;EOMONTH('Faturado mensal'!AA$2,0))</f>
        <v>0</v>
      </c>
      <c r="AB79" s="9">
        <f>SUMIFS(#REF!,#REF!,
$A79,#REF!,
"&gt;="&amp;'Faturado mensal'!AB$2,#REF!,
"&lt;"&amp;EOMONTH('Faturado mensal'!AB$2,0))</f>
        <v>0</v>
      </c>
      <c r="AC79" s="9">
        <f>SUMIFS(#REF!,#REF!,
$A79,#REF!,
"&gt;="&amp;'Faturado mensal'!AC$2,#REF!,
"&lt;"&amp;EOMONTH('Faturado mensal'!AC$2,0))</f>
        <v>0</v>
      </c>
      <c r="AD79" s="9">
        <f>SUMIFS(#REF!,#REF!,
$A79,#REF!,
"&gt;="&amp;'Faturado mensal'!AD$2,#REF!,
"&lt;"&amp;EOMONTH('Faturado mensal'!AD$2,0))</f>
        <v>0</v>
      </c>
      <c r="AE79" s="9">
        <f>SUMIFS(#REF!,#REF!,
$A79,#REF!,
"&gt;="&amp;'Faturado mensal'!AE$2,#REF!,
"&lt;"&amp;EOMONTH('Faturado mensal'!AE$2,0))</f>
        <v>0</v>
      </c>
      <c r="AF79" s="9">
        <f>SUMIFS(#REF!,#REF!,
$A79,#REF!,
"&gt;="&amp;'Faturado mensal'!AF$2,#REF!,
"&lt;"&amp;EOMONTH('Faturado mensal'!AF$2,0))</f>
        <v>0</v>
      </c>
      <c r="AG79" s="9">
        <f>SUMIFS(#REF!,#REF!,
$A79,#REF!,
"&gt;="&amp;'Faturado mensal'!AG$2,#REF!,
"&lt;"&amp;EOMONTH('Faturado mensal'!AG$2,0))</f>
        <v>0</v>
      </c>
      <c r="AH79" s="9">
        <f>SUMIFS(#REF!,#REF!,
$A79,#REF!,
"&gt;="&amp;'Faturado mensal'!AH$2,#REF!,
"&lt;"&amp;EOMONTH('Faturado mensal'!AH$2,0))</f>
        <v>0</v>
      </c>
      <c r="AI79" s="9">
        <f>SUMIFS(#REF!,#REF!,
$A79,#REF!,
"&gt;="&amp;'Faturado mensal'!AI$2,#REF!,
"&lt;"&amp;EOMONTH('Faturado mensal'!AI$2,0))</f>
        <v>0</v>
      </c>
      <c r="AJ79" s="9">
        <f>SUMIFS(#REF!,#REF!,
$A79,#REF!,
"&gt;="&amp;'Faturado mensal'!AJ$2,#REF!,
"&lt;"&amp;EOMONTH('Faturado mensal'!AJ$2,0))</f>
        <v>0</v>
      </c>
      <c r="AK79" s="9">
        <f>SUMIFS(#REF!,#REF!,
$A79,#REF!,
"&gt;="&amp;'Faturado mensal'!AK$2,#REF!,
"&lt;"&amp;EOMONTH('Faturado mensal'!AK$2,0))</f>
        <v>0</v>
      </c>
      <c r="AL79" s="9">
        <f>SUMIFS(#REF!,#REF!,
$A79,#REF!,
"&gt;="&amp;Z$2,#REF!,
"&lt;"&amp;EOMONTH(AK$2,0))</f>
        <v>0</v>
      </c>
    </row>
    <row r="80" spans="1:38" x14ac:dyDescent="0.3">
      <c r="A80" t="s">
        <v>295</v>
      </c>
      <c r="B80" t="s">
        <v>296</v>
      </c>
      <c r="C80" t="s">
        <v>93</v>
      </c>
      <c r="D80" t="s">
        <v>209</v>
      </c>
      <c r="G80" t="s">
        <v>4845</v>
      </c>
      <c r="H80" t="s">
        <v>4772</v>
      </c>
      <c r="I80" t="s">
        <v>805</v>
      </c>
      <c r="J80" t="s">
        <v>710</v>
      </c>
      <c r="K80" t="s">
        <v>720</v>
      </c>
      <c r="L80" t="s">
        <v>721</v>
      </c>
      <c r="M80" s="9">
        <f>SUMIFS(#REF!,#REF!,
$A80,#REF!,
"&gt;="&amp;'Faturado mensal'!M$2,#REF!,
"&lt;"&amp;EOMONTH('Faturado mensal'!M$2,0))</f>
        <v>25</v>
      </c>
      <c r="N80" s="9">
        <f>SUMIFS(#REF!,#REF!,
$A80,#REF!,
"&gt;="&amp;'Faturado mensal'!N$2,#REF!,
"&lt;"&amp;EOMONTH('Faturado mensal'!N$2,0))</f>
        <v>20661.64</v>
      </c>
      <c r="O80" s="9">
        <f>SUMIFS(#REF!,#REF!,
$A80,#REF!,
"&gt;="&amp;'Faturado mensal'!O$2,#REF!,
"&lt;"&amp;EOMONTH('Faturado mensal'!O$2,0))</f>
        <v>10343.32</v>
      </c>
      <c r="P80" s="9">
        <f>SUMIFS(#REF!,#REF!,
$A80,#REF!,
"&gt;="&amp;'Faturado mensal'!P$2,#REF!,
"&lt;"&amp;EOMONTH('Faturado mensal'!P$2,0))</f>
        <v>-415.49999999999909</v>
      </c>
      <c r="Q80" s="9">
        <f>SUMIFS(#REF!,#REF!,
$A80,#REF!,
"&gt;="&amp;'Faturado mensal'!Q$2,#REF!,
"&lt;"&amp;EOMONTH('Faturado mensal'!Q$2,0))</f>
        <v>23589.32</v>
      </c>
      <c r="R80" s="9">
        <f>SUMIFS(#REF!,#REF!,
$A80,#REF!,
"&gt;="&amp;'Faturado mensal'!R$2,#REF!,
"&lt;"&amp;EOMONTH('Faturado mensal'!R$2,0))</f>
        <v>6022.35</v>
      </c>
      <c r="S80" s="9">
        <f>SUMIFS(#REF!,#REF!,
$A80,#REF!,
"&gt;="&amp;'Faturado mensal'!S$2,#REF!,
"&lt;"&amp;EOMONTH('Faturado mensal'!S$2,0))</f>
        <v>2199.0300000000002</v>
      </c>
      <c r="T80" s="9">
        <f>SUMIFS(#REF!,#REF!,
$A80,#REF!,
"&gt;="&amp;'Faturado mensal'!T$2,#REF!,
"&lt;"&amp;EOMONTH('Faturado mensal'!T$2,0))</f>
        <v>1365.75</v>
      </c>
      <c r="U80" s="9">
        <f>SUMIFS(#REF!,#REF!,
$A80,#REF!,
"&gt;="&amp;'Faturado mensal'!U$2,#REF!,
"&lt;"&amp;EOMONTH('Faturado mensal'!U$2,0))</f>
        <v>1415.75</v>
      </c>
      <c r="V80" s="9">
        <f>SUMIFS(#REF!,#REF!,
$A80,#REF!,
"&gt;="&amp;'Faturado mensal'!V$2,#REF!,
"&lt;"&amp;EOMONTH('Faturado mensal'!V$2,0))</f>
        <v>0</v>
      </c>
      <c r="W80" s="9">
        <f>SUMIFS(#REF!,#REF!,
$A80,#REF!,
"&gt;="&amp;'Faturado mensal'!W$2,#REF!,
"&lt;"&amp;EOMONTH('Faturado mensal'!W$2,0))</f>
        <v>0</v>
      </c>
      <c r="X80" s="9">
        <f>SUMIFS(#REF!,#REF!,
$A80,#REF!,
"&gt;="&amp;'Faturado mensal'!X$2,#REF!,
"&lt;"&amp;EOMONTH('Faturado mensal'!X$2,0))</f>
        <v>0</v>
      </c>
      <c r="Y80" s="11">
        <f>SUMIFS(#REF!,#REF!,
$A80,#REF!,
"&gt;="&amp;'Faturado mensal'!M$2,#REF!,
"&lt;"&amp;EOMONTH('Faturado mensal'!M$2,12))</f>
        <v>65206.659999999996</v>
      </c>
      <c r="Z80" s="9">
        <f>SUMIFS(#REF!,#REF!,
$A80,#REF!,
"&gt;="&amp;'Faturado mensal'!Z$2,#REF!,
"&lt;"&amp;EOMONTH('Faturado mensal'!Z$2,0))</f>
        <v>0</v>
      </c>
      <c r="AA80" s="9">
        <f>SUMIFS(#REF!,#REF!,
$A80,#REF!,
"&gt;="&amp;'Faturado mensal'!AA$2,#REF!,
"&lt;"&amp;EOMONTH('Faturado mensal'!AA$2,0))</f>
        <v>0</v>
      </c>
      <c r="AB80" s="9">
        <f>SUMIFS(#REF!,#REF!,
$A80,#REF!,
"&gt;="&amp;'Faturado mensal'!AB$2,#REF!,
"&lt;"&amp;EOMONTH('Faturado mensal'!AB$2,0))</f>
        <v>0</v>
      </c>
      <c r="AC80" s="9">
        <f>SUMIFS(#REF!,#REF!,
$A80,#REF!,
"&gt;="&amp;'Faturado mensal'!AC$2,#REF!,
"&lt;"&amp;EOMONTH('Faturado mensal'!AC$2,0))</f>
        <v>0</v>
      </c>
      <c r="AD80" s="9">
        <f>SUMIFS(#REF!,#REF!,
$A80,#REF!,
"&gt;="&amp;'Faturado mensal'!AD$2,#REF!,
"&lt;"&amp;EOMONTH('Faturado mensal'!AD$2,0))</f>
        <v>0</v>
      </c>
      <c r="AE80" s="9">
        <f>SUMIFS(#REF!,#REF!,
$A80,#REF!,
"&gt;="&amp;'Faturado mensal'!AE$2,#REF!,
"&lt;"&amp;EOMONTH('Faturado mensal'!AE$2,0))</f>
        <v>0</v>
      </c>
      <c r="AF80" s="9">
        <f>SUMIFS(#REF!,#REF!,
$A80,#REF!,
"&gt;="&amp;'Faturado mensal'!AF$2,#REF!,
"&lt;"&amp;EOMONTH('Faturado mensal'!AF$2,0))</f>
        <v>0</v>
      </c>
      <c r="AG80" s="9">
        <f>SUMIFS(#REF!,#REF!,
$A80,#REF!,
"&gt;="&amp;'Faturado mensal'!AG$2,#REF!,
"&lt;"&amp;EOMONTH('Faturado mensal'!AG$2,0))</f>
        <v>0</v>
      </c>
      <c r="AH80" s="9">
        <f>SUMIFS(#REF!,#REF!,
$A80,#REF!,
"&gt;="&amp;'Faturado mensal'!AH$2,#REF!,
"&lt;"&amp;EOMONTH('Faturado mensal'!AH$2,0))</f>
        <v>0</v>
      </c>
      <c r="AI80" s="9">
        <f>SUMIFS(#REF!,#REF!,
$A80,#REF!,
"&gt;="&amp;'Faturado mensal'!AI$2,#REF!,
"&lt;"&amp;EOMONTH('Faturado mensal'!AI$2,0))</f>
        <v>0</v>
      </c>
      <c r="AJ80" s="9">
        <f>SUMIFS(#REF!,#REF!,
$A80,#REF!,
"&gt;="&amp;'Faturado mensal'!AJ$2,#REF!,
"&lt;"&amp;EOMONTH('Faturado mensal'!AJ$2,0))</f>
        <v>0</v>
      </c>
      <c r="AK80" s="9">
        <f>SUMIFS(#REF!,#REF!,
$A80,#REF!,
"&gt;="&amp;'Faturado mensal'!AK$2,#REF!,
"&lt;"&amp;EOMONTH('Faturado mensal'!AK$2,0))</f>
        <v>0</v>
      </c>
      <c r="AL80" s="9">
        <f>SUMIFS(#REF!,#REF!,
$A80,#REF!,
"&gt;="&amp;Z$2,#REF!,
"&lt;"&amp;EOMONTH(AK$2,0))</f>
        <v>0</v>
      </c>
    </row>
    <row r="81" spans="1:38" x14ac:dyDescent="0.3">
      <c r="A81" t="s">
        <v>297</v>
      </c>
      <c r="B81" t="s">
        <v>298</v>
      </c>
      <c r="C81" t="s">
        <v>11</v>
      </c>
      <c r="D81" t="s">
        <v>204</v>
      </c>
      <c r="E81" t="s">
        <v>4843</v>
      </c>
      <c r="F81" t="s">
        <v>4779</v>
      </c>
      <c r="G81" t="s">
        <v>4854</v>
      </c>
      <c r="H81" t="s">
        <v>4771</v>
      </c>
      <c r="I81" t="s">
        <v>11</v>
      </c>
      <c r="J81" t="s">
        <v>710</v>
      </c>
      <c r="K81" t="s">
        <v>720</v>
      </c>
      <c r="L81" t="s">
        <v>721</v>
      </c>
      <c r="M81" s="9">
        <f>SUMIFS(#REF!,#REF!,
$A81,#REF!,
"&gt;="&amp;'Faturado mensal'!M$2,#REF!,
"&lt;"&amp;EOMONTH('Faturado mensal'!M$2,0))</f>
        <v>1225.32</v>
      </c>
      <c r="N81" s="9">
        <f>SUMIFS(#REF!,#REF!,
$A81,#REF!,
"&gt;="&amp;'Faturado mensal'!N$2,#REF!,
"&lt;"&amp;EOMONTH('Faturado mensal'!N$2,0))</f>
        <v>1225.32</v>
      </c>
      <c r="O81" s="9">
        <f>SUMIFS(#REF!,#REF!,
$A81,#REF!,
"&gt;="&amp;'Faturado mensal'!O$2,#REF!,
"&lt;"&amp;EOMONTH('Faturado mensal'!O$2,0))</f>
        <v>1106.74</v>
      </c>
      <c r="P81" s="9">
        <f>SUMIFS(#REF!,#REF!,
$A81,#REF!,
"&gt;="&amp;'Faturado mensal'!P$2,#REF!,
"&lt;"&amp;EOMONTH('Faturado mensal'!P$2,0))</f>
        <v>1225.32</v>
      </c>
      <c r="Q81" s="9">
        <f>SUMIFS(#REF!,#REF!,
$A81,#REF!,
"&gt;="&amp;'Faturado mensal'!Q$2,#REF!,
"&lt;"&amp;EOMONTH('Faturado mensal'!Q$2,0))</f>
        <v>1185.78</v>
      </c>
      <c r="R81" s="9">
        <f>SUMIFS(#REF!,#REF!,
$A81,#REF!,
"&gt;="&amp;'Faturado mensal'!R$2,#REF!,
"&lt;"&amp;EOMONTH('Faturado mensal'!R$2,0))</f>
        <v>1225.32</v>
      </c>
      <c r="S81" s="9">
        <f>SUMIFS(#REF!,#REF!,
$A81,#REF!,
"&gt;="&amp;'Faturado mensal'!S$2,#REF!,
"&lt;"&amp;EOMONTH('Faturado mensal'!S$2,0))</f>
        <v>1185.78</v>
      </c>
      <c r="T81" s="9">
        <f>SUMIFS(#REF!,#REF!,
$A81,#REF!,
"&gt;="&amp;'Faturado mensal'!T$2,#REF!,
"&lt;"&amp;EOMONTH('Faturado mensal'!T$2,0))</f>
        <v>1225.32</v>
      </c>
      <c r="U81" s="9">
        <f>SUMIFS(#REF!,#REF!,
$A81,#REF!,
"&gt;="&amp;'Faturado mensal'!U$2,#REF!,
"&lt;"&amp;EOMONTH('Faturado mensal'!U$2,0))</f>
        <v>1225.32</v>
      </c>
      <c r="V81" s="9">
        <f>SUMIFS(#REF!,#REF!,
$A81,#REF!,
"&gt;="&amp;'Faturado mensal'!V$2,#REF!,
"&lt;"&amp;EOMONTH('Faturado mensal'!V$2,0))</f>
        <v>1185.78</v>
      </c>
      <c r="W81" s="9">
        <f>SUMIFS(#REF!,#REF!,
$A81,#REF!,
"&gt;="&amp;'Faturado mensal'!W$2,#REF!,
"&lt;"&amp;EOMONTH('Faturado mensal'!W$2,0))</f>
        <v>1225.32</v>
      </c>
      <c r="X81" s="9">
        <f>SUMIFS(#REF!,#REF!,
$A81,#REF!,
"&gt;="&amp;'Faturado mensal'!X$2,#REF!,
"&lt;"&amp;EOMONTH('Faturado mensal'!X$2,0))</f>
        <v>1185.78</v>
      </c>
      <c r="Y81" s="11">
        <f>SUMIFS(#REF!,#REF!,
$A81,#REF!,
"&gt;="&amp;'Faturado mensal'!M$2,#REF!,
"&lt;"&amp;EOMONTH('Faturado mensal'!M$2,12))</f>
        <v>15652.42</v>
      </c>
      <c r="Z81" s="9">
        <f>SUMIFS(#REF!,#REF!,
$A81,#REF!,
"&gt;="&amp;'Faturado mensal'!Z$2,#REF!,
"&lt;"&amp;EOMONTH('Faturado mensal'!Z$2,0))</f>
        <v>1225.32</v>
      </c>
      <c r="AA81" s="9">
        <f>SUMIFS(#REF!,#REF!,
$A81,#REF!,
"&gt;="&amp;'Faturado mensal'!AA$2,#REF!,
"&lt;"&amp;EOMONTH('Faturado mensal'!AA$2,0))</f>
        <v>1225.32</v>
      </c>
      <c r="AB81" s="9">
        <f>SUMIFS(#REF!,#REF!,
$A81,#REF!,
"&gt;="&amp;'Faturado mensal'!AB$2,#REF!,
"&lt;"&amp;EOMONTH('Faturado mensal'!AB$2,0))</f>
        <v>1106.74</v>
      </c>
      <c r="AC81" s="9">
        <f>SUMIFS(#REF!,#REF!,
$A81,#REF!,
"&gt;="&amp;'Faturado mensal'!AC$2,#REF!,
"&lt;"&amp;EOMONTH('Faturado mensal'!AC$2,0))</f>
        <v>0</v>
      </c>
      <c r="AD81" s="9">
        <f>SUMIFS(#REF!,#REF!,
$A81,#REF!,
"&gt;="&amp;'Faturado mensal'!AD$2,#REF!,
"&lt;"&amp;EOMONTH('Faturado mensal'!AD$2,0))</f>
        <v>2411.1</v>
      </c>
      <c r="AE81" s="9">
        <f>SUMIFS(#REF!,#REF!,
$A81,#REF!,
"&gt;="&amp;'Faturado mensal'!AE$2,#REF!,
"&lt;"&amp;EOMONTH('Faturado mensal'!AE$2,0))</f>
        <v>1390.99</v>
      </c>
      <c r="AF81" s="9">
        <f>SUMIFS(#REF!,#REF!,
$A81,#REF!,
"&gt;="&amp;'Faturado mensal'!AF$2,#REF!,
"&lt;"&amp;EOMONTH('Faturado mensal'!AF$2,0))</f>
        <v>0</v>
      </c>
      <c r="AG81" s="9">
        <f>SUMIFS(#REF!,#REF!,
$A81,#REF!,
"&gt;="&amp;'Faturado mensal'!AG$2,#REF!,
"&lt;"&amp;EOMONTH('Faturado mensal'!AG$2,0))</f>
        <v>0</v>
      </c>
      <c r="AH81" s="9">
        <f>SUMIFS(#REF!,#REF!,
$A81,#REF!,
"&gt;="&amp;'Faturado mensal'!AH$2,#REF!,
"&lt;"&amp;EOMONTH('Faturado mensal'!AH$2,0))</f>
        <v>0</v>
      </c>
      <c r="AI81" s="9">
        <f>SUMIFS(#REF!,#REF!,
$A81,#REF!,
"&gt;="&amp;'Faturado mensal'!AI$2,#REF!,
"&lt;"&amp;EOMONTH('Faturado mensal'!AI$2,0))</f>
        <v>0</v>
      </c>
      <c r="AJ81" s="9">
        <f>SUMIFS(#REF!,#REF!,
$A81,#REF!,
"&gt;="&amp;'Faturado mensal'!AJ$2,#REF!,
"&lt;"&amp;EOMONTH('Faturado mensal'!AJ$2,0))</f>
        <v>0</v>
      </c>
      <c r="AK81" s="9">
        <f>SUMIFS(#REF!,#REF!,
$A81,#REF!,
"&gt;="&amp;'Faturado mensal'!AK$2,#REF!,
"&lt;"&amp;EOMONTH('Faturado mensal'!AK$2,0))</f>
        <v>0</v>
      </c>
      <c r="AL81" s="9">
        <f>SUMIFS(#REF!,#REF!,
$A81,#REF!,
"&gt;="&amp;Z$2,#REF!,
"&lt;"&amp;EOMONTH(AK$2,0))</f>
        <v>7359.4699999999993</v>
      </c>
    </row>
    <row r="82" spans="1:38" x14ac:dyDescent="0.3">
      <c r="A82" t="s">
        <v>299</v>
      </c>
      <c r="B82" t="s">
        <v>230</v>
      </c>
      <c r="C82" t="s">
        <v>85</v>
      </c>
      <c r="D82" t="s">
        <v>204</v>
      </c>
      <c r="E82" t="s">
        <v>4835</v>
      </c>
      <c r="F82" t="s">
        <v>4781</v>
      </c>
      <c r="G82" t="s">
        <v>4852</v>
      </c>
      <c r="H82" t="s">
        <v>4771</v>
      </c>
      <c r="I82" t="s">
        <v>85</v>
      </c>
      <c r="J82" t="s">
        <v>710</v>
      </c>
      <c r="K82" t="s">
        <v>762</v>
      </c>
      <c r="L82" t="s">
        <v>763</v>
      </c>
      <c r="M82" s="9">
        <f>SUMIFS(#REF!,#REF!,
$A82,#REF!,
"&gt;="&amp;'Faturado mensal'!M$2,#REF!,
"&lt;"&amp;EOMONTH('Faturado mensal'!M$2,0))</f>
        <v>194662</v>
      </c>
      <c r="N82" s="9">
        <f>SUMIFS(#REF!,#REF!,
$A82,#REF!,
"&gt;="&amp;'Faturado mensal'!N$2,#REF!,
"&lt;"&amp;EOMONTH('Faturado mensal'!N$2,0))</f>
        <v>207512.84</v>
      </c>
      <c r="O82" s="9">
        <f>SUMIFS(#REF!,#REF!,
$A82,#REF!,
"&gt;="&amp;'Faturado mensal'!O$2,#REF!,
"&lt;"&amp;EOMONTH('Faturado mensal'!O$2,0))</f>
        <v>207512.84</v>
      </c>
      <c r="P82" s="9">
        <f>SUMIFS(#REF!,#REF!,
$A82,#REF!,
"&gt;="&amp;'Faturado mensal'!P$2,#REF!,
"&lt;"&amp;EOMONTH('Faturado mensal'!P$2,0))</f>
        <v>207512.84</v>
      </c>
      <c r="Q82" s="9">
        <f>SUMIFS(#REF!,#REF!,
$A82,#REF!,
"&gt;="&amp;'Faturado mensal'!Q$2,#REF!,
"&lt;"&amp;EOMONTH('Faturado mensal'!Q$2,0))</f>
        <v>207512.84</v>
      </c>
      <c r="R82" s="9">
        <f>SUMIFS(#REF!,#REF!,
$A82,#REF!,
"&gt;="&amp;'Faturado mensal'!R$2,#REF!,
"&lt;"&amp;EOMONTH('Faturado mensal'!R$2,0))</f>
        <v>210610.90999999997</v>
      </c>
      <c r="S82" s="9">
        <f>SUMIFS(#REF!,#REF!,
$A82,#REF!,
"&gt;="&amp;'Faturado mensal'!S$2,#REF!,
"&lt;"&amp;EOMONTH('Faturado mensal'!S$2,0))</f>
        <v>210610.90999999997</v>
      </c>
      <c r="T82" s="9">
        <f>SUMIFS(#REF!,#REF!,
$A82,#REF!,
"&gt;="&amp;'Faturado mensal'!T$2,#REF!,
"&lt;"&amp;EOMONTH('Faturado mensal'!T$2,0))</f>
        <v>210610.90999999997</v>
      </c>
      <c r="U82" s="9">
        <f>SUMIFS(#REF!,#REF!,
$A82,#REF!,
"&gt;="&amp;'Faturado mensal'!U$2,#REF!,
"&lt;"&amp;EOMONTH('Faturado mensal'!U$2,0))</f>
        <v>210610.90999999997</v>
      </c>
      <c r="V82" s="9">
        <f>SUMIFS(#REF!,#REF!,
$A82,#REF!,
"&gt;="&amp;'Faturado mensal'!V$2,#REF!,
"&lt;"&amp;EOMONTH('Faturado mensal'!V$2,0))</f>
        <v>210610.90999999997</v>
      </c>
      <c r="W82" s="9">
        <f>SUMIFS(#REF!,#REF!,
$A82,#REF!,
"&gt;="&amp;'Faturado mensal'!W$2,#REF!,
"&lt;"&amp;EOMONTH('Faturado mensal'!W$2,0))</f>
        <v>210610.90999999997</v>
      </c>
      <c r="X82" s="9">
        <f>SUMIFS(#REF!,#REF!,
$A82,#REF!,
"&gt;="&amp;'Faturado mensal'!X$2,#REF!,
"&lt;"&amp;EOMONTH('Faturado mensal'!X$2,0))</f>
        <v>210610.90999999997</v>
      </c>
      <c r="Y82" s="11">
        <f>SUMIFS(#REF!,#REF!,
$A82,#REF!,
"&gt;="&amp;'Faturado mensal'!M$2,#REF!,
"&lt;"&amp;EOMONTH('Faturado mensal'!M$2,12))</f>
        <v>2709600.6399999997</v>
      </c>
      <c r="Z82" s="9">
        <f>SUMIFS(#REF!,#REF!,
$A82,#REF!,
"&gt;="&amp;'Faturado mensal'!Z$2,#REF!,
"&lt;"&amp;EOMONTH('Faturado mensal'!Z$2,0))</f>
        <v>210610.90999999997</v>
      </c>
      <c r="AA82" s="9">
        <f>SUMIFS(#REF!,#REF!,
$A82,#REF!,
"&gt;="&amp;'Faturado mensal'!AA$2,#REF!,
"&lt;"&amp;EOMONTH('Faturado mensal'!AA$2,0))</f>
        <v>211457.40999999997</v>
      </c>
      <c r="AB82" s="9">
        <f>SUMIFS(#REF!,#REF!,
$A82,#REF!,
"&gt;="&amp;'Faturado mensal'!AB$2,#REF!,
"&lt;"&amp;EOMONTH('Faturado mensal'!AB$2,0))</f>
        <v>211457.40999999997</v>
      </c>
      <c r="AC82" s="9">
        <f>SUMIFS(#REF!,#REF!,
$A82,#REF!,
"&gt;="&amp;'Faturado mensal'!AC$2,#REF!,
"&lt;"&amp;EOMONTH('Faturado mensal'!AC$2,0))</f>
        <v>211457.40999999997</v>
      </c>
      <c r="AD82" s="9">
        <f>SUMIFS(#REF!,#REF!,
$A82,#REF!,
"&gt;="&amp;'Faturado mensal'!AD$2,#REF!,
"&lt;"&amp;EOMONTH('Faturado mensal'!AD$2,0))</f>
        <v>211457.40999999997</v>
      </c>
      <c r="AE82" s="9">
        <f>SUMIFS(#REF!,#REF!,
$A82,#REF!,
"&gt;="&amp;'Faturado mensal'!AE$2,#REF!,
"&lt;"&amp;EOMONTH('Faturado mensal'!AE$2,0))</f>
        <v>211457.40999999997</v>
      </c>
      <c r="AF82" s="9">
        <f>SUMIFS(#REF!,#REF!,
$A82,#REF!,
"&gt;="&amp;'Faturado mensal'!AF$2,#REF!,
"&lt;"&amp;EOMONTH('Faturado mensal'!AF$2,0))</f>
        <v>0</v>
      </c>
      <c r="AG82" s="9">
        <f>SUMIFS(#REF!,#REF!,
$A82,#REF!,
"&gt;="&amp;'Faturado mensal'!AG$2,#REF!,
"&lt;"&amp;EOMONTH('Faturado mensal'!AG$2,0))</f>
        <v>0</v>
      </c>
      <c r="AH82" s="9">
        <f>SUMIFS(#REF!,#REF!,
$A82,#REF!,
"&gt;="&amp;'Faturado mensal'!AH$2,#REF!,
"&lt;"&amp;EOMONTH('Faturado mensal'!AH$2,0))</f>
        <v>0</v>
      </c>
      <c r="AI82" s="9">
        <f>SUMIFS(#REF!,#REF!,
$A82,#REF!,
"&gt;="&amp;'Faturado mensal'!AI$2,#REF!,
"&lt;"&amp;EOMONTH('Faturado mensal'!AI$2,0))</f>
        <v>0</v>
      </c>
      <c r="AJ82" s="9">
        <f>SUMIFS(#REF!,#REF!,
$A82,#REF!,
"&gt;="&amp;'Faturado mensal'!AJ$2,#REF!,
"&lt;"&amp;EOMONTH('Faturado mensal'!AJ$2,0))</f>
        <v>0</v>
      </c>
      <c r="AK82" s="9">
        <f>SUMIFS(#REF!,#REF!,
$A82,#REF!,
"&gt;="&amp;'Faturado mensal'!AK$2,#REF!,
"&lt;"&amp;EOMONTH('Faturado mensal'!AK$2,0))</f>
        <v>0</v>
      </c>
      <c r="AL82" s="9">
        <f>SUMIFS(#REF!,#REF!,
$A82,#REF!,
"&gt;="&amp;Z$2,#REF!,
"&lt;"&amp;EOMONTH(AK$2,0))</f>
        <v>1267897.9600000002</v>
      </c>
    </row>
    <row r="83" spans="1:38" x14ac:dyDescent="0.3">
      <c r="A83" t="s">
        <v>806</v>
      </c>
      <c r="B83" t="s">
        <v>757</v>
      </c>
      <c r="C83" t="s">
        <v>758</v>
      </c>
      <c r="D83" t="s">
        <v>209</v>
      </c>
      <c r="G83" t="s">
        <v>4856</v>
      </c>
      <c r="H83" t="s">
        <v>4771</v>
      </c>
      <c r="I83" t="s">
        <v>758</v>
      </c>
      <c r="J83" t="s">
        <v>710</v>
      </c>
      <c r="K83" t="s">
        <v>748</v>
      </c>
      <c r="L83" t="s">
        <v>749</v>
      </c>
      <c r="M83" s="9">
        <f>SUMIFS(#REF!,#REF!,
$A83,#REF!,
"&gt;="&amp;'Faturado mensal'!M$2,#REF!,
"&lt;"&amp;EOMONTH('Faturado mensal'!M$2,0))</f>
        <v>0</v>
      </c>
      <c r="N83" s="9">
        <f>SUMIFS(#REF!,#REF!,
$A83,#REF!,
"&gt;="&amp;'Faturado mensal'!N$2,#REF!,
"&lt;"&amp;EOMONTH('Faturado mensal'!N$2,0))</f>
        <v>0</v>
      </c>
      <c r="O83" s="9">
        <f>SUMIFS(#REF!,#REF!,
$A83,#REF!,
"&gt;="&amp;'Faturado mensal'!O$2,#REF!,
"&lt;"&amp;EOMONTH('Faturado mensal'!O$2,0))</f>
        <v>0</v>
      </c>
      <c r="P83" s="9">
        <f>SUMIFS(#REF!,#REF!,
$A83,#REF!,
"&gt;="&amp;'Faturado mensal'!P$2,#REF!,
"&lt;"&amp;EOMONTH('Faturado mensal'!P$2,0))</f>
        <v>0</v>
      </c>
      <c r="Q83" s="9">
        <f>SUMIFS(#REF!,#REF!,
$A83,#REF!,
"&gt;="&amp;'Faturado mensal'!Q$2,#REF!,
"&lt;"&amp;EOMONTH('Faturado mensal'!Q$2,0))</f>
        <v>0</v>
      </c>
      <c r="R83" s="9">
        <f>SUMIFS(#REF!,#REF!,
$A83,#REF!,
"&gt;="&amp;'Faturado mensal'!R$2,#REF!,
"&lt;"&amp;EOMONTH('Faturado mensal'!R$2,0))</f>
        <v>0</v>
      </c>
      <c r="S83" s="9">
        <f>SUMIFS(#REF!,#REF!,
$A83,#REF!,
"&gt;="&amp;'Faturado mensal'!S$2,#REF!,
"&lt;"&amp;EOMONTH('Faturado mensal'!S$2,0))</f>
        <v>0</v>
      </c>
      <c r="T83" s="9">
        <f>SUMIFS(#REF!,#REF!,
$A83,#REF!,
"&gt;="&amp;'Faturado mensal'!T$2,#REF!,
"&lt;"&amp;EOMONTH('Faturado mensal'!T$2,0))</f>
        <v>0</v>
      </c>
      <c r="U83" s="9">
        <f>SUMIFS(#REF!,#REF!,
$A83,#REF!,
"&gt;="&amp;'Faturado mensal'!U$2,#REF!,
"&lt;"&amp;EOMONTH('Faturado mensal'!U$2,0))</f>
        <v>0</v>
      </c>
      <c r="V83" s="9">
        <f>SUMIFS(#REF!,#REF!,
$A83,#REF!,
"&gt;="&amp;'Faturado mensal'!V$2,#REF!,
"&lt;"&amp;EOMONTH('Faturado mensal'!V$2,0))</f>
        <v>0</v>
      </c>
      <c r="W83" s="9">
        <f>SUMIFS(#REF!,#REF!,
$A83,#REF!,
"&gt;="&amp;'Faturado mensal'!W$2,#REF!,
"&lt;"&amp;EOMONTH('Faturado mensal'!W$2,0))</f>
        <v>0</v>
      </c>
      <c r="X83" s="9">
        <f>SUMIFS(#REF!,#REF!,
$A83,#REF!,
"&gt;="&amp;'Faturado mensal'!X$2,#REF!,
"&lt;"&amp;EOMONTH('Faturado mensal'!X$2,0))</f>
        <v>0</v>
      </c>
      <c r="Y83" s="11">
        <f>SUMIFS(#REF!,#REF!,
$A83,#REF!,
"&gt;="&amp;'Faturado mensal'!M$2,#REF!,
"&lt;"&amp;EOMONTH('Faturado mensal'!M$2,12))</f>
        <v>0</v>
      </c>
      <c r="Z83" s="9">
        <f>SUMIFS(#REF!,#REF!,
$A83,#REF!,
"&gt;="&amp;'Faturado mensal'!Z$2,#REF!,
"&lt;"&amp;EOMONTH('Faturado mensal'!Z$2,0))</f>
        <v>0</v>
      </c>
      <c r="AA83" s="9">
        <f>SUMIFS(#REF!,#REF!,
$A83,#REF!,
"&gt;="&amp;'Faturado mensal'!AA$2,#REF!,
"&lt;"&amp;EOMONTH('Faturado mensal'!AA$2,0))</f>
        <v>0</v>
      </c>
      <c r="AB83" s="9">
        <f>SUMIFS(#REF!,#REF!,
$A83,#REF!,
"&gt;="&amp;'Faturado mensal'!AB$2,#REF!,
"&lt;"&amp;EOMONTH('Faturado mensal'!AB$2,0))</f>
        <v>0</v>
      </c>
      <c r="AC83" s="9">
        <f>SUMIFS(#REF!,#REF!,
$A83,#REF!,
"&gt;="&amp;'Faturado mensal'!AC$2,#REF!,
"&lt;"&amp;EOMONTH('Faturado mensal'!AC$2,0))</f>
        <v>0</v>
      </c>
      <c r="AD83" s="9">
        <f>SUMIFS(#REF!,#REF!,
$A83,#REF!,
"&gt;="&amp;'Faturado mensal'!AD$2,#REF!,
"&lt;"&amp;EOMONTH('Faturado mensal'!AD$2,0))</f>
        <v>0</v>
      </c>
      <c r="AE83" s="9">
        <f>SUMIFS(#REF!,#REF!,
$A83,#REF!,
"&gt;="&amp;'Faturado mensal'!AE$2,#REF!,
"&lt;"&amp;EOMONTH('Faturado mensal'!AE$2,0))</f>
        <v>0</v>
      </c>
      <c r="AF83" s="9">
        <f>SUMIFS(#REF!,#REF!,
$A83,#REF!,
"&gt;="&amp;'Faturado mensal'!AF$2,#REF!,
"&lt;"&amp;EOMONTH('Faturado mensal'!AF$2,0))</f>
        <v>0</v>
      </c>
      <c r="AG83" s="9">
        <f>SUMIFS(#REF!,#REF!,
$A83,#REF!,
"&gt;="&amp;'Faturado mensal'!AG$2,#REF!,
"&lt;"&amp;EOMONTH('Faturado mensal'!AG$2,0))</f>
        <v>0</v>
      </c>
      <c r="AH83" s="9">
        <f>SUMIFS(#REF!,#REF!,
$A83,#REF!,
"&gt;="&amp;'Faturado mensal'!AH$2,#REF!,
"&lt;"&amp;EOMONTH('Faturado mensal'!AH$2,0))</f>
        <v>0</v>
      </c>
      <c r="AI83" s="9">
        <f>SUMIFS(#REF!,#REF!,
$A83,#REF!,
"&gt;="&amp;'Faturado mensal'!AI$2,#REF!,
"&lt;"&amp;EOMONTH('Faturado mensal'!AI$2,0))</f>
        <v>0</v>
      </c>
      <c r="AJ83" s="9">
        <f>SUMIFS(#REF!,#REF!,
$A83,#REF!,
"&gt;="&amp;'Faturado mensal'!AJ$2,#REF!,
"&lt;"&amp;EOMONTH('Faturado mensal'!AJ$2,0))</f>
        <v>0</v>
      </c>
      <c r="AK83" s="9">
        <f>SUMIFS(#REF!,#REF!,
$A83,#REF!,
"&gt;="&amp;'Faturado mensal'!AK$2,#REF!,
"&lt;"&amp;EOMONTH('Faturado mensal'!AK$2,0))</f>
        <v>0</v>
      </c>
      <c r="AL83" s="9">
        <f>SUMIFS(#REF!,#REF!,
$A83,#REF!,
"&gt;="&amp;Z$2,#REF!,
"&lt;"&amp;EOMONTH(AK$2,0))</f>
        <v>0</v>
      </c>
    </row>
    <row r="84" spans="1:38" x14ac:dyDescent="0.3">
      <c r="A84" t="s">
        <v>300</v>
      </c>
      <c r="B84" t="s">
        <v>301</v>
      </c>
      <c r="C84" t="s">
        <v>23</v>
      </c>
      <c r="D84" t="s">
        <v>204</v>
      </c>
      <c r="E84" t="s">
        <v>4843</v>
      </c>
      <c r="F84" t="s">
        <v>4782</v>
      </c>
      <c r="G84" t="s">
        <v>4854</v>
      </c>
      <c r="H84" t="s">
        <v>4773</v>
      </c>
      <c r="I84" t="s">
        <v>807</v>
      </c>
      <c r="J84" t="s">
        <v>710</v>
      </c>
      <c r="K84" t="s">
        <v>720</v>
      </c>
      <c r="L84" t="s">
        <v>721</v>
      </c>
      <c r="M84" s="9">
        <f>SUMIFS(#REF!,#REF!,
$A84,#REF!,
"&gt;="&amp;'Faturado mensal'!M$2,#REF!,
"&lt;"&amp;EOMONTH('Faturado mensal'!M$2,0))</f>
        <v>4845.29</v>
      </c>
      <c r="N84" s="9">
        <f>SUMIFS(#REF!,#REF!,
$A84,#REF!,
"&gt;="&amp;'Faturado mensal'!N$2,#REF!,
"&lt;"&amp;EOMONTH('Faturado mensal'!N$2,0))</f>
        <v>4845.29</v>
      </c>
      <c r="O84" s="9">
        <f>SUMIFS(#REF!,#REF!,
$A84,#REF!,
"&gt;="&amp;'Faturado mensal'!O$2,#REF!,
"&lt;"&amp;EOMONTH('Faturado mensal'!O$2,0))</f>
        <v>5435.28</v>
      </c>
      <c r="P84" s="9">
        <f>SUMIFS(#REF!,#REF!,
$A84,#REF!,
"&gt;="&amp;'Faturado mensal'!P$2,#REF!,
"&lt;"&amp;EOMONTH('Faturado mensal'!P$2,0))</f>
        <v>5140.3900000000003</v>
      </c>
      <c r="Q84" s="9">
        <f>SUMIFS(#REF!,#REF!,
$A84,#REF!,
"&gt;="&amp;'Faturado mensal'!Q$2,#REF!,
"&lt;"&amp;EOMONTH('Faturado mensal'!Q$2,0))</f>
        <v>5140.3900000000003</v>
      </c>
      <c r="R84" s="9">
        <f>SUMIFS(#REF!,#REF!,
$A84,#REF!,
"&gt;="&amp;'Faturado mensal'!R$2,#REF!,
"&lt;"&amp;EOMONTH('Faturado mensal'!R$2,0))</f>
        <v>5140.3900000000003</v>
      </c>
      <c r="S84" s="9">
        <f>SUMIFS(#REF!,#REF!,
$A84,#REF!,
"&gt;="&amp;'Faturado mensal'!S$2,#REF!,
"&lt;"&amp;EOMONTH('Faturado mensal'!S$2,0))</f>
        <v>5140.3900000000003</v>
      </c>
      <c r="T84" s="9">
        <f>SUMIFS(#REF!,#REF!,
$A84,#REF!,
"&gt;="&amp;'Faturado mensal'!T$2,#REF!,
"&lt;"&amp;EOMONTH('Faturado mensal'!T$2,0))</f>
        <v>5140.3900000000003</v>
      </c>
      <c r="U84" s="9">
        <f>SUMIFS(#REF!,#REF!,
$A84,#REF!,
"&gt;="&amp;'Faturado mensal'!U$2,#REF!,
"&lt;"&amp;EOMONTH('Faturado mensal'!U$2,0))</f>
        <v>5140.3900000000003</v>
      </c>
      <c r="V84" s="9">
        <f>SUMIFS(#REF!,#REF!,
$A84,#REF!,
"&gt;="&amp;'Faturado mensal'!V$2,#REF!,
"&lt;"&amp;EOMONTH('Faturado mensal'!V$2,0))</f>
        <v>5140.3900000000003</v>
      </c>
      <c r="W84" s="9">
        <f>SUMIFS(#REF!,#REF!,
$A84,#REF!,
"&gt;="&amp;'Faturado mensal'!W$2,#REF!,
"&lt;"&amp;EOMONTH('Faturado mensal'!W$2,0))</f>
        <v>5140.3900000000003</v>
      </c>
      <c r="X84" s="9">
        <f>SUMIFS(#REF!,#REF!,
$A84,#REF!,
"&gt;="&amp;'Faturado mensal'!X$2,#REF!,
"&lt;"&amp;EOMONTH('Faturado mensal'!X$2,0))</f>
        <v>5140.3900000000003</v>
      </c>
      <c r="Y84" s="11">
        <f>SUMIFS(#REF!,#REF!,
$A84,#REF!,
"&gt;="&amp;'Faturado mensal'!M$2,#REF!,
"&lt;"&amp;EOMONTH('Faturado mensal'!M$2,12))</f>
        <v>66529.759999999995</v>
      </c>
      <c r="Z84" s="9">
        <f>SUMIFS(#REF!,#REF!,
$A84,#REF!,
"&gt;="&amp;'Faturado mensal'!Z$2,#REF!,
"&lt;"&amp;EOMONTH('Faturado mensal'!Z$2,0))</f>
        <v>5140.3900000000003</v>
      </c>
      <c r="AA84" s="9">
        <f>SUMIFS(#REF!,#REF!,
$A84,#REF!,
"&gt;="&amp;'Faturado mensal'!AA$2,#REF!,
"&lt;"&amp;EOMONTH('Faturado mensal'!AA$2,0))</f>
        <v>9379.369999999999</v>
      </c>
      <c r="AB84" s="9">
        <f>SUMIFS(#REF!,#REF!,
$A84,#REF!,
"&gt;="&amp;'Faturado mensal'!AB$2,#REF!,
"&lt;"&amp;EOMONTH('Faturado mensal'!AB$2,0))</f>
        <v>5208.8900000000003</v>
      </c>
      <c r="AC84" s="9">
        <f>SUMIFS(#REF!,#REF!,
$A84,#REF!,
"&gt;="&amp;'Faturado mensal'!AC$2,#REF!,
"&lt;"&amp;EOMONTH('Faturado mensal'!AC$2,0))</f>
        <v>5208.8900000000003</v>
      </c>
      <c r="AD84" s="9">
        <f>SUMIFS(#REF!,#REF!,
$A84,#REF!,
"&gt;="&amp;'Faturado mensal'!AD$2,#REF!,
"&lt;"&amp;EOMONTH('Faturado mensal'!AD$2,0))</f>
        <v>5208.8900000000003</v>
      </c>
      <c r="AE84" s="9">
        <f>SUMIFS(#REF!,#REF!,
$A84,#REF!,
"&gt;="&amp;'Faturado mensal'!AE$2,#REF!,
"&lt;"&amp;EOMONTH('Faturado mensal'!AE$2,0))</f>
        <v>0</v>
      </c>
      <c r="AF84" s="9">
        <f>SUMIFS(#REF!,#REF!,
$A84,#REF!,
"&gt;="&amp;'Faturado mensal'!AF$2,#REF!,
"&lt;"&amp;EOMONTH('Faturado mensal'!AF$2,0))</f>
        <v>0</v>
      </c>
      <c r="AG84" s="9">
        <f>SUMIFS(#REF!,#REF!,
$A84,#REF!,
"&gt;="&amp;'Faturado mensal'!AG$2,#REF!,
"&lt;"&amp;EOMONTH('Faturado mensal'!AG$2,0))</f>
        <v>0</v>
      </c>
      <c r="AH84" s="9">
        <f>SUMIFS(#REF!,#REF!,
$A84,#REF!,
"&gt;="&amp;'Faturado mensal'!AH$2,#REF!,
"&lt;"&amp;EOMONTH('Faturado mensal'!AH$2,0))</f>
        <v>0</v>
      </c>
      <c r="AI84" s="9">
        <f>SUMIFS(#REF!,#REF!,
$A84,#REF!,
"&gt;="&amp;'Faturado mensal'!AI$2,#REF!,
"&lt;"&amp;EOMONTH('Faturado mensal'!AI$2,0))</f>
        <v>0</v>
      </c>
      <c r="AJ84" s="9">
        <f>SUMIFS(#REF!,#REF!,
$A84,#REF!,
"&gt;="&amp;'Faturado mensal'!AJ$2,#REF!,
"&lt;"&amp;EOMONTH('Faturado mensal'!AJ$2,0))</f>
        <v>0</v>
      </c>
      <c r="AK84" s="9">
        <f>SUMIFS(#REF!,#REF!,
$A84,#REF!,
"&gt;="&amp;'Faturado mensal'!AK$2,#REF!,
"&lt;"&amp;EOMONTH('Faturado mensal'!AK$2,0))</f>
        <v>0</v>
      </c>
      <c r="AL84" s="9">
        <f>SUMIFS(#REF!,#REF!,
$A84,#REF!,
"&gt;="&amp;Z$2,#REF!,
"&lt;"&amp;EOMONTH(AK$2,0))</f>
        <v>30146.429999999997</v>
      </c>
    </row>
    <row r="85" spans="1:38" x14ac:dyDescent="0.3">
      <c r="A85" t="s">
        <v>302</v>
      </c>
      <c r="B85" t="s">
        <v>303</v>
      </c>
      <c r="C85" t="s">
        <v>22</v>
      </c>
      <c r="D85" t="s">
        <v>204</v>
      </c>
      <c r="E85" t="s">
        <v>4834</v>
      </c>
      <c r="F85" t="s">
        <v>4776</v>
      </c>
      <c r="G85" t="s">
        <v>4854</v>
      </c>
      <c r="H85" t="s">
        <v>4773</v>
      </c>
      <c r="I85" t="s">
        <v>808</v>
      </c>
      <c r="J85" t="s">
        <v>710</v>
      </c>
      <c r="K85" t="s">
        <v>720</v>
      </c>
      <c r="L85" t="s">
        <v>721</v>
      </c>
      <c r="M85" s="9">
        <f>SUMIFS(#REF!,#REF!,
$A85,#REF!,
"&gt;="&amp;'Faturado mensal'!M$2,#REF!,
"&lt;"&amp;EOMONTH('Faturado mensal'!M$2,0))</f>
        <v>0</v>
      </c>
      <c r="N85" s="9">
        <f>SUMIFS(#REF!,#REF!,
$A85,#REF!,
"&gt;="&amp;'Faturado mensal'!N$2,#REF!,
"&lt;"&amp;EOMONTH('Faturado mensal'!N$2,0))</f>
        <v>0</v>
      </c>
      <c r="O85" s="9">
        <f>SUMIFS(#REF!,#REF!,
$A85,#REF!,
"&gt;="&amp;'Faturado mensal'!O$2,#REF!,
"&lt;"&amp;EOMONTH('Faturado mensal'!O$2,0))</f>
        <v>0</v>
      </c>
      <c r="P85" s="9">
        <f>SUMIFS(#REF!,#REF!,
$A85,#REF!,
"&gt;="&amp;'Faturado mensal'!P$2,#REF!,
"&lt;"&amp;EOMONTH('Faturado mensal'!P$2,0))</f>
        <v>0</v>
      </c>
      <c r="Q85" s="9">
        <f>SUMIFS(#REF!,#REF!,
$A85,#REF!,
"&gt;="&amp;'Faturado mensal'!Q$2,#REF!,
"&lt;"&amp;EOMONTH('Faturado mensal'!Q$2,0))</f>
        <v>0</v>
      </c>
      <c r="R85" s="9">
        <f>SUMIFS(#REF!,#REF!,
$A85,#REF!,
"&gt;="&amp;'Faturado mensal'!R$2,#REF!,
"&lt;"&amp;EOMONTH('Faturado mensal'!R$2,0))</f>
        <v>0</v>
      </c>
      <c r="S85" s="9">
        <f>SUMIFS(#REF!,#REF!,
$A85,#REF!,
"&gt;="&amp;'Faturado mensal'!S$2,#REF!,
"&lt;"&amp;EOMONTH('Faturado mensal'!S$2,0))</f>
        <v>0</v>
      </c>
      <c r="T85" s="9">
        <f>SUMIFS(#REF!,#REF!,
$A85,#REF!,
"&gt;="&amp;'Faturado mensal'!T$2,#REF!,
"&lt;"&amp;EOMONTH('Faturado mensal'!T$2,0))</f>
        <v>0</v>
      </c>
      <c r="U85" s="9">
        <f>SUMIFS(#REF!,#REF!,
$A85,#REF!,
"&gt;="&amp;'Faturado mensal'!U$2,#REF!,
"&lt;"&amp;EOMONTH('Faturado mensal'!U$2,0))</f>
        <v>0</v>
      </c>
      <c r="V85" s="9">
        <f>SUMIFS(#REF!,#REF!,
$A85,#REF!,
"&gt;="&amp;'Faturado mensal'!V$2,#REF!,
"&lt;"&amp;EOMONTH('Faturado mensal'!V$2,0))</f>
        <v>2436.35</v>
      </c>
      <c r="W85" s="9">
        <f>SUMIFS(#REF!,#REF!,
$A85,#REF!,
"&gt;="&amp;'Faturado mensal'!W$2,#REF!,
"&lt;"&amp;EOMONTH('Faturado mensal'!W$2,0))</f>
        <v>0</v>
      </c>
      <c r="X85" s="9">
        <f>SUMIFS(#REF!,#REF!,
$A85,#REF!,
"&gt;="&amp;'Faturado mensal'!X$2,#REF!,
"&lt;"&amp;EOMONTH('Faturado mensal'!X$2,0))</f>
        <v>0</v>
      </c>
      <c r="Y85" s="11">
        <f>SUMIFS(#REF!,#REF!,
$A85,#REF!,
"&gt;="&amp;'Faturado mensal'!M$2,#REF!,
"&lt;"&amp;EOMONTH('Faturado mensal'!M$2,12))</f>
        <v>2436.35</v>
      </c>
      <c r="Z85" s="9">
        <f>SUMIFS(#REF!,#REF!,
$A85,#REF!,
"&gt;="&amp;'Faturado mensal'!Z$2,#REF!,
"&lt;"&amp;EOMONTH('Faturado mensal'!Z$2,0))</f>
        <v>0</v>
      </c>
      <c r="AA85" s="9">
        <f>SUMIFS(#REF!,#REF!,
$A85,#REF!,
"&gt;="&amp;'Faturado mensal'!AA$2,#REF!,
"&lt;"&amp;EOMONTH('Faturado mensal'!AA$2,0))</f>
        <v>0</v>
      </c>
      <c r="AB85" s="9">
        <f>SUMIFS(#REF!,#REF!,
$A85,#REF!,
"&gt;="&amp;'Faturado mensal'!AB$2,#REF!,
"&lt;"&amp;EOMONTH('Faturado mensal'!AB$2,0))</f>
        <v>0</v>
      </c>
      <c r="AC85" s="9">
        <f>SUMIFS(#REF!,#REF!,
$A85,#REF!,
"&gt;="&amp;'Faturado mensal'!AC$2,#REF!,
"&lt;"&amp;EOMONTH('Faturado mensal'!AC$2,0))</f>
        <v>0</v>
      </c>
      <c r="AD85" s="9">
        <f>SUMIFS(#REF!,#REF!,
$A85,#REF!,
"&gt;="&amp;'Faturado mensal'!AD$2,#REF!,
"&lt;"&amp;EOMONTH('Faturado mensal'!AD$2,0))</f>
        <v>0</v>
      </c>
      <c r="AE85" s="9">
        <f>SUMIFS(#REF!,#REF!,
$A85,#REF!,
"&gt;="&amp;'Faturado mensal'!AE$2,#REF!,
"&lt;"&amp;EOMONTH('Faturado mensal'!AE$2,0))</f>
        <v>0</v>
      </c>
      <c r="AF85" s="9">
        <f>SUMIFS(#REF!,#REF!,
$A85,#REF!,
"&gt;="&amp;'Faturado mensal'!AF$2,#REF!,
"&lt;"&amp;EOMONTH('Faturado mensal'!AF$2,0))</f>
        <v>0</v>
      </c>
      <c r="AG85" s="9">
        <f>SUMIFS(#REF!,#REF!,
$A85,#REF!,
"&gt;="&amp;'Faturado mensal'!AG$2,#REF!,
"&lt;"&amp;EOMONTH('Faturado mensal'!AG$2,0))</f>
        <v>0</v>
      </c>
      <c r="AH85" s="9">
        <f>SUMIFS(#REF!,#REF!,
$A85,#REF!,
"&gt;="&amp;'Faturado mensal'!AH$2,#REF!,
"&lt;"&amp;EOMONTH('Faturado mensal'!AH$2,0))</f>
        <v>0</v>
      </c>
      <c r="AI85" s="9">
        <f>SUMIFS(#REF!,#REF!,
$A85,#REF!,
"&gt;="&amp;'Faturado mensal'!AI$2,#REF!,
"&lt;"&amp;EOMONTH('Faturado mensal'!AI$2,0))</f>
        <v>0</v>
      </c>
      <c r="AJ85" s="9">
        <f>SUMIFS(#REF!,#REF!,
$A85,#REF!,
"&gt;="&amp;'Faturado mensal'!AJ$2,#REF!,
"&lt;"&amp;EOMONTH('Faturado mensal'!AJ$2,0))</f>
        <v>0</v>
      </c>
      <c r="AK85" s="9">
        <f>SUMIFS(#REF!,#REF!,
$A85,#REF!,
"&gt;="&amp;'Faturado mensal'!AK$2,#REF!,
"&lt;"&amp;EOMONTH('Faturado mensal'!AK$2,0))</f>
        <v>0</v>
      </c>
      <c r="AL85" s="9">
        <f>SUMIFS(#REF!,#REF!,
$A85,#REF!,
"&gt;="&amp;Z$2,#REF!,
"&lt;"&amp;EOMONTH(AK$2,0))</f>
        <v>0</v>
      </c>
    </row>
    <row r="86" spans="1:38" x14ac:dyDescent="0.3">
      <c r="A86" t="s">
        <v>304</v>
      </c>
      <c r="B86" t="s">
        <v>305</v>
      </c>
      <c r="C86" t="s">
        <v>59</v>
      </c>
      <c r="D86" t="s">
        <v>204</v>
      </c>
      <c r="E86" t="s">
        <v>4843</v>
      </c>
      <c r="F86" t="s">
        <v>4783</v>
      </c>
      <c r="G86" t="s">
        <v>4854</v>
      </c>
      <c r="H86" t="s">
        <v>4771</v>
      </c>
      <c r="I86" t="s">
        <v>807</v>
      </c>
      <c r="J86" t="s">
        <v>809</v>
      </c>
      <c r="K86" t="s">
        <v>720</v>
      </c>
      <c r="L86" t="s">
        <v>721</v>
      </c>
      <c r="M86" s="9">
        <f>SUMIFS(#REF!,#REF!,
$A86,#REF!,
"&gt;="&amp;'Faturado mensal'!M$2,#REF!,
"&lt;"&amp;EOMONTH('Faturado mensal'!M$2,0))</f>
        <v>600</v>
      </c>
      <c r="N86" s="9">
        <f>SUMIFS(#REF!,#REF!,
$A86,#REF!,
"&gt;="&amp;'Faturado mensal'!N$2,#REF!,
"&lt;"&amp;EOMONTH('Faturado mensal'!N$2,0))</f>
        <v>8047.9</v>
      </c>
      <c r="O86" s="9">
        <f>SUMIFS(#REF!,#REF!,
$A86,#REF!,
"&gt;="&amp;'Faturado mensal'!O$2,#REF!,
"&lt;"&amp;EOMONTH('Faturado mensal'!O$2,0))</f>
        <v>5680</v>
      </c>
      <c r="P86" s="9">
        <f>SUMIFS(#REF!,#REF!,
$A86,#REF!,
"&gt;="&amp;'Faturado mensal'!P$2,#REF!,
"&lt;"&amp;EOMONTH('Faturado mensal'!P$2,0))</f>
        <v>4030</v>
      </c>
      <c r="Q86" s="9">
        <f>SUMIFS(#REF!,#REF!,
$A86,#REF!,
"&gt;="&amp;'Faturado mensal'!Q$2,#REF!,
"&lt;"&amp;EOMONTH('Faturado mensal'!Q$2,0))</f>
        <v>16620</v>
      </c>
      <c r="R86" s="9">
        <f>SUMIFS(#REF!,#REF!,
$A86,#REF!,
"&gt;="&amp;'Faturado mensal'!R$2,#REF!,
"&lt;"&amp;EOMONTH('Faturado mensal'!R$2,0))</f>
        <v>15705.9</v>
      </c>
      <c r="S86" s="9">
        <f>SUMIFS(#REF!,#REF!,
$A86,#REF!,
"&gt;="&amp;'Faturado mensal'!S$2,#REF!,
"&lt;"&amp;EOMONTH('Faturado mensal'!S$2,0))</f>
        <v>4918</v>
      </c>
      <c r="T86" s="9">
        <f>SUMIFS(#REF!,#REF!,
$A86,#REF!,
"&gt;="&amp;'Faturado mensal'!T$2,#REF!,
"&lt;"&amp;EOMONTH('Faturado mensal'!T$2,0))</f>
        <v>754.02</v>
      </c>
      <c r="U86" s="9">
        <f>SUMIFS(#REF!,#REF!,
$A86,#REF!,
"&gt;="&amp;'Faturado mensal'!U$2,#REF!,
"&lt;"&amp;EOMONTH('Faturado mensal'!U$2,0))</f>
        <v>10037.219999999999</v>
      </c>
      <c r="V86" s="9">
        <f>SUMIFS(#REF!,#REF!,
$A86,#REF!,
"&gt;="&amp;'Faturado mensal'!V$2,#REF!,
"&lt;"&amp;EOMONTH('Faturado mensal'!V$2,0))</f>
        <v>0</v>
      </c>
      <c r="W86" s="9">
        <f>SUMIFS(#REF!,#REF!,
$A86,#REF!,
"&gt;="&amp;'Faturado mensal'!W$2,#REF!,
"&lt;"&amp;EOMONTH('Faturado mensal'!W$2,0))</f>
        <v>1972.34</v>
      </c>
      <c r="X86" s="9">
        <f>SUMIFS(#REF!,#REF!,
$A86,#REF!,
"&gt;="&amp;'Faturado mensal'!X$2,#REF!,
"&lt;"&amp;EOMONTH('Faturado mensal'!X$2,0))</f>
        <v>7170.48</v>
      </c>
      <c r="Y86" s="11">
        <f>SUMIFS(#REF!,#REF!,
$A86,#REF!,
"&gt;="&amp;'Faturado mensal'!M$2,#REF!,
"&lt;"&amp;EOMONTH('Faturado mensal'!M$2,12))</f>
        <v>76658.760000000009</v>
      </c>
      <c r="Z86" s="9">
        <f>SUMIFS(#REF!,#REF!,
$A86,#REF!,
"&gt;="&amp;'Faturado mensal'!Z$2,#REF!,
"&lt;"&amp;EOMONTH('Faturado mensal'!Z$2,0))</f>
        <v>1122.9000000000001</v>
      </c>
      <c r="AA86" s="9">
        <f>SUMIFS(#REF!,#REF!,
$A86,#REF!,
"&gt;="&amp;'Faturado mensal'!AA$2,#REF!,
"&lt;"&amp;EOMONTH('Faturado mensal'!AA$2,0))</f>
        <v>1996.36</v>
      </c>
      <c r="AB86" s="9">
        <f>SUMIFS(#REF!,#REF!,
$A86,#REF!,
"&gt;="&amp;'Faturado mensal'!AB$2,#REF!,
"&lt;"&amp;EOMONTH('Faturado mensal'!AB$2,0))</f>
        <v>5695.9</v>
      </c>
      <c r="AC86" s="9">
        <f>SUMIFS(#REF!,#REF!,
$A86,#REF!,
"&gt;="&amp;'Faturado mensal'!AC$2,#REF!,
"&lt;"&amp;EOMONTH('Faturado mensal'!AC$2,0))</f>
        <v>8261.14</v>
      </c>
      <c r="AD86" s="9">
        <f>SUMIFS(#REF!,#REF!,
$A86,#REF!,
"&gt;="&amp;'Faturado mensal'!AD$2,#REF!,
"&lt;"&amp;EOMONTH('Faturado mensal'!AD$2,0))</f>
        <v>9133.48</v>
      </c>
      <c r="AE86" s="9">
        <f>SUMIFS(#REF!,#REF!,
$A86,#REF!,
"&gt;="&amp;'Faturado mensal'!AE$2,#REF!,
"&lt;"&amp;EOMONTH('Faturado mensal'!AE$2,0))</f>
        <v>12172.060000000001</v>
      </c>
      <c r="AF86" s="9">
        <f>SUMIFS(#REF!,#REF!,
$A86,#REF!,
"&gt;="&amp;'Faturado mensal'!AF$2,#REF!,
"&lt;"&amp;EOMONTH('Faturado mensal'!AF$2,0))</f>
        <v>0</v>
      </c>
      <c r="AG86" s="9">
        <f>SUMIFS(#REF!,#REF!,
$A86,#REF!,
"&gt;="&amp;'Faturado mensal'!AG$2,#REF!,
"&lt;"&amp;EOMONTH('Faturado mensal'!AG$2,0))</f>
        <v>0</v>
      </c>
      <c r="AH86" s="9">
        <f>SUMIFS(#REF!,#REF!,
$A86,#REF!,
"&gt;="&amp;'Faturado mensal'!AH$2,#REF!,
"&lt;"&amp;EOMONTH('Faturado mensal'!AH$2,0))</f>
        <v>0</v>
      </c>
      <c r="AI86" s="9">
        <f>SUMIFS(#REF!,#REF!,
$A86,#REF!,
"&gt;="&amp;'Faturado mensal'!AI$2,#REF!,
"&lt;"&amp;EOMONTH('Faturado mensal'!AI$2,0))</f>
        <v>0</v>
      </c>
      <c r="AJ86" s="9">
        <f>SUMIFS(#REF!,#REF!,
$A86,#REF!,
"&gt;="&amp;'Faturado mensal'!AJ$2,#REF!,
"&lt;"&amp;EOMONTH('Faturado mensal'!AJ$2,0))</f>
        <v>0</v>
      </c>
      <c r="AK86" s="9">
        <f>SUMIFS(#REF!,#REF!,
$A86,#REF!,
"&gt;="&amp;'Faturado mensal'!AK$2,#REF!,
"&lt;"&amp;EOMONTH('Faturado mensal'!AK$2,0))</f>
        <v>0</v>
      </c>
      <c r="AL86" s="9">
        <f>SUMIFS(#REF!,#REF!,
$A86,#REF!,
"&gt;="&amp;Z$2,#REF!,
"&lt;"&amp;EOMONTH(AK$2,0))</f>
        <v>38381.839999999997</v>
      </c>
    </row>
    <row r="87" spans="1:38" x14ac:dyDescent="0.3">
      <c r="A87" t="s">
        <v>810</v>
      </c>
      <c r="B87" t="s">
        <v>811</v>
      </c>
      <c r="C87" t="s">
        <v>812</v>
      </c>
      <c r="D87" t="s">
        <v>209</v>
      </c>
      <c r="I87" t="s">
        <v>813</v>
      </c>
      <c r="J87" t="s">
        <v>814</v>
      </c>
      <c r="K87" t="s">
        <v>720</v>
      </c>
      <c r="L87" t="s">
        <v>721</v>
      </c>
      <c r="M87" s="9">
        <f>SUMIFS(#REF!,#REF!,
$A87,#REF!,
"&gt;="&amp;'Faturado mensal'!M$2,#REF!,
"&lt;"&amp;EOMONTH('Faturado mensal'!M$2,0))</f>
        <v>0</v>
      </c>
      <c r="N87" s="9">
        <f>SUMIFS(#REF!,#REF!,
$A87,#REF!,
"&gt;="&amp;'Faturado mensal'!N$2,#REF!,
"&lt;"&amp;EOMONTH('Faturado mensal'!N$2,0))</f>
        <v>0</v>
      </c>
      <c r="O87" s="9">
        <f>SUMIFS(#REF!,#REF!,
$A87,#REF!,
"&gt;="&amp;'Faturado mensal'!O$2,#REF!,
"&lt;"&amp;EOMONTH('Faturado mensal'!O$2,0))</f>
        <v>0</v>
      </c>
      <c r="P87" s="9">
        <f>SUMIFS(#REF!,#REF!,
$A87,#REF!,
"&gt;="&amp;'Faturado mensal'!P$2,#REF!,
"&lt;"&amp;EOMONTH('Faturado mensal'!P$2,0))</f>
        <v>0</v>
      </c>
      <c r="Q87" s="9">
        <f>SUMIFS(#REF!,#REF!,
$A87,#REF!,
"&gt;="&amp;'Faturado mensal'!Q$2,#REF!,
"&lt;"&amp;EOMONTH('Faturado mensal'!Q$2,0))</f>
        <v>0</v>
      </c>
      <c r="R87" s="9">
        <f>SUMIFS(#REF!,#REF!,
$A87,#REF!,
"&gt;="&amp;'Faturado mensal'!R$2,#REF!,
"&lt;"&amp;EOMONTH('Faturado mensal'!R$2,0))</f>
        <v>0</v>
      </c>
      <c r="S87" s="9">
        <f>SUMIFS(#REF!,#REF!,
$A87,#REF!,
"&gt;="&amp;'Faturado mensal'!S$2,#REF!,
"&lt;"&amp;EOMONTH('Faturado mensal'!S$2,0))</f>
        <v>0</v>
      </c>
      <c r="T87" s="9">
        <f>SUMIFS(#REF!,#REF!,
$A87,#REF!,
"&gt;="&amp;'Faturado mensal'!T$2,#REF!,
"&lt;"&amp;EOMONTH('Faturado mensal'!T$2,0))</f>
        <v>0</v>
      </c>
      <c r="U87" s="9">
        <f>SUMIFS(#REF!,#REF!,
$A87,#REF!,
"&gt;="&amp;'Faturado mensal'!U$2,#REF!,
"&lt;"&amp;EOMONTH('Faturado mensal'!U$2,0))</f>
        <v>0</v>
      </c>
      <c r="V87" s="9">
        <f>SUMIFS(#REF!,#REF!,
$A87,#REF!,
"&gt;="&amp;'Faturado mensal'!V$2,#REF!,
"&lt;"&amp;EOMONTH('Faturado mensal'!V$2,0))</f>
        <v>0</v>
      </c>
      <c r="W87" s="9">
        <f>SUMIFS(#REF!,#REF!,
$A87,#REF!,
"&gt;="&amp;'Faturado mensal'!W$2,#REF!,
"&lt;"&amp;EOMONTH('Faturado mensal'!W$2,0))</f>
        <v>0</v>
      </c>
      <c r="X87" s="9">
        <f>SUMIFS(#REF!,#REF!,
$A87,#REF!,
"&gt;="&amp;'Faturado mensal'!X$2,#REF!,
"&lt;"&amp;EOMONTH('Faturado mensal'!X$2,0))</f>
        <v>0</v>
      </c>
      <c r="Y87" s="11">
        <f>SUMIFS(#REF!,#REF!,
$A87,#REF!,
"&gt;="&amp;'Faturado mensal'!M$2,#REF!,
"&lt;"&amp;EOMONTH('Faturado mensal'!M$2,12))</f>
        <v>0</v>
      </c>
      <c r="Z87" s="9">
        <f>SUMIFS(#REF!,#REF!,
$A87,#REF!,
"&gt;="&amp;'Faturado mensal'!Z$2,#REF!,
"&lt;"&amp;EOMONTH('Faturado mensal'!Z$2,0))</f>
        <v>0</v>
      </c>
      <c r="AA87" s="9">
        <f>SUMIFS(#REF!,#REF!,
$A87,#REF!,
"&gt;="&amp;'Faturado mensal'!AA$2,#REF!,
"&lt;"&amp;EOMONTH('Faturado mensal'!AA$2,0))</f>
        <v>0</v>
      </c>
      <c r="AB87" s="9">
        <f>SUMIFS(#REF!,#REF!,
$A87,#REF!,
"&gt;="&amp;'Faturado mensal'!AB$2,#REF!,
"&lt;"&amp;EOMONTH('Faturado mensal'!AB$2,0))</f>
        <v>0</v>
      </c>
      <c r="AC87" s="9">
        <f>SUMIFS(#REF!,#REF!,
$A87,#REF!,
"&gt;="&amp;'Faturado mensal'!AC$2,#REF!,
"&lt;"&amp;EOMONTH('Faturado mensal'!AC$2,0))</f>
        <v>0</v>
      </c>
      <c r="AD87" s="9">
        <f>SUMIFS(#REF!,#REF!,
$A87,#REF!,
"&gt;="&amp;'Faturado mensal'!AD$2,#REF!,
"&lt;"&amp;EOMONTH('Faturado mensal'!AD$2,0))</f>
        <v>0</v>
      </c>
      <c r="AE87" s="9">
        <f>SUMIFS(#REF!,#REF!,
$A87,#REF!,
"&gt;="&amp;'Faturado mensal'!AE$2,#REF!,
"&lt;"&amp;EOMONTH('Faturado mensal'!AE$2,0))</f>
        <v>0</v>
      </c>
      <c r="AF87" s="9">
        <f>SUMIFS(#REF!,#REF!,
$A87,#REF!,
"&gt;="&amp;'Faturado mensal'!AF$2,#REF!,
"&lt;"&amp;EOMONTH('Faturado mensal'!AF$2,0))</f>
        <v>0</v>
      </c>
      <c r="AG87" s="9">
        <f>SUMIFS(#REF!,#REF!,
$A87,#REF!,
"&gt;="&amp;'Faturado mensal'!AG$2,#REF!,
"&lt;"&amp;EOMONTH('Faturado mensal'!AG$2,0))</f>
        <v>0</v>
      </c>
      <c r="AH87" s="9">
        <f>SUMIFS(#REF!,#REF!,
$A87,#REF!,
"&gt;="&amp;'Faturado mensal'!AH$2,#REF!,
"&lt;"&amp;EOMONTH('Faturado mensal'!AH$2,0))</f>
        <v>0</v>
      </c>
      <c r="AI87" s="9">
        <f>SUMIFS(#REF!,#REF!,
$A87,#REF!,
"&gt;="&amp;'Faturado mensal'!AI$2,#REF!,
"&lt;"&amp;EOMONTH('Faturado mensal'!AI$2,0))</f>
        <v>0</v>
      </c>
      <c r="AJ87" s="9">
        <f>SUMIFS(#REF!,#REF!,
$A87,#REF!,
"&gt;="&amp;'Faturado mensal'!AJ$2,#REF!,
"&lt;"&amp;EOMONTH('Faturado mensal'!AJ$2,0))</f>
        <v>0</v>
      </c>
      <c r="AK87" s="9">
        <f>SUMIFS(#REF!,#REF!,
$A87,#REF!,
"&gt;="&amp;'Faturado mensal'!AK$2,#REF!,
"&lt;"&amp;EOMONTH('Faturado mensal'!AK$2,0))</f>
        <v>0</v>
      </c>
      <c r="AL87" s="9">
        <f>SUMIFS(#REF!,#REF!,
$A87,#REF!,
"&gt;="&amp;Z$2,#REF!,
"&lt;"&amp;EOMONTH(AK$2,0))</f>
        <v>0</v>
      </c>
    </row>
    <row r="88" spans="1:38" x14ac:dyDescent="0.3">
      <c r="A88" t="s">
        <v>306</v>
      </c>
      <c r="B88" t="s">
        <v>307</v>
      </c>
      <c r="C88" t="s">
        <v>126</v>
      </c>
      <c r="D88" t="s">
        <v>209</v>
      </c>
      <c r="G88" t="s">
        <v>4852</v>
      </c>
      <c r="H88" t="s">
        <v>4772</v>
      </c>
      <c r="I88" t="s">
        <v>815</v>
      </c>
      <c r="J88" t="s">
        <v>816</v>
      </c>
      <c r="K88" t="s">
        <v>711</v>
      </c>
      <c r="L88" t="s">
        <v>712</v>
      </c>
      <c r="M88" s="9">
        <f>SUMIFS(#REF!,#REF!,
$A88,#REF!,
"&gt;="&amp;'Faturado mensal'!M$2,#REF!,
"&lt;"&amp;EOMONTH('Faturado mensal'!M$2,0))</f>
        <v>0</v>
      </c>
      <c r="N88" s="9">
        <f>SUMIFS(#REF!,#REF!,
$A88,#REF!,
"&gt;="&amp;'Faturado mensal'!N$2,#REF!,
"&lt;"&amp;EOMONTH('Faturado mensal'!N$2,0))</f>
        <v>0</v>
      </c>
      <c r="O88" s="9">
        <f>SUMIFS(#REF!,#REF!,
$A88,#REF!,
"&gt;="&amp;'Faturado mensal'!O$2,#REF!,
"&lt;"&amp;EOMONTH('Faturado mensal'!O$2,0))</f>
        <v>0</v>
      </c>
      <c r="P88" s="9">
        <f>SUMIFS(#REF!,#REF!,
$A88,#REF!,
"&gt;="&amp;'Faturado mensal'!P$2,#REF!,
"&lt;"&amp;EOMONTH('Faturado mensal'!P$2,0))</f>
        <v>0</v>
      </c>
      <c r="Q88" s="9">
        <f>SUMIFS(#REF!,#REF!,
$A88,#REF!,
"&gt;="&amp;'Faturado mensal'!Q$2,#REF!,
"&lt;"&amp;EOMONTH('Faturado mensal'!Q$2,0))</f>
        <v>0</v>
      </c>
      <c r="R88" s="9">
        <f>SUMIFS(#REF!,#REF!,
$A88,#REF!,
"&gt;="&amp;'Faturado mensal'!R$2,#REF!,
"&lt;"&amp;EOMONTH('Faturado mensal'!R$2,0))</f>
        <v>0</v>
      </c>
      <c r="S88" s="9">
        <f>SUMIFS(#REF!,#REF!,
$A88,#REF!,
"&gt;="&amp;'Faturado mensal'!S$2,#REF!,
"&lt;"&amp;EOMONTH('Faturado mensal'!S$2,0))</f>
        <v>0</v>
      </c>
      <c r="T88" s="9">
        <f>SUMIFS(#REF!,#REF!,
$A88,#REF!,
"&gt;="&amp;'Faturado mensal'!T$2,#REF!,
"&lt;"&amp;EOMONTH('Faturado mensal'!T$2,0))</f>
        <v>0</v>
      </c>
      <c r="U88" s="9">
        <f>SUMIFS(#REF!,#REF!,
$A88,#REF!,
"&gt;="&amp;'Faturado mensal'!U$2,#REF!,
"&lt;"&amp;EOMONTH('Faturado mensal'!U$2,0))</f>
        <v>0</v>
      </c>
      <c r="V88" s="9">
        <f>SUMIFS(#REF!,#REF!,
$A88,#REF!,
"&gt;="&amp;'Faturado mensal'!V$2,#REF!,
"&lt;"&amp;EOMONTH('Faturado mensal'!V$2,0))</f>
        <v>0</v>
      </c>
      <c r="W88" s="9">
        <f>SUMIFS(#REF!,#REF!,
$A88,#REF!,
"&gt;="&amp;'Faturado mensal'!W$2,#REF!,
"&lt;"&amp;EOMONTH('Faturado mensal'!W$2,0))</f>
        <v>0</v>
      </c>
      <c r="X88" s="9">
        <f>SUMIFS(#REF!,#REF!,
$A88,#REF!,
"&gt;="&amp;'Faturado mensal'!X$2,#REF!,
"&lt;"&amp;EOMONTH('Faturado mensal'!X$2,0))</f>
        <v>0</v>
      </c>
      <c r="Y88" s="11">
        <f>SUMIFS(#REF!,#REF!,
$A88,#REF!,
"&gt;="&amp;'Faturado mensal'!M$2,#REF!,
"&lt;"&amp;EOMONTH('Faturado mensal'!M$2,12))</f>
        <v>0</v>
      </c>
      <c r="Z88" s="9">
        <f>SUMIFS(#REF!,#REF!,
$A88,#REF!,
"&gt;="&amp;'Faturado mensal'!Z$2,#REF!,
"&lt;"&amp;EOMONTH('Faturado mensal'!Z$2,0))</f>
        <v>0</v>
      </c>
      <c r="AA88" s="9">
        <f>SUMIFS(#REF!,#REF!,
$A88,#REF!,
"&gt;="&amp;'Faturado mensal'!AA$2,#REF!,
"&lt;"&amp;EOMONTH('Faturado mensal'!AA$2,0))</f>
        <v>0</v>
      </c>
      <c r="AB88" s="9">
        <f>SUMIFS(#REF!,#REF!,
$A88,#REF!,
"&gt;="&amp;'Faturado mensal'!AB$2,#REF!,
"&lt;"&amp;EOMONTH('Faturado mensal'!AB$2,0))</f>
        <v>0</v>
      </c>
      <c r="AC88" s="9">
        <f>SUMIFS(#REF!,#REF!,
$A88,#REF!,
"&gt;="&amp;'Faturado mensal'!AC$2,#REF!,
"&lt;"&amp;EOMONTH('Faturado mensal'!AC$2,0))</f>
        <v>0</v>
      </c>
      <c r="AD88" s="9">
        <f>SUMIFS(#REF!,#REF!,
$A88,#REF!,
"&gt;="&amp;'Faturado mensal'!AD$2,#REF!,
"&lt;"&amp;EOMONTH('Faturado mensal'!AD$2,0))</f>
        <v>0</v>
      </c>
      <c r="AE88" s="9">
        <f>SUMIFS(#REF!,#REF!,
$A88,#REF!,
"&gt;="&amp;'Faturado mensal'!AE$2,#REF!,
"&lt;"&amp;EOMONTH('Faturado mensal'!AE$2,0))</f>
        <v>0</v>
      </c>
      <c r="AF88" s="9">
        <f>SUMIFS(#REF!,#REF!,
$A88,#REF!,
"&gt;="&amp;'Faturado mensal'!AF$2,#REF!,
"&lt;"&amp;EOMONTH('Faturado mensal'!AF$2,0))</f>
        <v>0</v>
      </c>
      <c r="AG88" s="9">
        <f>SUMIFS(#REF!,#REF!,
$A88,#REF!,
"&gt;="&amp;'Faturado mensal'!AG$2,#REF!,
"&lt;"&amp;EOMONTH('Faturado mensal'!AG$2,0))</f>
        <v>0</v>
      </c>
      <c r="AH88" s="9">
        <f>SUMIFS(#REF!,#REF!,
$A88,#REF!,
"&gt;="&amp;'Faturado mensal'!AH$2,#REF!,
"&lt;"&amp;EOMONTH('Faturado mensal'!AH$2,0))</f>
        <v>0</v>
      </c>
      <c r="AI88" s="9">
        <f>SUMIFS(#REF!,#REF!,
$A88,#REF!,
"&gt;="&amp;'Faturado mensal'!AI$2,#REF!,
"&lt;"&amp;EOMONTH('Faturado mensal'!AI$2,0))</f>
        <v>0</v>
      </c>
      <c r="AJ88" s="9">
        <f>SUMIFS(#REF!,#REF!,
$A88,#REF!,
"&gt;="&amp;'Faturado mensal'!AJ$2,#REF!,
"&lt;"&amp;EOMONTH('Faturado mensal'!AJ$2,0))</f>
        <v>0</v>
      </c>
      <c r="AK88" s="9">
        <f>SUMIFS(#REF!,#REF!,
$A88,#REF!,
"&gt;="&amp;'Faturado mensal'!AK$2,#REF!,
"&lt;"&amp;EOMONTH('Faturado mensal'!AK$2,0))</f>
        <v>0</v>
      </c>
      <c r="AL88" s="9">
        <f>SUMIFS(#REF!,#REF!,
$A88,#REF!,
"&gt;="&amp;Z$2,#REF!,
"&lt;"&amp;EOMONTH(AK$2,0))</f>
        <v>0</v>
      </c>
    </row>
    <row r="89" spans="1:38" x14ac:dyDescent="0.3">
      <c r="A89" t="s">
        <v>308</v>
      </c>
      <c r="B89" t="s">
        <v>307</v>
      </c>
      <c r="C89" t="s">
        <v>126</v>
      </c>
      <c r="D89" t="s">
        <v>209</v>
      </c>
      <c r="G89" t="s">
        <v>4852</v>
      </c>
      <c r="H89" t="s">
        <v>4772</v>
      </c>
      <c r="I89" t="s">
        <v>817</v>
      </c>
      <c r="J89" t="s">
        <v>818</v>
      </c>
      <c r="K89" t="s">
        <v>748</v>
      </c>
      <c r="L89" t="s">
        <v>749</v>
      </c>
      <c r="M89" s="9">
        <f>SUMIFS(#REF!,#REF!,
$A89,#REF!,
"&gt;="&amp;'Faturado mensal'!M$2,#REF!,
"&lt;"&amp;EOMONTH('Faturado mensal'!M$2,0))</f>
        <v>0</v>
      </c>
      <c r="N89" s="9">
        <f>SUMIFS(#REF!,#REF!,
$A89,#REF!,
"&gt;="&amp;'Faturado mensal'!N$2,#REF!,
"&lt;"&amp;EOMONTH('Faturado mensal'!N$2,0))</f>
        <v>0</v>
      </c>
      <c r="O89" s="9">
        <f>SUMIFS(#REF!,#REF!,
$A89,#REF!,
"&gt;="&amp;'Faturado mensal'!O$2,#REF!,
"&lt;"&amp;EOMONTH('Faturado mensal'!O$2,0))</f>
        <v>0</v>
      </c>
      <c r="P89" s="9">
        <f>SUMIFS(#REF!,#REF!,
$A89,#REF!,
"&gt;="&amp;'Faturado mensal'!P$2,#REF!,
"&lt;"&amp;EOMONTH('Faturado mensal'!P$2,0))</f>
        <v>0</v>
      </c>
      <c r="Q89" s="9">
        <f>SUMIFS(#REF!,#REF!,
$A89,#REF!,
"&gt;="&amp;'Faturado mensal'!Q$2,#REF!,
"&lt;"&amp;EOMONTH('Faturado mensal'!Q$2,0))</f>
        <v>0</v>
      </c>
      <c r="R89" s="9">
        <f>SUMIFS(#REF!,#REF!,
$A89,#REF!,
"&gt;="&amp;'Faturado mensal'!R$2,#REF!,
"&lt;"&amp;EOMONTH('Faturado mensal'!R$2,0))</f>
        <v>0</v>
      </c>
      <c r="S89" s="9">
        <f>SUMIFS(#REF!,#REF!,
$A89,#REF!,
"&gt;="&amp;'Faturado mensal'!S$2,#REF!,
"&lt;"&amp;EOMONTH('Faturado mensal'!S$2,0))</f>
        <v>0</v>
      </c>
      <c r="T89" s="9">
        <f>SUMIFS(#REF!,#REF!,
$A89,#REF!,
"&gt;="&amp;'Faturado mensal'!T$2,#REF!,
"&lt;"&amp;EOMONTH('Faturado mensal'!T$2,0))</f>
        <v>0</v>
      </c>
      <c r="U89" s="9">
        <f>SUMIFS(#REF!,#REF!,
$A89,#REF!,
"&gt;="&amp;'Faturado mensal'!U$2,#REF!,
"&lt;"&amp;EOMONTH('Faturado mensal'!U$2,0))</f>
        <v>0</v>
      </c>
      <c r="V89" s="9">
        <f>SUMIFS(#REF!,#REF!,
$A89,#REF!,
"&gt;="&amp;'Faturado mensal'!V$2,#REF!,
"&lt;"&amp;EOMONTH('Faturado mensal'!V$2,0))</f>
        <v>0</v>
      </c>
      <c r="W89" s="9">
        <f>SUMIFS(#REF!,#REF!,
$A89,#REF!,
"&gt;="&amp;'Faturado mensal'!W$2,#REF!,
"&lt;"&amp;EOMONTH('Faturado mensal'!W$2,0))</f>
        <v>0</v>
      </c>
      <c r="X89" s="9">
        <f>SUMIFS(#REF!,#REF!,
$A89,#REF!,
"&gt;="&amp;'Faturado mensal'!X$2,#REF!,
"&lt;"&amp;EOMONTH('Faturado mensal'!X$2,0))</f>
        <v>0</v>
      </c>
      <c r="Y89" s="11">
        <f>SUMIFS(#REF!,#REF!,
$A89,#REF!,
"&gt;="&amp;'Faturado mensal'!M$2,#REF!,
"&lt;"&amp;EOMONTH('Faturado mensal'!M$2,12))</f>
        <v>0</v>
      </c>
      <c r="Z89" s="9">
        <f>SUMIFS(#REF!,#REF!,
$A89,#REF!,
"&gt;="&amp;'Faturado mensal'!Z$2,#REF!,
"&lt;"&amp;EOMONTH('Faturado mensal'!Z$2,0))</f>
        <v>0</v>
      </c>
      <c r="AA89" s="9">
        <f>SUMIFS(#REF!,#REF!,
$A89,#REF!,
"&gt;="&amp;'Faturado mensal'!AA$2,#REF!,
"&lt;"&amp;EOMONTH('Faturado mensal'!AA$2,0))</f>
        <v>0</v>
      </c>
      <c r="AB89" s="9">
        <f>SUMIFS(#REF!,#REF!,
$A89,#REF!,
"&gt;="&amp;'Faturado mensal'!AB$2,#REF!,
"&lt;"&amp;EOMONTH('Faturado mensal'!AB$2,0))</f>
        <v>0</v>
      </c>
      <c r="AC89" s="9">
        <f>SUMIFS(#REF!,#REF!,
$A89,#REF!,
"&gt;="&amp;'Faturado mensal'!AC$2,#REF!,
"&lt;"&amp;EOMONTH('Faturado mensal'!AC$2,0))</f>
        <v>0</v>
      </c>
      <c r="AD89" s="9">
        <f>SUMIFS(#REF!,#REF!,
$A89,#REF!,
"&gt;="&amp;'Faturado mensal'!AD$2,#REF!,
"&lt;"&amp;EOMONTH('Faturado mensal'!AD$2,0))</f>
        <v>0</v>
      </c>
      <c r="AE89" s="9">
        <f>SUMIFS(#REF!,#REF!,
$A89,#REF!,
"&gt;="&amp;'Faturado mensal'!AE$2,#REF!,
"&lt;"&amp;EOMONTH('Faturado mensal'!AE$2,0))</f>
        <v>0</v>
      </c>
      <c r="AF89" s="9">
        <f>SUMIFS(#REF!,#REF!,
$A89,#REF!,
"&gt;="&amp;'Faturado mensal'!AF$2,#REF!,
"&lt;"&amp;EOMONTH('Faturado mensal'!AF$2,0))</f>
        <v>0</v>
      </c>
      <c r="AG89" s="9">
        <f>SUMIFS(#REF!,#REF!,
$A89,#REF!,
"&gt;="&amp;'Faturado mensal'!AG$2,#REF!,
"&lt;"&amp;EOMONTH('Faturado mensal'!AG$2,0))</f>
        <v>0</v>
      </c>
      <c r="AH89" s="9">
        <f>SUMIFS(#REF!,#REF!,
$A89,#REF!,
"&gt;="&amp;'Faturado mensal'!AH$2,#REF!,
"&lt;"&amp;EOMONTH('Faturado mensal'!AH$2,0))</f>
        <v>0</v>
      </c>
      <c r="AI89" s="9">
        <f>SUMIFS(#REF!,#REF!,
$A89,#REF!,
"&gt;="&amp;'Faturado mensal'!AI$2,#REF!,
"&lt;"&amp;EOMONTH('Faturado mensal'!AI$2,0))</f>
        <v>0</v>
      </c>
      <c r="AJ89" s="9">
        <f>SUMIFS(#REF!,#REF!,
$A89,#REF!,
"&gt;="&amp;'Faturado mensal'!AJ$2,#REF!,
"&lt;"&amp;EOMONTH('Faturado mensal'!AJ$2,0))</f>
        <v>0</v>
      </c>
      <c r="AK89" s="9">
        <f>SUMIFS(#REF!,#REF!,
$A89,#REF!,
"&gt;="&amp;'Faturado mensal'!AK$2,#REF!,
"&lt;"&amp;EOMONTH('Faturado mensal'!AK$2,0))</f>
        <v>0</v>
      </c>
      <c r="AL89" s="9">
        <f>SUMIFS(#REF!,#REF!,
$A89,#REF!,
"&gt;="&amp;Z$2,#REF!,
"&lt;"&amp;EOMONTH(AK$2,0))</f>
        <v>0</v>
      </c>
    </row>
    <row r="90" spans="1:38" x14ac:dyDescent="0.3">
      <c r="A90" t="s">
        <v>309</v>
      </c>
      <c r="B90" t="s">
        <v>310</v>
      </c>
      <c r="C90" t="s">
        <v>153</v>
      </c>
      <c r="D90" t="s">
        <v>209</v>
      </c>
      <c r="I90" t="s">
        <v>819</v>
      </c>
      <c r="J90" t="s">
        <v>818</v>
      </c>
      <c r="K90" t="s">
        <v>720</v>
      </c>
      <c r="L90" t="s">
        <v>721</v>
      </c>
      <c r="M90" s="9">
        <f>SUMIFS(#REF!,#REF!,
$A90,#REF!,
"&gt;="&amp;'Faturado mensal'!M$2,#REF!,
"&lt;"&amp;EOMONTH('Faturado mensal'!M$2,0))</f>
        <v>0</v>
      </c>
      <c r="N90" s="9">
        <f>SUMIFS(#REF!,#REF!,
$A90,#REF!,
"&gt;="&amp;'Faturado mensal'!N$2,#REF!,
"&lt;"&amp;EOMONTH('Faturado mensal'!N$2,0))</f>
        <v>0</v>
      </c>
      <c r="O90" s="9">
        <f>SUMIFS(#REF!,#REF!,
$A90,#REF!,
"&gt;="&amp;'Faturado mensal'!O$2,#REF!,
"&lt;"&amp;EOMONTH('Faturado mensal'!O$2,0))</f>
        <v>0</v>
      </c>
      <c r="P90" s="9">
        <f>SUMIFS(#REF!,#REF!,
$A90,#REF!,
"&gt;="&amp;'Faturado mensal'!P$2,#REF!,
"&lt;"&amp;EOMONTH('Faturado mensal'!P$2,0))</f>
        <v>0</v>
      </c>
      <c r="Q90" s="9">
        <f>SUMIFS(#REF!,#REF!,
$A90,#REF!,
"&gt;="&amp;'Faturado mensal'!Q$2,#REF!,
"&lt;"&amp;EOMONTH('Faturado mensal'!Q$2,0))</f>
        <v>0</v>
      </c>
      <c r="R90" s="9">
        <f>SUMIFS(#REF!,#REF!,
$A90,#REF!,
"&gt;="&amp;'Faturado mensal'!R$2,#REF!,
"&lt;"&amp;EOMONTH('Faturado mensal'!R$2,0))</f>
        <v>0</v>
      </c>
      <c r="S90" s="9">
        <f>SUMIFS(#REF!,#REF!,
$A90,#REF!,
"&gt;="&amp;'Faturado mensal'!S$2,#REF!,
"&lt;"&amp;EOMONTH('Faturado mensal'!S$2,0))</f>
        <v>0</v>
      </c>
      <c r="T90" s="9">
        <f>SUMIFS(#REF!,#REF!,
$A90,#REF!,
"&gt;="&amp;'Faturado mensal'!T$2,#REF!,
"&lt;"&amp;EOMONTH('Faturado mensal'!T$2,0))</f>
        <v>0</v>
      </c>
      <c r="U90" s="9">
        <f>SUMIFS(#REF!,#REF!,
$A90,#REF!,
"&gt;="&amp;'Faturado mensal'!U$2,#REF!,
"&lt;"&amp;EOMONTH('Faturado mensal'!U$2,0))</f>
        <v>0</v>
      </c>
      <c r="V90" s="9">
        <f>SUMIFS(#REF!,#REF!,
$A90,#REF!,
"&gt;="&amp;'Faturado mensal'!V$2,#REF!,
"&lt;"&amp;EOMONTH('Faturado mensal'!V$2,0))</f>
        <v>0</v>
      </c>
      <c r="W90" s="9">
        <f>SUMIFS(#REF!,#REF!,
$A90,#REF!,
"&gt;="&amp;'Faturado mensal'!W$2,#REF!,
"&lt;"&amp;EOMONTH('Faturado mensal'!W$2,0))</f>
        <v>0</v>
      </c>
      <c r="X90" s="9">
        <f>SUMIFS(#REF!,#REF!,
$A90,#REF!,
"&gt;="&amp;'Faturado mensal'!X$2,#REF!,
"&lt;"&amp;EOMONTH('Faturado mensal'!X$2,0))</f>
        <v>0</v>
      </c>
      <c r="Y90" s="11">
        <f>SUMIFS(#REF!,#REF!,
$A90,#REF!,
"&gt;="&amp;'Faturado mensal'!M$2,#REF!,
"&lt;"&amp;EOMONTH('Faturado mensal'!M$2,12))</f>
        <v>0</v>
      </c>
      <c r="Z90" s="9">
        <f>SUMIFS(#REF!,#REF!,
$A90,#REF!,
"&gt;="&amp;'Faturado mensal'!Z$2,#REF!,
"&lt;"&amp;EOMONTH('Faturado mensal'!Z$2,0))</f>
        <v>0</v>
      </c>
      <c r="AA90" s="9">
        <f>SUMIFS(#REF!,#REF!,
$A90,#REF!,
"&gt;="&amp;'Faturado mensal'!AA$2,#REF!,
"&lt;"&amp;EOMONTH('Faturado mensal'!AA$2,0))</f>
        <v>0</v>
      </c>
      <c r="AB90" s="9">
        <f>SUMIFS(#REF!,#REF!,
$A90,#REF!,
"&gt;="&amp;'Faturado mensal'!AB$2,#REF!,
"&lt;"&amp;EOMONTH('Faturado mensal'!AB$2,0))</f>
        <v>0</v>
      </c>
      <c r="AC90" s="9">
        <f>SUMIFS(#REF!,#REF!,
$A90,#REF!,
"&gt;="&amp;'Faturado mensal'!AC$2,#REF!,
"&lt;"&amp;EOMONTH('Faturado mensal'!AC$2,0))</f>
        <v>0</v>
      </c>
      <c r="AD90" s="9">
        <f>SUMIFS(#REF!,#REF!,
$A90,#REF!,
"&gt;="&amp;'Faturado mensal'!AD$2,#REF!,
"&lt;"&amp;EOMONTH('Faturado mensal'!AD$2,0))</f>
        <v>0</v>
      </c>
      <c r="AE90" s="9">
        <f>SUMIFS(#REF!,#REF!,
$A90,#REF!,
"&gt;="&amp;'Faturado mensal'!AE$2,#REF!,
"&lt;"&amp;EOMONTH('Faturado mensal'!AE$2,0))</f>
        <v>0</v>
      </c>
      <c r="AF90" s="9">
        <f>SUMIFS(#REF!,#REF!,
$A90,#REF!,
"&gt;="&amp;'Faturado mensal'!AF$2,#REF!,
"&lt;"&amp;EOMONTH('Faturado mensal'!AF$2,0))</f>
        <v>0</v>
      </c>
      <c r="AG90" s="9">
        <f>SUMIFS(#REF!,#REF!,
$A90,#REF!,
"&gt;="&amp;'Faturado mensal'!AG$2,#REF!,
"&lt;"&amp;EOMONTH('Faturado mensal'!AG$2,0))</f>
        <v>0</v>
      </c>
      <c r="AH90" s="9">
        <f>SUMIFS(#REF!,#REF!,
$A90,#REF!,
"&gt;="&amp;'Faturado mensal'!AH$2,#REF!,
"&lt;"&amp;EOMONTH('Faturado mensal'!AH$2,0))</f>
        <v>0</v>
      </c>
      <c r="AI90" s="9">
        <f>SUMIFS(#REF!,#REF!,
$A90,#REF!,
"&gt;="&amp;'Faturado mensal'!AI$2,#REF!,
"&lt;"&amp;EOMONTH('Faturado mensal'!AI$2,0))</f>
        <v>0</v>
      </c>
      <c r="AJ90" s="9">
        <f>SUMIFS(#REF!,#REF!,
$A90,#REF!,
"&gt;="&amp;'Faturado mensal'!AJ$2,#REF!,
"&lt;"&amp;EOMONTH('Faturado mensal'!AJ$2,0))</f>
        <v>0</v>
      </c>
      <c r="AK90" s="9">
        <f>SUMIFS(#REF!,#REF!,
$A90,#REF!,
"&gt;="&amp;'Faturado mensal'!AK$2,#REF!,
"&lt;"&amp;EOMONTH('Faturado mensal'!AK$2,0))</f>
        <v>0</v>
      </c>
      <c r="AL90" s="9">
        <f>SUMIFS(#REF!,#REF!,
$A90,#REF!,
"&gt;="&amp;Z$2,#REF!,
"&lt;"&amp;EOMONTH(AK$2,0))</f>
        <v>0</v>
      </c>
    </row>
    <row r="91" spans="1:38" x14ac:dyDescent="0.3">
      <c r="A91" t="s">
        <v>311</v>
      </c>
      <c r="B91" t="s">
        <v>312</v>
      </c>
      <c r="C91" t="s">
        <v>73</v>
      </c>
      <c r="D91" t="s">
        <v>204</v>
      </c>
      <c r="E91" t="s">
        <v>4834</v>
      </c>
      <c r="F91" t="s">
        <v>1006</v>
      </c>
      <c r="G91" t="s">
        <v>4853</v>
      </c>
      <c r="H91" t="s">
        <v>4773</v>
      </c>
      <c r="I91" t="s">
        <v>73</v>
      </c>
      <c r="J91" t="s">
        <v>719</v>
      </c>
      <c r="K91" t="s">
        <v>711</v>
      </c>
      <c r="L91" t="s">
        <v>712</v>
      </c>
      <c r="M91" s="9">
        <f>SUMIFS(#REF!,#REF!,
$A91,#REF!,
"&gt;="&amp;'Faturado mensal'!M$2,#REF!,
"&lt;"&amp;EOMONTH('Faturado mensal'!M$2,0))</f>
        <v>2255</v>
      </c>
      <c r="N91" s="9">
        <f>SUMIFS(#REF!,#REF!,
$A91,#REF!,
"&gt;="&amp;'Faturado mensal'!N$2,#REF!,
"&lt;"&amp;EOMONTH('Faturado mensal'!N$2,0))</f>
        <v>2255</v>
      </c>
      <c r="O91" s="9">
        <f>SUMIFS(#REF!,#REF!,
$A91,#REF!,
"&gt;="&amp;'Faturado mensal'!O$2,#REF!,
"&lt;"&amp;EOMONTH('Faturado mensal'!O$2,0))</f>
        <v>2255</v>
      </c>
      <c r="P91" s="9">
        <f>SUMIFS(#REF!,#REF!,
$A91,#REF!,
"&gt;="&amp;'Faturado mensal'!P$2,#REF!,
"&lt;"&amp;EOMONTH('Faturado mensal'!P$2,0))</f>
        <v>2255</v>
      </c>
      <c r="Q91" s="9">
        <f>SUMIFS(#REF!,#REF!,
$A91,#REF!,
"&gt;="&amp;'Faturado mensal'!Q$2,#REF!,
"&lt;"&amp;EOMONTH('Faturado mensal'!Q$2,0))</f>
        <v>2255</v>
      </c>
      <c r="R91" s="9">
        <f>SUMIFS(#REF!,#REF!,
$A91,#REF!,
"&gt;="&amp;'Faturado mensal'!R$2,#REF!,
"&lt;"&amp;EOMONTH('Faturado mensal'!R$2,0))</f>
        <v>2255</v>
      </c>
      <c r="S91" s="9">
        <f>SUMIFS(#REF!,#REF!,
$A91,#REF!,
"&gt;="&amp;'Faturado mensal'!S$2,#REF!,
"&lt;"&amp;EOMONTH('Faturado mensal'!S$2,0))</f>
        <v>2255</v>
      </c>
      <c r="T91" s="9">
        <f>SUMIFS(#REF!,#REF!,
$A91,#REF!,
"&gt;="&amp;'Faturado mensal'!T$2,#REF!,
"&lt;"&amp;EOMONTH('Faturado mensal'!T$2,0))</f>
        <v>2255</v>
      </c>
      <c r="U91" s="9">
        <f>SUMIFS(#REF!,#REF!,
$A91,#REF!,
"&gt;="&amp;'Faturado mensal'!U$2,#REF!,
"&lt;"&amp;EOMONTH('Faturado mensal'!U$2,0))</f>
        <v>2255</v>
      </c>
      <c r="V91" s="9">
        <f>SUMIFS(#REF!,#REF!,
$A91,#REF!,
"&gt;="&amp;'Faturado mensal'!V$2,#REF!,
"&lt;"&amp;EOMONTH('Faturado mensal'!V$2,0))</f>
        <v>2255</v>
      </c>
      <c r="W91" s="9">
        <f>SUMIFS(#REF!,#REF!,
$A91,#REF!,
"&gt;="&amp;'Faturado mensal'!W$2,#REF!,
"&lt;"&amp;EOMONTH('Faturado mensal'!W$2,0))</f>
        <v>2255</v>
      </c>
      <c r="X91" s="9">
        <f>SUMIFS(#REF!,#REF!,
$A91,#REF!,
"&gt;="&amp;'Faturado mensal'!X$2,#REF!,
"&lt;"&amp;EOMONTH('Faturado mensal'!X$2,0))</f>
        <v>2255</v>
      </c>
      <c r="Y91" s="11">
        <f>SUMIFS(#REF!,#REF!,
$A91,#REF!,
"&gt;="&amp;'Faturado mensal'!M$2,#REF!,
"&lt;"&amp;EOMONTH('Faturado mensal'!M$2,12))</f>
        <v>29421</v>
      </c>
      <c r="Z91" s="9">
        <f>SUMIFS(#REF!,#REF!,
$A91,#REF!,
"&gt;="&amp;'Faturado mensal'!Z$2,#REF!,
"&lt;"&amp;EOMONTH('Faturado mensal'!Z$2,0))</f>
        <v>2361</v>
      </c>
      <c r="AA91" s="9">
        <f>SUMIFS(#REF!,#REF!,
$A91,#REF!,
"&gt;="&amp;'Faturado mensal'!AA$2,#REF!,
"&lt;"&amp;EOMONTH('Faturado mensal'!AA$2,0))</f>
        <v>2361</v>
      </c>
      <c r="AB91" s="9">
        <f>SUMIFS(#REF!,#REF!,
$A91,#REF!,
"&gt;="&amp;'Faturado mensal'!AB$2,#REF!,
"&lt;"&amp;EOMONTH('Faturado mensal'!AB$2,0))</f>
        <v>2361</v>
      </c>
      <c r="AC91" s="9">
        <f>SUMIFS(#REF!,#REF!,
$A91,#REF!,
"&gt;="&amp;'Faturado mensal'!AC$2,#REF!,
"&lt;"&amp;EOMONTH('Faturado mensal'!AC$2,0))</f>
        <v>2361</v>
      </c>
      <c r="AD91" s="9">
        <f>SUMIFS(#REF!,#REF!,
$A91,#REF!,
"&gt;="&amp;'Faturado mensal'!AD$2,#REF!,
"&lt;"&amp;EOMONTH('Faturado mensal'!AD$2,0))</f>
        <v>2361</v>
      </c>
      <c r="AE91" s="9">
        <f>SUMIFS(#REF!,#REF!,
$A91,#REF!,
"&gt;="&amp;'Faturado mensal'!AE$2,#REF!,
"&lt;"&amp;EOMONTH('Faturado mensal'!AE$2,0))</f>
        <v>2361</v>
      </c>
      <c r="AF91" s="9">
        <f>SUMIFS(#REF!,#REF!,
$A91,#REF!,
"&gt;="&amp;'Faturado mensal'!AF$2,#REF!,
"&lt;"&amp;EOMONTH('Faturado mensal'!AF$2,0))</f>
        <v>0</v>
      </c>
      <c r="AG91" s="9">
        <f>SUMIFS(#REF!,#REF!,
$A91,#REF!,
"&gt;="&amp;'Faturado mensal'!AG$2,#REF!,
"&lt;"&amp;EOMONTH('Faturado mensal'!AG$2,0))</f>
        <v>0</v>
      </c>
      <c r="AH91" s="9">
        <f>SUMIFS(#REF!,#REF!,
$A91,#REF!,
"&gt;="&amp;'Faturado mensal'!AH$2,#REF!,
"&lt;"&amp;EOMONTH('Faturado mensal'!AH$2,0))</f>
        <v>0</v>
      </c>
      <c r="AI91" s="9">
        <f>SUMIFS(#REF!,#REF!,
$A91,#REF!,
"&gt;="&amp;'Faturado mensal'!AI$2,#REF!,
"&lt;"&amp;EOMONTH('Faturado mensal'!AI$2,0))</f>
        <v>0</v>
      </c>
      <c r="AJ91" s="9">
        <f>SUMIFS(#REF!,#REF!,
$A91,#REF!,
"&gt;="&amp;'Faturado mensal'!AJ$2,#REF!,
"&lt;"&amp;EOMONTH('Faturado mensal'!AJ$2,0))</f>
        <v>0</v>
      </c>
      <c r="AK91" s="9">
        <f>SUMIFS(#REF!,#REF!,
$A91,#REF!,
"&gt;="&amp;'Faturado mensal'!AK$2,#REF!,
"&lt;"&amp;EOMONTH('Faturado mensal'!AK$2,0))</f>
        <v>0</v>
      </c>
      <c r="AL91" s="9">
        <f>SUMIFS(#REF!,#REF!,
$A91,#REF!,
"&gt;="&amp;Z$2,#REF!,
"&lt;"&amp;EOMONTH(AK$2,0))</f>
        <v>14166</v>
      </c>
    </row>
    <row r="92" spans="1:38" x14ac:dyDescent="0.3">
      <c r="A92" t="s">
        <v>313</v>
      </c>
      <c r="B92" t="s">
        <v>314</v>
      </c>
      <c r="C92" t="s">
        <v>39</v>
      </c>
      <c r="D92" t="s">
        <v>204</v>
      </c>
      <c r="E92" t="s">
        <v>4834</v>
      </c>
      <c r="F92" t="s">
        <v>4779</v>
      </c>
      <c r="G92" t="s">
        <v>4853</v>
      </c>
      <c r="H92" t="s">
        <v>4773</v>
      </c>
      <c r="I92" t="s">
        <v>39</v>
      </c>
      <c r="J92" t="s">
        <v>710</v>
      </c>
      <c r="K92" t="s">
        <v>711</v>
      </c>
      <c r="L92" t="s">
        <v>712</v>
      </c>
      <c r="M92" s="9">
        <f>SUMIFS(#REF!,#REF!,
$A92,#REF!,
"&gt;="&amp;'Faturado mensal'!M$2,#REF!,
"&lt;"&amp;EOMONTH('Faturado mensal'!M$2,0))</f>
        <v>0</v>
      </c>
      <c r="N92" s="9">
        <f>SUMIFS(#REF!,#REF!,
$A92,#REF!,
"&gt;="&amp;'Faturado mensal'!N$2,#REF!,
"&lt;"&amp;EOMONTH('Faturado mensal'!N$2,0))</f>
        <v>1753.4</v>
      </c>
      <c r="O92" s="9">
        <f>SUMIFS(#REF!,#REF!,
$A92,#REF!,
"&gt;="&amp;'Faturado mensal'!O$2,#REF!,
"&lt;"&amp;EOMONTH('Faturado mensal'!O$2,0))</f>
        <v>2964.4</v>
      </c>
      <c r="P92" s="9">
        <f>SUMIFS(#REF!,#REF!,
$A92,#REF!,
"&gt;="&amp;'Faturado mensal'!P$2,#REF!,
"&lt;"&amp;EOMONTH('Faturado mensal'!P$2,0))</f>
        <v>0</v>
      </c>
      <c r="Q92" s="9">
        <f>SUMIFS(#REF!,#REF!,
$A92,#REF!,
"&gt;="&amp;'Faturado mensal'!Q$2,#REF!,
"&lt;"&amp;EOMONTH('Faturado mensal'!Q$2,0))</f>
        <v>0</v>
      </c>
      <c r="R92" s="9">
        <f>SUMIFS(#REF!,#REF!,
$A92,#REF!,
"&gt;="&amp;'Faturado mensal'!R$2,#REF!,
"&lt;"&amp;EOMONTH('Faturado mensal'!R$2,0))</f>
        <v>664.4</v>
      </c>
      <c r="S92" s="9">
        <f>SUMIFS(#REF!,#REF!,
$A92,#REF!,
"&gt;="&amp;'Faturado mensal'!S$2,#REF!,
"&lt;"&amp;EOMONTH('Faturado mensal'!S$2,0))</f>
        <v>0</v>
      </c>
      <c r="T92" s="9">
        <f>SUMIFS(#REF!,#REF!,
$A92,#REF!,
"&gt;="&amp;'Faturado mensal'!T$2,#REF!,
"&lt;"&amp;EOMONTH('Faturado mensal'!T$2,0))</f>
        <v>0</v>
      </c>
      <c r="U92" s="9">
        <f>SUMIFS(#REF!,#REF!,
$A92,#REF!,
"&gt;="&amp;'Faturado mensal'!U$2,#REF!,
"&lt;"&amp;EOMONTH('Faturado mensal'!U$2,0))</f>
        <v>2300</v>
      </c>
      <c r="V92" s="9">
        <f>SUMIFS(#REF!,#REF!,
$A92,#REF!,
"&gt;="&amp;'Faturado mensal'!V$2,#REF!,
"&lt;"&amp;EOMONTH('Faturado mensal'!V$2,0))</f>
        <v>0</v>
      </c>
      <c r="W92" s="9">
        <f>SUMIFS(#REF!,#REF!,
$A92,#REF!,
"&gt;="&amp;'Faturado mensal'!W$2,#REF!,
"&lt;"&amp;EOMONTH('Faturado mensal'!W$2,0))</f>
        <v>0</v>
      </c>
      <c r="X92" s="9">
        <f>SUMIFS(#REF!,#REF!,
$A92,#REF!,
"&gt;="&amp;'Faturado mensal'!X$2,#REF!,
"&lt;"&amp;EOMONTH('Faturado mensal'!X$2,0))</f>
        <v>2300</v>
      </c>
      <c r="Y92" s="11">
        <f>SUMIFS(#REF!,#REF!,
$A92,#REF!,
"&gt;="&amp;'Faturado mensal'!M$2,#REF!,
"&lt;"&amp;EOMONTH('Faturado mensal'!M$2,12))</f>
        <v>11132.2</v>
      </c>
      <c r="Z92" s="9">
        <f>SUMIFS(#REF!,#REF!,
$A92,#REF!,
"&gt;="&amp;'Faturado mensal'!Z$2,#REF!,
"&lt;"&amp;EOMONTH('Faturado mensal'!Z$2,0))</f>
        <v>1150</v>
      </c>
      <c r="AA92" s="9">
        <f>SUMIFS(#REF!,#REF!,
$A92,#REF!,
"&gt;="&amp;'Faturado mensal'!AA$2,#REF!,
"&lt;"&amp;EOMONTH('Faturado mensal'!AA$2,0))</f>
        <v>2300</v>
      </c>
      <c r="AB92" s="9">
        <f>SUMIFS(#REF!,#REF!,
$A92,#REF!,
"&gt;="&amp;'Faturado mensal'!AB$2,#REF!,
"&lt;"&amp;EOMONTH('Faturado mensal'!AB$2,0))</f>
        <v>0</v>
      </c>
      <c r="AC92" s="9">
        <f>SUMIFS(#REF!,#REF!,
$A92,#REF!,
"&gt;="&amp;'Faturado mensal'!AC$2,#REF!,
"&lt;"&amp;EOMONTH('Faturado mensal'!AC$2,0))</f>
        <v>2300</v>
      </c>
      <c r="AD92" s="9">
        <f>SUMIFS(#REF!,#REF!,
$A92,#REF!,
"&gt;="&amp;'Faturado mensal'!AD$2,#REF!,
"&lt;"&amp;EOMONTH('Faturado mensal'!AD$2,0))</f>
        <v>1150</v>
      </c>
      <c r="AE92" s="9">
        <f>SUMIFS(#REF!,#REF!,
$A92,#REF!,
"&gt;="&amp;'Faturado mensal'!AE$2,#REF!,
"&lt;"&amp;EOMONTH('Faturado mensal'!AE$2,0))</f>
        <v>1150</v>
      </c>
      <c r="AF92" s="9">
        <f>SUMIFS(#REF!,#REF!,
$A92,#REF!,
"&gt;="&amp;'Faturado mensal'!AF$2,#REF!,
"&lt;"&amp;EOMONTH('Faturado mensal'!AF$2,0))</f>
        <v>0</v>
      </c>
      <c r="AG92" s="9">
        <f>SUMIFS(#REF!,#REF!,
$A92,#REF!,
"&gt;="&amp;'Faturado mensal'!AG$2,#REF!,
"&lt;"&amp;EOMONTH('Faturado mensal'!AG$2,0))</f>
        <v>0</v>
      </c>
      <c r="AH92" s="9">
        <f>SUMIFS(#REF!,#REF!,
$A92,#REF!,
"&gt;="&amp;'Faturado mensal'!AH$2,#REF!,
"&lt;"&amp;EOMONTH('Faturado mensal'!AH$2,0))</f>
        <v>0</v>
      </c>
      <c r="AI92" s="9">
        <f>SUMIFS(#REF!,#REF!,
$A92,#REF!,
"&gt;="&amp;'Faturado mensal'!AI$2,#REF!,
"&lt;"&amp;EOMONTH('Faturado mensal'!AI$2,0))</f>
        <v>0</v>
      </c>
      <c r="AJ92" s="9">
        <f>SUMIFS(#REF!,#REF!,
$A92,#REF!,
"&gt;="&amp;'Faturado mensal'!AJ$2,#REF!,
"&lt;"&amp;EOMONTH('Faturado mensal'!AJ$2,0))</f>
        <v>0</v>
      </c>
      <c r="AK92" s="9">
        <f>SUMIFS(#REF!,#REF!,
$A92,#REF!,
"&gt;="&amp;'Faturado mensal'!AK$2,#REF!,
"&lt;"&amp;EOMONTH('Faturado mensal'!AK$2,0))</f>
        <v>0</v>
      </c>
      <c r="AL92" s="9">
        <f>SUMIFS(#REF!,#REF!,
$A92,#REF!,
"&gt;="&amp;Z$2,#REF!,
"&lt;"&amp;EOMONTH(AK$2,0))</f>
        <v>8050</v>
      </c>
    </row>
    <row r="93" spans="1:38" x14ac:dyDescent="0.3">
      <c r="A93" t="s">
        <v>315</v>
      </c>
      <c r="B93" t="s">
        <v>248</v>
      </c>
      <c r="C93" t="s">
        <v>13</v>
      </c>
      <c r="D93" t="s">
        <v>204</v>
      </c>
      <c r="E93" t="s">
        <v>1036</v>
      </c>
      <c r="F93" t="s">
        <v>4779</v>
      </c>
      <c r="G93" t="s">
        <v>4853</v>
      </c>
      <c r="H93" t="s">
        <v>4773</v>
      </c>
      <c r="I93" t="s">
        <v>13</v>
      </c>
      <c r="J93" t="s">
        <v>710</v>
      </c>
      <c r="K93" t="s">
        <v>711</v>
      </c>
      <c r="L93" t="s">
        <v>712</v>
      </c>
      <c r="M93" s="9">
        <f>SUMIFS(#REF!,#REF!,
$A93,#REF!,
"&gt;="&amp;'Faturado mensal'!M$2,#REF!,
"&lt;"&amp;EOMONTH('Faturado mensal'!M$2,0))</f>
        <v>9894.32</v>
      </c>
      <c r="N93" s="9">
        <f>SUMIFS(#REF!,#REF!,
$A93,#REF!,
"&gt;="&amp;'Faturado mensal'!N$2,#REF!,
"&lt;"&amp;EOMONTH('Faturado mensal'!N$2,0))</f>
        <v>0</v>
      </c>
      <c r="O93" s="9">
        <f>SUMIFS(#REF!,#REF!,
$A93,#REF!,
"&gt;="&amp;'Faturado mensal'!O$2,#REF!,
"&lt;"&amp;EOMONTH('Faturado mensal'!O$2,0))</f>
        <v>4947.16</v>
      </c>
      <c r="P93" s="9">
        <f>SUMIFS(#REF!,#REF!,
$A93,#REF!,
"&gt;="&amp;'Faturado mensal'!P$2,#REF!,
"&lt;"&amp;EOMONTH('Faturado mensal'!P$2,0))</f>
        <v>10783.82</v>
      </c>
      <c r="Q93" s="9">
        <f>SUMIFS(#REF!,#REF!,
$A93,#REF!,
"&gt;="&amp;'Faturado mensal'!Q$2,#REF!,
"&lt;"&amp;EOMONTH('Faturado mensal'!Q$2,0))</f>
        <v>5391.91</v>
      </c>
      <c r="R93" s="9">
        <f>SUMIFS(#REF!,#REF!,
$A93,#REF!,
"&gt;="&amp;'Faturado mensal'!R$2,#REF!,
"&lt;"&amp;EOMONTH('Faturado mensal'!R$2,0))</f>
        <v>5391.91</v>
      </c>
      <c r="S93" s="9">
        <f>SUMIFS(#REF!,#REF!,
$A93,#REF!,
"&gt;="&amp;'Faturado mensal'!S$2,#REF!,
"&lt;"&amp;EOMONTH('Faturado mensal'!S$2,0))</f>
        <v>5391.91</v>
      </c>
      <c r="T93" s="9">
        <f>SUMIFS(#REF!,#REF!,
$A93,#REF!,
"&gt;="&amp;'Faturado mensal'!T$2,#REF!,
"&lt;"&amp;EOMONTH('Faturado mensal'!T$2,0))</f>
        <v>8491.91</v>
      </c>
      <c r="U93" s="9">
        <f>SUMIFS(#REF!,#REF!,
$A93,#REF!,
"&gt;="&amp;'Faturado mensal'!U$2,#REF!,
"&lt;"&amp;EOMONTH('Faturado mensal'!U$2,0))</f>
        <v>5391.91</v>
      </c>
      <c r="V93" s="9">
        <f>SUMIFS(#REF!,#REF!,
$A93,#REF!,
"&gt;="&amp;'Faturado mensal'!V$2,#REF!,
"&lt;"&amp;EOMONTH('Faturado mensal'!V$2,0))</f>
        <v>5391.91</v>
      </c>
      <c r="W93" s="9">
        <f>SUMIFS(#REF!,#REF!,
$A93,#REF!,
"&gt;="&amp;'Faturado mensal'!W$2,#REF!,
"&lt;"&amp;EOMONTH('Faturado mensal'!W$2,0))</f>
        <v>5391.91</v>
      </c>
      <c r="X93" s="9">
        <f>SUMIFS(#REF!,#REF!,
$A93,#REF!,
"&gt;="&amp;'Faturado mensal'!X$2,#REF!,
"&lt;"&amp;EOMONTH('Faturado mensal'!X$2,0))</f>
        <v>5391.91</v>
      </c>
      <c r="Y93" s="11">
        <f>SUMIFS(#REF!,#REF!,
$A93,#REF!,
"&gt;="&amp;'Faturado mensal'!M$2,#REF!,
"&lt;"&amp;EOMONTH('Faturado mensal'!M$2,12))</f>
        <v>81766.430000000022</v>
      </c>
      <c r="Z93" s="9">
        <f>SUMIFS(#REF!,#REF!,
$A93,#REF!,
"&gt;="&amp;'Faturado mensal'!Z$2,#REF!,
"&lt;"&amp;EOMONTH('Faturado mensal'!Z$2,0))</f>
        <v>5391.91</v>
      </c>
      <c r="AA93" s="9">
        <f>SUMIFS(#REF!,#REF!,
$A93,#REF!,
"&gt;="&amp;'Faturado mensal'!AA$2,#REF!,
"&lt;"&amp;EOMONTH('Faturado mensal'!AA$2,0))</f>
        <v>0</v>
      </c>
      <c r="AB93" s="9">
        <f>SUMIFS(#REF!,#REF!,
$A93,#REF!,
"&gt;="&amp;'Faturado mensal'!AB$2,#REF!,
"&lt;"&amp;EOMONTH('Faturado mensal'!AB$2,0))</f>
        <v>11592.72</v>
      </c>
      <c r="AC93" s="9">
        <f>SUMIFS(#REF!,#REF!,
$A93,#REF!,
"&gt;="&amp;'Faturado mensal'!AC$2,#REF!,
"&lt;"&amp;EOMONTH('Faturado mensal'!AC$2,0))</f>
        <v>5796.36</v>
      </c>
      <c r="AD93" s="9">
        <f>SUMIFS(#REF!,#REF!,
$A93,#REF!,
"&gt;="&amp;'Faturado mensal'!AD$2,#REF!,
"&lt;"&amp;EOMONTH('Faturado mensal'!AD$2,0))</f>
        <v>5796.36</v>
      </c>
      <c r="AE93" s="9">
        <f>SUMIFS(#REF!,#REF!,
$A93,#REF!,
"&gt;="&amp;'Faturado mensal'!AE$2,#REF!,
"&lt;"&amp;EOMONTH('Faturado mensal'!AE$2,0))</f>
        <v>5796.36</v>
      </c>
      <c r="AF93" s="9">
        <f>SUMIFS(#REF!,#REF!,
$A93,#REF!,
"&gt;="&amp;'Faturado mensal'!AF$2,#REF!,
"&lt;"&amp;EOMONTH('Faturado mensal'!AF$2,0))</f>
        <v>0</v>
      </c>
      <c r="AG93" s="9">
        <f>SUMIFS(#REF!,#REF!,
$A93,#REF!,
"&gt;="&amp;'Faturado mensal'!AG$2,#REF!,
"&lt;"&amp;EOMONTH('Faturado mensal'!AG$2,0))</f>
        <v>0</v>
      </c>
      <c r="AH93" s="9">
        <f>SUMIFS(#REF!,#REF!,
$A93,#REF!,
"&gt;="&amp;'Faturado mensal'!AH$2,#REF!,
"&lt;"&amp;EOMONTH('Faturado mensal'!AH$2,0))</f>
        <v>0</v>
      </c>
      <c r="AI93" s="9">
        <f>SUMIFS(#REF!,#REF!,
$A93,#REF!,
"&gt;="&amp;'Faturado mensal'!AI$2,#REF!,
"&lt;"&amp;EOMONTH('Faturado mensal'!AI$2,0))</f>
        <v>0</v>
      </c>
      <c r="AJ93" s="9">
        <f>SUMIFS(#REF!,#REF!,
$A93,#REF!,
"&gt;="&amp;'Faturado mensal'!AJ$2,#REF!,
"&lt;"&amp;EOMONTH('Faturado mensal'!AJ$2,0))</f>
        <v>0</v>
      </c>
      <c r="AK93" s="9">
        <f>SUMIFS(#REF!,#REF!,
$A93,#REF!,
"&gt;="&amp;'Faturado mensal'!AK$2,#REF!,
"&lt;"&amp;EOMONTH('Faturado mensal'!AK$2,0))</f>
        <v>0</v>
      </c>
      <c r="AL93" s="9">
        <f>SUMIFS(#REF!,#REF!,
$A93,#REF!,
"&gt;="&amp;Z$2,#REF!,
"&lt;"&amp;EOMONTH(AK$2,0))</f>
        <v>34373.71</v>
      </c>
    </row>
    <row r="94" spans="1:38" x14ac:dyDescent="0.3">
      <c r="A94" t="s">
        <v>316</v>
      </c>
      <c r="B94" t="s">
        <v>317</v>
      </c>
      <c r="C94" t="s">
        <v>78</v>
      </c>
      <c r="D94" t="s">
        <v>209</v>
      </c>
      <c r="I94" t="s">
        <v>820</v>
      </c>
      <c r="J94" t="s">
        <v>710</v>
      </c>
      <c r="K94" t="s">
        <v>711</v>
      </c>
      <c r="L94" t="s">
        <v>712</v>
      </c>
      <c r="M94" s="9">
        <f>SUMIFS(#REF!,#REF!,
$A94,#REF!,
"&gt;="&amp;'Faturado mensal'!M$2,#REF!,
"&lt;"&amp;EOMONTH('Faturado mensal'!M$2,0))</f>
        <v>0</v>
      </c>
      <c r="N94" s="9">
        <f>SUMIFS(#REF!,#REF!,
$A94,#REF!,
"&gt;="&amp;'Faturado mensal'!N$2,#REF!,
"&lt;"&amp;EOMONTH('Faturado mensal'!N$2,0))</f>
        <v>0</v>
      </c>
      <c r="O94" s="9">
        <f>SUMIFS(#REF!,#REF!,
$A94,#REF!,
"&gt;="&amp;'Faturado mensal'!O$2,#REF!,
"&lt;"&amp;EOMONTH('Faturado mensal'!O$2,0))</f>
        <v>0</v>
      </c>
      <c r="P94" s="9">
        <f>SUMIFS(#REF!,#REF!,
$A94,#REF!,
"&gt;="&amp;'Faturado mensal'!P$2,#REF!,
"&lt;"&amp;EOMONTH('Faturado mensal'!P$2,0))</f>
        <v>0</v>
      </c>
      <c r="Q94" s="9">
        <f>SUMIFS(#REF!,#REF!,
$A94,#REF!,
"&gt;="&amp;'Faturado mensal'!Q$2,#REF!,
"&lt;"&amp;EOMONTH('Faturado mensal'!Q$2,0))</f>
        <v>0</v>
      </c>
      <c r="R94" s="9">
        <f>SUMIFS(#REF!,#REF!,
$A94,#REF!,
"&gt;="&amp;'Faturado mensal'!R$2,#REF!,
"&lt;"&amp;EOMONTH('Faturado mensal'!R$2,0))</f>
        <v>0</v>
      </c>
      <c r="S94" s="9">
        <f>SUMIFS(#REF!,#REF!,
$A94,#REF!,
"&gt;="&amp;'Faturado mensal'!S$2,#REF!,
"&lt;"&amp;EOMONTH('Faturado mensal'!S$2,0))</f>
        <v>0</v>
      </c>
      <c r="T94" s="9">
        <f>SUMIFS(#REF!,#REF!,
$A94,#REF!,
"&gt;="&amp;'Faturado mensal'!T$2,#REF!,
"&lt;"&amp;EOMONTH('Faturado mensal'!T$2,0))</f>
        <v>0</v>
      </c>
      <c r="U94" s="9">
        <f>SUMIFS(#REF!,#REF!,
$A94,#REF!,
"&gt;="&amp;'Faturado mensal'!U$2,#REF!,
"&lt;"&amp;EOMONTH('Faturado mensal'!U$2,0))</f>
        <v>0</v>
      </c>
      <c r="V94" s="9">
        <f>SUMIFS(#REF!,#REF!,
$A94,#REF!,
"&gt;="&amp;'Faturado mensal'!V$2,#REF!,
"&lt;"&amp;EOMONTH('Faturado mensal'!V$2,0))</f>
        <v>0</v>
      </c>
      <c r="W94" s="9">
        <f>SUMIFS(#REF!,#REF!,
$A94,#REF!,
"&gt;="&amp;'Faturado mensal'!W$2,#REF!,
"&lt;"&amp;EOMONTH('Faturado mensal'!W$2,0))</f>
        <v>0</v>
      </c>
      <c r="X94" s="9">
        <f>SUMIFS(#REF!,#REF!,
$A94,#REF!,
"&gt;="&amp;'Faturado mensal'!X$2,#REF!,
"&lt;"&amp;EOMONTH('Faturado mensal'!X$2,0))</f>
        <v>0</v>
      </c>
      <c r="Y94" s="11">
        <f>SUMIFS(#REF!,#REF!,
$A94,#REF!,
"&gt;="&amp;'Faturado mensal'!M$2,#REF!,
"&lt;"&amp;EOMONTH('Faturado mensal'!M$2,12))</f>
        <v>0</v>
      </c>
      <c r="Z94" s="9">
        <f>SUMIFS(#REF!,#REF!,
$A94,#REF!,
"&gt;="&amp;'Faturado mensal'!Z$2,#REF!,
"&lt;"&amp;EOMONTH('Faturado mensal'!Z$2,0))</f>
        <v>0</v>
      </c>
      <c r="AA94" s="9">
        <f>SUMIFS(#REF!,#REF!,
$A94,#REF!,
"&gt;="&amp;'Faturado mensal'!AA$2,#REF!,
"&lt;"&amp;EOMONTH('Faturado mensal'!AA$2,0))</f>
        <v>0</v>
      </c>
      <c r="AB94" s="9">
        <f>SUMIFS(#REF!,#REF!,
$A94,#REF!,
"&gt;="&amp;'Faturado mensal'!AB$2,#REF!,
"&lt;"&amp;EOMONTH('Faturado mensal'!AB$2,0))</f>
        <v>0</v>
      </c>
      <c r="AC94" s="9">
        <f>SUMIFS(#REF!,#REF!,
$A94,#REF!,
"&gt;="&amp;'Faturado mensal'!AC$2,#REF!,
"&lt;"&amp;EOMONTH('Faturado mensal'!AC$2,0))</f>
        <v>0</v>
      </c>
      <c r="AD94" s="9">
        <f>SUMIFS(#REF!,#REF!,
$A94,#REF!,
"&gt;="&amp;'Faturado mensal'!AD$2,#REF!,
"&lt;"&amp;EOMONTH('Faturado mensal'!AD$2,0))</f>
        <v>0</v>
      </c>
      <c r="AE94" s="9">
        <f>SUMIFS(#REF!,#REF!,
$A94,#REF!,
"&gt;="&amp;'Faturado mensal'!AE$2,#REF!,
"&lt;"&amp;EOMONTH('Faturado mensal'!AE$2,0))</f>
        <v>0</v>
      </c>
      <c r="AF94" s="9">
        <f>SUMIFS(#REF!,#REF!,
$A94,#REF!,
"&gt;="&amp;'Faturado mensal'!AF$2,#REF!,
"&lt;"&amp;EOMONTH('Faturado mensal'!AF$2,0))</f>
        <v>0</v>
      </c>
      <c r="AG94" s="9">
        <f>SUMIFS(#REF!,#REF!,
$A94,#REF!,
"&gt;="&amp;'Faturado mensal'!AG$2,#REF!,
"&lt;"&amp;EOMONTH('Faturado mensal'!AG$2,0))</f>
        <v>0</v>
      </c>
      <c r="AH94" s="9">
        <f>SUMIFS(#REF!,#REF!,
$A94,#REF!,
"&gt;="&amp;'Faturado mensal'!AH$2,#REF!,
"&lt;"&amp;EOMONTH('Faturado mensal'!AH$2,0))</f>
        <v>0</v>
      </c>
      <c r="AI94" s="9">
        <f>SUMIFS(#REF!,#REF!,
$A94,#REF!,
"&gt;="&amp;'Faturado mensal'!AI$2,#REF!,
"&lt;"&amp;EOMONTH('Faturado mensal'!AI$2,0))</f>
        <v>0</v>
      </c>
      <c r="AJ94" s="9">
        <f>SUMIFS(#REF!,#REF!,
$A94,#REF!,
"&gt;="&amp;'Faturado mensal'!AJ$2,#REF!,
"&lt;"&amp;EOMONTH('Faturado mensal'!AJ$2,0))</f>
        <v>0</v>
      </c>
      <c r="AK94" s="9">
        <f>SUMIFS(#REF!,#REF!,
$A94,#REF!,
"&gt;="&amp;'Faturado mensal'!AK$2,#REF!,
"&lt;"&amp;EOMONTH('Faturado mensal'!AK$2,0))</f>
        <v>0</v>
      </c>
      <c r="AL94" s="9">
        <f>SUMIFS(#REF!,#REF!,
$A94,#REF!,
"&gt;="&amp;Z$2,#REF!,
"&lt;"&amp;EOMONTH(AK$2,0))</f>
        <v>0</v>
      </c>
    </row>
    <row r="95" spans="1:38" x14ac:dyDescent="0.3">
      <c r="A95" t="s">
        <v>318</v>
      </c>
      <c r="B95" t="s">
        <v>319</v>
      </c>
      <c r="C95" t="s">
        <v>36</v>
      </c>
      <c r="D95" t="s">
        <v>204</v>
      </c>
      <c r="E95" t="s">
        <v>1036</v>
      </c>
      <c r="F95" t="s">
        <v>4784</v>
      </c>
      <c r="G95" t="s">
        <v>4853</v>
      </c>
      <c r="H95" t="s">
        <v>4771</v>
      </c>
      <c r="I95" t="s">
        <v>36</v>
      </c>
      <c r="J95" t="s">
        <v>710</v>
      </c>
      <c r="K95" t="s">
        <v>711</v>
      </c>
      <c r="L95" t="s">
        <v>712</v>
      </c>
      <c r="M95" s="9">
        <f>SUMIFS(#REF!,#REF!,
$A95,#REF!,
"&gt;="&amp;'Faturado mensal'!M$2,#REF!,
"&lt;"&amp;EOMONTH('Faturado mensal'!M$2,0))</f>
        <v>15389.2</v>
      </c>
      <c r="N95" s="9">
        <f>SUMIFS(#REF!,#REF!,
$A95,#REF!,
"&gt;="&amp;'Faturado mensal'!N$2,#REF!,
"&lt;"&amp;EOMONTH('Faturado mensal'!N$2,0))</f>
        <v>5204.68</v>
      </c>
      <c r="O95" s="9">
        <f>SUMIFS(#REF!,#REF!,
$A95,#REF!,
"&gt;="&amp;'Faturado mensal'!O$2,#REF!,
"&lt;"&amp;EOMONTH('Faturado mensal'!O$2,0))</f>
        <v>9720.86</v>
      </c>
      <c r="P95" s="9">
        <f>SUMIFS(#REF!,#REF!,
$A95,#REF!,
"&gt;="&amp;'Faturado mensal'!P$2,#REF!,
"&lt;"&amp;EOMONTH('Faturado mensal'!P$2,0))</f>
        <v>14854.64</v>
      </c>
      <c r="Q95" s="9">
        <f>SUMIFS(#REF!,#REF!,
$A95,#REF!,
"&gt;="&amp;'Faturado mensal'!Q$2,#REF!,
"&lt;"&amp;EOMONTH('Faturado mensal'!Q$2,0))</f>
        <v>10657.24</v>
      </c>
      <c r="R95" s="9">
        <f>SUMIFS(#REF!,#REF!,
$A95,#REF!,
"&gt;="&amp;'Faturado mensal'!R$2,#REF!,
"&lt;"&amp;EOMONTH('Faturado mensal'!R$2,0))</f>
        <v>9186.83</v>
      </c>
      <c r="S95" s="9">
        <f>SUMIFS(#REF!,#REF!,
$A95,#REF!,
"&gt;="&amp;'Faturado mensal'!S$2,#REF!,
"&lt;"&amp;EOMONTH('Faturado mensal'!S$2,0))</f>
        <v>13249.689999999999</v>
      </c>
      <c r="T95" s="9">
        <f>SUMIFS(#REF!,#REF!,
$A95,#REF!,
"&gt;="&amp;'Faturado mensal'!T$2,#REF!,
"&lt;"&amp;EOMONTH('Faturado mensal'!T$2,0))</f>
        <v>13575.999999999998</v>
      </c>
      <c r="U95" s="9">
        <f>SUMIFS(#REF!,#REF!,
$A95,#REF!,
"&gt;="&amp;'Faturado mensal'!U$2,#REF!,
"&lt;"&amp;EOMONTH('Faturado mensal'!U$2,0))</f>
        <v>11368.670000000002</v>
      </c>
      <c r="V95" s="9">
        <f>SUMIFS(#REF!,#REF!,
$A95,#REF!,
"&gt;="&amp;'Faturado mensal'!V$2,#REF!,
"&lt;"&amp;EOMONTH('Faturado mensal'!V$2,0))</f>
        <v>5203.3099999999995</v>
      </c>
      <c r="W95" s="9">
        <f>SUMIFS(#REF!,#REF!,
$A95,#REF!,
"&gt;="&amp;'Faturado mensal'!W$2,#REF!,
"&lt;"&amp;EOMONTH('Faturado mensal'!W$2,0))</f>
        <v>12140.020000000002</v>
      </c>
      <c r="X95" s="9">
        <f>SUMIFS(#REF!,#REF!,
$A95,#REF!,
"&gt;="&amp;'Faturado mensal'!X$2,#REF!,
"&lt;"&amp;EOMONTH('Faturado mensal'!X$2,0))</f>
        <v>4763.63</v>
      </c>
      <c r="Y95" s="11">
        <f>SUMIFS(#REF!,#REF!,
$A95,#REF!,
"&gt;="&amp;'Faturado mensal'!M$2,#REF!,
"&lt;"&amp;EOMONTH('Faturado mensal'!M$2,12))</f>
        <v>137729.42999999996</v>
      </c>
      <c r="Z95" s="9">
        <f>SUMIFS(#REF!,#REF!,
$A95,#REF!,
"&gt;="&amp;'Faturado mensal'!Z$2,#REF!,
"&lt;"&amp;EOMONTH('Faturado mensal'!Z$2,0))</f>
        <v>7699.14</v>
      </c>
      <c r="AA95" s="9">
        <f>SUMIFS(#REF!,#REF!,
$A95,#REF!,
"&gt;="&amp;'Faturado mensal'!AA$2,#REF!,
"&lt;"&amp;EOMONTH('Faturado mensal'!AA$2,0))</f>
        <v>6857.83</v>
      </c>
      <c r="AB95" s="9">
        <f>SUMIFS(#REF!,#REF!,
$A95,#REF!,
"&gt;="&amp;'Faturado mensal'!AB$2,#REF!,
"&lt;"&amp;EOMONTH('Faturado mensal'!AB$2,0))</f>
        <v>8197.57</v>
      </c>
      <c r="AC95" s="9">
        <f>SUMIFS(#REF!,#REF!,
$A95,#REF!,
"&gt;="&amp;'Faturado mensal'!AC$2,#REF!,
"&lt;"&amp;EOMONTH('Faturado mensal'!AC$2,0))</f>
        <v>11942.77</v>
      </c>
      <c r="AD95" s="9">
        <f>SUMIFS(#REF!,#REF!,
$A95,#REF!,
"&gt;="&amp;'Faturado mensal'!AD$2,#REF!,
"&lt;"&amp;EOMONTH('Faturado mensal'!AD$2,0))</f>
        <v>8133.67</v>
      </c>
      <c r="AE95" s="9">
        <f>SUMIFS(#REF!,#REF!,
$A95,#REF!,
"&gt;="&amp;'Faturado mensal'!AE$2,#REF!,
"&lt;"&amp;EOMONTH('Faturado mensal'!AE$2,0))</f>
        <v>7418.0199999999995</v>
      </c>
      <c r="AF95" s="9">
        <f>SUMIFS(#REF!,#REF!,
$A95,#REF!,
"&gt;="&amp;'Faturado mensal'!AF$2,#REF!,
"&lt;"&amp;EOMONTH('Faturado mensal'!AF$2,0))</f>
        <v>0</v>
      </c>
      <c r="AG95" s="9">
        <f>SUMIFS(#REF!,#REF!,
$A95,#REF!,
"&gt;="&amp;'Faturado mensal'!AG$2,#REF!,
"&lt;"&amp;EOMONTH('Faturado mensal'!AG$2,0))</f>
        <v>0</v>
      </c>
      <c r="AH95" s="9">
        <f>SUMIFS(#REF!,#REF!,
$A95,#REF!,
"&gt;="&amp;'Faturado mensal'!AH$2,#REF!,
"&lt;"&amp;EOMONTH('Faturado mensal'!AH$2,0))</f>
        <v>0</v>
      </c>
      <c r="AI95" s="9">
        <f>SUMIFS(#REF!,#REF!,
$A95,#REF!,
"&gt;="&amp;'Faturado mensal'!AI$2,#REF!,
"&lt;"&amp;EOMONTH('Faturado mensal'!AI$2,0))</f>
        <v>0</v>
      </c>
      <c r="AJ95" s="9">
        <f>SUMIFS(#REF!,#REF!,
$A95,#REF!,
"&gt;="&amp;'Faturado mensal'!AJ$2,#REF!,
"&lt;"&amp;EOMONTH('Faturado mensal'!AJ$2,0))</f>
        <v>0</v>
      </c>
      <c r="AK95" s="9">
        <f>SUMIFS(#REF!,#REF!,
$A95,#REF!,
"&gt;="&amp;'Faturado mensal'!AK$2,#REF!,
"&lt;"&amp;EOMONTH('Faturado mensal'!AK$2,0))</f>
        <v>0</v>
      </c>
      <c r="AL95" s="9">
        <f>SUMIFS(#REF!,#REF!,
$A95,#REF!,
"&gt;="&amp;Z$2,#REF!,
"&lt;"&amp;EOMONTH(AK$2,0))</f>
        <v>51092.78</v>
      </c>
    </row>
    <row r="96" spans="1:38" x14ac:dyDescent="0.3">
      <c r="A96" t="s">
        <v>320</v>
      </c>
      <c r="B96" t="s">
        <v>248</v>
      </c>
      <c r="C96" t="s">
        <v>13</v>
      </c>
      <c r="D96" t="s">
        <v>209</v>
      </c>
      <c r="E96" t="s">
        <v>4843</v>
      </c>
      <c r="F96" t="s">
        <v>4779</v>
      </c>
      <c r="G96" t="s">
        <v>4854</v>
      </c>
      <c r="H96" t="s">
        <v>4773</v>
      </c>
      <c r="I96" t="s">
        <v>13</v>
      </c>
      <c r="J96" t="s">
        <v>710</v>
      </c>
      <c r="K96" t="s">
        <v>748</v>
      </c>
      <c r="L96" t="s">
        <v>749</v>
      </c>
      <c r="M96" s="9">
        <f>SUMIFS(#REF!,#REF!,
$A96,#REF!,
"&gt;="&amp;'Faturado mensal'!M$2,#REF!,
"&lt;"&amp;EOMONTH('Faturado mensal'!M$2,0))</f>
        <v>0</v>
      </c>
      <c r="N96" s="9">
        <f>SUMIFS(#REF!,#REF!,
$A96,#REF!,
"&gt;="&amp;'Faturado mensal'!N$2,#REF!,
"&lt;"&amp;EOMONTH('Faturado mensal'!N$2,0))</f>
        <v>0</v>
      </c>
      <c r="O96" s="9">
        <f>SUMIFS(#REF!,#REF!,
$A96,#REF!,
"&gt;="&amp;'Faturado mensal'!O$2,#REF!,
"&lt;"&amp;EOMONTH('Faturado mensal'!O$2,0))</f>
        <v>0</v>
      </c>
      <c r="P96" s="9">
        <f>SUMIFS(#REF!,#REF!,
$A96,#REF!,
"&gt;="&amp;'Faturado mensal'!P$2,#REF!,
"&lt;"&amp;EOMONTH('Faturado mensal'!P$2,0))</f>
        <v>0</v>
      </c>
      <c r="Q96" s="9">
        <f>SUMIFS(#REF!,#REF!,
$A96,#REF!,
"&gt;="&amp;'Faturado mensal'!Q$2,#REF!,
"&lt;"&amp;EOMONTH('Faturado mensal'!Q$2,0))</f>
        <v>0</v>
      </c>
      <c r="R96" s="9">
        <f>SUMIFS(#REF!,#REF!,
$A96,#REF!,
"&gt;="&amp;'Faturado mensal'!R$2,#REF!,
"&lt;"&amp;EOMONTH('Faturado mensal'!R$2,0))</f>
        <v>0</v>
      </c>
      <c r="S96" s="9">
        <f>SUMIFS(#REF!,#REF!,
$A96,#REF!,
"&gt;="&amp;'Faturado mensal'!S$2,#REF!,
"&lt;"&amp;EOMONTH('Faturado mensal'!S$2,0))</f>
        <v>0</v>
      </c>
      <c r="T96" s="9">
        <f>SUMIFS(#REF!,#REF!,
$A96,#REF!,
"&gt;="&amp;'Faturado mensal'!T$2,#REF!,
"&lt;"&amp;EOMONTH('Faturado mensal'!T$2,0))</f>
        <v>0</v>
      </c>
      <c r="U96" s="9">
        <f>SUMIFS(#REF!,#REF!,
$A96,#REF!,
"&gt;="&amp;'Faturado mensal'!U$2,#REF!,
"&lt;"&amp;EOMONTH('Faturado mensal'!U$2,0))</f>
        <v>0</v>
      </c>
      <c r="V96" s="9">
        <f>SUMIFS(#REF!,#REF!,
$A96,#REF!,
"&gt;="&amp;'Faturado mensal'!V$2,#REF!,
"&lt;"&amp;EOMONTH('Faturado mensal'!V$2,0))</f>
        <v>0</v>
      </c>
      <c r="W96" s="9">
        <f>SUMIFS(#REF!,#REF!,
$A96,#REF!,
"&gt;="&amp;'Faturado mensal'!W$2,#REF!,
"&lt;"&amp;EOMONTH('Faturado mensal'!W$2,0))</f>
        <v>0</v>
      </c>
      <c r="X96" s="9">
        <f>SUMIFS(#REF!,#REF!,
$A96,#REF!,
"&gt;="&amp;'Faturado mensal'!X$2,#REF!,
"&lt;"&amp;EOMONTH('Faturado mensal'!X$2,0))</f>
        <v>0</v>
      </c>
      <c r="Y96" s="11">
        <f>SUMIFS(#REF!,#REF!,
$A96,#REF!,
"&gt;="&amp;'Faturado mensal'!M$2,#REF!,
"&lt;"&amp;EOMONTH('Faturado mensal'!M$2,12))</f>
        <v>0</v>
      </c>
      <c r="Z96" s="9">
        <f>SUMIFS(#REF!,#REF!,
$A96,#REF!,
"&gt;="&amp;'Faturado mensal'!Z$2,#REF!,
"&lt;"&amp;EOMONTH('Faturado mensal'!Z$2,0))</f>
        <v>0</v>
      </c>
      <c r="AA96" s="9">
        <f>SUMIFS(#REF!,#REF!,
$A96,#REF!,
"&gt;="&amp;'Faturado mensal'!AA$2,#REF!,
"&lt;"&amp;EOMONTH('Faturado mensal'!AA$2,0))</f>
        <v>0</v>
      </c>
      <c r="AB96" s="9">
        <f>SUMIFS(#REF!,#REF!,
$A96,#REF!,
"&gt;="&amp;'Faturado mensal'!AB$2,#REF!,
"&lt;"&amp;EOMONTH('Faturado mensal'!AB$2,0))</f>
        <v>0</v>
      </c>
      <c r="AC96" s="9">
        <f>SUMIFS(#REF!,#REF!,
$A96,#REF!,
"&gt;="&amp;'Faturado mensal'!AC$2,#REF!,
"&lt;"&amp;EOMONTH('Faturado mensal'!AC$2,0))</f>
        <v>0</v>
      </c>
      <c r="AD96" s="9">
        <f>SUMIFS(#REF!,#REF!,
$A96,#REF!,
"&gt;="&amp;'Faturado mensal'!AD$2,#REF!,
"&lt;"&amp;EOMONTH('Faturado mensal'!AD$2,0))</f>
        <v>0</v>
      </c>
      <c r="AE96" s="9">
        <f>SUMIFS(#REF!,#REF!,
$A96,#REF!,
"&gt;="&amp;'Faturado mensal'!AE$2,#REF!,
"&lt;"&amp;EOMONTH('Faturado mensal'!AE$2,0))</f>
        <v>0</v>
      </c>
      <c r="AF96" s="9">
        <f>SUMIFS(#REF!,#REF!,
$A96,#REF!,
"&gt;="&amp;'Faturado mensal'!AF$2,#REF!,
"&lt;"&amp;EOMONTH('Faturado mensal'!AF$2,0))</f>
        <v>0</v>
      </c>
      <c r="AG96" s="9">
        <f>SUMIFS(#REF!,#REF!,
$A96,#REF!,
"&gt;="&amp;'Faturado mensal'!AG$2,#REF!,
"&lt;"&amp;EOMONTH('Faturado mensal'!AG$2,0))</f>
        <v>0</v>
      </c>
      <c r="AH96" s="9">
        <f>SUMIFS(#REF!,#REF!,
$A96,#REF!,
"&gt;="&amp;'Faturado mensal'!AH$2,#REF!,
"&lt;"&amp;EOMONTH('Faturado mensal'!AH$2,0))</f>
        <v>0</v>
      </c>
      <c r="AI96" s="9">
        <f>SUMIFS(#REF!,#REF!,
$A96,#REF!,
"&gt;="&amp;'Faturado mensal'!AI$2,#REF!,
"&lt;"&amp;EOMONTH('Faturado mensal'!AI$2,0))</f>
        <v>0</v>
      </c>
      <c r="AJ96" s="9">
        <f>SUMIFS(#REF!,#REF!,
$A96,#REF!,
"&gt;="&amp;'Faturado mensal'!AJ$2,#REF!,
"&lt;"&amp;EOMONTH('Faturado mensal'!AJ$2,0))</f>
        <v>0</v>
      </c>
      <c r="AK96" s="9">
        <f>SUMIFS(#REF!,#REF!,
$A96,#REF!,
"&gt;="&amp;'Faturado mensal'!AK$2,#REF!,
"&lt;"&amp;EOMONTH('Faturado mensal'!AK$2,0))</f>
        <v>0</v>
      </c>
      <c r="AL96" s="9">
        <f>SUMIFS(#REF!,#REF!,
$A96,#REF!,
"&gt;="&amp;Z$2,#REF!,
"&lt;"&amp;EOMONTH(AK$2,0))</f>
        <v>0</v>
      </c>
    </row>
    <row r="97" spans="1:38" x14ac:dyDescent="0.3">
      <c r="A97" t="s">
        <v>321</v>
      </c>
      <c r="B97" t="s">
        <v>322</v>
      </c>
      <c r="C97" t="s">
        <v>158</v>
      </c>
      <c r="D97" t="s">
        <v>204</v>
      </c>
      <c r="E97" t="s">
        <v>1040</v>
      </c>
      <c r="F97" t="s">
        <v>4782</v>
      </c>
      <c r="G97" t="s">
        <v>4856</v>
      </c>
      <c r="H97" t="s">
        <v>4773</v>
      </c>
      <c r="I97" t="s">
        <v>821</v>
      </c>
      <c r="J97" t="s">
        <v>710</v>
      </c>
      <c r="K97" t="s">
        <v>748</v>
      </c>
      <c r="L97" t="s">
        <v>749</v>
      </c>
      <c r="M97" s="9">
        <f>SUMIFS(#REF!,#REF!,
$A97,#REF!,
"&gt;="&amp;'Faturado mensal'!M$2,#REF!,
"&lt;"&amp;EOMONTH('Faturado mensal'!M$2,0))</f>
        <v>21186.69</v>
      </c>
      <c r="N97" s="9">
        <f>SUMIFS(#REF!,#REF!,
$A97,#REF!,
"&gt;="&amp;'Faturado mensal'!N$2,#REF!,
"&lt;"&amp;EOMONTH('Faturado mensal'!N$2,0))</f>
        <v>18796.53</v>
      </c>
      <c r="O97" s="9">
        <f>SUMIFS(#REF!,#REF!,
$A97,#REF!,
"&gt;="&amp;'Faturado mensal'!O$2,#REF!,
"&lt;"&amp;EOMONTH('Faturado mensal'!O$2,0))</f>
        <v>24758.940000000002</v>
      </c>
      <c r="P97" s="9">
        <f>SUMIFS(#REF!,#REF!,
$A97,#REF!,
"&gt;="&amp;'Faturado mensal'!P$2,#REF!,
"&lt;"&amp;EOMONTH('Faturado mensal'!P$2,0))</f>
        <v>20186.46</v>
      </c>
      <c r="Q97" s="9">
        <f>SUMIFS(#REF!,#REF!,
$A97,#REF!,
"&gt;="&amp;'Faturado mensal'!Q$2,#REF!,
"&lt;"&amp;EOMONTH('Faturado mensal'!Q$2,0))</f>
        <v>24225.75</v>
      </c>
      <c r="R97" s="9">
        <f>SUMIFS(#REF!,#REF!,
$A97,#REF!,
"&gt;="&amp;'Faturado mensal'!R$2,#REF!,
"&lt;"&amp;EOMONTH('Faturado mensal'!R$2,0))</f>
        <v>23784.69</v>
      </c>
      <c r="S97" s="9">
        <f>SUMIFS(#REF!,#REF!,
$A97,#REF!,
"&gt;="&amp;'Faturado mensal'!S$2,#REF!,
"&lt;"&amp;EOMONTH('Faturado mensal'!S$2,0))</f>
        <v>21407.52</v>
      </c>
      <c r="T97" s="9">
        <f>SUMIFS(#REF!,#REF!,
$A97,#REF!,
"&gt;="&amp;'Faturado mensal'!T$2,#REF!,
"&lt;"&amp;EOMONTH('Faturado mensal'!T$2,0))</f>
        <v>19913.669999999998</v>
      </c>
      <c r="U97" s="9">
        <f>SUMIFS(#REF!,#REF!,
$A97,#REF!,
"&gt;="&amp;'Faturado mensal'!U$2,#REF!,
"&lt;"&amp;EOMONTH('Faturado mensal'!U$2,0))</f>
        <v>25501.5</v>
      </c>
      <c r="V97" s="9">
        <f>SUMIFS(#REF!,#REF!,
$A97,#REF!,
"&gt;="&amp;'Faturado mensal'!V$2,#REF!,
"&lt;"&amp;EOMONTH('Faturado mensal'!V$2,0))</f>
        <v>19575.36</v>
      </c>
      <c r="W97" s="9">
        <f>SUMIFS(#REF!,#REF!,
$A97,#REF!,
"&gt;="&amp;'Faturado mensal'!W$2,#REF!,
"&lt;"&amp;EOMONTH('Faturado mensal'!W$2,0))</f>
        <v>19277.16</v>
      </c>
      <c r="X97" s="9">
        <f>SUMIFS(#REF!,#REF!,
$A97,#REF!,
"&gt;="&amp;'Faturado mensal'!X$2,#REF!,
"&lt;"&amp;EOMONTH('Faturado mensal'!X$2,0))</f>
        <v>24473.16</v>
      </c>
      <c r="Y97" s="11">
        <f>SUMIFS(#REF!,#REF!,
$A97,#REF!,
"&gt;="&amp;'Faturado mensal'!M$2,#REF!,
"&lt;"&amp;EOMONTH('Faturado mensal'!M$2,12))</f>
        <v>263087.43</v>
      </c>
      <c r="Z97" s="9">
        <f>SUMIFS(#REF!,#REF!,
$A97,#REF!,
"&gt;="&amp;'Faturado mensal'!Z$2,#REF!,
"&lt;"&amp;EOMONTH('Faturado mensal'!Z$2,0))</f>
        <v>0</v>
      </c>
      <c r="AA97" s="9">
        <f>SUMIFS(#REF!,#REF!,
$A97,#REF!,
"&gt;="&amp;'Faturado mensal'!AA$2,#REF!,
"&lt;"&amp;EOMONTH('Faturado mensal'!AA$2,0))</f>
        <v>19004.37</v>
      </c>
      <c r="AB97" s="9">
        <f>SUMIFS(#REF!,#REF!,
$A97,#REF!,
"&gt;="&amp;'Faturado mensal'!AB$2,#REF!,
"&lt;"&amp;EOMONTH('Faturado mensal'!AB$2,0))</f>
        <v>20641.11</v>
      </c>
      <c r="AC97" s="9">
        <f>SUMIFS(#REF!,#REF!,
$A97,#REF!,
"&gt;="&amp;'Faturado mensal'!AC$2,#REF!,
"&lt;"&amp;EOMONTH('Faturado mensal'!AC$2,0))</f>
        <v>35148.58</v>
      </c>
      <c r="AD97" s="9">
        <f>SUMIFS(#REF!,#REF!,
$A97,#REF!,
"&gt;="&amp;'Faturado mensal'!AD$2,#REF!,
"&lt;"&amp;EOMONTH('Faturado mensal'!AD$2,0))</f>
        <v>21660</v>
      </c>
      <c r="AE97" s="9">
        <f>SUMIFS(#REF!,#REF!,
$A97,#REF!,
"&gt;="&amp;'Faturado mensal'!AE$2,#REF!,
"&lt;"&amp;EOMONTH('Faturado mensal'!AE$2,0))</f>
        <v>28640</v>
      </c>
      <c r="AF97" s="9">
        <f>SUMIFS(#REF!,#REF!,
$A97,#REF!,
"&gt;="&amp;'Faturado mensal'!AF$2,#REF!,
"&lt;"&amp;EOMONTH('Faturado mensal'!AF$2,0))</f>
        <v>0</v>
      </c>
      <c r="AG97" s="9">
        <f>SUMIFS(#REF!,#REF!,
$A97,#REF!,
"&gt;="&amp;'Faturado mensal'!AG$2,#REF!,
"&lt;"&amp;EOMONTH('Faturado mensal'!AG$2,0))</f>
        <v>0</v>
      </c>
      <c r="AH97" s="9">
        <f>SUMIFS(#REF!,#REF!,
$A97,#REF!,
"&gt;="&amp;'Faturado mensal'!AH$2,#REF!,
"&lt;"&amp;EOMONTH('Faturado mensal'!AH$2,0))</f>
        <v>0</v>
      </c>
      <c r="AI97" s="9">
        <f>SUMIFS(#REF!,#REF!,
$A97,#REF!,
"&gt;="&amp;'Faturado mensal'!AI$2,#REF!,
"&lt;"&amp;EOMONTH('Faturado mensal'!AI$2,0))</f>
        <v>0</v>
      </c>
      <c r="AJ97" s="9">
        <f>SUMIFS(#REF!,#REF!,
$A97,#REF!,
"&gt;="&amp;'Faturado mensal'!AJ$2,#REF!,
"&lt;"&amp;EOMONTH('Faturado mensal'!AJ$2,0))</f>
        <v>0</v>
      </c>
      <c r="AK97" s="9">
        <f>SUMIFS(#REF!,#REF!,
$A97,#REF!,
"&gt;="&amp;'Faturado mensal'!AK$2,#REF!,
"&lt;"&amp;EOMONTH('Faturado mensal'!AK$2,0))</f>
        <v>0</v>
      </c>
      <c r="AL97" s="9">
        <f>SUMIFS(#REF!,#REF!,
$A97,#REF!,
"&gt;="&amp;Z$2,#REF!,
"&lt;"&amp;EOMONTH(AK$2,0))</f>
        <v>125094.06</v>
      </c>
    </row>
    <row r="98" spans="1:38" x14ac:dyDescent="0.3">
      <c r="A98" t="s">
        <v>323</v>
      </c>
      <c r="B98" t="s">
        <v>301</v>
      </c>
      <c r="C98" t="s">
        <v>23</v>
      </c>
      <c r="D98" t="s">
        <v>204</v>
      </c>
      <c r="E98" t="s">
        <v>1036</v>
      </c>
      <c r="F98" t="s">
        <v>4782</v>
      </c>
      <c r="G98" t="s">
        <v>4853</v>
      </c>
      <c r="H98" t="s">
        <v>4773</v>
      </c>
      <c r="I98" t="s">
        <v>23</v>
      </c>
      <c r="J98" t="s">
        <v>710</v>
      </c>
      <c r="K98" t="s">
        <v>711</v>
      </c>
      <c r="L98" t="s">
        <v>712</v>
      </c>
      <c r="M98" s="9">
        <f>SUMIFS(#REF!,#REF!,
$A98,#REF!,
"&gt;="&amp;'Faturado mensal'!M$2,#REF!,
"&lt;"&amp;EOMONTH('Faturado mensal'!M$2,0))</f>
        <v>15732.39</v>
      </c>
      <c r="N98" s="9">
        <f>SUMIFS(#REF!,#REF!,
$A98,#REF!,
"&gt;="&amp;'Faturado mensal'!N$2,#REF!,
"&lt;"&amp;EOMONTH('Faturado mensal'!N$2,0))</f>
        <v>0</v>
      </c>
      <c r="O98" s="9">
        <f>SUMIFS(#REF!,#REF!,
$A98,#REF!,
"&gt;="&amp;'Faturado mensal'!O$2,#REF!,
"&lt;"&amp;EOMONTH('Faturado mensal'!O$2,0))</f>
        <v>5244.13</v>
      </c>
      <c r="P98" s="9">
        <f>SUMIFS(#REF!,#REF!,
$A98,#REF!,
"&gt;="&amp;'Faturado mensal'!P$2,#REF!,
"&lt;"&amp;EOMONTH('Faturado mensal'!P$2,0))</f>
        <v>5244.13</v>
      </c>
      <c r="Q98" s="9">
        <f>SUMIFS(#REF!,#REF!,
$A98,#REF!,
"&gt;="&amp;'Faturado mensal'!Q$2,#REF!,
"&lt;"&amp;EOMONTH('Faturado mensal'!Q$2,0))</f>
        <v>0</v>
      </c>
      <c r="R98" s="9">
        <f>SUMIFS(#REF!,#REF!,
$A98,#REF!,
"&gt;="&amp;'Faturado mensal'!R$2,#REF!,
"&lt;"&amp;EOMONTH('Faturado mensal'!R$2,0))</f>
        <v>5244.13</v>
      </c>
      <c r="S98" s="9">
        <f>SUMIFS(#REF!,#REF!,
$A98,#REF!,
"&gt;="&amp;'Faturado mensal'!S$2,#REF!,
"&lt;"&amp;EOMONTH('Faturado mensal'!S$2,0))</f>
        <v>0</v>
      </c>
      <c r="T98" s="9">
        <f>SUMIFS(#REF!,#REF!,
$A98,#REF!,
"&gt;="&amp;'Faturado mensal'!T$2,#REF!,
"&lt;"&amp;EOMONTH('Faturado mensal'!T$2,0))</f>
        <v>0</v>
      </c>
      <c r="U98" s="9">
        <f>SUMIFS(#REF!,#REF!,
$A98,#REF!,
"&gt;="&amp;'Faturado mensal'!U$2,#REF!,
"&lt;"&amp;EOMONTH('Faturado mensal'!U$2,0))</f>
        <v>0</v>
      </c>
      <c r="V98" s="9">
        <f>SUMIFS(#REF!,#REF!,
$A98,#REF!,
"&gt;="&amp;'Faturado mensal'!V$2,#REF!,
"&lt;"&amp;EOMONTH('Faturado mensal'!V$2,0))</f>
        <v>0</v>
      </c>
      <c r="W98" s="9">
        <f>SUMIFS(#REF!,#REF!,
$A98,#REF!,
"&gt;="&amp;'Faturado mensal'!W$2,#REF!,
"&lt;"&amp;EOMONTH('Faturado mensal'!W$2,0))</f>
        <v>0</v>
      </c>
      <c r="X98" s="9">
        <f>SUMIFS(#REF!,#REF!,
$A98,#REF!,
"&gt;="&amp;'Faturado mensal'!X$2,#REF!,
"&lt;"&amp;EOMONTH('Faturado mensal'!X$2,0))</f>
        <v>0</v>
      </c>
      <c r="Y98" s="11">
        <f>SUMIFS(#REF!,#REF!,
$A98,#REF!,
"&gt;="&amp;'Faturado mensal'!M$2,#REF!,
"&lt;"&amp;EOMONTH('Faturado mensal'!M$2,12))</f>
        <v>41953.04</v>
      </c>
      <c r="Z98" s="9">
        <f>SUMIFS(#REF!,#REF!,
$A98,#REF!,
"&gt;="&amp;'Faturado mensal'!Z$2,#REF!,
"&lt;"&amp;EOMONTH('Faturado mensal'!Z$2,0))</f>
        <v>0</v>
      </c>
      <c r="AA98" s="9">
        <f>SUMIFS(#REF!,#REF!,
$A98,#REF!,
"&gt;="&amp;'Faturado mensal'!AA$2,#REF!,
"&lt;"&amp;EOMONTH('Faturado mensal'!AA$2,0))</f>
        <v>0</v>
      </c>
      <c r="AB98" s="9">
        <f>SUMIFS(#REF!,#REF!,
$A98,#REF!,
"&gt;="&amp;'Faturado mensal'!AB$2,#REF!,
"&lt;"&amp;EOMONTH('Faturado mensal'!AB$2,0))</f>
        <v>0</v>
      </c>
      <c r="AC98" s="9">
        <f>SUMIFS(#REF!,#REF!,
$A98,#REF!,
"&gt;="&amp;'Faturado mensal'!AC$2,#REF!,
"&lt;"&amp;EOMONTH('Faturado mensal'!AC$2,0))</f>
        <v>40800.239999999998</v>
      </c>
      <c r="AD98" s="9">
        <f>SUMIFS(#REF!,#REF!,
$A98,#REF!,
"&gt;="&amp;'Faturado mensal'!AD$2,#REF!,
"&lt;"&amp;EOMONTH('Faturado mensal'!AD$2,0))</f>
        <v>0</v>
      </c>
      <c r="AE98" s="9">
        <f>SUMIFS(#REF!,#REF!,
$A98,#REF!,
"&gt;="&amp;'Faturado mensal'!AE$2,#REF!,
"&lt;"&amp;EOMONTH('Faturado mensal'!AE$2,0))</f>
        <v>22433.279999999999</v>
      </c>
      <c r="AF98" s="9">
        <f>SUMIFS(#REF!,#REF!,
$A98,#REF!,
"&gt;="&amp;'Faturado mensal'!AF$2,#REF!,
"&lt;"&amp;EOMONTH('Faturado mensal'!AF$2,0))</f>
        <v>0</v>
      </c>
      <c r="AG98" s="9">
        <f>SUMIFS(#REF!,#REF!,
$A98,#REF!,
"&gt;="&amp;'Faturado mensal'!AG$2,#REF!,
"&lt;"&amp;EOMONTH('Faturado mensal'!AG$2,0))</f>
        <v>0</v>
      </c>
      <c r="AH98" s="9">
        <f>SUMIFS(#REF!,#REF!,
$A98,#REF!,
"&gt;="&amp;'Faturado mensal'!AH$2,#REF!,
"&lt;"&amp;EOMONTH('Faturado mensal'!AH$2,0))</f>
        <v>0</v>
      </c>
      <c r="AI98" s="9">
        <f>SUMIFS(#REF!,#REF!,
$A98,#REF!,
"&gt;="&amp;'Faturado mensal'!AI$2,#REF!,
"&lt;"&amp;EOMONTH('Faturado mensal'!AI$2,0))</f>
        <v>0</v>
      </c>
      <c r="AJ98" s="9">
        <f>SUMIFS(#REF!,#REF!,
$A98,#REF!,
"&gt;="&amp;'Faturado mensal'!AJ$2,#REF!,
"&lt;"&amp;EOMONTH('Faturado mensal'!AJ$2,0))</f>
        <v>0</v>
      </c>
      <c r="AK98" s="9">
        <f>SUMIFS(#REF!,#REF!,
$A98,#REF!,
"&gt;="&amp;'Faturado mensal'!AK$2,#REF!,
"&lt;"&amp;EOMONTH('Faturado mensal'!AK$2,0))</f>
        <v>0</v>
      </c>
      <c r="AL98" s="9">
        <f>SUMIFS(#REF!,#REF!,
$A98,#REF!,
"&gt;="&amp;Z$2,#REF!,
"&lt;"&amp;EOMONTH(AK$2,0))</f>
        <v>63233.52</v>
      </c>
    </row>
    <row r="99" spans="1:38" x14ac:dyDescent="0.3">
      <c r="A99" t="s">
        <v>324</v>
      </c>
      <c r="B99" t="s">
        <v>325</v>
      </c>
      <c r="C99" t="s">
        <v>193</v>
      </c>
      <c r="D99" t="s">
        <v>204</v>
      </c>
      <c r="E99" t="s">
        <v>4844</v>
      </c>
      <c r="F99" t="s">
        <v>4779</v>
      </c>
      <c r="G99" t="s">
        <v>4853</v>
      </c>
      <c r="H99" t="s">
        <v>4773</v>
      </c>
      <c r="I99" t="s">
        <v>822</v>
      </c>
      <c r="J99" t="s">
        <v>710</v>
      </c>
      <c r="K99" t="s">
        <v>711</v>
      </c>
      <c r="L99" t="s">
        <v>712</v>
      </c>
      <c r="M99" s="9">
        <f>SUMIFS(#REF!,#REF!,
$A99,#REF!,
"&gt;="&amp;'Faturado mensal'!M$2,#REF!,
"&lt;"&amp;EOMONTH('Faturado mensal'!M$2,0))</f>
        <v>3900</v>
      </c>
      <c r="N99" s="9">
        <f>SUMIFS(#REF!,#REF!,
$A99,#REF!,
"&gt;="&amp;'Faturado mensal'!N$2,#REF!,
"&lt;"&amp;EOMONTH('Faturado mensal'!N$2,0))</f>
        <v>3900</v>
      </c>
      <c r="O99" s="9">
        <f>SUMIFS(#REF!,#REF!,
$A99,#REF!,
"&gt;="&amp;'Faturado mensal'!O$2,#REF!,
"&lt;"&amp;EOMONTH('Faturado mensal'!O$2,0))</f>
        <v>3900</v>
      </c>
      <c r="P99" s="9">
        <f>SUMIFS(#REF!,#REF!,
$A99,#REF!,
"&gt;="&amp;'Faturado mensal'!P$2,#REF!,
"&lt;"&amp;EOMONTH('Faturado mensal'!P$2,0))</f>
        <v>3900</v>
      </c>
      <c r="Q99" s="9">
        <f>SUMIFS(#REF!,#REF!,
$A99,#REF!,
"&gt;="&amp;'Faturado mensal'!Q$2,#REF!,
"&lt;"&amp;EOMONTH('Faturado mensal'!Q$2,0))</f>
        <v>3900</v>
      </c>
      <c r="R99" s="9">
        <f>SUMIFS(#REF!,#REF!,
$A99,#REF!,
"&gt;="&amp;'Faturado mensal'!R$2,#REF!,
"&lt;"&amp;EOMONTH('Faturado mensal'!R$2,0))</f>
        <v>3900</v>
      </c>
      <c r="S99" s="9">
        <f>SUMIFS(#REF!,#REF!,
$A99,#REF!,
"&gt;="&amp;'Faturado mensal'!S$2,#REF!,
"&lt;"&amp;EOMONTH('Faturado mensal'!S$2,0))</f>
        <v>3900</v>
      </c>
      <c r="T99" s="9">
        <f>SUMIFS(#REF!,#REF!,
$A99,#REF!,
"&gt;="&amp;'Faturado mensal'!T$2,#REF!,
"&lt;"&amp;EOMONTH('Faturado mensal'!T$2,0))</f>
        <v>3900</v>
      </c>
      <c r="U99" s="9">
        <f>SUMIFS(#REF!,#REF!,
$A99,#REF!,
"&gt;="&amp;'Faturado mensal'!U$2,#REF!,
"&lt;"&amp;EOMONTH('Faturado mensal'!U$2,0))</f>
        <v>3900</v>
      </c>
      <c r="V99" s="9">
        <f>SUMIFS(#REF!,#REF!,
$A99,#REF!,
"&gt;="&amp;'Faturado mensal'!V$2,#REF!,
"&lt;"&amp;EOMONTH('Faturado mensal'!V$2,0))</f>
        <v>3900</v>
      </c>
      <c r="W99" s="9">
        <f>SUMIFS(#REF!,#REF!,
$A99,#REF!,
"&gt;="&amp;'Faturado mensal'!W$2,#REF!,
"&lt;"&amp;EOMONTH('Faturado mensal'!W$2,0))</f>
        <v>3900</v>
      </c>
      <c r="X99" s="9">
        <f>SUMIFS(#REF!,#REF!,
$A99,#REF!,
"&gt;="&amp;'Faturado mensal'!X$2,#REF!,
"&lt;"&amp;EOMONTH('Faturado mensal'!X$2,0))</f>
        <v>3900</v>
      </c>
      <c r="Y99" s="11">
        <f>SUMIFS(#REF!,#REF!,
$A99,#REF!,
"&gt;="&amp;'Faturado mensal'!M$2,#REF!,
"&lt;"&amp;EOMONTH('Faturado mensal'!M$2,12))</f>
        <v>50700</v>
      </c>
      <c r="Z99" s="9">
        <f>SUMIFS(#REF!,#REF!,
$A99,#REF!,
"&gt;="&amp;'Faturado mensal'!Z$2,#REF!,
"&lt;"&amp;EOMONTH('Faturado mensal'!Z$2,0))</f>
        <v>3900</v>
      </c>
      <c r="AA99" s="9">
        <f>SUMIFS(#REF!,#REF!,
$A99,#REF!,
"&gt;="&amp;'Faturado mensal'!AA$2,#REF!,
"&lt;"&amp;EOMONTH('Faturado mensal'!AA$2,0))</f>
        <v>3900</v>
      </c>
      <c r="AB99" s="9">
        <f>SUMIFS(#REF!,#REF!,
$A99,#REF!,
"&gt;="&amp;'Faturado mensal'!AB$2,#REF!,
"&lt;"&amp;EOMONTH('Faturado mensal'!AB$2,0))</f>
        <v>3900</v>
      </c>
      <c r="AC99" s="9">
        <f>SUMIFS(#REF!,#REF!,
$A99,#REF!,
"&gt;="&amp;'Faturado mensal'!AC$2,#REF!,
"&lt;"&amp;EOMONTH('Faturado mensal'!AC$2,0))</f>
        <v>3900</v>
      </c>
      <c r="AD99" s="9">
        <f>SUMIFS(#REF!,#REF!,
$A99,#REF!,
"&gt;="&amp;'Faturado mensal'!AD$2,#REF!,
"&lt;"&amp;EOMONTH('Faturado mensal'!AD$2,0))</f>
        <v>3900</v>
      </c>
      <c r="AE99" s="9">
        <f>SUMIFS(#REF!,#REF!,
$A99,#REF!,
"&gt;="&amp;'Faturado mensal'!AE$2,#REF!,
"&lt;"&amp;EOMONTH('Faturado mensal'!AE$2,0))</f>
        <v>3900</v>
      </c>
      <c r="AF99" s="9">
        <f>SUMIFS(#REF!,#REF!,
$A99,#REF!,
"&gt;="&amp;'Faturado mensal'!AF$2,#REF!,
"&lt;"&amp;EOMONTH('Faturado mensal'!AF$2,0))</f>
        <v>0</v>
      </c>
      <c r="AG99" s="9">
        <f>SUMIFS(#REF!,#REF!,
$A99,#REF!,
"&gt;="&amp;'Faturado mensal'!AG$2,#REF!,
"&lt;"&amp;EOMONTH('Faturado mensal'!AG$2,0))</f>
        <v>0</v>
      </c>
      <c r="AH99" s="9">
        <f>SUMIFS(#REF!,#REF!,
$A99,#REF!,
"&gt;="&amp;'Faturado mensal'!AH$2,#REF!,
"&lt;"&amp;EOMONTH('Faturado mensal'!AH$2,0))</f>
        <v>0</v>
      </c>
      <c r="AI99" s="9">
        <f>SUMIFS(#REF!,#REF!,
$A99,#REF!,
"&gt;="&amp;'Faturado mensal'!AI$2,#REF!,
"&lt;"&amp;EOMONTH('Faturado mensal'!AI$2,0))</f>
        <v>0</v>
      </c>
      <c r="AJ99" s="9">
        <f>SUMIFS(#REF!,#REF!,
$A99,#REF!,
"&gt;="&amp;'Faturado mensal'!AJ$2,#REF!,
"&lt;"&amp;EOMONTH('Faturado mensal'!AJ$2,0))</f>
        <v>0</v>
      </c>
      <c r="AK99" s="9">
        <f>SUMIFS(#REF!,#REF!,
$A99,#REF!,
"&gt;="&amp;'Faturado mensal'!AK$2,#REF!,
"&lt;"&amp;EOMONTH('Faturado mensal'!AK$2,0))</f>
        <v>0</v>
      </c>
      <c r="AL99" s="9">
        <f>SUMIFS(#REF!,#REF!,
$A99,#REF!,
"&gt;="&amp;Z$2,#REF!,
"&lt;"&amp;EOMONTH(AK$2,0))</f>
        <v>23400</v>
      </c>
    </row>
    <row r="100" spans="1:38" x14ac:dyDescent="0.3">
      <c r="A100" t="s">
        <v>326</v>
      </c>
      <c r="B100" t="s">
        <v>327</v>
      </c>
      <c r="C100" t="s">
        <v>159</v>
      </c>
      <c r="D100" t="s">
        <v>204</v>
      </c>
      <c r="E100" t="s">
        <v>4834</v>
      </c>
      <c r="F100" t="s">
        <v>4776</v>
      </c>
      <c r="G100" t="s">
        <v>4856</v>
      </c>
      <c r="H100" t="s">
        <v>4773</v>
      </c>
      <c r="I100" t="s">
        <v>159</v>
      </c>
      <c r="J100" t="s">
        <v>719</v>
      </c>
      <c r="K100" t="s">
        <v>748</v>
      </c>
      <c r="L100" t="s">
        <v>749</v>
      </c>
      <c r="M100" s="9">
        <f>SUMIFS(#REF!,#REF!,
$A100,#REF!,
"&gt;="&amp;'Faturado mensal'!M$2,#REF!,
"&lt;"&amp;EOMONTH('Faturado mensal'!M$2,0))</f>
        <v>4748.62</v>
      </c>
      <c r="N100" s="9">
        <f>SUMIFS(#REF!,#REF!,
$A100,#REF!,
"&gt;="&amp;'Faturado mensal'!N$2,#REF!,
"&lt;"&amp;EOMONTH('Faturado mensal'!N$2,0))</f>
        <v>5110.18</v>
      </c>
      <c r="O100" s="9">
        <f>SUMIFS(#REF!,#REF!,
$A100,#REF!,
"&gt;="&amp;'Faturado mensal'!O$2,#REF!,
"&lt;"&amp;EOMONTH('Faturado mensal'!O$2,0))</f>
        <v>0</v>
      </c>
      <c r="P100" s="9">
        <f>SUMIFS(#REF!,#REF!,
$A100,#REF!,
"&gt;="&amp;'Faturado mensal'!P$2,#REF!,
"&lt;"&amp;EOMONTH('Faturado mensal'!P$2,0))</f>
        <v>12777.72</v>
      </c>
      <c r="Q100" s="9">
        <f>SUMIFS(#REF!,#REF!,
$A100,#REF!,
"&gt;="&amp;'Faturado mensal'!Q$2,#REF!,
"&lt;"&amp;EOMONTH('Faturado mensal'!Q$2,0))</f>
        <v>5928.49</v>
      </c>
      <c r="R100" s="9">
        <f>SUMIFS(#REF!,#REF!,
$A100,#REF!,
"&gt;="&amp;'Faturado mensal'!R$2,#REF!,
"&lt;"&amp;EOMONTH('Faturado mensal'!R$2,0))</f>
        <v>4641.41</v>
      </c>
      <c r="S100" s="9">
        <f>SUMIFS(#REF!,#REF!,
$A100,#REF!,
"&gt;="&amp;'Faturado mensal'!S$2,#REF!,
"&lt;"&amp;EOMONTH('Faturado mensal'!S$2,0))</f>
        <v>0</v>
      </c>
      <c r="T100" s="9">
        <f>SUMIFS(#REF!,#REF!,
$A100,#REF!,
"&gt;="&amp;'Faturado mensal'!T$2,#REF!,
"&lt;"&amp;EOMONTH('Faturado mensal'!T$2,0))</f>
        <v>5525.02</v>
      </c>
      <c r="U100" s="9">
        <f>SUMIFS(#REF!,#REF!,
$A100,#REF!,
"&gt;="&amp;'Faturado mensal'!U$2,#REF!,
"&lt;"&amp;EOMONTH('Faturado mensal'!U$2,0))</f>
        <v>5867.3600000000006</v>
      </c>
      <c r="V100" s="9">
        <f>SUMIFS(#REF!,#REF!,
$A100,#REF!,
"&gt;="&amp;'Faturado mensal'!V$2,#REF!,
"&lt;"&amp;EOMONTH('Faturado mensal'!V$2,0))</f>
        <v>6214.42</v>
      </c>
      <c r="W100" s="9">
        <f>SUMIFS(#REF!,#REF!,
$A100,#REF!,
"&gt;="&amp;'Faturado mensal'!W$2,#REF!,
"&lt;"&amp;EOMONTH('Faturado mensal'!W$2,0))</f>
        <v>5471.9400000000005</v>
      </c>
      <c r="X100" s="9">
        <f>SUMIFS(#REF!,#REF!,
$A100,#REF!,
"&gt;="&amp;'Faturado mensal'!X$2,#REF!,
"&lt;"&amp;EOMONTH('Faturado mensal'!X$2,0))</f>
        <v>0</v>
      </c>
      <c r="Y100" s="11">
        <f>SUMIFS(#REF!,#REF!,
$A100,#REF!,
"&gt;="&amp;'Faturado mensal'!M$2,#REF!,
"&lt;"&amp;EOMONTH('Faturado mensal'!M$2,12))</f>
        <v>61624.13</v>
      </c>
      <c r="Z100" s="9">
        <f>SUMIFS(#REF!,#REF!,
$A100,#REF!,
"&gt;="&amp;'Faturado mensal'!Z$2,#REF!,
"&lt;"&amp;EOMONTH('Faturado mensal'!Z$2,0))</f>
        <v>5338.9699999999993</v>
      </c>
      <c r="AA100" s="9">
        <f>SUMIFS(#REF!,#REF!,
$A100,#REF!,
"&gt;="&amp;'Faturado mensal'!AA$2,#REF!,
"&lt;"&amp;EOMONTH('Faturado mensal'!AA$2,0))</f>
        <v>4301.1000000000004</v>
      </c>
      <c r="AB100" s="9">
        <f>SUMIFS(#REF!,#REF!,
$A100,#REF!,
"&gt;="&amp;'Faturado mensal'!AB$2,#REF!,
"&lt;"&amp;EOMONTH('Faturado mensal'!AB$2,0))</f>
        <v>6134.0599999999995</v>
      </c>
      <c r="AC100" s="9">
        <f>SUMIFS(#REF!,#REF!,
$A100,#REF!,
"&gt;="&amp;'Faturado mensal'!AC$2,#REF!,
"&lt;"&amp;EOMONTH('Faturado mensal'!AC$2,0))</f>
        <v>5696.89</v>
      </c>
      <c r="AD100" s="9">
        <f>SUMIFS(#REF!,#REF!,
$A100,#REF!,
"&gt;="&amp;'Faturado mensal'!AD$2,#REF!,
"&lt;"&amp;EOMONTH('Faturado mensal'!AD$2,0))</f>
        <v>5488.88</v>
      </c>
      <c r="AE100" s="9">
        <f>SUMIFS(#REF!,#REF!,
$A100,#REF!,
"&gt;="&amp;'Faturado mensal'!AE$2,#REF!,
"&lt;"&amp;EOMONTH('Faturado mensal'!AE$2,0))</f>
        <v>8652.3499999999985</v>
      </c>
      <c r="AF100" s="9">
        <f>SUMIFS(#REF!,#REF!,
$A100,#REF!,
"&gt;="&amp;'Faturado mensal'!AF$2,#REF!,
"&lt;"&amp;EOMONTH('Faturado mensal'!AF$2,0))</f>
        <v>0</v>
      </c>
      <c r="AG100" s="9">
        <f>SUMIFS(#REF!,#REF!,
$A100,#REF!,
"&gt;="&amp;'Faturado mensal'!AG$2,#REF!,
"&lt;"&amp;EOMONTH('Faturado mensal'!AG$2,0))</f>
        <v>0</v>
      </c>
      <c r="AH100" s="9">
        <f>SUMIFS(#REF!,#REF!,
$A100,#REF!,
"&gt;="&amp;'Faturado mensal'!AH$2,#REF!,
"&lt;"&amp;EOMONTH('Faturado mensal'!AH$2,0))</f>
        <v>0</v>
      </c>
      <c r="AI100" s="9">
        <f>SUMIFS(#REF!,#REF!,
$A100,#REF!,
"&gt;="&amp;'Faturado mensal'!AI$2,#REF!,
"&lt;"&amp;EOMONTH('Faturado mensal'!AI$2,0))</f>
        <v>0</v>
      </c>
      <c r="AJ100" s="9">
        <f>SUMIFS(#REF!,#REF!,
$A100,#REF!,
"&gt;="&amp;'Faturado mensal'!AJ$2,#REF!,
"&lt;"&amp;EOMONTH('Faturado mensal'!AJ$2,0))</f>
        <v>0</v>
      </c>
      <c r="AK100" s="9">
        <f>SUMIFS(#REF!,#REF!,
$A100,#REF!,
"&gt;="&amp;'Faturado mensal'!AK$2,#REF!,
"&lt;"&amp;EOMONTH('Faturado mensal'!AK$2,0))</f>
        <v>0</v>
      </c>
      <c r="AL100" s="9">
        <f>SUMIFS(#REF!,#REF!,
$A100,#REF!,
"&gt;="&amp;Z$2,#REF!,
"&lt;"&amp;EOMONTH(AK$2,0))</f>
        <v>35612.25</v>
      </c>
    </row>
    <row r="101" spans="1:38" x14ac:dyDescent="0.3">
      <c r="A101" t="s">
        <v>328</v>
      </c>
      <c r="B101" t="s">
        <v>329</v>
      </c>
      <c r="C101" t="s">
        <v>125</v>
      </c>
      <c r="D101" t="s">
        <v>204</v>
      </c>
      <c r="E101" t="s">
        <v>4834</v>
      </c>
      <c r="F101" t="s">
        <v>4784</v>
      </c>
      <c r="G101" t="s">
        <v>4853</v>
      </c>
      <c r="H101" t="s">
        <v>4771</v>
      </c>
      <c r="I101" t="s">
        <v>823</v>
      </c>
      <c r="J101" t="s">
        <v>710</v>
      </c>
      <c r="K101" t="s">
        <v>711</v>
      </c>
      <c r="L101" t="s">
        <v>712</v>
      </c>
      <c r="M101" s="9">
        <f>SUMIFS(#REF!,#REF!,
$A101,#REF!,
"&gt;="&amp;'Faturado mensal'!M$2,#REF!,
"&lt;"&amp;EOMONTH('Faturado mensal'!M$2,0))</f>
        <v>0</v>
      </c>
      <c r="N101" s="9">
        <f>SUMIFS(#REF!,#REF!,
$A101,#REF!,
"&gt;="&amp;'Faturado mensal'!N$2,#REF!,
"&lt;"&amp;EOMONTH('Faturado mensal'!N$2,0))</f>
        <v>0</v>
      </c>
      <c r="O101" s="9">
        <f>SUMIFS(#REF!,#REF!,
$A101,#REF!,
"&gt;="&amp;'Faturado mensal'!O$2,#REF!,
"&lt;"&amp;EOMONTH('Faturado mensal'!O$2,0))</f>
        <v>0</v>
      </c>
      <c r="P101" s="9">
        <f>SUMIFS(#REF!,#REF!,
$A101,#REF!,
"&gt;="&amp;'Faturado mensal'!P$2,#REF!,
"&lt;"&amp;EOMONTH('Faturado mensal'!P$2,0))</f>
        <v>0</v>
      </c>
      <c r="Q101" s="9">
        <f>SUMIFS(#REF!,#REF!,
$A101,#REF!,
"&gt;="&amp;'Faturado mensal'!Q$2,#REF!,
"&lt;"&amp;EOMONTH('Faturado mensal'!Q$2,0))</f>
        <v>0</v>
      </c>
      <c r="R101" s="9">
        <f>SUMIFS(#REF!,#REF!,
$A101,#REF!,
"&gt;="&amp;'Faturado mensal'!R$2,#REF!,
"&lt;"&amp;EOMONTH('Faturado mensal'!R$2,0))</f>
        <v>0</v>
      </c>
      <c r="S101" s="9">
        <f>SUMIFS(#REF!,#REF!,
$A101,#REF!,
"&gt;="&amp;'Faturado mensal'!S$2,#REF!,
"&lt;"&amp;EOMONTH('Faturado mensal'!S$2,0))</f>
        <v>0</v>
      </c>
      <c r="T101" s="9">
        <f>SUMIFS(#REF!,#REF!,
$A101,#REF!,
"&gt;="&amp;'Faturado mensal'!T$2,#REF!,
"&lt;"&amp;EOMONTH('Faturado mensal'!T$2,0))</f>
        <v>429.84</v>
      </c>
      <c r="U101" s="9">
        <f>SUMIFS(#REF!,#REF!,
$A101,#REF!,
"&gt;="&amp;'Faturado mensal'!U$2,#REF!,
"&lt;"&amp;EOMONTH('Faturado mensal'!U$2,0))</f>
        <v>0</v>
      </c>
      <c r="V101" s="9">
        <f>SUMIFS(#REF!,#REF!,
$A101,#REF!,
"&gt;="&amp;'Faturado mensal'!V$2,#REF!,
"&lt;"&amp;EOMONTH('Faturado mensal'!V$2,0))</f>
        <v>0</v>
      </c>
      <c r="W101" s="9">
        <f>SUMIFS(#REF!,#REF!,
$A101,#REF!,
"&gt;="&amp;'Faturado mensal'!W$2,#REF!,
"&lt;"&amp;EOMONTH('Faturado mensal'!W$2,0))</f>
        <v>0</v>
      </c>
      <c r="X101" s="9">
        <f>SUMIFS(#REF!,#REF!,
$A101,#REF!,
"&gt;="&amp;'Faturado mensal'!X$2,#REF!,
"&lt;"&amp;EOMONTH('Faturado mensal'!X$2,0))</f>
        <v>429.84</v>
      </c>
      <c r="Y101" s="11">
        <f>SUMIFS(#REF!,#REF!,
$A101,#REF!,
"&gt;="&amp;'Faturado mensal'!M$2,#REF!,
"&lt;"&amp;EOMONTH('Faturado mensal'!M$2,12))</f>
        <v>859.68</v>
      </c>
      <c r="Z101" s="9">
        <f>SUMIFS(#REF!,#REF!,
$A101,#REF!,
"&gt;="&amp;'Faturado mensal'!Z$2,#REF!,
"&lt;"&amp;EOMONTH('Faturado mensal'!Z$2,0))</f>
        <v>0</v>
      </c>
      <c r="AA101" s="9">
        <f>SUMIFS(#REF!,#REF!,
$A101,#REF!,
"&gt;="&amp;'Faturado mensal'!AA$2,#REF!,
"&lt;"&amp;EOMONTH('Faturado mensal'!AA$2,0))</f>
        <v>0</v>
      </c>
      <c r="AB101" s="9">
        <f>SUMIFS(#REF!,#REF!,
$A101,#REF!,
"&gt;="&amp;'Faturado mensal'!AB$2,#REF!,
"&lt;"&amp;EOMONTH('Faturado mensal'!AB$2,0))</f>
        <v>0</v>
      </c>
      <c r="AC101" s="9">
        <f>SUMIFS(#REF!,#REF!,
$A101,#REF!,
"&gt;="&amp;'Faturado mensal'!AC$2,#REF!,
"&lt;"&amp;EOMONTH('Faturado mensal'!AC$2,0))</f>
        <v>429.84</v>
      </c>
      <c r="AD101" s="9">
        <f>SUMIFS(#REF!,#REF!,
$A101,#REF!,
"&gt;="&amp;'Faturado mensal'!AD$2,#REF!,
"&lt;"&amp;EOMONTH('Faturado mensal'!AD$2,0))</f>
        <v>0</v>
      </c>
      <c r="AE101" s="9">
        <f>SUMIFS(#REF!,#REF!,
$A101,#REF!,
"&gt;="&amp;'Faturado mensal'!AE$2,#REF!,
"&lt;"&amp;EOMONTH('Faturado mensal'!AE$2,0))</f>
        <v>0</v>
      </c>
      <c r="AF101" s="9">
        <f>SUMIFS(#REF!,#REF!,
$A101,#REF!,
"&gt;="&amp;'Faturado mensal'!AF$2,#REF!,
"&lt;"&amp;EOMONTH('Faturado mensal'!AF$2,0))</f>
        <v>0</v>
      </c>
      <c r="AG101" s="9">
        <f>SUMIFS(#REF!,#REF!,
$A101,#REF!,
"&gt;="&amp;'Faturado mensal'!AG$2,#REF!,
"&lt;"&amp;EOMONTH('Faturado mensal'!AG$2,0))</f>
        <v>0</v>
      </c>
      <c r="AH101" s="9">
        <f>SUMIFS(#REF!,#REF!,
$A101,#REF!,
"&gt;="&amp;'Faturado mensal'!AH$2,#REF!,
"&lt;"&amp;EOMONTH('Faturado mensal'!AH$2,0))</f>
        <v>0</v>
      </c>
      <c r="AI101" s="9">
        <f>SUMIFS(#REF!,#REF!,
$A101,#REF!,
"&gt;="&amp;'Faturado mensal'!AI$2,#REF!,
"&lt;"&amp;EOMONTH('Faturado mensal'!AI$2,0))</f>
        <v>0</v>
      </c>
      <c r="AJ101" s="9">
        <f>SUMIFS(#REF!,#REF!,
$A101,#REF!,
"&gt;="&amp;'Faturado mensal'!AJ$2,#REF!,
"&lt;"&amp;EOMONTH('Faturado mensal'!AJ$2,0))</f>
        <v>0</v>
      </c>
      <c r="AK101" s="9">
        <f>SUMIFS(#REF!,#REF!,
$A101,#REF!,
"&gt;="&amp;'Faturado mensal'!AK$2,#REF!,
"&lt;"&amp;EOMONTH('Faturado mensal'!AK$2,0))</f>
        <v>0</v>
      </c>
      <c r="AL101" s="9">
        <f>SUMIFS(#REF!,#REF!,
$A101,#REF!,
"&gt;="&amp;Z$2,#REF!,
"&lt;"&amp;EOMONTH(AK$2,0))</f>
        <v>429.84</v>
      </c>
    </row>
    <row r="102" spans="1:38" x14ac:dyDescent="0.3">
      <c r="A102" t="s">
        <v>330</v>
      </c>
      <c r="B102" t="s">
        <v>331</v>
      </c>
      <c r="C102" t="s">
        <v>142</v>
      </c>
      <c r="D102" t="s">
        <v>209</v>
      </c>
      <c r="I102" t="s">
        <v>824</v>
      </c>
      <c r="J102" t="s">
        <v>710</v>
      </c>
      <c r="K102" t="s">
        <v>711</v>
      </c>
      <c r="L102" t="s">
        <v>712</v>
      </c>
      <c r="M102" s="9">
        <f>SUMIFS(#REF!,#REF!,
$A102,#REF!,
"&gt;="&amp;'Faturado mensal'!M$2,#REF!,
"&lt;"&amp;EOMONTH('Faturado mensal'!M$2,0))</f>
        <v>0</v>
      </c>
      <c r="N102" s="9">
        <f>SUMIFS(#REF!,#REF!,
$A102,#REF!,
"&gt;="&amp;'Faturado mensal'!N$2,#REF!,
"&lt;"&amp;EOMONTH('Faturado mensal'!N$2,0))</f>
        <v>0</v>
      </c>
      <c r="O102" s="9">
        <f>SUMIFS(#REF!,#REF!,
$A102,#REF!,
"&gt;="&amp;'Faturado mensal'!O$2,#REF!,
"&lt;"&amp;EOMONTH('Faturado mensal'!O$2,0))</f>
        <v>0</v>
      </c>
      <c r="P102" s="9">
        <f>SUMIFS(#REF!,#REF!,
$A102,#REF!,
"&gt;="&amp;'Faturado mensal'!P$2,#REF!,
"&lt;"&amp;EOMONTH('Faturado mensal'!P$2,0))</f>
        <v>0</v>
      </c>
      <c r="Q102" s="9">
        <f>SUMIFS(#REF!,#REF!,
$A102,#REF!,
"&gt;="&amp;'Faturado mensal'!Q$2,#REF!,
"&lt;"&amp;EOMONTH('Faturado mensal'!Q$2,0))</f>
        <v>0</v>
      </c>
      <c r="R102" s="9">
        <f>SUMIFS(#REF!,#REF!,
$A102,#REF!,
"&gt;="&amp;'Faturado mensal'!R$2,#REF!,
"&lt;"&amp;EOMONTH('Faturado mensal'!R$2,0))</f>
        <v>0</v>
      </c>
      <c r="S102" s="9">
        <f>SUMIFS(#REF!,#REF!,
$A102,#REF!,
"&gt;="&amp;'Faturado mensal'!S$2,#REF!,
"&lt;"&amp;EOMONTH('Faturado mensal'!S$2,0))</f>
        <v>0</v>
      </c>
      <c r="T102" s="9">
        <f>SUMIFS(#REF!,#REF!,
$A102,#REF!,
"&gt;="&amp;'Faturado mensal'!T$2,#REF!,
"&lt;"&amp;EOMONTH('Faturado mensal'!T$2,0))</f>
        <v>0</v>
      </c>
      <c r="U102" s="9">
        <f>SUMIFS(#REF!,#REF!,
$A102,#REF!,
"&gt;="&amp;'Faturado mensal'!U$2,#REF!,
"&lt;"&amp;EOMONTH('Faturado mensal'!U$2,0))</f>
        <v>0</v>
      </c>
      <c r="V102" s="9">
        <f>SUMIFS(#REF!,#REF!,
$A102,#REF!,
"&gt;="&amp;'Faturado mensal'!V$2,#REF!,
"&lt;"&amp;EOMONTH('Faturado mensal'!V$2,0))</f>
        <v>0</v>
      </c>
      <c r="W102" s="9">
        <f>SUMIFS(#REF!,#REF!,
$A102,#REF!,
"&gt;="&amp;'Faturado mensal'!W$2,#REF!,
"&lt;"&amp;EOMONTH('Faturado mensal'!W$2,0))</f>
        <v>0</v>
      </c>
      <c r="X102" s="9">
        <f>SUMIFS(#REF!,#REF!,
$A102,#REF!,
"&gt;="&amp;'Faturado mensal'!X$2,#REF!,
"&lt;"&amp;EOMONTH('Faturado mensal'!X$2,0))</f>
        <v>0</v>
      </c>
      <c r="Y102" s="11">
        <f>SUMIFS(#REF!,#REF!,
$A102,#REF!,
"&gt;="&amp;'Faturado mensal'!M$2,#REF!,
"&lt;"&amp;EOMONTH('Faturado mensal'!M$2,12))</f>
        <v>0</v>
      </c>
      <c r="Z102" s="9">
        <f>SUMIFS(#REF!,#REF!,
$A102,#REF!,
"&gt;="&amp;'Faturado mensal'!Z$2,#REF!,
"&lt;"&amp;EOMONTH('Faturado mensal'!Z$2,0))</f>
        <v>0</v>
      </c>
      <c r="AA102" s="9">
        <f>SUMIFS(#REF!,#REF!,
$A102,#REF!,
"&gt;="&amp;'Faturado mensal'!AA$2,#REF!,
"&lt;"&amp;EOMONTH('Faturado mensal'!AA$2,0))</f>
        <v>0</v>
      </c>
      <c r="AB102" s="9">
        <f>SUMIFS(#REF!,#REF!,
$A102,#REF!,
"&gt;="&amp;'Faturado mensal'!AB$2,#REF!,
"&lt;"&amp;EOMONTH('Faturado mensal'!AB$2,0))</f>
        <v>0</v>
      </c>
      <c r="AC102" s="9">
        <f>SUMIFS(#REF!,#REF!,
$A102,#REF!,
"&gt;="&amp;'Faturado mensal'!AC$2,#REF!,
"&lt;"&amp;EOMONTH('Faturado mensal'!AC$2,0))</f>
        <v>0</v>
      </c>
      <c r="AD102" s="9">
        <f>SUMIFS(#REF!,#REF!,
$A102,#REF!,
"&gt;="&amp;'Faturado mensal'!AD$2,#REF!,
"&lt;"&amp;EOMONTH('Faturado mensal'!AD$2,0))</f>
        <v>0</v>
      </c>
      <c r="AE102" s="9">
        <f>SUMIFS(#REF!,#REF!,
$A102,#REF!,
"&gt;="&amp;'Faturado mensal'!AE$2,#REF!,
"&lt;"&amp;EOMONTH('Faturado mensal'!AE$2,0))</f>
        <v>0</v>
      </c>
      <c r="AF102" s="9">
        <f>SUMIFS(#REF!,#REF!,
$A102,#REF!,
"&gt;="&amp;'Faturado mensal'!AF$2,#REF!,
"&lt;"&amp;EOMONTH('Faturado mensal'!AF$2,0))</f>
        <v>0</v>
      </c>
      <c r="AG102" s="9">
        <f>SUMIFS(#REF!,#REF!,
$A102,#REF!,
"&gt;="&amp;'Faturado mensal'!AG$2,#REF!,
"&lt;"&amp;EOMONTH('Faturado mensal'!AG$2,0))</f>
        <v>0</v>
      </c>
      <c r="AH102" s="9">
        <f>SUMIFS(#REF!,#REF!,
$A102,#REF!,
"&gt;="&amp;'Faturado mensal'!AH$2,#REF!,
"&lt;"&amp;EOMONTH('Faturado mensal'!AH$2,0))</f>
        <v>0</v>
      </c>
      <c r="AI102" s="9">
        <f>SUMIFS(#REF!,#REF!,
$A102,#REF!,
"&gt;="&amp;'Faturado mensal'!AI$2,#REF!,
"&lt;"&amp;EOMONTH('Faturado mensal'!AI$2,0))</f>
        <v>0</v>
      </c>
      <c r="AJ102" s="9">
        <f>SUMIFS(#REF!,#REF!,
$A102,#REF!,
"&gt;="&amp;'Faturado mensal'!AJ$2,#REF!,
"&lt;"&amp;EOMONTH('Faturado mensal'!AJ$2,0))</f>
        <v>0</v>
      </c>
      <c r="AK102" s="9">
        <f>SUMIFS(#REF!,#REF!,
$A102,#REF!,
"&gt;="&amp;'Faturado mensal'!AK$2,#REF!,
"&lt;"&amp;EOMONTH('Faturado mensal'!AK$2,0))</f>
        <v>0</v>
      </c>
      <c r="AL102" s="9">
        <f>SUMIFS(#REF!,#REF!,
$A102,#REF!,
"&gt;="&amp;Z$2,#REF!,
"&lt;"&amp;EOMONTH(AK$2,0))</f>
        <v>0</v>
      </c>
    </row>
    <row r="103" spans="1:38" x14ac:dyDescent="0.3">
      <c r="A103" t="s">
        <v>332</v>
      </c>
      <c r="B103" t="s">
        <v>333</v>
      </c>
      <c r="C103" t="s">
        <v>29</v>
      </c>
      <c r="D103" t="s">
        <v>204</v>
      </c>
      <c r="E103" t="s">
        <v>1036</v>
      </c>
      <c r="F103" t="s">
        <v>4776</v>
      </c>
      <c r="G103" t="s">
        <v>4852</v>
      </c>
      <c r="H103" t="s">
        <v>4771</v>
      </c>
      <c r="I103" t="s">
        <v>29</v>
      </c>
      <c r="J103" t="s">
        <v>710</v>
      </c>
      <c r="K103" t="s">
        <v>711</v>
      </c>
      <c r="L103" t="s">
        <v>712</v>
      </c>
      <c r="M103" s="9">
        <f>SUMIFS(#REF!,#REF!,
$A103,#REF!,
"&gt;="&amp;'Faturado mensal'!M$2,#REF!,
"&lt;"&amp;EOMONTH('Faturado mensal'!M$2,0))</f>
        <v>139.5</v>
      </c>
      <c r="N103" s="9">
        <f>SUMIFS(#REF!,#REF!,
$A103,#REF!,
"&gt;="&amp;'Faturado mensal'!N$2,#REF!,
"&lt;"&amp;EOMONTH('Faturado mensal'!N$2,0))</f>
        <v>138.53</v>
      </c>
      <c r="O103" s="9">
        <f>SUMIFS(#REF!,#REF!,
$A103,#REF!,
"&gt;="&amp;'Faturado mensal'!O$2,#REF!,
"&lt;"&amp;EOMONTH('Faturado mensal'!O$2,0))</f>
        <v>137.99</v>
      </c>
      <c r="P103" s="9">
        <f>SUMIFS(#REF!,#REF!,
$A103,#REF!,
"&gt;="&amp;'Faturado mensal'!P$2,#REF!,
"&lt;"&amp;EOMONTH('Faturado mensal'!P$2,0))</f>
        <v>137.72</v>
      </c>
      <c r="Q103" s="9">
        <f>SUMIFS(#REF!,#REF!,
$A103,#REF!,
"&gt;="&amp;'Faturado mensal'!Q$2,#REF!,
"&lt;"&amp;EOMONTH('Faturado mensal'!Q$2,0))</f>
        <v>137.1</v>
      </c>
      <c r="R103" s="9">
        <f>SUMIFS(#REF!,#REF!,
$A103,#REF!,
"&gt;="&amp;'Faturado mensal'!R$2,#REF!,
"&lt;"&amp;EOMONTH('Faturado mensal'!R$2,0))</f>
        <v>136.22</v>
      </c>
      <c r="S103" s="9">
        <f>SUMIFS(#REF!,#REF!,
$A103,#REF!,
"&gt;="&amp;'Faturado mensal'!S$2,#REF!,
"&lt;"&amp;EOMONTH('Faturado mensal'!S$2,0))</f>
        <v>135.55000000000001</v>
      </c>
      <c r="T103" s="9">
        <f>SUMIFS(#REF!,#REF!,
$A103,#REF!,
"&gt;="&amp;'Faturado mensal'!T$2,#REF!,
"&lt;"&amp;EOMONTH('Faturado mensal'!T$2,0))</f>
        <v>135.1</v>
      </c>
      <c r="U103" s="9">
        <f>SUMIFS(#REF!,#REF!,
$A103,#REF!,
"&gt;="&amp;'Faturado mensal'!U$2,#REF!,
"&lt;"&amp;EOMONTH('Faturado mensal'!U$2,0))</f>
        <v>134.93</v>
      </c>
      <c r="V103" s="9">
        <f>SUMIFS(#REF!,#REF!,
$A103,#REF!,
"&gt;="&amp;'Faturado mensal'!V$2,#REF!,
"&lt;"&amp;EOMONTH('Faturado mensal'!V$2,0))</f>
        <v>134.44999999999999</v>
      </c>
      <c r="W103" s="9">
        <f>SUMIFS(#REF!,#REF!,
$A103,#REF!,
"&gt;="&amp;'Faturado mensal'!W$2,#REF!,
"&lt;"&amp;EOMONTH('Faturado mensal'!W$2,0))</f>
        <v>65.319999999999993</v>
      </c>
      <c r="X103" s="9">
        <f>SUMIFS(#REF!,#REF!,
$A103,#REF!,
"&gt;="&amp;'Faturado mensal'!X$2,#REF!,
"&lt;"&amp;EOMONTH('Faturado mensal'!X$2,0))</f>
        <v>64.86</v>
      </c>
      <c r="Y103" s="11">
        <f>SUMIFS(#REF!,#REF!,
$A103,#REF!,
"&gt;="&amp;'Faturado mensal'!M$2,#REF!,
"&lt;"&amp;EOMONTH('Faturado mensal'!M$2,12))</f>
        <v>1640.87</v>
      </c>
      <c r="Z103" s="9">
        <f>SUMIFS(#REF!,#REF!,
$A103,#REF!,
"&gt;="&amp;'Faturado mensal'!Z$2,#REF!,
"&lt;"&amp;EOMONTH('Faturado mensal'!Z$2,0))</f>
        <v>143.6</v>
      </c>
      <c r="AA103" s="9">
        <f>SUMIFS(#REF!,#REF!,
$A103,#REF!,
"&gt;="&amp;'Faturado mensal'!AA$2,#REF!,
"&lt;"&amp;EOMONTH('Faturado mensal'!AA$2,0))</f>
        <v>708.08</v>
      </c>
      <c r="AB103" s="9">
        <f>SUMIFS(#REF!,#REF!,
$A103,#REF!,
"&gt;="&amp;'Faturado mensal'!AB$2,#REF!,
"&lt;"&amp;EOMONTH('Faturado mensal'!AB$2,0))</f>
        <v>707.93</v>
      </c>
      <c r="AC103" s="9">
        <f>SUMIFS(#REF!,#REF!,
$A103,#REF!,
"&gt;="&amp;'Faturado mensal'!AC$2,#REF!,
"&lt;"&amp;EOMONTH('Faturado mensal'!AC$2,0))</f>
        <v>707.92</v>
      </c>
      <c r="AD103" s="9">
        <f>SUMIFS(#REF!,#REF!,
$A103,#REF!,
"&gt;="&amp;'Faturado mensal'!AD$2,#REF!,
"&lt;"&amp;EOMONTH('Faturado mensal'!AD$2,0))</f>
        <v>708.16</v>
      </c>
      <c r="AE103" s="9">
        <f>SUMIFS(#REF!,#REF!,
$A103,#REF!,
"&gt;="&amp;'Faturado mensal'!AE$2,#REF!,
"&lt;"&amp;EOMONTH('Faturado mensal'!AE$2,0))</f>
        <v>708.32</v>
      </c>
      <c r="AF103" s="9">
        <f>SUMIFS(#REF!,#REF!,
$A103,#REF!,
"&gt;="&amp;'Faturado mensal'!AF$2,#REF!,
"&lt;"&amp;EOMONTH('Faturado mensal'!AF$2,0))</f>
        <v>0</v>
      </c>
      <c r="AG103" s="9">
        <f>SUMIFS(#REF!,#REF!,
$A103,#REF!,
"&gt;="&amp;'Faturado mensal'!AG$2,#REF!,
"&lt;"&amp;EOMONTH('Faturado mensal'!AG$2,0))</f>
        <v>0</v>
      </c>
      <c r="AH103" s="9">
        <f>SUMIFS(#REF!,#REF!,
$A103,#REF!,
"&gt;="&amp;'Faturado mensal'!AH$2,#REF!,
"&lt;"&amp;EOMONTH('Faturado mensal'!AH$2,0))</f>
        <v>0</v>
      </c>
      <c r="AI103" s="9">
        <f>SUMIFS(#REF!,#REF!,
$A103,#REF!,
"&gt;="&amp;'Faturado mensal'!AI$2,#REF!,
"&lt;"&amp;EOMONTH('Faturado mensal'!AI$2,0))</f>
        <v>0</v>
      </c>
      <c r="AJ103" s="9">
        <f>SUMIFS(#REF!,#REF!,
$A103,#REF!,
"&gt;="&amp;'Faturado mensal'!AJ$2,#REF!,
"&lt;"&amp;EOMONTH('Faturado mensal'!AJ$2,0))</f>
        <v>0</v>
      </c>
      <c r="AK103" s="9">
        <f>SUMIFS(#REF!,#REF!,
$A103,#REF!,
"&gt;="&amp;'Faturado mensal'!AK$2,#REF!,
"&lt;"&amp;EOMONTH('Faturado mensal'!AK$2,0))</f>
        <v>0</v>
      </c>
      <c r="AL103" s="9">
        <f>SUMIFS(#REF!,#REF!,
$A103,#REF!,
"&gt;="&amp;Z$2,#REF!,
"&lt;"&amp;EOMONTH(AK$2,0))</f>
        <v>3684.01</v>
      </c>
    </row>
    <row r="104" spans="1:38" x14ac:dyDescent="0.3">
      <c r="A104" t="s">
        <v>334</v>
      </c>
      <c r="B104" t="s">
        <v>270</v>
      </c>
      <c r="C104" t="s">
        <v>82</v>
      </c>
      <c r="D104" t="s">
        <v>209</v>
      </c>
      <c r="I104" t="s">
        <v>82</v>
      </c>
      <c r="J104" t="s">
        <v>710</v>
      </c>
      <c r="K104" t="s">
        <v>748</v>
      </c>
      <c r="L104" t="s">
        <v>749</v>
      </c>
      <c r="M104" s="9">
        <f>SUMIFS(#REF!,#REF!,
$A104,#REF!,
"&gt;="&amp;'Faturado mensal'!M$2,#REF!,
"&lt;"&amp;EOMONTH('Faturado mensal'!M$2,0))</f>
        <v>1261</v>
      </c>
      <c r="N104" s="9">
        <f>SUMIFS(#REF!,#REF!,
$A104,#REF!,
"&gt;="&amp;'Faturado mensal'!N$2,#REF!,
"&lt;"&amp;EOMONTH('Faturado mensal'!N$2,0))</f>
        <v>1261</v>
      </c>
      <c r="O104" s="9">
        <f>SUMIFS(#REF!,#REF!,
$A104,#REF!,
"&gt;="&amp;'Faturado mensal'!O$2,#REF!,
"&lt;"&amp;EOMONTH('Faturado mensal'!O$2,0))</f>
        <v>0</v>
      </c>
      <c r="P104" s="9">
        <f>SUMIFS(#REF!,#REF!,
$A104,#REF!,
"&gt;="&amp;'Faturado mensal'!P$2,#REF!,
"&lt;"&amp;EOMONTH('Faturado mensal'!P$2,0))</f>
        <v>2522</v>
      </c>
      <c r="Q104" s="9">
        <f>SUMIFS(#REF!,#REF!,
$A104,#REF!,
"&gt;="&amp;'Faturado mensal'!Q$2,#REF!,
"&lt;"&amp;EOMONTH('Faturado mensal'!Q$2,0))</f>
        <v>0</v>
      </c>
      <c r="R104" s="9">
        <f>SUMIFS(#REF!,#REF!,
$A104,#REF!,
"&gt;="&amp;'Faturado mensal'!R$2,#REF!,
"&lt;"&amp;EOMONTH('Faturado mensal'!R$2,0))</f>
        <v>0</v>
      </c>
      <c r="S104" s="9">
        <f>SUMIFS(#REF!,#REF!,
$A104,#REF!,
"&gt;="&amp;'Faturado mensal'!S$2,#REF!,
"&lt;"&amp;EOMONTH('Faturado mensal'!S$2,0))</f>
        <v>0</v>
      </c>
      <c r="T104" s="9">
        <f>SUMIFS(#REF!,#REF!,
$A104,#REF!,
"&gt;="&amp;'Faturado mensal'!T$2,#REF!,
"&lt;"&amp;EOMONTH('Faturado mensal'!T$2,0))</f>
        <v>0</v>
      </c>
      <c r="U104" s="9">
        <f>SUMIFS(#REF!,#REF!,
$A104,#REF!,
"&gt;="&amp;'Faturado mensal'!U$2,#REF!,
"&lt;"&amp;EOMONTH('Faturado mensal'!U$2,0))</f>
        <v>0</v>
      </c>
      <c r="V104" s="9">
        <f>SUMIFS(#REF!,#REF!,
$A104,#REF!,
"&gt;="&amp;'Faturado mensal'!V$2,#REF!,
"&lt;"&amp;EOMONTH('Faturado mensal'!V$2,0))</f>
        <v>0</v>
      </c>
      <c r="W104" s="9">
        <f>SUMIFS(#REF!,#REF!,
$A104,#REF!,
"&gt;="&amp;'Faturado mensal'!W$2,#REF!,
"&lt;"&amp;EOMONTH('Faturado mensal'!W$2,0))</f>
        <v>0</v>
      </c>
      <c r="X104" s="9">
        <f>SUMIFS(#REF!,#REF!,
$A104,#REF!,
"&gt;="&amp;'Faturado mensal'!X$2,#REF!,
"&lt;"&amp;EOMONTH('Faturado mensal'!X$2,0))</f>
        <v>0</v>
      </c>
      <c r="Y104" s="11">
        <f>SUMIFS(#REF!,#REF!,
$A104,#REF!,
"&gt;="&amp;'Faturado mensal'!M$2,#REF!,
"&lt;"&amp;EOMONTH('Faturado mensal'!M$2,12))</f>
        <v>5044</v>
      </c>
      <c r="Z104" s="9">
        <f>SUMIFS(#REF!,#REF!,
$A104,#REF!,
"&gt;="&amp;'Faturado mensal'!Z$2,#REF!,
"&lt;"&amp;EOMONTH('Faturado mensal'!Z$2,0))</f>
        <v>0</v>
      </c>
      <c r="AA104" s="9">
        <f>SUMIFS(#REF!,#REF!,
$A104,#REF!,
"&gt;="&amp;'Faturado mensal'!AA$2,#REF!,
"&lt;"&amp;EOMONTH('Faturado mensal'!AA$2,0))</f>
        <v>0</v>
      </c>
      <c r="AB104" s="9">
        <f>SUMIFS(#REF!,#REF!,
$A104,#REF!,
"&gt;="&amp;'Faturado mensal'!AB$2,#REF!,
"&lt;"&amp;EOMONTH('Faturado mensal'!AB$2,0))</f>
        <v>0</v>
      </c>
      <c r="AC104" s="9">
        <f>SUMIFS(#REF!,#REF!,
$A104,#REF!,
"&gt;="&amp;'Faturado mensal'!AC$2,#REF!,
"&lt;"&amp;EOMONTH('Faturado mensal'!AC$2,0))</f>
        <v>0</v>
      </c>
      <c r="AD104" s="9">
        <f>SUMIFS(#REF!,#REF!,
$A104,#REF!,
"&gt;="&amp;'Faturado mensal'!AD$2,#REF!,
"&lt;"&amp;EOMONTH('Faturado mensal'!AD$2,0))</f>
        <v>0</v>
      </c>
      <c r="AE104" s="9">
        <f>SUMIFS(#REF!,#REF!,
$A104,#REF!,
"&gt;="&amp;'Faturado mensal'!AE$2,#REF!,
"&lt;"&amp;EOMONTH('Faturado mensal'!AE$2,0))</f>
        <v>0</v>
      </c>
      <c r="AF104" s="9">
        <f>SUMIFS(#REF!,#REF!,
$A104,#REF!,
"&gt;="&amp;'Faturado mensal'!AF$2,#REF!,
"&lt;"&amp;EOMONTH('Faturado mensal'!AF$2,0))</f>
        <v>0</v>
      </c>
      <c r="AG104" s="9">
        <f>SUMIFS(#REF!,#REF!,
$A104,#REF!,
"&gt;="&amp;'Faturado mensal'!AG$2,#REF!,
"&lt;"&amp;EOMONTH('Faturado mensal'!AG$2,0))</f>
        <v>0</v>
      </c>
      <c r="AH104" s="9">
        <f>SUMIFS(#REF!,#REF!,
$A104,#REF!,
"&gt;="&amp;'Faturado mensal'!AH$2,#REF!,
"&lt;"&amp;EOMONTH('Faturado mensal'!AH$2,0))</f>
        <v>0</v>
      </c>
      <c r="AI104" s="9">
        <f>SUMIFS(#REF!,#REF!,
$A104,#REF!,
"&gt;="&amp;'Faturado mensal'!AI$2,#REF!,
"&lt;"&amp;EOMONTH('Faturado mensal'!AI$2,0))</f>
        <v>0</v>
      </c>
      <c r="AJ104" s="9">
        <f>SUMIFS(#REF!,#REF!,
$A104,#REF!,
"&gt;="&amp;'Faturado mensal'!AJ$2,#REF!,
"&lt;"&amp;EOMONTH('Faturado mensal'!AJ$2,0))</f>
        <v>0</v>
      </c>
      <c r="AK104" s="9">
        <f>SUMIFS(#REF!,#REF!,
$A104,#REF!,
"&gt;="&amp;'Faturado mensal'!AK$2,#REF!,
"&lt;"&amp;EOMONTH('Faturado mensal'!AK$2,0))</f>
        <v>0</v>
      </c>
      <c r="AL104" s="9">
        <f>SUMIFS(#REF!,#REF!,
$A104,#REF!,
"&gt;="&amp;Z$2,#REF!,
"&lt;"&amp;EOMONTH(AK$2,0))</f>
        <v>0</v>
      </c>
    </row>
    <row r="105" spans="1:38" x14ac:dyDescent="0.3">
      <c r="A105" t="s">
        <v>335</v>
      </c>
      <c r="B105" t="s">
        <v>333</v>
      </c>
      <c r="C105" t="s">
        <v>29</v>
      </c>
      <c r="D105" t="s">
        <v>204</v>
      </c>
      <c r="E105" t="s">
        <v>1040</v>
      </c>
      <c r="F105" t="s">
        <v>4776</v>
      </c>
      <c r="G105" t="s">
        <v>4852</v>
      </c>
      <c r="H105" t="s">
        <v>4771</v>
      </c>
      <c r="I105" t="s">
        <v>29</v>
      </c>
      <c r="J105" t="s">
        <v>710</v>
      </c>
      <c r="K105" t="s">
        <v>748</v>
      </c>
      <c r="L105" t="s">
        <v>749</v>
      </c>
      <c r="M105" s="9">
        <f>SUMIFS(#REF!,#REF!,
$A105,#REF!,
"&gt;="&amp;'Faturado mensal'!M$2,#REF!,
"&lt;"&amp;EOMONTH('Faturado mensal'!M$2,0))</f>
        <v>104.49</v>
      </c>
      <c r="N105" s="9">
        <f>SUMIFS(#REF!,#REF!,
$A105,#REF!,
"&gt;="&amp;'Faturado mensal'!N$2,#REF!,
"&lt;"&amp;EOMONTH('Faturado mensal'!N$2,0))</f>
        <v>103.82</v>
      </c>
      <c r="O105" s="9">
        <f>SUMIFS(#REF!,#REF!,
$A105,#REF!,
"&gt;="&amp;'Faturado mensal'!O$2,#REF!,
"&lt;"&amp;EOMONTH('Faturado mensal'!O$2,0))</f>
        <v>103.55</v>
      </c>
      <c r="P105" s="9">
        <f>SUMIFS(#REF!,#REF!,
$A105,#REF!,
"&gt;="&amp;'Faturado mensal'!P$2,#REF!,
"&lt;"&amp;EOMONTH('Faturado mensal'!P$2,0))</f>
        <v>103.32</v>
      </c>
      <c r="Q105" s="9">
        <f>SUMIFS(#REF!,#REF!,
$A105,#REF!,
"&gt;="&amp;'Faturado mensal'!Q$2,#REF!,
"&lt;"&amp;EOMONTH('Faturado mensal'!Q$2,0))</f>
        <v>103.15</v>
      </c>
      <c r="R105" s="9">
        <f>SUMIFS(#REF!,#REF!,
$A105,#REF!,
"&gt;="&amp;'Faturado mensal'!R$2,#REF!,
"&lt;"&amp;EOMONTH('Faturado mensal'!R$2,0))</f>
        <v>102.7</v>
      </c>
      <c r="S105" s="9">
        <f>SUMIFS(#REF!,#REF!,
$A105,#REF!,
"&gt;="&amp;'Faturado mensal'!S$2,#REF!,
"&lt;"&amp;EOMONTH('Faturado mensal'!S$2,0))</f>
        <v>102.34</v>
      </c>
      <c r="T105" s="9">
        <f>SUMIFS(#REF!,#REF!,
$A105,#REF!,
"&gt;="&amp;'Faturado mensal'!T$2,#REF!,
"&lt;"&amp;EOMONTH('Faturado mensal'!T$2,0))</f>
        <v>102.25</v>
      </c>
      <c r="U105" s="9">
        <f>SUMIFS(#REF!,#REF!,
$A105,#REF!,
"&gt;="&amp;'Faturado mensal'!U$2,#REF!,
"&lt;"&amp;EOMONTH('Faturado mensal'!U$2,0))</f>
        <v>102.32</v>
      </c>
      <c r="V105" s="9">
        <f>SUMIFS(#REF!,#REF!,
$A105,#REF!,
"&gt;="&amp;'Faturado mensal'!V$2,#REF!,
"&lt;"&amp;EOMONTH('Faturado mensal'!V$2,0))</f>
        <v>102.29</v>
      </c>
      <c r="W105" s="9">
        <f>SUMIFS(#REF!,#REF!,
$A105,#REF!,
"&gt;="&amp;'Faturado mensal'!W$2,#REF!,
"&lt;"&amp;EOMONTH('Faturado mensal'!W$2,0))</f>
        <v>50.51</v>
      </c>
      <c r="X105" s="9">
        <f>SUMIFS(#REF!,#REF!,
$A105,#REF!,
"&gt;="&amp;'Faturado mensal'!X$2,#REF!,
"&lt;"&amp;EOMONTH('Faturado mensal'!X$2,0))</f>
        <v>50.36</v>
      </c>
      <c r="Y105" s="11">
        <f>SUMIFS(#REF!,#REF!,
$A105,#REF!,
"&gt;="&amp;'Faturado mensal'!M$2,#REF!,
"&lt;"&amp;EOMONTH('Faturado mensal'!M$2,12))</f>
        <v>1243.1999999999998</v>
      </c>
      <c r="Z105" s="9">
        <f>SUMIFS(#REF!,#REF!,
$A105,#REF!,
"&gt;="&amp;'Faturado mensal'!Z$2,#REF!,
"&lt;"&amp;EOMONTH('Faturado mensal'!Z$2,0))</f>
        <v>112.1</v>
      </c>
      <c r="AA105" s="9">
        <f>SUMIFS(#REF!,#REF!,
$A105,#REF!,
"&gt;="&amp;'Faturado mensal'!AA$2,#REF!,
"&lt;"&amp;EOMONTH('Faturado mensal'!AA$2,0))</f>
        <v>685.6</v>
      </c>
      <c r="AB105" s="9">
        <f>SUMIFS(#REF!,#REF!,
$A105,#REF!,
"&gt;="&amp;'Faturado mensal'!AB$2,#REF!,
"&lt;"&amp;EOMONTH('Faturado mensal'!AB$2,0))</f>
        <v>685.58</v>
      </c>
      <c r="AC105" s="9">
        <f>SUMIFS(#REF!,#REF!,
$A105,#REF!,
"&gt;="&amp;'Faturado mensal'!AC$2,#REF!,
"&lt;"&amp;EOMONTH('Faturado mensal'!AC$2,0))</f>
        <v>685.58</v>
      </c>
      <c r="AD105" s="9">
        <f>SUMIFS(#REF!,#REF!,
$A105,#REF!,
"&gt;="&amp;'Faturado mensal'!AD$2,#REF!,
"&lt;"&amp;EOMONTH('Faturado mensal'!AD$2,0))</f>
        <v>685.79</v>
      </c>
      <c r="AE105" s="9">
        <f>SUMIFS(#REF!,#REF!,
$A105,#REF!,
"&gt;="&amp;'Faturado mensal'!AE$2,#REF!,
"&lt;"&amp;EOMONTH('Faturado mensal'!AE$2,0))</f>
        <v>685.92</v>
      </c>
      <c r="AF105" s="9">
        <f>SUMIFS(#REF!,#REF!,
$A105,#REF!,
"&gt;="&amp;'Faturado mensal'!AF$2,#REF!,
"&lt;"&amp;EOMONTH('Faturado mensal'!AF$2,0))</f>
        <v>0</v>
      </c>
      <c r="AG105" s="9">
        <f>SUMIFS(#REF!,#REF!,
$A105,#REF!,
"&gt;="&amp;'Faturado mensal'!AG$2,#REF!,
"&lt;"&amp;EOMONTH('Faturado mensal'!AG$2,0))</f>
        <v>0</v>
      </c>
      <c r="AH105" s="9">
        <f>SUMIFS(#REF!,#REF!,
$A105,#REF!,
"&gt;="&amp;'Faturado mensal'!AH$2,#REF!,
"&lt;"&amp;EOMONTH('Faturado mensal'!AH$2,0))</f>
        <v>0</v>
      </c>
      <c r="AI105" s="9">
        <f>SUMIFS(#REF!,#REF!,
$A105,#REF!,
"&gt;="&amp;'Faturado mensal'!AI$2,#REF!,
"&lt;"&amp;EOMONTH('Faturado mensal'!AI$2,0))</f>
        <v>0</v>
      </c>
      <c r="AJ105" s="9">
        <f>SUMIFS(#REF!,#REF!,
$A105,#REF!,
"&gt;="&amp;'Faturado mensal'!AJ$2,#REF!,
"&lt;"&amp;EOMONTH('Faturado mensal'!AJ$2,0))</f>
        <v>0</v>
      </c>
      <c r="AK105" s="9">
        <f>SUMIFS(#REF!,#REF!,
$A105,#REF!,
"&gt;="&amp;'Faturado mensal'!AK$2,#REF!,
"&lt;"&amp;EOMONTH('Faturado mensal'!AK$2,0))</f>
        <v>0</v>
      </c>
      <c r="AL105" s="9">
        <f>SUMIFS(#REF!,#REF!,
$A105,#REF!,
"&gt;="&amp;Z$2,#REF!,
"&lt;"&amp;EOMONTH(AK$2,0))</f>
        <v>3540.57</v>
      </c>
    </row>
    <row r="106" spans="1:38" x14ac:dyDescent="0.3">
      <c r="A106" t="s">
        <v>336</v>
      </c>
      <c r="B106" t="s">
        <v>319</v>
      </c>
      <c r="C106" t="s">
        <v>36</v>
      </c>
      <c r="D106" t="s">
        <v>204</v>
      </c>
      <c r="E106" t="s">
        <v>1040</v>
      </c>
      <c r="F106" t="s">
        <v>4784</v>
      </c>
      <c r="G106" t="s">
        <v>4856</v>
      </c>
      <c r="H106" t="s">
        <v>4771</v>
      </c>
      <c r="I106" t="s">
        <v>36</v>
      </c>
      <c r="J106" t="s">
        <v>710</v>
      </c>
      <c r="K106" t="s">
        <v>748</v>
      </c>
      <c r="L106" t="s">
        <v>749</v>
      </c>
      <c r="M106" s="9">
        <f>SUMIFS(#REF!,#REF!,
$A106,#REF!,
"&gt;="&amp;'Faturado mensal'!M$2,#REF!,
"&lt;"&amp;EOMONTH('Faturado mensal'!M$2,0))</f>
        <v>13696.019999999999</v>
      </c>
      <c r="N106" s="9">
        <f>SUMIFS(#REF!,#REF!,
$A106,#REF!,
"&gt;="&amp;'Faturado mensal'!N$2,#REF!,
"&lt;"&amp;EOMONTH('Faturado mensal'!N$2,0))</f>
        <v>31812.629999999997</v>
      </c>
      <c r="O106" s="9">
        <f>SUMIFS(#REF!,#REF!,
$A106,#REF!,
"&gt;="&amp;'Faturado mensal'!O$2,#REF!,
"&lt;"&amp;EOMONTH('Faturado mensal'!O$2,0))</f>
        <v>30535.280000000002</v>
      </c>
      <c r="P106" s="9">
        <f>SUMIFS(#REF!,#REF!,
$A106,#REF!,
"&gt;="&amp;'Faturado mensal'!P$2,#REF!,
"&lt;"&amp;EOMONTH('Faturado mensal'!P$2,0))</f>
        <v>42316.07</v>
      </c>
      <c r="Q106" s="9">
        <f>SUMIFS(#REF!,#REF!,
$A106,#REF!,
"&gt;="&amp;'Faturado mensal'!Q$2,#REF!,
"&lt;"&amp;EOMONTH('Faturado mensal'!Q$2,0))</f>
        <v>81756.52</v>
      </c>
      <c r="R106" s="9">
        <f>SUMIFS(#REF!,#REF!,
$A106,#REF!,
"&gt;="&amp;'Faturado mensal'!R$2,#REF!,
"&lt;"&amp;EOMONTH('Faturado mensal'!R$2,0))</f>
        <v>70180.91</v>
      </c>
      <c r="S106" s="9">
        <f>SUMIFS(#REF!,#REF!,
$A106,#REF!,
"&gt;="&amp;'Faturado mensal'!S$2,#REF!,
"&lt;"&amp;EOMONTH('Faturado mensal'!S$2,0))</f>
        <v>100533.22</v>
      </c>
      <c r="T106" s="9">
        <f>SUMIFS(#REF!,#REF!,
$A106,#REF!,
"&gt;="&amp;'Faturado mensal'!T$2,#REF!,
"&lt;"&amp;EOMONTH('Faturado mensal'!T$2,0))</f>
        <v>86255.73</v>
      </c>
      <c r="U106" s="9">
        <f>SUMIFS(#REF!,#REF!,
$A106,#REF!,
"&gt;="&amp;'Faturado mensal'!U$2,#REF!,
"&lt;"&amp;EOMONTH('Faturado mensal'!U$2,0))</f>
        <v>104154.64</v>
      </c>
      <c r="V106" s="9">
        <f>SUMIFS(#REF!,#REF!,
$A106,#REF!,
"&gt;="&amp;'Faturado mensal'!V$2,#REF!,
"&lt;"&amp;EOMONTH('Faturado mensal'!V$2,0))</f>
        <v>68109.750000000015</v>
      </c>
      <c r="W106" s="9">
        <f>SUMIFS(#REF!,#REF!,
$A106,#REF!,
"&gt;="&amp;'Faturado mensal'!W$2,#REF!,
"&lt;"&amp;EOMONTH('Faturado mensal'!W$2,0))</f>
        <v>21696.120000000003</v>
      </c>
      <c r="X106" s="9">
        <f>SUMIFS(#REF!,#REF!,
$A106,#REF!,
"&gt;="&amp;'Faturado mensal'!X$2,#REF!,
"&lt;"&amp;EOMONTH('Faturado mensal'!X$2,0))</f>
        <v>47275.94000000001</v>
      </c>
      <c r="Y106" s="11">
        <f>SUMIFS(#REF!,#REF!,
$A106,#REF!,
"&gt;="&amp;'Faturado mensal'!M$2,#REF!,
"&lt;"&amp;EOMONTH('Faturado mensal'!M$2,12))</f>
        <v>733181.94999999972</v>
      </c>
      <c r="Z106" s="9">
        <f>SUMIFS(#REF!,#REF!,
$A106,#REF!,
"&gt;="&amp;'Faturado mensal'!Z$2,#REF!,
"&lt;"&amp;EOMONTH('Faturado mensal'!Z$2,0))</f>
        <v>21900.78</v>
      </c>
      <c r="AA106" s="9">
        <f>SUMIFS(#REF!,#REF!,
$A106,#REF!,
"&gt;="&amp;'Faturado mensal'!AA$2,#REF!,
"&lt;"&amp;EOMONTH('Faturado mensal'!AA$2,0))</f>
        <v>52086.36</v>
      </c>
      <c r="AB106" s="9">
        <f>SUMIFS(#REF!,#REF!,
$A106,#REF!,
"&gt;="&amp;'Faturado mensal'!AB$2,#REF!,
"&lt;"&amp;EOMONTH('Faturado mensal'!AB$2,0))</f>
        <v>22341.09</v>
      </c>
      <c r="AC106" s="9">
        <f>SUMIFS(#REF!,#REF!,
$A106,#REF!,
"&gt;="&amp;'Faturado mensal'!AC$2,#REF!,
"&lt;"&amp;EOMONTH('Faturado mensal'!AC$2,0))</f>
        <v>20604.77</v>
      </c>
      <c r="AD106" s="9">
        <f>SUMIFS(#REF!,#REF!,
$A106,#REF!,
"&gt;="&amp;'Faturado mensal'!AD$2,#REF!,
"&lt;"&amp;EOMONTH('Faturado mensal'!AD$2,0))</f>
        <v>96316.01</v>
      </c>
      <c r="AE106" s="9">
        <f>SUMIFS(#REF!,#REF!,
$A106,#REF!,
"&gt;="&amp;'Faturado mensal'!AE$2,#REF!,
"&lt;"&amp;EOMONTH('Faturado mensal'!AE$2,0))</f>
        <v>37902.03</v>
      </c>
      <c r="AF106" s="9">
        <f>SUMIFS(#REF!,#REF!,
$A106,#REF!,
"&gt;="&amp;'Faturado mensal'!AF$2,#REF!,
"&lt;"&amp;EOMONTH('Faturado mensal'!AF$2,0))</f>
        <v>0</v>
      </c>
      <c r="AG106" s="9">
        <f>SUMIFS(#REF!,#REF!,
$A106,#REF!,
"&gt;="&amp;'Faturado mensal'!AG$2,#REF!,
"&lt;"&amp;EOMONTH('Faturado mensal'!AG$2,0))</f>
        <v>0</v>
      </c>
      <c r="AH106" s="9">
        <f>SUMIFS(#REF!,#REF!,
$A106,#REF!,
"&gt;="&amp;'Faturado mensal'!AH$2,#REF!,
"&lt;"&amp;EOMONTH('Faturado mensal'!AH$2,0))</f>
        <v>0</v>
      </c>
      <c r="AI106" s="9">
        <f>SUMIFS(#REF!,#REF!,
$A106,#REF!,
"&gt;="&amp;'Faturado mensal'!AI$2,#REF!,
"&lt;"&amp;EOMONTH('Faturado mensal'!AI$2,0))</f>
        <v>0</v>
      </c>
      <c r="AJ106" s="9">
        <f>SUMIFS(#REF!,#REF!,
$A106,#REF!,
"&gt;="&amp;'Faturado mensal'!AJ$2,#REF!,
"&lt;"&amp;EOMONTH('Faturado mensal'!AJ$2,0))</f>
        <v>0</v>
      </c>
      <c r="AK106" s="9">
        <f>SUMIFS(#REF!,#REF!,
$A106,#REF!,
"&gt;="&amp;'Faturado mensal'!AK$2,#REF!,
"&lt;"&amp;EOMONTH('Faturado mensal'!AK$2,0))</f>
        <v>0</v>
      </c>
      <c r="AL106" s="9">
        <f>SUMIFS(#REF!,#REF!,
$A106,#REF!,
"&gt;="&amp;Z$2,#REF!,
"&lt;"&amp;EOMONTH(AK$2,0))</f>
        <v>251151.04</v>
      </c>
    </row>
    <row r="107" spans="1:38" x14ac:dyDescent="0.3">
      <c r="A107" t="s">
        <v>337</v>
      </c>
      <c r="B107" t="s">
        <v>338</v>
      </c>
      <c r="C107" t="s">
        <v>31</v>
      </c>
      <c r="D107" t="s">
        <v>204</v>
      </c>
      <c r="E107" t="s">
        <v>1036</v>
      </c>
      <c r="F107" t="s">
        <v>4785</v>
      </c>
      <c r="G107" t="s">
        <v>4853</v>
      </c>
      <c r="H107" t="s">
        <v>4773</v>
      </c>
      <c r="I107" t="s">
        <v>31</v>
      </c>
      <c r="J107" t="s">
        <v>710</v>
      </c>
      <c r="K107" t="s">
        <v>711</v>
      </c>
      <c r="L107" t="s">
        <v>712</v>
      </c>
      <c r="M107" s="9">
        <f>SUMIFS(#REF!,#REF!,
$A107,#REF!,
"&gt;="&amp;'Faturado mensal'!M$2,#REF!,
"&lt;"&amp;EOMONTH('Faturado mensal'!M$2,0))</f>
        <v>53216.179999999993</v>
      </c>
      <c r="N107" s="9">
        <f>SUMIFS(#REF!,#REF!,
$A107,#REF!,
"&gt;="&amp;'Faturado mensal'!N$2,#REF!,
"&lt;"&amp;EOMONTH('Faturado mensal'!N$2,0))</f>
        <v>64287.98</v>
      </c>
      <c r="O107" s="9">
        <f>SUMIFS(#REF!,#REF!,
$A107,#REF!,
"&gt;="&amp;'Faturado mensal'!O$2,#REF!,
"&lt;"&amp;EOMONTH('Faturado mensal'!O$2,0))</f>
        <v>37487.120000000003</v>
      </c>
      <c r="P107" s="9">
        <f>SUMIFS(#REF!,#REF!,
$A107,#REF!,
"&gt;="&amp;'Faturado mensal'!P$2,#REF!,
"&lt;"&amp;EOMONTH('Faturado mensal'!P$2,0))</f>
        <v>34062.21</v>
      </c>
      <c r="Q107" s="9">
        <f>SUMIFS(#REF!,#REF!,
$A107,#REF!,
"&gt;="&amp;'Faturado mensal'!Q$2,#REF!,
"&lt;"&amp;EOMONTH('Faturado mensal'!Q$2,0))</f>
        <v>36724.699999999997</v>
      </c>
      <c r="R107" s="9">
        <f>SUMIFS(#REF!,#REF!,
$A107,#REF!,
"&gt;="&amp;'Faturado mensal'!R$2,#REF!,
"&lt;"&amp;EOMONTH('Faturado mensal'!R$2,0))</f>
        <v>26465.58</v>
      </c>
      <c r="S107" s="9">
        <f>SUMIFS(#REF!,#REF!,
$A107,#REF!,
"&gt;="&amp;'Faturado mensal'!S$2,#REF!,
"&lt;"&amp;EOMONTH('Faturado mensal'!S$2,0))</f>
        <v>25309.18</v>
      </c>
      <c r="T107" s="9">
        <f>SUMIFS(#REF!,#REF!,
$A107,#REF!,
"&gt;="&amp;'Faturado mensal'!T$2,#REF!,
"&lt;"&amp;EOMONTH('Faturado mensal'!T$2,0))</f>
        <v>26470.32</v>
      </c>
      <c r="U107" s="9">
        <f>SUMIFS(#REF!,#REF!,
$A107,#REF!,
"&gt;="&amp;'Faturado mensal'!U$2,#REF!,
"&lt;"&amp;EOMONTH('Faturado mensal'!U$2,0))</f>
        <v>29111.47</v>
      </c>
      <c r="V107" s="9">
        <f>SUMIFS(#REF!,#REF!,
$A107,#REF!,
"&gt;="&amp;'Faturado mensal'!V$2,#REF!,
"&lt;"&amp;EOMONTH('Faturado mensal'!V$2,0))</f>
        <v>28783.42</v>
      </c>
      <c r="W107" s="9">
        <f>SUMIFS(#REF!,#REF!,
$A107,#REF!,
"&gt;="&amp;'Faturado mensal'!W$2,#REF!,
"&lt;"&amp;EOMONTH('Faturado mensal'!W$2,0))</f>
        <v>0</v>
      </c>
      <c r="X107" s="9">
        <f>SUMIFS(#REF!,#REF!,
$A107,#REF!,
"&gt;="&amp;'Faturado mensal'!X$2,#REF!,
"&lt;"&amp;EOMONTH('Faturado mensal'!X$2,0))</f>
        <v>22760.1</v>
      </c>
      <c r="Y107" s="11">
        <f>SUMIFS(#REF!,#REF!,
$A107,#REF!,
"&gt;="&amp;'Faturado mensal'!M$2,#REF!,
"&lt;"&amp;EOMONTH('Faturado mensal'!M$2,12))</f>
        <v>423441.85999999993</v>
      </c>
      <c r="Z107" s="9">
        <f>SUMIFS(#REF!,#REF!,
$A107,#REF!,
"&gt;="&amp;'Faturado mensal'!Z$2,#REF!,
"&lt;"&amp;EOMONTH('Faturado mensal'!Z$2,0))</f>
        <v>38763.599999999999</v>
      </c>
      <c r="AA107" s="9">
        <f>SUMIFS(#REF!,#REF!,
$A107,#REF!,
"&gt;="&amp;'Faturado mensal'!AA$2,#REF!,
"&lt;"&amp;EOMONTH('Faturado mensal'!AA$2,0))</f>
        <v>0</v>
      </c>
      <c r="AB107" s="9">
        <f>SUMIFS(#REF!,#REF!,
$A107,#REF!,
"&gt;="&amp;'Faturado mensal'!AB$2,#REF!,
"&lt;"&amp;EOMONTH('Faturado mensal'!AB$2,0))</f>
        <v>18050.27</v>
      </c>
      <c r="AC107" s="9">
        <f>SUMIFS(#REF!,#REF!,
$A107,#REF!,
"&gt;="&amp;'Faturado mensal'!AC$2,#REF!,
"&lt;"&amp;EOMONTH('Faturado mensal'!AC$2,0))</f>
        <v>37095.14</v>
      </c>
      <c r="AD107" s="9">
        <f>SUMIFS(#REF!,#REF!,
$A107,#REF!,
"&gt;="&amp;'Faturado mensal'!AD$2,#REF!,
"&lt;"&amp;EOMONTH('Faturado mensal'!AD$2,0))</f>
        <v>0</v>
      </c>
      <c r="AE107" s="9">
        <f>SUMIFS(#REF!,#REF!,
$A107,#REF!,
"&gt;="&amp;'Faturado mensal'!AE$2,#REF!,
"&lt;"&amp;EOMONTH('Faturado mensal'!AE$2,0))</f>
        <v>39615.300000000003</v>
      </c>
      <c r="AF107" s="9">
        <f>SUMIFS(#REF!,#REF!,
$A107,#REF!,
"&gt;="&amp;'Faturado mensal'!AF$2,#REF!,
"&lt;"&amp;EOMONTH('Faturado mensal'!AF$2,0))</f>
        <v>0</v>
      </c>
      <c r="AG107" s="9">
        <f>SUMIFS(#REF!,#REF!,
$A107,#REF!,
"&gt;="&amp;'Faturado mensal'!AG$2,#REF!,
"&lt;"&amp;EOMONTH('Faturado mensal'!AG$2,0))</f>
        <v>0</v>
      </c>
      <c r="AH107" s="9">
        <f>SUMIFS(#REF!,#REF!,
$A107,#REF!,
"&gt;="&amp;'Faturado mensal'!AH$2,#REF!,
"&lt;"&amp;EOMONTH('Faturado mensal'!AH$2,0))</f>
        <v>0</v>
      </c>
      <c r="AI107" s="9">
        <f>SUMIFS(#REF!,#REF!,
$A107,#REF!,
"&gt;="&amp;'Faturado mensal'!AI$2,#REF!,
"&lt;"&amp;EOMONTH('Faturado mensal'!AI$2,0))</f>
        <v>0</v>
      </c>
      <c r="AJ107" s="9">
        <f>SUMIFS(#REF!,#REF!,
$A107,#REF!,
"&gt;="&amp;'Faturado mensal'!AJ$2,#REF!,
"&lt;"&amp;EOMONTH('Faturado mensal'!AJ$2,0))</f>
        <v>0</v>
      </c>
      <c r="AK107" s="9">
        <f>SUMIFS(#REF!,#REF!,
$A107,#REF!,
"&gt;="&amp;'Faturado mensal'!AK$2,#REF!,
"&lt;"&amp;EOMONTH('Faturado mensal'!AK$2,0))</f>
        <v>0</v>
      </c>
      <c r="AL107" s="9">
        <f>SUMIFS(#REF!,#REF!,
$A107,#REF!,
"&gt;="&amp;Z$2,#REF!,
"&lt;"&amp;EOMONTH(AK$2,0))</f>
        <v>133524.31</v>
      </c>
    </row>
    <row r="108" spans="1:38" x14ac:dyDescent="0.3">
      <c r="A108" t="s">
        <v>339</v>
      </c>
      <c r="B108" t="s">
        <v>340</v>
      </c>
      <c r="C108" t="s">
        <v>114</v>
      </c>
      <c r="D108" t="s">
        <v>209</v>
      </c>
      <c r="I108" t="s">
        <v>114</v>
      </c>
      <c r="J108" t="s">
        <v>710</v>
      </c>
      <c r="K108" t="s">
        <v>711</v>
      </c>
      <c r="L108" t="s">
        <v>712</v>
      </c>
      <c r="M108" s="9">
        <f>SUMIFS(#REF!,#REF!,
$A108,#REF!,
"&gt;="&amp;'Faturado mensal'!M$2,#REF!,
"&lt;"&amp;EOMONTH('Faturado mensal'!M$2,0))</f>
        <v>0</v>
      </c>
      <c r="N108" s="9">
        <f>SUMIFS(#REF!,#REF!,
$A108,#REF!,
"&gt;="&amp;'Faturado mensal'!N$2,#REF!,
"&lt;"&amp;EOMONTH('Faturado mensal'!N$2,0))</f>
        <v>0</v>
      </c>
      <c r="O108" s="9">
        <f>SUMIFS(#REF!,#REF!,
$A108,#REF!,
"&gt;="&amp;'Faturado mensal'!O$2,#REF!,
"&lt;"&amp;EOMONTH('Faturado mensal'!O$2,0))</f>
        <v>0</v>
      </c>
      <c r="P108" s="9">
        <f>SUMIFS(#REF!,#REF!,
$A108,#REF!,
"&gt;="&amp;'Faturado mensal'!P$2,#REF!,
"&lt;"&amp;EOMONTH('Faturado mensal'!P$2,0))</f>
        <v>0</v>
      </c>
      <c r="Q108" s="9">
        <f>SUMIFS(#REF!,#REF!,
$A108,#REF!,
"&gt;="&amp;'Faturado mensal'!Q$2,#REF!,
"&lt;"&amp;EOMONTH('Faturado mensal'!Q$2,0))</f>
        <v>0</v>
      </c>
      <c r="R108" s="9">
        <f>SUMIFS(#REF!,#REF!,
$A108,#REF!,
"&gt;="&amp;'Faturado mensal'!R$2,#REF!,
"&lt;"&amp;EOMONTH('Faturado mensal'!R$2,0))</f>
        <v>0</v>
      </c>
      <c r="S108" s="9">
        <f>SUMIFS(#REF!,#REF!,
$A108,#REF!,
"&gt;="&amp;'Faturado mensal'!S$2,#REF!,
"&lt;"&amp;EOMONTH('Faturado mensal'!S$2,0))</f>
        <v>0</v>
      </c>
      <c r="T108" s="9">
        <f>SUMIFS(#REF!,#REF!,
$A108,#REF!,
"&gt;="&amp;'Faturado mensal'!T$2,#REF!,
"&lt;"&amp;EOMONTH('Faturado mensal'!T$2,0))</f>
        <v>0</v>
      </c>
      <c r="U108" s="9">
        <f>SUMIFS(#REF!,#REF!,
$A108,#REF!,
"&gt;="&amp;'Faturado mensal'!U$2,#REF!,
"&lt;"&amp;EOMONTH('Faturado mensal'!U$2,0))</f>
        <v>0</v>
      </c>
      <c r="V108" s="9">
        <f>SUMIFS(#REF!,#REF!,
$A108,#REF!,
"&gt;="&amp;'Faturado mensal'!V$2,#REF!,
"&lt;"&amp;EOMONTH('Faturado mensal'!V$2,0))</f>
        <v>0</v>
      </c>
      <c r="W108" s="9">
        <f>SUMIFS(#REF!,#REF!,
$A108,#REF!,
"&gt;="&amp;'Faturado mensal'!W$2,#REF!,
"&lt;"&amp;EOMONTH('Faturado mensal'!W$2,0))</f>
        <v>0</v>
      </c>
      <c r="X108" s="9">
        <f>SUMIFS(#REF!,#REF!,
$A108,#REF!,
"&gt;="&amp;'Faturado mensal'!X$2,#REF!,
"&lt;"&amp;EOMONTH('Faturado mensal'!X$2,0))</f>
        <v>0</v>
      </c>
      <c r="Y108" s="11">
        <f>SUMIFS(#REF!,#REF!,
$A108,#REF!,
"&gt;="&amp;'Faturado mensal'!M$2,#REF!,
"&lt;"&amp;EOMONTH('Faturado mensal'!M$2,12))</f>
        <v>0</v>
      </c>
      <c r="Z108" s="9">
        <f>SUMIFS(#REF!,#REF!,
$A108,#REF!,
"&gt;="&amp;'Faturado mensal'!Z$2,#REF!,
"&lt;"&amp;EOMONTH('Faturado mensal'!Z$2,0))</f>
        <v>0</v>
      </c>
      <c r="AA108" s="9">
        <f>SUMIFS(#REF!,#REF!,
$A108,#REF!,
"&gt;="&amp;'Faturado mensal'!AA$2,#REF!,
"&lt;"&amp;EOMONTH('Faturado mensal'!AA$2,0))</f>
        <v>0</v>
      </c>
      <c r="AB108" s="9">
        <f>SUMIFS(#REF!,#REF!,
$A108,#REF!,
"&gt;="&amp;'Faturado mensal'!AB$2,#REF!,
"&lt;"&amp;EOMONTH('Faturado mensal'!AB$2,0))</f>
        <v>0</v>
      </c>
      <c r="AC108" s="9">
        <f>SUMIFS(#REF!,#REF!,
$A108,#REF!,
"&gt;="&amp;'Faturado mensal'!AC$2,#REF!,
"&lt;"&amp;EOMONTH('Faturado mensal'!AC$2,0))</f>
        <v>0</v>
      </c>
      <c r="AD108" s="9">
        <f>SUMIFS(#REF!,#REF!,
$A108,#REF!,
"&gt;="&amp;'Faturado mensal'!AD$2,#REF!,
"&lt;"&amp;EOMONTH('Faturado mensal'!AD$2,0))</f>
        <v>0</v>
      </c>
      <c r="AE108" s="9">
        <f>SUMIFS(#REF!,#REF!,
$A108,#REF!,
"&gt;="&amp;'Faturado mensal'!AE$2,#REF!,
"&lt;"&amp;EOMONTH('Faturado mensal'!AE$2,0))</f>
        <v>0</v>
      </c>
      <c r="AF108" s="9">
        <f>SUMIFS(#REF!,#REF!,
$A108,#REF!,
"&gt;="&amp;'Faturado mensal'!AF$2,#REF!,
"&lt;"&amp;EOMONTH('Faturado mensal'!AF$2,0))</f>
        <v>0</v>
      </c>
      <c r="AG108" s="9">
        <f>SUMIFS(#REF!,#REF!,
$A108,#REF!,
"&gt;="&amp;'Faturado mensal'!AG$2,#REF!,
"&lt;"&amp;EOMONTH('Faturado mensal'!AG$2,0))</f>
        <v>0</v>
      </c>
      <c r="AH108" s="9">
        <f>SUMIFS(#REF!,#REF!,
$A108,#REF!,
"&gt;="&amp;'Faturado mensal'!AH$2,#REF!,
"&lt;"&amp;EOMONTH('Faturado mensal'!AH$2,0))</f>
        <v>0</v>
      </c>
      <c r="AI108" s="9">
        <f>SUMIFS(#REF!,#REF!,
$A108,#REF!,
"&gt;="&amp;'Faturado mensal'!AI$2,#REF!,
"&lt;"&amp;EOMONTH('Faturado mensal'!AI$2,0))</f>
        <v>0</v>
      </c>
      <c r="AJ108" s="9">
        <f>SUMIFS(#REF!,#REF!,
$A108,#REF!,
"&gt;="&amp;'Faturado mensal'!AJ$2,#REF!,
"&lt;"&amp;EOMONTH('Faturado mensal'!AJ$2,0))</f>
        <v>0</v>
      </c>
      <c r="AK108" s="9">
        <f>SUMIFS(#REF!,#REF!,
$A108,#REF!,
"&gt;="&amp;'Faturado mensal'!AK$2,#REF!,
"&lt;"&amp;EOMONTH('Faturado mensal'!AK$2,0))</f>
        <v>0</v>
      </c>
      <c r="AL108" s="9">
        <f>SUMIFS(#REF!,#REF!,
$A108,#REF!,
"&gt;="&amp;Z$2,#REF!,
"&lt;"&amp;EOMONTH(AK$2,0))</f>
        <v>0</v>
      </c>
    </row>
    <row r="109" spans="1:38" x14ac:dyDescent="0.3">
      <c r="A109" t="s">
        <v>825</v>
      </c>
      <c r="B109" t="s">
        <v>826</v>
      </c>
      <c r="C109" t="s">
        <v>827</v>
      </c>
      <c r="D109" t="s">
        <v>209</v>
      </c>
      <c r="G109" t="s">
        <v>4853</v>
      </c>
      <c r="H109" t="s">
        <v>4774</v>
      </c>
      <c r="I109" t="s">
        <v>827</v>
      </c>
      <c r="J109" t="s">
        <v>818</v>
      </c>
      <c r="K109" t="s">
        <v>711</v>
      </c>
      <c r="L109" t="s">
        <v>712</v>
      </c>
      <c r="M109" s="9">
        <f>SUMIFS(#REF!,#REF!,
$A109,#REF!,
"&gt;="&amp;'Faturado mensal'!M$2,#REF!,
"&lt;"&amp;EOMONTH('Faturado mensal'!M$2,0))</f>
        <v>0</v>
      </c>
      <c r="N109" s="9">
        <f>SUMIFS(#REF!,#REF!,
$A109,#REF!,
"&gt;="&amp;'Faturado mensal'!N$2,#REF!,
"&lt;"&amp;EOMONTH('Faturado mensal'!N$2,0))</f>
        <v>0</v>
      </c>
      <c r="O109" s="9">
        <f>SUMIFS(#REF!,#REF!,
$A109,#REF!,
"&gt;="&amp;'Faturado mensal'!O$2,#REF!,
"&lt;"&amp;EOMONTH('Faturado mensal'!O$2,0))</f>
        <v>0</v>
      </c>
      <c r="P109" s="9">
        <f>SUMIFS(#REF!,#REF!,
$A109,#REF!,
"&gt;="&amp;'Faturado mensal'!P$2,#REF!,
"&lt;"&amp;EOMONTH('Faturado mensal'!P$2,0))</f>
        <v>0</v>
      </c>
      <c r="Q109" s="9">
        <f>SUMIFS(#REF!,#REF!,
$A109,#REF!,
"&gt;="&amp;'Faturado mensal'!Q$2,#REF!,
"&lt;"&amp;EOMONTH('Faturado mensal'!Q$2,0))</f>
        <v>0</v>
      </c>
      <c r="R109" s="9">
        <f>SUMIFS(#REF!,#REF!,
$A109,#REF!,
"&gt;="&amp;'Faturado mensal'!R$2,#REF!,
"&lt;"&amp;EOMONTH('Faturado mensal'!R$2,0))</f>
        <v>0</v>
      </c>
      <c r="S109" s="9">
        <f>SUMIFS(#REF!,#REF!,
$A109,#REF!,
"&gt;="&amp;'Faturado mensal'!S$2,#REF!,
"&lt;"&amp;EOMONTH('Faturado mensal'!S$2,0))</f>
        <v>0</v>
      </c>
      <c r="T109" s="9">
        <f>SUMIFS(#REF!,#REF!,
$A109,#REF!,
"&gt;="&amp;'Faturado mensal'!T$2,#REF!,
"&lt;"&amp;EOMONTH('Faturado mensal'!T$2,0))</f>
        <v>0</v>
      </c>
      <c r="U109" s="9">
        <f>SUMIFS(#REF!,#REF!,
$A109,#REF!,
"&gt;="&amp;'Faturado mensal'!U$2,#REF!,
"&lt;"&amp;EOMONTH('Faturado mensal'!U$2,0))</f>
        <v>0</v>
      </c>
      <c r="V109" s="9">
        <f>SUMIFS(#REF!,#REF!,
$A109,#REF!,
"&gt;="&amp;'Faturado mensal'!V$2,#REF!,
"&lt;"&amp;EOMONTH('Faturado mensal'!V$2,0))</f>
        <v>0</v>
      </c>
      <c r="W109" s="9">
        <f>SUMIFS(#REF!,#REF!,
$A109,#REF!,
"&gt;="&amp;'Faturado mensal'!W$2,#REF!,
"&lt;"&amp;EOMONTH('Faturado mensal'!W$2,0))</f>
        <v>0</v>
      </c>
      <c r="X109" s="9">
        <f>SUMIFS(#REF!,#REF!,
$A109,#REF!,
"&gt;="&amp;'Faturado mensal'!X$2,#REF!,
"&lt;"&amp;EOMONTH('Faturado mensal'!X$2,0))</f>
        <v>0</v>
      </c>
      <c r="Y109" s="11">
        <f>SUMIFS(#REF!,#REF!,
$A109,#REF!,
"&gt;="&amp;'Faturado mensal'!M$2,#REF!,
"&lt;"&amp;EOMONTH('Faturado mensal'!M$2,12))</f>
        <v>0</v>
      </c>
      <c r="Z109" s="9">
        <f>SUMIFS(#REF!,#REF!,
$A109,#REF!,
"&gt;="&amp;'Faturado mensal'!Z$2,#REF!,
"&lt;"&amp;EOMONTH('Faturado mensal'!Z$2,0))</f>
        <v>0</v>
      </c>
      <c r="AA109" s="9">
        <f>SUMIFS(#REF!,#REF!,
$A109,#REF!,
"&gt;="&amp;'Faturado mensal'!AA$2,#REF!,
"&lt;"&amp;EOMONTH('Faturado mensal'!AA$2,0))</f>
        <v>0</v>
      </c>
      <c r="AB109" s="9">
        <f>SUMIFS(#REF!,#REF!,
$A109,#REF!,
"&gt;="&amp;'Faturado mensal'!AB$2,#REF!,
"&lt;"&amp;EOMONTH('Faturado mensal'!AB$2,0))</f>
        <v>0</v>
      </c>
      <c r="AC109" s="9">
        <f>SUMIFS(#REF!,#REF!,
$A109,#REF!,
"&gt;="&amp;'Faturado mensal'!AC$2,#REF!,
"&lt;"&amp;EOMONTH('Faturado mensal'!AC$2,0))</f>
        <v>0</v>
      </c>
      <c r="AD109" s="9">
        <f>SUMIFS(#REF!,#REF!,
$A109,#REF!,
"&gt;="&amp;'Faturado mensal'!AD$2,#REF!,
"&lt;"&amp;EOMONTH('Faturado mensal'!AD$2,0))</f>
        <v>0</v>
      </c>
      <c r="AE109" s="9">
        <f>SUMIFS(#REF!,#REF!,
$A109,#REF!,
"&gt;="&amp;'Faturado mensal'!AE$2,#REF!,
"&lt;"&amp;EOMONTH('Faturado mensal'!AE$2,0))</f>
        <v>0</v>
      </c>
      <c r="AF109" s="9">
        <f>SUMIFS(#REF!,#REF!,
$A109,#REF!,
"&gt;="&amp;'Faturado mensal'!AF$2,#REF!,
"&lt;"&amp;EOMONTH('Faturado mensal'!AF$2,0))</f>
        <v>0</v>
      </c>
      <c r="AG109" s="9">
        <f>SUMIFS(#REF!,#REF!,
$A109,#REF!,
"&gt;="&amp;'Faturado mensal'!AG$2,#REF!,
"&lt;"&amp;EOMONTH('Faturado mensal'!AG$2,0))</f>
        <v>0</v>
      </c>
      <c r="AH109" s="9">
        <f>SUMIFS(#REF!,#REF!,
$A109,#REF!,
"&gt;="&amp;'Faturado mensal'!AH$2,#REF!,
"&lt;"&amp;EOMONTH('Faturado mensal'!AH$2,0))</f>
        <v>0</v>
      </c>
      <c r="AI109" s="9">
        <f>SUMIFS(#REF!,#REF!,
$A109,#REF!,
"&gt;="&amp;'Faturado mensal'!AI$2,#REF!,
"&lt;"&amp;EOMONTH('Faturado mensal'!AI$2,0))</f>
        <v>0</v>
      </c>
      <c r="AJ109" s="9">
        <f>SUMIFS(#REF!,#REF!,
$A109,#REF!,
"&gt;="&amp;'Faturado mensal'!AJ$2,#REF!,
"&lt;"&amp;EOMONTH('Faturado mensal'!AJ$2,0))</f>
        <v>0</v>
      </c>
      <c r="AK109" s="9">
        <f>SUMIFS(#REF!,#REF!,
$A109,#REF!,
"&gt;="&amp;'Faturado mensal'!AK$2,#REF!,
"&lt;"&amp;EOMONTH('Faturado mensal'!AK$2,0))</f>
        <v>0</v>
      </c>
      <c r="AL109" s="9">
        <f>SUMIFS(#REF!,#REF!,
$A109,#REF!,
"&gt;="&amp;Z$2,#REF!,
"&lt;"&amp;EOMONTH(AK$2,0))</f>
        <v>0</v>
      </c>
    </row>
    <row r="110" spans="1:38" x14ac:dyDescent="0.3">
      <c r="A110" t="s">
        <v>341</v>
      </c>
      <c r="B110" t="s">
        <v>314</v>
      </c>
      <c r="C110" t="s">
        <v>39</v>
      </c>
      <c r="D110" t="s">
        <v>204</v>
      </c>
      <c r="E110" t="s">
        <v>4834</v>
      </c>
      <c r="F110" t="s">
        <v>4776</v>
      </c>
      <c r="G110" t="s">
        <v>4856</v>
      </c>
      <c r="H110" t="s">
        <v>4773</v>
      </c>
      <c r="I110" t="s">
        <v>39</v>
      </c>
      <c r="J110" t="s">
        <v>710</v>
      </c>
      <c r="K110" t="s">
        <v>748</v>
      </c>
      <c r="L110" t="s">
        <v>749</v>
      </c>
      <c r="M110" s="9">
        <f>SUMIFS(#REF!,#REF!,
$A110,#REF!,
"&gt;="&amp;'Faturado mensal'!M$2,#REF!,
"&lt;"&amp;EOMONTH('Faturado mensal'!M$2,0))</f>
        <v>1753.4</v>
      </c>
      <c r="N110" s="9">
        <f>SUMIFS(#REF!,#REF!,
$A110,#REF!,
"&gt;="&amp;'Faturado mensal'!N$2,#REF!,
"&lt;"&amp;EOMONTH('Faturado mensal'!N$2,0))</f>
        <v>0</v>
      </c>
      <c r="O110" s="9">
        <f>SUMIFS(#REF!,#REF!,
$A110,#REF!,
"&gt;="&amp;'Faturado mensal'!O$2,#REF!,
"&lt;"&amp;EOMONTH('Faturado mensal'!O$2,0))</f>
        <v>664.4</v>
      </c>
      <c r="P110" s="9">
        <f>SUMIFS(#REF!,#REF!,
$A110,#REF!,
"&gt;="&amp;'Faturado mensal'!P$2,#REF!,
"&lt;"&amp;EOMONTH('Faturado mensal'!P$2,0))</f>
        <v>664.4</v>
      </c>
      <c r="Q110" s="9">
        <f>SUMIFS(#REF!,#REF!,
$A110,#REF!,
"&gt;="&amp;'Faturado mensal'!Q$2,#REF!,
"&lt;"&amp;EOMONTH('Faturado mensal'!Q$2,0))</f>
        <v>0</v>
      </c>
      <c r="R110" s="9">
        <f>SUMIFS(#REF!,#REF!,
$A110,#REF!,
"&gt;="&amp;'Faturado mensal'!R$2,#REF!,
"&lt;"&amp;EOMONTH('Faturado mensal'!R$2,0))</f>
        <v>0</v>
      </c>
      <c r="S110" s="9">
        <f>SUMIFS(#REF!,#REF!,
$A110,#REF!,
"&gt;="&amp;'Faturado mensal'!S$2,#REF!,
"&lt;"&amp;EOMONTH('Faturado mensal'!S$2,0))</f>
        <v>0</v>
      </c>
      <c r="T110" s="9">
        <f>SUMIFS(#REF!,#REF!,
$A110,#REF!,
"&gt;="&amp;'Faturado mensal'!T$2,#REF!,
"&lt;"&amp;EOMONTH('Faturado mensal'!T$2,0))</f>
        <v>0</v>
      </c>
      <c r="U110" s="9">
        <f>SUMIFS(#REF!,#REF!,
$A110,#REF!,
"&gt;="&amp;'Faturado mensal'!U$2,#REF!,
"&lt;"&amp;EOMONTH('Faturado mensal'!U$2,0))</f>
        <v>2200</v>
      </c>
      <c r="V110" s="9">
        <f>SUMIFS(#REF!,#REF!,
$A110,#REF!,
"&gt;="&amp;'Faturado mensal'!V$2,#REF!,
"&lt;"&amp;EOMONTH('Faturado mensal'!V$2,0))</f>
        <v>0</v>
      </c>
      <c r="W110" s="9">
        <f>SUMIFS(#REF!,#REF!,
$A110,#REF!,
"&gt;="&amp;'Faturado mensal'!W$2,#REF!,
"&lt;"&amp;EOMONTH('Faturado mensal'!W$2,0))</f>
        <v>1100</v>
      </c>
      <c r="X110" s="9">
        <f>SUMIFS(#REF!,#REF!,
$A110,#REF!,
"&gt;="&amp;'Faturado mensal'!X$2,#REF!,
"&lt;"&amp;EOMONTH('Faturado mensal'!X$2,0))</f>
        <v>1100</v>
      </c>
      <c r="Y110" s="11">
        <f>SUMIFS(#REF!,#REF!,
$A110,#REF!,
"&gt;="&amp;'Faturado mensal'!M$2,#REF!,
"&lt;"&amp;EOMONTH('Faturado mensal'!M$2,12))</f>
        <v>8582.2000000000007</v>
      </c>
      <c r="Z110" s="9">
        <f>SUMIFS(#REF!,#REF!,
$A110,#REF!,
"&gt;="&amp;'Faturado mensal'!Z$2,#REF!,
"&lt;"&amp;EOMONTH('Faturado mensal'!Z$2,0))</f>
        <v>1100</v>
      </c>
      <c r="AA110" s="9">
        <f>SUMIFS(#REF!,#REF!,
$A110,#REF!,
"&gt;="&amp;'Faturado mensal'!AA$2,#REF!,
"&lt;"&amp;EOMONTH('Faturado mensal'!AA$2,0))</f>
        <v>2200</v>
      </c>
      <c r="AB110" s="9">
        <f>SUMIFS(#REF!,#REF!,
$A110,#REF!,
"&gt;="&amp;'Faturado mensal'!AB$2,#REF!,
"&lt;"&amp;EOMONTH('Faturado mensal'!AB$2,0))</f>
        <v>0</v>
      </c>
      <c r="AC110" s="9">
        <f>SUMIFS(#REF!,#REF!,
$A110,#REF!,
"&gt;="&amp;'Faturado mensal'!AC$2,#REF!,
"&lt;"&amp;EOMONTH('Faturado mensal'!AC$2,0))</f>
        <v>2200</v>
      </c>
      <c r="AD110" s="9">
        <f>SUMIFS(#REF!,#REF!,
$A110,#REF!,
"&gt;="&amp;'Faturado mensal'!AD$2,#REF!,
"&lt;"&amp;EOMONTH('Faturado mensal'!AD$2,0))</f>
        <v>1100</v>
      </c>
      <c r="AE110" s="9">
        <f>SUMIFS(#REF!,#REF!,
$A110,#REF!,
"&gt;="&amp;'Faturado mensal'!AE$2,#REF!,
"&lt;"&amp;EOMONTH('Faturado mensal'!AE$2,0))</f>
        <v>1100</v>
      </c>
      <c r="AF110" s="9">
        <f>SUMIFS(#REF!,#REF!,
$A110,#REF!,
"&gt;="&amp;'Faturado mensal'!AF$2,#REF!,
"&lt;"&amp;EOMONTH('Faturado mensal'!AF$2,0))</f>
        <v>0</v>
      </c>
      <c r="AG110" s="9">
        <f>SUMIFS(#REF!,#REF!,
$A110,#REF!,
"&gt;="&amp;'Faturado mensal'!AG$2,#REF!,
"&lt;"&amp;EOMONTH('Faturado mensal'!AG$2,0))</f>
        <v>0</v>
      </c>
      <c r="AH110" s="9">
        <f>SUMIFS(#REF!,#REF!,
$A110,#REF!,
"&gt;="&amp;'Faturado mensal'!AH$2,#REF!,
"&lt;"&amp;EOMONTH('Faturado mensal'!AH$2,0))</f>
        <v>0</v>
      </c>
      <c r="AI110" s="9">
        <f>SUMIFS(#REF!,#REF!,
$A110,#REF!,
"&gt;="&amp;'Faturado mensal'!AI$2,#REF!,
"&lt;"&amp;EOMONTH('Faturado mensal'!AI$2,0))</f>
        <v>0</v>
      </c>
      <c r="AJ110" s="9">
        <f>SUMIFS(#REF!,#REF!,
$A110,#REF!,
"&gt;="&amp;'Faturado mensal'!AJ$2,#REF!,
"&lt;"&amp;EOMONTH('Faturado mensal'!AJ$2,0))</f>
        <v>0</v>
      </c>
      <c r="AK110" s="9">
        <f>SUMIFS(#REF!,#REF!,
$A110,#REF!,
"&gt;="&amp;'Faturado mensal'!AK$2,#REF!,
"&lt;"&amp;EOMONTH('Faturado mensal'!AK$2,0))</f>
        <v>0</v>
      </c>
      <c r="AL110" s="9">
        <f>SUMIFS(#REF!,#REF!,
$A110,#REF!,
"&gt;="&amp;Z$2,#REF!,
"&lt;"&amp;EOMONTH(AK$2,0))</f>
        <v>7700</v>
      </c>
    </row>
    <row r="111" spans="1:38" x14ac:dyDescent="0.3">
      <c r="A111" t="s">
        <v>342</v>
      </c>
      <c r="B111" t="s">
        <v>301</v>
      </c>
      <c r="C111" t="s">
        <v>23</v>
      </c>
      <c r="D111" t="s">
        <v>204</v>
      </c>
      <c r="E111" t="s">
        <v>1040</v>
      </c>
      <c r="F111" t="s">
        <v>4782</v>
      </c>
      <c r="G111" t="s">
        <v>4856</v>
      </c>
      <c r="H111" t="s">
        <v>4773</v>
      </c>
      <c r="I111" t="s">
        <v>828</v>
      </c>
      <c r="J111" t="s">
        <v>710</v>
      </c>
      <c r="K111" t="s">
        <v>748</v>
      </c>
      <c r="L111" t="s">
        <v>749</v>
      </c>
      <c r="M111" s="9">
        <f>SUMIFS(#REF!,#REF!,
$A111,#REF!,
"&gt;="&amp;'Faturado mensal'!M$2,#REF!,
"&lt;"&amp;EOMONTH('Faturado mensal'!M$2,0))</f>
        <v>4912.03</v>
      </c>
      <c r="N111" s="9">
        <f>SUMIFS(#REF!,#REF!,
$A111,#REF!,
"&gt;="&amp;'Faturado mensal'!N$2,#REF!,
"&lt;"&amp;EOMONTH('Faturado mensal'!N$2,0))</f>
        <v>4912.03</v>
      </c>
      <c r="O111" s="9">
        <f>SUMIFS(#REF!,#REF!,
$A111,#REF!,
"&gt;="&amp;'Faturado mensal'!O$2,#REF!,
"&lt;"&amp;EOMONTH('Faturado mensal'!O$2,0))</f>
        <v>4912.03</v>
      </c>
      <c r="P111" s="9">
        <f>SUMIFS(#REF!,#REF!,
$A111,#REF!,
"&gt;="&amp;'Faturado mensal'!P$2,#REF!,
"&lt;"&amp;EOMONTH('Faturado mensal'!P$2,0))</f>
        <v>4912.03</v>
      </c>
      <c r="Q111" s="9">
        <f>SUMIFS(#REF!,#REF!,
$A111,#REF!,
"&gt;="&amp;'Faturado mensal'!Q$2,#REF!,
"&lt;"&amp;EOMONTH('Faturado mensal'!Q$2,0))</f>
        <v>4912.03</v>
      </c>
      <c r="R111" s="9">
        <f>SUMIFS(#REF!,#REF!,
$A111,#REF!,
"&gt;="&amp;'Faturado mensal'!R$2,#REF!,
"&lt;"&amp;EOMONTH('Faturado mensal'!R$2,0))</f>
        <v>4912.03</v>
      </c>
      <c r="S111" s="9">
        <f>SUMIFS(#REF!,#REF!,
$A111,#REF!,
"&gt;="&amp;'Faturado mensal'!S$2,#REF!,
"&lt;"&amp;EOMONTH('Faturado mensal'!S$2,0))</f>
        <v>5127.5200000000004</v>
      </c>
      <c r="T111" s="9">
        <f>SUMIFS(#REF!,#REF!,
$A111,#REF!,
"&gt;="&amp;'Faturado mensal'!T$2,#REF!,
"&lt;"&amp;EOMONTH('Faturado mensal'!T$2,0))</f>
        <v>5127.51</v>
      </c>
      <c r="U111" s="9">
        <f>SUMIFS(#REF!,#REF!,
$A111,#REF!,
"&gt;="&amp;'Faturado mensal'!U$2,#REF!,
"&lt;"&amp;EOMONTH('Faturado mensal'!U$2,0))</f>
        <v>5127.51</v>
      </c>
      <c r="V111" s="9">
        <f>SUMIFS(#REF!,#REF!,
$A111,#REF!,
"&gt;="&amp;'Faturado mensal'!V$2,#REF!,
"&lt;"&amp;EOMONTH('Faturado mensal'!V$2,0))</f>
        <v>5127.51</v>
      </c>
      <c r="W111" s="9">
        <f>SUMIFS(#REF!,#REF!,
$A111,#REF!,
"&gt;="&amp;'Faturado mensal'!W$2,#REF!,
"&lt;"&amp;EOMONTH('Faturado mensal'!W$2,0))</f>
        <v>5127.5200000000004</v>
      </c>
      <c r="X111" s="9">
        <f>SUMIFS(#REF!,#REF!,
$A111,#REF!,
"&gt;="&amp;'Faturado mensal'!X$2,#REF!,
"&lt;"&amp;EOMONTH('Faturado mensal'!X$2,0))</f>
        <v>5127.51</v>
      </c>
      <c r="Y111" s="11">
        <f>SUMIFS(#REF!,#REF!,
$A111,#REF!,
"&gt;="&amp;'Faturado mensal'!M$2,#REF!,
"&lt;"&amp;EOMONTH('Faturado mensal'!M$2,12))</f>
        <v>65364.770000000004</v>
      </c>
      <c r="Z111" s="9">
        <f>SUMIFS(#REF!,#REF!,
$A111,#REF!,
"&gt;="&amp;'Faturado mensal'!Z$2,#REF!,
"&lt;"&amp;EOMONTH('Faturado mensal'!Z$2,0))</f>
        <v>5127.51</v>
      </c>
      <c r="AA111" s="9">
        <f>SUMIFS(#REF!,#REF!,
$A111,#REF!,
"&gt;="&amp;'Faturado mensal'!AA$2,#REF!,
"&lt;"&amp;EOMONTH('Faturado mensal'!AA$2,0))</f>
        <v>5127.51</v>
      </c>
      <c r="AB111" s="9">
        <f>SUMIFS(#REF!,#REF!,
$A111,#REF!,
"&gt;="&amp;'Faturado mensal'!AB$2,#REF!,
"&lt;"&amp;EOMONTH('Faturado mensal'!AB$2,0))</f>
        <v>5127.51</v>
      </c>
      <c r="AC111" s="9">
        <f>SUMIFS(#REF!,#REF!,
$A111,#REF!,
"&gt;="&amp;'Faturado mensal'!AC$2,#REF!,
"&lt;"&amp;EOMONTH('Faturado mensal'!AC$2,0))</f>
        <v>0</v>
      </c>
      <c r="AD111" s="9">
        <f>SUMIFS(#REF!,#REF!,
$A111,#REF!,
"&gt;="&amp;'Faturado mensal'!AD$2,#REF!,
"&lt;"&amp;EOMONTH('Faturado mensal'!AD$2,0))</f>
        <v>10255.02</v>
      </c>
      <c r="AE111" s="9">
        <f>SUMIFS(#REF!,#REF!,
$A111,#REF!,
"&gt;="&amp;'Faturado mensal'!AE$2,#REF!,
"&lt;"&amp;EOMONTH('Faturado mensal'!AE$2,0))</f>
        <v>5127.51</v>
      </c>
      <c r="AF111" s="9">
        <f>SUMIFS(#REF!,#REF!,
$A111,#REF!,
"&gt;="&amp;'Faturado mensal'!AF$2,#REF!,
"&lt;"&amp;EOMONTH('Faturado mensal'!AF$2,0))</f>
        <v>0</v>
      </c>
      <c r="AG111" s="9">
        <f>SUMIFS(#REF!,#REF!,
$A111,#REF!,
"&gt;="&amp;'Faturado mensal'!AG$2,#REF!,
"&lt;"&amp;EOMONTH('Faturado mensal'!AG$2,0))</f>
        <v>0</v>
      </c>
      <c r="AH111" s="9">
        <f>SUMIFS(#REF!,#REF!,
$A111,#REF!,
"&gt;="&amp;'Faturado mensal'!AH$2,#REF!,
"&lt;"&amp;EOMONTH('Faturado mensal'!AH$2,0))</f>
        <v>0</v>
      </c>
      <c r="AI111" s="9">
        <f>SUMIFS(#REF!,#REF!,
$A111,#REF!,
"&gt;="&amp;'Faturado mensal'!AI$2,#REF!,
"&lt;"&amp;EOMONTH('Faturado mensal'!AI$2,0))</f>
        <v>0</v>
      </c>
      <c r="AJ111" s="9">
        <f>SUMIFS(#REF!,#REF!,
$A111,#REF!,
"&gt;="&amp;'Faturado mensal'!AJ$2,#REF!,
"&lt;"&amp;EOMONTH('Faturado mensal'!AJ$2,0))</f>
        <v>0</v>
      </c>
      <c r="AK111" s="9">
        <f>SUMIFS(#REF!,#REF!,
$A111,#REF!,
"&gt;="&amp;'Faturado mensal'!AK$2,#REF!,
"&lt;"&amp;EOMONTH('Faturado mensal'!AK$2,0))</f>
        <v>0</v>
      </c>
      <c r="AL111" s="9">
        <f>SUMIFS(#REF!,#REF!,
$A111,#REF!,
"&gt;="&amp;Z$2,#REF!,
"&lt;"&amp;EOMONTH(AK$2,0))</f>
        <v>30765.060000000005</v>
      </c>
    </row>
    <row r="112" spans="1:38" x14ac:dyDescent="0.3">
      <c r="A112" t="s">
        <v>343</v>
      </c>
      <c r="B112" t="s">
        <v>344</v>
      </c>
      <c r="C112" t="s">
        <v>138</v>
      </c>
      <c r="D112" t="s">
        <v>209</v>
      </c>
      <c r="G112" t="s">
        <v>4856</v>
      </c>
      <c r="H112" t="s">
        <v>4771</v>
      </c>
      <c r="I112" t="s">
        <v>138</v>
      </c>
      <c r="J112" t="s">
        <v>719</v>
      </c>
      <c r="K112" t="s">
        <v>748</v>
      </c>
      <c r="L112" t="s">
        <v>749</v>
      </c>
      <c r="M112" s="9">
        <f>SUMIFS(#REF!,#REF!,
$A112,#REF!,
"&gt;="&amp;'Faturado mensal'!M$2,#REF!,
"&lt;"&amp;EOMONTH('Faturado mensal'!M$2,0))</f>
        <v>4230.6000000000004</v>
      </c>
      <c r="N112" s="9">
        <f>SUMIFS(#REF!,#REF!,
$A112,#REF!,
"&gt;="&amp;'Faturado mensal'!N$2,#REF!,
"&lt;"&amp;EOMONTH('Faturado mensal'!N$2,0))</f>
        <v>0</v>
      </c>
      <c r="O112" s="9">
        <f>SUMIFS(#REF!,#REF!,
$A112,#REF!,
"&gt;="&amp;'Faturado mensal'!O$2,#REF!,
"&lt;"&amp;EOMONTH('Faturado mensal'!O$2,0))</f>
        <v>0</v>
      </c>
      <c r="P112" s="9">
        <f>SUMIFS(#REF!,#REF!,
$A112,#REF!,
"&gt;="&amp;'Faturado mensal'!P$2,#REF!,
"&lt;"&amp;EOMONTH('Faturado mensal'!P$2,0))</f>
        <v>0</v>
      </c>
      <c r="Q112" s="9">
        <f>SUMIFS(#REF!,#REF!,
$A112,#REF!,
"&gt;="&amp;'Faturado mensal'!Q$2,#REF!,
"&lt;"&amp;EOMONTH('Faturado mensal'!Q$2,0))</f>
        <v>0</v>
      </c>
      <c r="R112" s="9">
        <f>SUMIFS(#REF!,#REF!,
$A112,#REF!,
"&gt;="&amp;'Faturado mensal'!R$2,#REF!,
"&lt;"&amp;EOMONTH('Faturado mensal'!R$2,0))</f>
        <v>0</v>
      </c>
      <c r="S112" s="9">
        <f>SUMIFS(#REF!,#REF!,
$A112,#REF!,
"&gt;="&amp;'Faturado mensal'!S$2,#REF!,
"&lt;"&amp;EOMONTH('Faturado mensal'!S$2,0))</f>
        <v>0</v>
      </c>
      <c r="T112" s="9">
        <f>SUMIFS(#REF!,#REF!,
$A112,#REF!,
"&gt;="&amp;'Faturado mensal'!T$2,#REF!,
"&lt;"&amp;EOMONTH('Faturado mensal'!T$2,0))</f>
        <v>0</v>
      </c>
      <c r="U112" s="9">
        <f>SUMIFS(#REF!,#REF!,
$A112,#REF!,
"&gt;="&amp;'Faturado mensal'!U$2,#REF!,
"&lt;"&amp;EOMONTH('Faturado mensal'!U$2,0))</f>
        <v>0</v>
      </c>
      <c r="V112" s="9">
        <f>SUMIFS(#REF!,#REF!,
$A112,#REF!,
"&gt;="&amp;'Faturado mensal'!V$2,#REF!,
"&lt;"&amp;EOMONTH('Faturado mensal'!V$2,0))</f>
        <v>0</v>
      </c>
      <c r="W112" s="9">
        <f>SUMIFS(#REF!,#REF!,
$A112,#REF!,
"&gt;="&amp;'Faturado mensal'!W$2,#REF!,
"&lt;"&amp;EOMONTH('Faturado mensal'!W$2,0))</f>
        <v>0</v>
      </c>
      <c r="X112" s="9">
        <f>SUMIFS(#REF!,#REF!,
$A112,#REF!,
"&gt;="&amp;'Faturado mensal'!X$2,#REF!,
"&lt;"&amp;EOMONTH('Faturado mensal'!X$2,0))</f>
        <v>0</v>
      </c>
      <c r="Y112" s="11">
        <f>SUMIFS(#REF!,#REF!,
$A112,#REF!,
"&gt;="&amp;'Faturado mensal'!M$2,#REF!,
"&lt;"&amp;EOMONTH('Faturado mensal'!M$2,12))</f>
        <v>4230.6000000000004</v>
      </c>
      <c r="Z112" s="9">
        <f>SUMIFS(#REF!,#REF!,
$A112,#REF!,
"&gt;="&amp;'Faturado mensal'!Z$2,#REF!,
"&lt;"&amp;EOMONTH('Faturado mensal'!Z$2,0))</f>
        <v>0</v>
      </c>
      <c r="AA112" s="9">
        <f>SUMIFS(#REF!,#REF!,
$A112,#REF!,
"&gt;="&amp;'Faturado mensal'!AA$2,#REF!,
"&lt;"&amp;EOMONTH('Faturado mensal'!AA$2,0))</f>
        <v>0</v>
      </c>
      <c r="AB112" s="9">
        <f>SUMIFS(#REF!,#REF!,
$A112,#REF!,
"&gt;="&amp;'Faturado mensal'!AB$2,#REF!,
"&lt;"&amp;EOMONTH('Faturado mensal'!AB$2,0))</f>
        <v>0</v>
      </c>
      <c r="AC112" s="9">
        <f>SUMIFS(#REF!,#REF!,
$A112,#REF!,
"&gt;="&amp;'Faturado mensal'!AC$2,#REF!,
"&lt;"&amp;EOMONTH('Faturado mensal'!AC$2,0))</f>
        <v>0</v>
      </c>
      <c r="AD112" s="9">
        <f>SUMIFS(#REF!,#REF!,
$A112,#REF!,
"&gt;="&amp;'Faturado mensal'!AD$2,#REF!,
"&lt;"&amp;EOMONTH('Faturado mensal'!AD$2,0))</f>
        <v>0</v>
      </c>
      <c r="AE112" s="9">
        <f>SUMIFS(#REF!,#REF!,
$A112,#REF!,
"&gt;="&amp;'Faturado mensal'!AE$2,#REF!,
"&lt;"&amp;EOMONTH('Faturado mensal'!AE$2,0))</f>
        <v>0</v>
      </c>
      <c r="AF112" s="9">
        <f>SUMIFS(#REF!,#REF!,
$A112,#REF!,
"&gt;="&amp;'Faturado mensal'!AF$2,#REF!,
"&lt;"&amp;EOMONTH('Faturado mensal'!AF$2,0))</f>
        <v>0</v>
      </c>
      <c r="AG112" s="9">
        <f>SUMIFS(#REF!,#REF!,
$A112,#REF!,
"&gt;="&amp;'Faturado mensal'!AG$2,#REF!,
"&lt;"&amp;EOMONTH('Faturado mensal'!AG$2,0))</f>
        <v>0</v>
      </c>
      <c r="AH112" s="9">
        <f>SUMIFS(#REF!,#REF!,
$A112,#REF!,
"&gt;="&amp;'Faturado mensal'!AH$2,#REF!,
"&lt;"&amp;EOMONTH('Faturado mensal'!AH$2,0))</f>
        <v>0</v>
      </c>
      <c r="AI112" s="9">
        <f>SUMIFS(#REF!,#REF!,
$A112,#REF!,
"&gt;="&amp;'Faturado mensal'!AI$2,#REF!,
"&lt;"&amp;EOMONTH('Faturado mensal'!AI$2,0))</f>
        <v>0</v>
      </c>
      <c r="AJ112" s="9">
        <f>SUMIFS(#REF!,#REF!,
$A112,#REF!,
"&gt;="&amp;'Faturado mensal'!AJ$2,#REF!,
"&lt;"&amp;EOMONTH('Faturado mensal'!AJ$2,0))</f>
        <v>0</v>
      </c>
      <c r="AK112" s="9">
        <f>SUMIFS(#REF!,#REF!,
$A112,#REF!,
"&gt;="&amp;'Faturado mensal'!AK$2,#REF!,
"&lt;"&amp;EOMONTH('Faturado mensal'!AK$2,0))</f>
        <v>0</v>
      </c>
      <c r="AL112" s="9">
        <f>SUMIFS(#REF!,#REF!,
$A112,#REF!,
"&gt;="&amp;Z$2,#REF!,
"&lt;"&amp;EOMONTH(AK$2,0))</f>
        <v>0</v>
      </c>
    </row>
    <row r="113" spans="1:38" x14ac:dyDescent="0.3">
      <c r="A113" t="s">
        <v>345</v>
      </c>
      <c r="B113" t="s">
        <v>292</v>
      </c>
      <c r="C113" t="s">
        <v>165</v>
      </c>
      <c r="D113" t="s">
        <v>209</v>
      </c>
      <c r="I113" t="s">
        <v>165</v>
      </c>
      <c r="J113" t="s">
        <v>710</v>
      </c>
      <c r="K113" t="s">
        <v>748</v>
      </c>
      <c r="L113" t="s">
        <v>749</v>
      </c>
      <c r="M113" s="9">
        <f>SUMIFS(#REF!,#REF!,
$A113,#REF!,
"&gt;="&amp;'Faturado mensal'!M$2,#REF!,
"&lt;"&amp;EOMONTH('Faturado mensal'!M$2,0))</f>
        <v>-22458.07</v>
      </c>
      <c r="N113" s="9">
        <f>SUMIFS(#REF!,#REF!,
$A113,#REF!,
"&gt;="&amp;'Faturado mensal'!N$2,#REF!,
"&lt;"&amp;EOMONTH('Faturado mensal'!N$2,0))</f>
        <v>0</v>
      </c>
      <c r="O113" s="9">
        <f>SUMIFS(#REF!,#REF!,
$A113,#REF!,
"&gt;="&amp;'Faturado mensal'!O$2,#REF!,
"&lt;"&amp;EOMONTH('Faturado mensal'!O$2,0))</f>
        <v>0</v>
      </c>
      <c r="P113" s="9">
        <f>SUMIFS(#REF!,#REF!,
$A113,#REF!,
"&gt;="&amp;'Faturado mensal'!P$2,#REF!,
"&lt;"&amp;EOMONTH('Faturado mensal'!P$2,0))</f>
        <v>0</v>
      </c>
      <c r="Q113" s="9">
        <f>SUMIFS(#REF!,#REF!,
$A113,#REF!,
"&gt;="&amp;'Faturado mensal'!Q$2,#REF!,
"&lt;"&amp;EOMONTH('Faturado mensal'!Q$2,0))</f>
        <v>0</v>
      </c>
      <c r="R113" s="9">
        <f>SUMIFS(#REF!,#REF!,
$A113,#REF!,
"&gt;="&amp;'Faturado mensal'!R$2,#REF!,
"&lt;"&amp;EOMONTH('Faturado mensal'!R$2,0))</f>
        <v>0</v>
      </c>
      <c r="S113" s="9">
        <f>SUMIFS(#REF!,#REF!,
$A113,#REF!,
"&gt;="&amp;'Faturado mensal'!S$2,#REF!,
"&lt;"&amp;EOMONTH('Faturado mensal'!S$2,0))</f>
        <v>0</v>
      </c>
      <c r="T113" s="9">
        <f>SUMIFS(#REF!,#REF!,
$A113,#REF!,
"&gt;="&amp;'Faturado mensal'!T$2,#REF!,
"&lt;"&amp;EOMONTH('Faturado mensal'!T$2,0))</f>
        <v>0</v>
      </c>
      <c r="U113" s="9">
        <f>SUMIFS(#REF!,#REF!,
$A113,#REF!,
"&gt;="&amp;'Faturado mensal'!U$2,#REF!,
"&lt;"&amp;EOMONTH('Faturado mensal'!U$2,0))</f>
        <v>0</v>
      </c>
      <c r="V113" s="9">
        <f>SUMIFS(#REF!,#REF!,
$A113,#REF!,
"&gt;="&amp;'Faturado mensal'!V$2,#REF!,
"&lt;"&amp;EOMONTH('Faturado mensal'!V$2,0))</f>
        <v>0</v>
      </c>
      <c r="W113" s="9">
        <f>SUMIFS(#REF!,#REF!,
$A113,#REF!,
"&gt;="&amp;'Faturado mensal'!W$2,#REF!,
"&lt;"&amp;EOMONTH('Faturado mensal'!W$2,0))</f>
        <v>0</v>
      </c>
      <c r="X113" s="9">
        <f>SUMIFS(#REF!,#REF!,
$A113,#REF!,
"&gt;="&amp;'Faturado mensal'!X$2,#REF!,
"&lt;"&amp;EOMONTH('Faturado mensal'!X$2,0))</f>
        <v>0</v>
      </c>
      <c r="Y113" s="11">
        <f>SUMIFS(#REF!,#REF!,
$A113,#REF!,
"&gt;="&amp;'Faturado mensal'!M$2,#REF!,
"&lt;"&amp;EOMONTH('Faturado mensal'!M$2,12))</f>
        <v>-22458.07</v>
      </c>
      <c r="Z113" s="9">
        <f>SUMIFS(#REF!,#REF!,
$A113,#REF!,
"&gt;="&amp;'Faturado mensal'!Z$2,#REF!,
"&lt;"&amp;EOMONTH('Faturado mensal'!Z$2,0))</f>
        <v>0</v>
      </c>
      <c r="AA113" s="9">
        <f>SUMIFS(#REF!,#REF!,
$A113,#REF!,
"&gt;="&amp;'Faturado mensal'!AA$2,#REF!,
"&lt;"&amp;EOMONTH('Faturado mensal'!AA$2,0))</f>
        <v>0</v>
      </c>
      <c r="AB113" s="9">
        <f>SUMIFS(#REF!,#REF!,
$A113,#REF!,
"&gt;="&amp;'Faturado mensal'!AB$2,#REF!,
"&lt;"&amp;EOMONTH('Faturado mensal'!AB$2,0))</f>
        <v>0</v>
      </c>
      <c r="AC113" s="9">
        <f>SUMIFS(#REF!,#REF!,
$A113,#REF!,
"&gt;="&amp;'Faturado mensal'!AC$2,#REF!,
"&lt;"&amp;EOMONTH('Faturado mensal'!AC$2,0))</f>
        <v>0</v>
      </c>
      <c r="AD113" s="9">
        <f>SUMIFS(#REF!,#REF!,
$A113,#REF!,
"&gt;="&amp;'Faturado mensal'!AD$2,#REF!,
"&lt;"&amp;EOMONTH('Faturado mensal'!AD$2,0))</f>
        <v>0</v>
      </c>
      <c r="AE113" s="9">
        <f>SUMIFS(#REF!,#REF!,
$A113,#REF!,
"&gt;="&amp;'Faturado mensal'!AE$2,#REF!,
"&lt;"&amp;EOMONTH('Faturado mensal'!AE$2,0))</f>
        <v>0</v>
      </c>
      <c r="AF113" s="9">
        <f>SUMIFS(#REF!,#REF!,
$A113,#REF!,
"&gt;="&amp;'Faturado mensal'!AF$2,#REF!,
"&lt;"&amp;EOMONTH('Faturado mensal'!AF$2,0))</f>
        <v>0</v>
      </c>
      <c r="AG113" s="9">
        <f>SUMIFS(#REF!,#REF!,
$A113,#REF!,
"&gt;="&amp;'Faturado mensal'!AG$2,#REF!,
"&lt;"&amp;EOMONTH('Faturado mensal'!AG$2,0))</f>
        <v>0</v>
      </c>
      <c r="AH113" s="9">
        <f>SUMIFS(#REF!,#REF!,
$A113,#REF!,
"&gt;="&amp;'Faturado mensal'!AH$2,#REF!,
"&lt;"&amp;EOMONTH('Faturado mensal'!AH$2,0))</f>
        <v>0</v>
      </c>
      <c r="AI113" s="9">
        <f>SUMIFS(#REF!,#REF!,
$A113,#REF!,
"&gt;="&amp;'Faturado mensal'!AI$2,#REF!,
"&lt;"&amp;EOMONTH('Faturado mensal'!AI$2,0))</f>
        <v>0</v>
      </c>
      <c r="AJ113" s="9">
        <f>SUMIFS(#REF!,#REF!,
$A113,#REF!,
"&gt;="&amp;'Faturado mensal'!AJ$2,#REF!,
"&lt;"&amp;EOMONTH('Faturado mensal'!AJ$2,0))</f>
        <v>0</v>
      </c>
      <c r="AK113" s="9">
        <f>SUMIFS(#REF!,#REF!,
$A113,#REF!,
"&gt;="&amp;'Faturado mensal'!AK$2,#REF!,
"&lt;"&amp;EOMONTH('Faturado mensal'!AK$2,0))</f>
        <v>0</v>
      </c>
      <c r="AL113" s="9">
        <f>SUMIFS(#REF!,#REF!,
$A113,#REF!,
"&gt;="&amp;Z$2,#REF!,
"&lt;"&amp;EOMONTH(AK$2,0))</f>
        <v>0</v>
      </c>
    </row>
    <row r="114" spans="1:38" x14ac:dyDescent="0.3">
      <c r="A114" t="s">
        <v>346</v>
      </c>
      <c r="B114" t="s">
        <v>322</v>
      </c>
      <c r="C114" t="s">
        <v>158</v>
      </c>
      <c r="D114" t="s">
        <v>204</v>
      </c>
      <c r="E114" t="s">
        <v>1040</v>
      </c>
      <c r="F114" t="s">
        <v>4782</v>
      </c>
      <c r="G114" t="s">
        <v>4856</v>
      </c>
      <c r="H114" t="s">
        <v>4773</v>
      </c>
      <c r="I114" t="s">
        <v>821</v>
      </c>
      <c r="J114" t="s">
        <v>710</v>
      </c>
      <c r="K114" t="s">
        <v>748</v>
      </c>
      <c r="L114" t="s">
        <v>749</v>
      </c>
      <c r="M114" s="9">
        <f>SUMIFS(#REF!,#REF!,
$A114,#REF!,
"&gt;="&amp;'Faturado mensal'!M$2,#REF!,
"&lt;"&amp;EOMONTH('Faturado mensal'!M$2,0))</f>
        <v>21660</v>
      </c>
      <c r="N114" s="9">
        <f>SUMIFS(#REF!,#REF!,
$A114,#REF!,
"&gt;="&amp;'Faturado mensal'!N$2,#REF!,
"&lt;"&amp;EOMONTH('Faturado mensal'!N$2,0))</f>
        <v>21660</v>
      </c>
      <c r="O114" s="9">
        <f>SUMIFS(#REF!,#REF!,
$A114,#REF!,
"&gt;="&amp;'Faturado mensal'!O$2,#REF!,
"&lt;"&amp;EOMONTH('Faturado mensal'!O$2,0))</f>
        <v>21660</v>
      </c>
      <c r="P114" s="9">
        <f>SUMIFS(#REF!,#REF!,
$A114,#REF!,
"&gt;="&amp;'Faturado mensal'!P$2,#REF!,
"&lt;"&amp;EOMONTH('Faturado mensal'!P$2,0))</f>
        <v>25510</v>
      </c>
      <c r="Q114" s="9">
        <f>SUMIFS(#REF!,#REF!,
$A114,#REF!,
"&gt;="&amp;'Faturado mensal'!Q$2,#REF!,
"&lt;"&amp;EOMONTH('Faturado mensal'!Q$2,0))</f>
        <v>21660</v>
      </c>
      <c r="R114" s="9">
        <f>SUMIFS(#REF!,#REF!,
$A114,#REF!,
"&gt;="&amp;'Faturado mensal'!R$2,#REF!,
"&lt;"&amp;EOMONTH('Faturado mensal'!R$2,0))</f>
        <v>30644.799999999999</v>
      </c>
      <c r="S114" s="9">
        <f>SUMIFS(#REF!,#REF!,
$A114,#REF!,
"&gt;="&amp;'Faturado mensal'!S$2,#REF!,
"&lt;"&amp;EOMONTH('Faturado mensal'!S$2,0))</f>
        <v>23176.2</v>
      </c>
      <c r="T114" s="9">
        <f>SUMIFS(#REF!,#REF!,
$A114,#REF!,
"&gt;="&amp;'Faturado mensal'!T$2,#REF!,
"&lt;"&amp;EOMONTH('Faturado mensal'!T$2,0))</f>
        <v>23176.2</v>
      </c>
      <c r="U114" s="9">
        <f>SUMIFS(#REF!,#REF!,
$A114,#REF!,
"&gt;="&amp;'Faturado mensal'!U$2,#REF!,
"&lt;"&amp;EOMONTH('Faturado mensal'!U$2,0))</f>
        <v>27295.7</v>
      </c>
      <c r="V114" s="9">
        <f>SUMIFS(#REF!,#REF!,
$A114,#REF!,
"&gt;="&amp;'Faturado mensal'!V$2,#REF!,
"&lt;"&amp;EOMONTH('Faturado mensal'!V$2,0))</f>
        <v>21660</v>
      </c>
      <c r="W114" s="9">
        <f>SUMIFS(#REF!,#REF!,
$A114,#REF!,
"&gt;="&amp;'Faturado mensal'!W$2,#REF!,
"&lt;"&amp;EOMONTH('Faturado mensal'!W$2,0))</f>
        <v>21660</v>
      </c>
      <c r="X114" s="9">
        <f>SUMIFS(#REF!,#REF!,
$A114,#REF!,
"&gt;="&amp;'Faturado mensal'!X$2,#REF!,
"&lt;"&amp;EOMONTH('Faturado mensal'!X$2,0))</f>
        <v>28640</v>
      </c>
      <c r="Y114" s="11">
        <f>SUMIFS(#REF!,#REF!,
$A114,#REF!,
"&gt;="&amp;'Faturado mensal'!M$2,#REF!,
"&lt;"&amp;EOMONTH('Faturado mensal'!M$2,12))</f>
        <v>288402.90000000002</v>
      </c>
      <c r="Z114" s="9">
        <f>SUMIFS(#REF!,#REF!,
$A114,#REF!,
"&gt;="&amp;'Faturado mensal'!Z$2,#REF!,
"&lt;"&amp;EOMONTH('Faturado mensal'!Z$2,0))</f>
        <v>0</v>
      </c>
      <c r="AA114" s="9">
        <f>SUMIFS(#REF!,#REF!,
$A114,#REF!,
"&gt;="&amp;'Faturado mensal'!AA$2,#REF!,
"&lt;"&amp;EOMONTH('Faturado mensal'!AA$2,0))</f>
        <v>28640</v>
      </c>
      <c r="AB114" s="9">
        <f>SUMIFS(#REF!,#REF!,
$A114,#REF!,
"&gt;="&amp;'Faturado mensal'!AB$2,#REF!,
"&lt;"&amp;EOMONTH('Faturado mensal'!AB$2,0))</f>
        <v>21660</v>
      </c>
      <c r="AC114" s="9">
        <f>SUMIFS(#REF!,#REF!,
$A114,#REF!,
"&gt;="&amp;'Faturado mensal'!AC$2,#REF!,
"&lt;"&amp;EOMONTH('Faturado mensal'!AC$2,0))</f>
        <v>9041.0400000000009</v>
      </c>
      <c r="AD114" s="9">
        <f>SUMIFS(#REF!,#REF!,
$A114,#REF!,
"&gt;="&amp;'Faturado mensal'!AD$2,#REF!,
"&lt;"&amp;EOMONTH('Faturado mensal'!AD$2,0))</f>
        <v>15717.900000000001</v>
      </c>
      <c r="AE114" s="9">
        <f>SUMIFS(#REF!,#REF!,
$A114,#REF!,
"&gt;="&amp;'Faturado mensal'!AE$2,#REF!,
"&lt;"&amp;EOMONTH('Faturado mensal'!AE$2,0))</f>
        <v>18004.14</v>
      </c>
      <c r="AF114" s="9">
        <f>SUMIFS(#REF!,#REF!,
$A114,#REF!,
"&gt;="&amp;'Faturado mensal'!AF$2,#REF!,
"&lt;"&amp;EOMONTH('Faturado mensal'!AF$2,0))</f>
        <v>0</v>
      </c>
      <c r="AG114" s="9">
        <f>SUMIFS(#REF!,#REF!,
$A114,#REF!,
"&gt;="&amp;'Faturado mensal'!AG$2,#REF!,
"&lt;"&amp;EOMONTH('Faturado mensal'!AG$2,0))</f>
        <v>0</v>
      </c>
      <c r="AH114" s="9">
        <f>SUMIFS(#REF!,#REF!,
$A114,#REF!,
"&gt;="&amp;'Faturado mensal'!AH$2,#REF!,
"&lt;"&amp;EOMONTH('Faturado mensal'!AH$2,0))</f>
        <v>0</v>
      </c>
      <c r="AI114" s="9">
        <f>SUMIFS(#REF!,#REF!,
$A114,#REF!,
"&gt;="&amp;'Faturado mensal'!AI$2,#REF!,
"&lt;"&amp;EOMONTH('Faturado mensal'!AI$2,0))</f>
        <v>0</v>
      </c>
      <c r="AJ114" s="9">
        <f>SUMIFS(#REF!,#REF!,
$A114,#REF!,
"&gt;="&amp;'Faturado mensal'!AJ$2,#REF!,
"&lt;"&amp;EOMONTH('Faturado mensal'!AJ$2,0))</f>
        <v>0</v>
      </c>
      <c r="AK114" s="9">
        <f>SUMIFS(#REF!,#REF!,
$A114,#REF!,
"&gt;="&amp;'Faturado mensal'!AK$2,#REF!,
"&lt;"&amp;EOMONTH('Faturado mensal'!AK$2,0))</f>
        <v>0</v>
      </c>
      <c r="AL114" s="9">
        <f>SUMIFS(#REF!,#REF!,
$A114,#REF!,
"&gt;="&amp;Z$2,#REF!,
"&lt;"&amp;EOMONTH(AK$2,0))</f>
        <v>93063.08</v>
      </c>
    </row>
    <row r="115" spans="1:38" x14ac:dyDescent="0.3">
      <c r="A115" t="s">
        <v>347</v>
      </c>
      <c r="B115" t="s">
        <v>292</v>
      </c>
      <c r="C115" t="s">
        <v>165</v>
      </c>
      <c r="D115" t="s">
        <v>209</v>
      </c>
      <c r="I115" t="s">
        <v>165</v>
      </c>
      <c r="J115" t="s">
        <v>710</v>
      </c>
      <c r="K115" t="s">
        <v>711</v>
      </c>
      <c r="L115" t="s">
        <v>712</v>
      </c>
      <c r="M115" s="9">
        <f>SUMIFS(#REF!,#REF!,
$A115,#REF!,
"&gt;="&amp;'Faturado mensal'!M$2,#REF!,
"&lt;"&amp;EOMONTH('Faturado mensal'!M$2,0))</f>
        <v>0</v>
      </c>
      <c r="N115" s="9">
        <f>SUMIFS(#REF!,#REF!,
$A115,#REF!,
"&gt;="&amp;'Faturado mensal'!N$2,#REF!,
"&lt;"&amp;EOMONTH('Faturado mensal'!N$2,0))</f>
        <v>0</v>
      </c>
      <c r="O115" s="9">
        <f>SUMIFS(#REF!,#REF!,
$A115,#REF!,
"&gt;="&amp;'Faturado mensal'!O$2,#REF!,
"&lt;"&amp;EOMONTH('Faturado mensal'!O$2,0))</f>
        <v>0</v>
      </c>
      <c r="P115" s="9">
        <f>SUMIFS(#REF!,#REF!,
$A115,#REF!,
"&gt;="&amp;'Faturado mensal'!P$2,#REF!,
"&lt;"&amp;EOMONTH('Faturado mensal'!P$2,0))</f>
        <v>0</v>
      </c>
      <c r="Q115" s="9">
        <f>SUMIFS(#REF!,#REF!,
$A115,#REF!,
"&gt;="&amp;'Faturado mensal'!Q$2,#REF!,
"&lt;"&amp;EOMONTH('Faturado mensal'!Q$2,0))</f>
        <v>0</v>
      </c>
      <c r="R115" s="9">
        <f>SUMIFS(#REF!,#REF!,
$A115,#REF!,
"&gt;="&amp;'Faturado mensal'!R$2,#REF!,
"&lt;"&amp;EOMONTH('Faturado mensal'!R$2,0))</f>
        <v>0</v>
      </c>
      <c r="S115" s="9">
        <f>SUMIFS(#REF!,#REF!,
$A115,#REF!,
"&gt;="&amp;'Faturado mensal'!S$2,#REF!,
"&lt;"&amp;EOMONTH('Faturado mensal'!S$2,0))</f>
        <v>0</v>
      </c>
      <c r="T115" s="9">
        <f>SUMIFS(#REF!,#REF!,
$A115,#REF!,
"&gt;="&amp;'Faturado mensal'!T$2,#REF!,
"&lt;"&amp;EOMONTH('Faturado mensal'!T$2,0))</f>
        <v>0</v>
      </c>
      <c r="U115" s="9">
        <f>SUMIFS(#REF!,#REF!,
$A115,#REF!,
"&gt;="&amp;'Faturado mensal'!U$2,#REF!,
"&lt;"&amp;EOMONTH('Faturado mensal'!U$2,0))</f>
        <v>0</v>
      </c>
      <c r="V115" s="9">
        <f>SUMIFS(#REF!,#REF!,
$A115,#REF!,
"&gt;="&amp;'Faturado mensal'!V$2,#REF!,
"&lt;"&amp;EOMONTH('Faturado mensal'!V$2,0))</f>
        <v>0</v>
      </c>
      <c r="W115" s="9">
        <f>SUMIFS(#REF!,#REF!,
$A115,#REF!,
"&gt;="&amp;'Faturado mensal'!W$2,#REF!,
"&lt;"&amp;EOMONTH('Faturado mensal'!W$2,0))</f>
        <v>0</v>
      </c>
      <c r="X115" s="9">
        <f>SUMIFS(#REF!,#REF!,
$A115,#REF!,
"&gt;="&amp;'Faturado mensal'!X$2,#REF!,
"&lt;"&amp;EOMONTH('Faturado mensal'!X$2,0))</f>
        <v>0</v>
      </c>
      <c r="Y115" s="11">
        <f>SUMIFS(#REF!,#REF!,
$A115,#REF!,
"&gt;="&amp;'Faturado mensal'!M$2,#REF!,
"&lt;"&amp;EOMONTH('Faturado mensal'!M$2,12))</f>
        <v>0</v>
      </c>
      <c r="Z115" s="9">
        <f>SUMIFS(#REF!,#REF!,
$A115,#REF!,
"&gt;="&amp;'Faturado mensal'!Z$2,#REF!,
"&lt;"&amp;EOMONTH('Faturado mensal'!Z$2,0))</f>
        <v>0</v>
      </c>
      <c r="AA115" s="9">
        <f>SUMIFS(#REF!,#REF!,
$A115,#REF!,
"&gt;="&amp;'Faturado mensal'!AA$2,#REF!,
"&lt;"&amp;EOMONTH('Faturado mensal'!AA$2,0))</f>
        <v>0</v>
      </c>
      <c r="AB115" s="9">
        <f>SUMIFS(#REF!,#REF!,
$A115,#REF!,
"&gt;="&amp;'Faturado mensal'!AB$2,#REF!,
"&lt;"&amp;EOMONTH('Faturado mensal'!AB$2,0))</f>
        <v>0</v>
      </c>
      <c r="AC115" s="9">
        <f>SUMIFS(#REF!,#REF!,
$A115,#REF!,
"&gt;="&amp;'Faturado mensal'!AC$2,#REF!,
"&lt;"&amp;EOMONTH('Faturado mensal'!AC$2,0))</f>
        <v>0</v>
      </c>
      <c r="AD115" s="9">
        <f>SUMIFS(#REF!,#REF!,
$A115,#REF!,
"&gt;="&amp;'Faturado mensal'!AD$2,#REF!,
"&lt;"&amp;EOMONTH('Faturado mensal'!AD$2,0))</f>
        <v>0</v>
      </c>
      <c r="AE115" s="9">
        <f>SUMIFS(#REF!,#REF!,
$A115,#REF!,
"&gt;="&amp;'Faturado mensal'!AE$2,#REF!,
"&lt;"&amp;EOMONTH('Faturado mensal'!AE$2,0))</f>
        <v>0</v>
      </c>
      <c r="AF115" s="9">
        <f>SUMIFS(#REF!,#REF!,
$A115,#REF!,
"&gt;="&amp;'Faturado mensal'!AF$2,#REF!,
"&lt;"&amp;EOMONTH('Faturado mensal'!AF$2,0))</f>
        <v>0</v>
      </c>
      <c r="AG115" s="9">
        <f>SUMIFS(#REF!,#REF!,
$A115,#REF!,
"&gt;="&amp;'Faturado mensal'!AG$2,#REF!,
"&lt;"&amp;EOMONTH('Faturado mensal'!AG$2,0))</f>
        <v>0</v>
      </c>
      <c r="AH115" s="9">
        <f>SUMIFS(#REF!,#REF!,
$A115,#REF!,
"&gt;="&amp;'Faturado mensal'!AH$2,#REF!,
"&lt;"&amp;EOMONTH('Faturado mensal'!AH$2,0))</f>
        <v>0</v>
      </c>
      <c r="AI115" s="9">
        <f>SUMIFS(#REF!,#REF!,
$A115,#REF!,
"&gt;="&amp;'Faturado mensal'!AI$2,#REF!,
"&lt;"&amp;EOMONTH('Faturado mensal'!AI$2,0))</f>
        <v>0</v>
      </c>
      <c r="AJ115" s="9">
        <f>SUMIFS(#REF!,#REF!,
$A115,#REF!,
"&gt;="&amp;'Faturado mensal'!AJ$2,#REF!,
"&lt;"&amp;EOMONTH('Faturado mensal'!AJ$2,0))</f>
        <v>0</v>
      </c>
      <c r="AK115" s="9">
        <f>SUMIFS(#REF!,#REF!,
$A115,#REF!,
"&gt;="&amp;'Faturado mensal'!AK$2,#REF!,
"&lt;"&amp;EOMONTH('Faturado mensal'!AK$2,0))</f>
        <v>0</v>
      </c>
      <c r="AL115" s="9">
        <f>SUMIFS(#REF!,#REF!,
$A115,#REF!,
"&gt;="&amp;Z$2,#REF!,
"&lt;"&amp;EOMONTH(AK$2,0))</f>
        <v>0</v>
      </c>
    </row>
    <row r="116" spans="1:38" x14ac:dyDescent="0.3">
      <c r="A116" t="s">
        <v>348</v>
      </c>
      <c r="B116" t="s">
        <v>349</v>
      </c>
      <c r="C116" t="s">
        <v>9</v>
      </c>
      <c r="D116" t="s">
        <v>209</v>
      </c>
      <c r="I116" t="s">
        <v>9</v>
      </c>
      <c r="J116" t="s">
        <v>710</v>
      </c>
      <c r="K116" t="s">
        <v>711</v>
      </c>
      <c r="L116" t="s">
        <v>712</v>
      </c>
      <c r="M116" s="9">
        <f>SUMIFS(#REF!,#REF!,
$A116,#REF!,
"&gt;="&amp;'Faturado mensal'!M$2,#REF!,
"&lt;"&amp;EOMONTH('Faturado mensal'!M$2,0))</f>
        <v>0</v>
      </c>
      <c r="N116" s="9">
        <f>SUMIFS(#REF!,#REF!,
$A116,#REF!,
"&gt;="&amp;'Faturado mensal'!N$2,#REF!,
"&lt;"&amp;EOMONTH('Faturado mensal'!N$2,0))</f>
        <v>0</v>
      </c>
      <c r="O116" s="9">
        <f>SUMIFS(#REF!,#REF!,
$A116,#REF!,
"&gt;="&amp;'Faturado mensal'!O$2,#REF!,
"&lt;"&amp;EOMONTH('Faturado mensal'!O$2,0))</f>
        <v>0</v>
      </c>
      <c r="P116" s="9">
        <f>SUMIFS(#REF!,#REF!,
$A116,#REF!,
"&gt;="&amp;'Faturado mensal'!P$2,#REF!,
"&lt;"&amp;EOMONTH('Faturado mensal'!P$2,0))</f>
        <v>0</v>
      </c>
      <c r="Q116" s="9">
        <f>SUMIFS(#REF!,#REF!,
$A116,#REF!,
"&gt;="&amp;'Faturado mensal'!Q$2,#REF!,
"&lt;"&amp;EOMONTH('Faturado mensal'!Q$2,0))</f>
        <v>0</v>
      </c>
      <c r="R116" s="9">
        <f>SUMIFS(#REF!,#REF!,
$A116,#REF!,
"&gt;="&amp;'Faturado mensal'!R$2,#REF!,
"&lt;"&amp;EOMONTH('Faturado mensal'!R$2,0))</f>
        <v>0</v>
      </c>
      <c r="S116" s="9">
        <f>SUMIFS(#REF!,#REF!,
$A116,#REF!,
"&gt;="&amp;'Faturado mensal'!S$2,#REF!,
"&lt;"&amp;EOMONTH('Faturado mensal'!S$2,0))</f>
        <v>0</v>
      </c>
      <c r="T116" s="9">
        <f>SUMIFS(#REF!,#REF!,
$A116,#REF!,
"&gt;="&amp;'Faturado mensal'!T$2,#REF!,
"&lt;"&amp;EOMONTH('Faturado mensal'!T$2,0))</f>
        <v>0</v>
      </c>
      <c r="U116" s="9">
        <f>SUMIFS(#REF!,#REF!,
$A116,#REF!,
"&gt;="&amp;'Faturado mensal'!U$2,#REF!,
"&lt;"&amp;EOMONTH('Faturado mensal'!U$2,0))</f>
        <v>0</v>
      </c>
      <c r="V116" s="9">
        <f>SUMIFS(#REF!,#REF!,
$A116,#REF!,
"&gt;="&amp;'Faturado mensal'!V$2,#REF!,
"&lt;"&amp;EOMONTH('Faturado mensal'!V$2,0))</f>
        <v>0</v>
      </c>
      <c r="W116" s="9">
        <f>SUMIFS(#REF!,#REF!,
$A116,#REF!,
"&gt;="&amp;'Faturado mensal'!W$2,#REF!,
"&lt;"&amp;EOMONTH('Faturado mensal'!W$2,0))</f>
        <v>0</v>
      </c>
      <c r="X116" s="9">
        <f>SUMIFS(#REF!,#REF!,
$A116,#REF!,
"&gt;="&amp;'Faturado mensal'!X$2,#REF!,
"&lt;"&amp;EOMONTH('Faturado mensal'!X$2,0))</f>
        <v>0</v>
      </c>
      <c r="Y116" s="11">
        <f>SUMIFS(#REF!,#REF!,
$A116,#REF!,
"&gt;="&amp;'Faturado mensal'!M$2,#REF!,
"&lt;"&amp;EOMONTH('Faturado mensal'!M$2,12))</f>
        <v>0</v>
      </c>
      <c r="Z116" s="9">
        <f>SUMIFS(#REF!,#REF!,
$A116,#REF!,
"&gt;="&amp;'Faturado mensal'!Z$2,#REF!,
"&lt;"&amp;EOMONTH('Faturado mensal'!Z$2,0))</f>
        <v>0</v>
      </c>
      <c r="AA116" s="9">
        <f>SUMIFS(#REF!,#REF!,
$A116,#REF!,
"&gt;="&amp;'Faturado mensal'!AA$2,#REF!,
"&lt;"&amp;EOMONTH('Faturado mensal'!AA$2,0))</f>
        <v>0</v>
      </c>
      <c r="AB116" s="9">
        <f>SUMIFS(#REF!,#REF!,
$A116,#REF!,
"&gt;="&amp;'Faturado mensal'!AB$2,#REF!,
"&lt;"&amp;EOMONTH('Faturado mensal'!AB$2,0))</f>
        <v>0</v>
      </c>
      <c r="AC116" s="9">
        <f>SUMIFS(#REF!,#REF!,
$A116,#REF!,
"&gt;="&amp;'Faturado mensal'!AC$2,#REF!,
"&lt;"&amp;EOMONTH('Faturado mensal'!AC$2,0))</f>
        <v>0</v>
      </c>
      <c r="AD116" s="9">
        <f>SUMIFS(#REF!,#REF!,
$A116,#REF!,
"&gt;="&amp;'Faturado mensal'!AD$2,#REF!,
"&lt;"&amp;EOMONTH('Faturado mensal'!AD$2,0))</f>
        <v>0</v>
      </c>
      <c r="AE116" s="9">
        <f>SUMIFS(#REF!,#REF!,
$A116,#REF!,
"&gt;="&amp;'Faturado mensal'!AE$2,#REF!,
"&lt;"&amp;EOMONTH('Faturado mensal'!AE$2,0))</f>
        <v>0</v>
      </c>
      <c r="AF116" s="9">
        <f>SUMIFS(#REF!,#REF!,
$A116,#REF!,
"&gt;="&amp;'Faturado mensal'!AF$2,#REF!,
"&lt;"&amp;EOMONTH('Faturado mensal'!AF$2,0))</f>
        <v>0</v>
      </c>
      <c r="AG116" s="9">
        <f>SUMIFS(#REF!,#REF!,
$A116,#REF!,
"&gt;="&amp;'Faturado mensal'!AG$2,#REF!,
"&lt;"&amp;EOMONTH('Faturado mensal'!AG$2,0))</f>
        <v>0</v>
      </c>
      <c r="AH116" s="9">
        <f>SUMIFS(#REF!,#REF!,
$A116,#REF!,
"&gt;="&amp;'Faturado mensal'!AH$2,#REF!,
"&lt;"&amp;EOMONTH('Faturado mensal'!AH$2,0))</f>
        <v>0</v>
      </c>
      <c r="AI116" s="9">
        <f>SUMIFS(#REF!,#REF!,
$A116,#REF!,
"&gt;="&amp;'Faturado mensal'!AI$2,#REF!,
"&lt;"&amp;EOMONTH('Faturado mensal'!AI$2,0))</f>
        <v>0</v>
      </c>
      <c r="AJ116" s="9">
        <f>SUMIFS(#REF!,#REF!,
$A116,#REF!,
"&gt;="&amp;'Faturado mensal'!AJ$2,#REF!,
"&lt;"&amp;EOMONTH('Faturado mensal'!AJ$2,0))</f>
        <v>0</v>
      </c>
      <c r="AK116" s="9">
        <f>SUMIFS(#REF!,#REF!,
$A116,#REF!,
"&gt;="&amp;'Faturado mensal'!AK$2,#REF!,
"&lt;"&amp;EOMONTH('Faturado mensal'!AK$2,0))</f>
        <v>0</v>
      </c>
      <c r="AL116" s="9">
        <f>SUMIFS(#REF!,#REF!,
$A116,#REF!,
"&gt;="&amp;Z$2,#REF!,
"&lt;"&amp;EOMONTH(AK$2,0))</f>
        <v>0</v>
      </c>
    </row>
    <row r="117" spans="1:38" x14ac:dyDescent="0.3">
      <c r="A117" t="s">
        <v>350</v>
      </c>
      <c r="B117" t="s">
        <v>265</v>
      </c>
      <c r="C117" t="s">
        <v>176</v>
      </c>
      <c r="D117" t="s">
        <v>209</v>
      </c>
      <c r="I117" t="s">
        <v>176</v>
      </c>
      <c r="J117" t="s">
        <v>710</v>
      </c>
      <c r="K117" t="s">
        <v>711</v>
      </c>
      <c r="L117" t="s">
        <v>712</v>
      </c>
      <c r="M117" s="9">
        <f>SUMIFS(#REF!,#REF!,
$A117,#REF!,
"&gt;="&amp;'Faturado mensal'!M$2,#REF!,
"&lt;"&amp;EOMONTH('Faturado mensal'!M$2,0))</f>
        <v>0</v>
      </c>
      <c r="N117" s="9">
        <f>SUMIFS(#REF!,#REF!,
$A117,#REF!,
"&gt;="&amp;'Faturado mensal'!N$2,#REF!,
"&lt;"&amp;EOMONTH('Faturado mensal'!N$2,0))</f>
        <v>0</v>
      </c>
      <c r="O117" s="9">
        <f>SUMIFS(#REF!,#REF!,
$A117,#REF!,
"&gt;="&amp;'Faturado mensal'!O$2,#REF!,
"&lt;"&amp;EOMONTH('Faturado mensal'!O$2,0))</f>
        <v>0</v>
      </c>
      <c r="P117" s="9">
        <f>SUMIFS(#REF!,#REF!,
$A117,#REF!,
"&gt;="&amp;'Faturado mensal'!P$2,#REF!,
"&lt;"&amp;EOMONTH('Faturado mensal'!P$2,0))</f>
        <v>0</v>
      </c>
      <c r="Q117" s="9">
        <f>SUMIFS(#REF!,#REF!,
$A117,#REF!,
"&gt;="&amp;'Faturado mensal'!Q$2,#REF!,
"&lt;"&amp;EOMONTH('Faturado mensal'!Q$2,0))</f>
        <v>0</v>
      </c>
      <c r="R117" s="9">
        <f>SUMIFS(#REF!,#REF!,
$A117,#REF!,
"&gt;="&amp;'Faturado mensal'!R$2,#REF!,
"&lt;"&amp;EOMONTH('Faturado mensal'!R$2,0))</f>
        <v>0</v>
      </c>
      <c r="S117" s="9">
        <f>SUMIFS(#REF!,#REF!,
$A117,#REF!,
"&gt;="&amp;'Faturado mensal'!S$2,#REF!,
"&lt;"&amp;EOMONTH('Faturado mensal'!S$2,0))</f>
        <v>0</v>
      </c>
      <c r="T117" s="9">
        <f>SUMIFS(#REF!,#REF!,
$A117,#REF!,
"&gt;="&amp;'Faturado mensal'!T$2,#REF!,
"&lt;"&amp;EOMONTH('Faturado mensal'!T$2,0))</f>
        <v>0</v>
      </c>
      <c r="U117" s="9">
        <f>SUMIFS(#REF!,#REF!,
$A117,#REF!,
"&gt;="&amp;'Faturado mensal'!U$2,#REF!,
"&lt;"&amp;EOMONTH('Faturado mensal'!U$2,0))</f>
        <v>0</v>
      </c>
      <c r="V117" s="9">
        <f>SUMIFS(#REF!,#REF!,
$A117,#REF!,
"&gt;="&amp;'Faturado mensal'!V$2,#REF!,
"&lt;"&amp;EOMONTH('Faturado mensal'!V$2,0))</f>
        <v>0</v>
      </c>
      <c r="W117" s="9">
        <f>SUMIFS(#REF!,#REF!,
$A117,#REF!,
"&gt;="&amp;'Faturado mensal'!W$2,#REF!,
"&lt;"&amp;EOMONTH('Faturado mensal'!W$2,0))</f>
        <v>0</v>
      </c>
      <c r="X117" s="9">
        <f>SUMIFS(#REF!,#REF!,
$A117,#REF!,
"&gt;="&amp;'Faturado mensal'!X$2,#REF!,
"&lt;"&amp;EOMONTH('Faturado mensal'!X$2,0))</f>
        <v>0</v>
      </c>
      <c r="Y117" s="11">
        <f>SUMIFS(#REF!,#REF!,
$A117,#REF!,
"&gt;="&amp;'Faturado mensal'!M$2,#REF!,
"&lt;"&amp;EOMONTH('Faturado mensal'!M$2,12))</f>
        <v>0</v>
      </c>
      <c r="Z117" s="9">
        <f>SUMIFS(#REF!,#REF!,
$A117,#REF!,
"&gt;="&amp;'Faturado mensal'!Z$2,#REF!,
"&lt;"&amp;EOMONTH('Faturado mensal'!Z$2,0))</f>
        <v>0</v>
      </c>
      <c r="AA117" s="9">
        <f>SUMIFS(#REF!,#REF!,
$A117,#REF!,
"&gt;="&amp;'Faturado mensal'!AA$2,#REF!,
"&lt;"&amp;EOMONTH('Faturado mensal'!AA$2,0))</f>
        <v>0</v>
      </c>
      <c r="AB117" s="9">
        <f>SUMIFS(#REF!,#REF!,
$A117,#REF!,
"&gt;="&amp;'Faturado mensal'!AB$2,#REF!,
"&lt;"&amp;EOMONTH('Faturado mensal'!AB$2,0))</f>
        <v>0</v>
      </c>
      <c r="AC117" s="9">
        <f>SUMIFS(#REF!,#REF!,
$A117,#REF!,
"&gt;="&amp;'Faturado mensal'!AC$2,#REF!,
"&lt;"&amp;EOMONTH('Faturado mensal'!AC$2,0))</f>
        <v>0</v>
      </c>
      <c r="AD117" s="9">
        <f>SUMIFS(#REF!,#REF!,
$A117,#REF!,
"&gt;="&amp;'Faturado mensal'!AD$2,#REF!,
"&lt;"&amp;EOMONTH('Faturado mensal'!AD$2,0))</f>
        <v>0</v>
      </c>
      <c r="AE117" s="9">
        <f>SUMIFS(#REF!,#REF!,
$A117,#REF!,
"&gt;="&amp;'Faturado mensal'!AE$2,#REF!,
"&lt;"&amp;EOMONTH('Faturado mensal'!AE$2,0))</f>
        <v>0</v>
      </c>
      <c r="AF117" s="9">
        <f>SUMIFS(#REF!,#REF!,
$A117,#REF!,
"&gt;="&amp;'Faturado mensal'!AF$2,#REF!,
"&lt;"&amp;EOMONTH('Faturado mensal'!AF$2,0))</f>
        <v>0</v>
      </c>
      <c r="AG117" s="9">
        <f>SUMIFS(#REF!,#REF!,
$A117,#REF!,
"&gt;="&amp;'Faturado mensal'!AG$2,#REF!,
"&lt;"&amp;EOMONTH('Faturado mensal'!AG$2,0))</f>
        <v>0</v>
      </c>
      <c r="AH117" s="9">
        <f>SUMIFS(#REF!,#REF!,
$A117,#REF!,
"&gt;="&amp;'Faturado mensal'!AH$2,#REF!,
"&lt;"&amp;EOMONTH('Faturado mensal'!AH$2,0))</f>
        <v>0</v>
      </c>
      <c r="AI117" s="9">
        <f>SUMIFS(#REF!,#REF!,
$A117,#REF!,
"&gt;="&amp;'Faturado mensal'!AI$2,#REF!,
"&lt;"&amp;EOMONTH('Faturado mensal'!AI$2,0))</f>
        <v>0</v>
      </c>
      <c r="AJ117" s="9">
        <f>SUMIFS(#REF!,#REF!,
$A117,#REF!,
"&gt;="&amp;'Faturado mensal'!AJ$2,#REF!,
"&lt;"&amp;EOMONTH('Faturado mensal'!AJ$2,0))</f>
        <v>0</v>
      </c>
      <c r="AK117" s="9">
        <f>SUMIFS(#REF!,#REF!,
$A117,#REF!,
"&gt;="&amp;'Faturado mensal'!AK$2,#REF!,
"&lt;"&amp;EOMONTH('Faturado mensal'!AK$2,0))</f>
        <v>0</v>
      </c>
      <c r="AL117" s="9">
        <f>SUMIFS(#REF!,#REF!,
$A117,#REF!,
"&gt;="&amp;Z$2,#REF!,
"&lt;"&amp;EOMONTH(AK$2,0))</f>
        <v>0</v>
      </c>
    </row>
    <row r="118" spans="1:38" x14ac:dyDescent="0.3">
      <c r="A118" t="s">
        <v>351</v>
      </c>
      <c r="B118" t="s">
        <v>248</v>
      </c>
      <c r="C118" t="s">
        <v>13</v>
      </c>
      <c r="D118" t="s">
        <v>204</v>
      </c>
      <c r="E118" t="s">
        <v>1040</v>
      </c>
      <c r="F118" t="s">
        <v>4779</v>
      </c>
      <c r="G118" t="s">
        <v>4856</v>
      </c>
      <c r="H118" t="s">
        <v>4773</v>
      </c>
      <c r="I118" t="s">
        <v>13</v>
      </c>
      <c r="J118" t="s">
        <v>710</v>
      </c>
      <c r="K118" t="s">
        <v>748</v>
      </c>
      <c r="L118" t="s">
        <v>749</v>
      </c>
      <c r="M118" s="9">
        <f>SUMIFS(#REF!,#REF!,
$A118,#REF!,
"&gt;="&amp;'Faturado mensal'!M$2,#REF!,
"&lt;"&amp;EOMONTH('Faturado mensal'!M$2,0))</f>
        <v>1330.44</v>
      </c>
      <c r="N118" s="9">
        <f>SUMIFS(#REF!,#REF!,
$A118,#REF!,
"&gt;="&amp;'Faturado mensal'!N$2,#REF!,
"&lt;"&amp;EOMONTH('Faturado mensal'!N$2,0))</f>
        <v>1330.44</v>
      </c>
      <c r="O118" s="9">
        <f>SUMIFS(#REF!,#REF!,
$A118,#REF!,
"&gt;="&amp;'Faturado mensal'!O$2,#REF!,
"&lt;"&amp;EOMONTH('Faturado mensal'!O$2,0))</f>
        <v>1450.04</v>
      </c>
      <c r="P118" s="9">
        <f>SUMIFS(#REF!,#REF!,
$A118,#REF!,
"&gt;="&amp;'Faturado mensal'!P$2,#REF!,
"&lt;"&amp;EOMONTH('Faturado mensal'!P$2,0))</f>
        <v>1450.04</v>
      </c>
      <c r="Q118" s="9">
        <f>SUMIFS(#REF!,#REF!,
$A118,#REF!,
"&gt;="&amp;'Faturado mensal'!Q$2,#REF!,
"&lt;"&amp;EOMONTH('Faturado mensal'!Q$2,0))</f>
        <v>1450.04</v>
      </c>
      <c r="R118" s="9">
        <f>SUMIFS(#REF!,#REF!,
$A118,#REF!,
"&gt;="&amp;'Faturado mensal'!R$2,#REF!,
"&lt;"&amp;EOMONTH('Faturado mensal'!R$2,0))</f>
        <v>1450.04</v>
      </c>
      <c r="S118" s="9">
        <f>SUMIFS(#REF!,#REF!,
$A118,#REF!,
"&gt;="&amp;'Faturado mensal'!S$2,#REF!,
"&lt;"&amp;EOMONTH('Faturado mensal'!S$2,0))</f>
        <v>1450.04</v>
      </c>
      <c r="T118" s="9">
        <f>SUMIFS(#REF!,#REF!,
$A118,#REF!,
"&gt;="&amp;'Faturado mensal'!T$2,#REF!,
"&lt;"&amp;EOMONTH('Faturado mensal'!T$2,0))</f>
        <v>1450.04</v>
      </c>
      <c r="U118" s="9">
        <f>SUMIFS(#REF!,#REF!,
$A118,#REF!,
"&gt;="&amp;'Faturado mensal'!U$2,#REF!,
"&lt;"&amp;EOMONTH('Faturado mensal'!U$2,0))</f>
        <v>1450.04</v>
      </c>
      <c r="V118" s="9">
        <f>SUMIFS(#REF!,#REF!,
$A118,#REF!,
"&gt;="&amp;'Faturado mensal'!V$2,#REF!,
"&lt;"&amp;EOMONTH('Faturado mensal'!V$2,0))</f>
        <v>1450.04</v>
      </c>
      <c r="W118" s="9">
        <f>SUMIFS(#REF!,#REF!,
$A118,#REF!,
"&gt;="&amp;'Faturado mensal'!W$2,#REF!,
"&lt;"&amp;EOMONTH('Faturado mensal'!W$2,0))</f>
        <v>1450.04</v>
      </c>
      <c r="X118" s="9">
        <f>SUMIFS(#REF!,#REF!,
$A118,#REF!,
"&gt;="&amp;'Faturado mensal'!X$2,#REF!,
"&lt;"&amp;EOMONTH('Faturado mensal'!X$2,0))</f>
        <v>1450.04</v>
      </c>
      <c r="Y118" s="11">
        <f>SUMIFS(#REF!,#REF!,
$A118,#REF!,
"&gt;="&amp;'Faturado mensal'!M$2,#REF!,
"&lt;"&amp;EOMONTH('Faturado mensal'!M$2,12))</f>
        <v>18611.320000000007</v>
      </c>
      <c r="Z118" s="9">
        <f>SUMIFS(#REF!,#REF!,
$A118,#REF!,
"&gt;="&amp;'Faturado mensal'!Z$2,#REF!,
"&lt;"&amp;EOMONTH('Faturado mensal'!Z$2,0))</f>
        <v>1450.04</v>
      </c>
      <c r="AA118" s="9">
        <f>SUMIFS(#REF!,#REF!,
$A118,#REF!,
"&gt;="&amp;'Faturado mensal'!AA$2,#REF!,
"&lt;"&amp;EOMONTH('Faturado mensal'!AA$2,0))</f>
        <v>1558.79</v>
      </c>
      <c r="AB118" s="9">
        <f>SUMIFS(#REF!,#REF!,
$A118,#REF!,
"&gt;="&amp;'Faturado mensal'!AB$2,#REF!,
"&lt;"&amp;EOMONTH('Faturado mensal'!AB$2,0))</f>
        <v>1558.79</v>
      </c>
      <c r="AC118" s="9">
        <f>SUMIFS(#REF!,#REF!,
$A118,#REF!,
"&gt;="&amp;'Faturado mensal'!AC$2,#REF!,
"&lt;"&amp;EOMONTH('Faturado mensal'!AC$2,0))</f>
        <v>1558.79</v>
      </c>
      <c r="AD118" s="9">
        <f>SUMIFS(#REF!,#REF!,
$A118,#REF!,
"&gt;="&amp;'Faturado mensal'!AD$2,#REF!,
"&lt;"&amp;EOMONTH('Faturado mensal'!AD$2,0))</f>
        <v>1558.79</v>
      </c>
      <c r="AE118" s="9">
        <f>SUMIFS(#REF!,#REF!,
$A118,#REF!,
"&gt;="&amp;'Faturado mensal'!AE$2,#REF!,
"&lt;"&amp;EOMONTH('Faturado mensal'!AE$2,0))</f>
        <v>1558.79</v>
      </c>
      <c r="AF118" s="9">
        <f>SUMIFS(#REF!,#REF!,
$A118,#REF!,
"&gt;="&amp;'Faturado mensal'!AF$2,#REF!,
"&lt;"&amp;EOMONTH('Faturado mensal'!AF$2,0))</f>
        <v>0</v>
      </c>
      <c r="AG118" s="9">
        <f>SUMIFS(#REF!,#REF!,
$A118,#REF!,
"&gt;="&amp;'Faturado mensal'!AG$2,#REF!,
"&lt;"&amp;EOMONTH('Faturado mensal'!AG$2,0))</f>
        <v>0</v>
      </c>
      <c r="AH118" s="9">
        <f>SUMIFS(#REF!,#REF!,
$A118,#REF!,
"&gt;="&amp;'Faturado mensal'!AH$2,#REF!,
"&lt;"&amp;EOMONTH('Faturado mensal'!AH$2,0))</f>
        <v>0</v>
      </c>
      <c r="AI118" s="9">
        <f>SUMIFS(#REF!,#REF!,
$A118,#REF!,
"&gt;="&amp;'Faturado mensal'!AI$2,#REF!,
"&lt;"&amp;EOMONTH('Faturado mensal'!AI$2,0))</f>
        <v>0</v>
      </c>
      <c r="AJ118" s="9">
        <f>SUMIFS(#REF!,#REF!,
$A118,#REF!,
"&gt;="&amp;'Faturado mensal'!AJ$2,#REF!,
"&lt;"&amp;EOMONTH('Faturado mensal'!AJ$2,0))</f>
        <v>0</v>
      </c>
      <c r="AK118" s="9">
        <f>SUMIFS(#REF!,#REF!,
$A118,#REF!,
"&gt;="&amp;'Faturado mensal'!AK$2,#REF!,
"&lt;"&amp;EOMONTH('Faturado mensal'!AK$2,0))</f>
        <v>0</v>
      </c>
      <c r="AL118" s="9">
        <f>SUMIFS(#REF!,#REF!,
$A118,#REF!,
"&gt;="&amp;Z$2,#REF!,
"&lt;"&amp;EOMONTH(AK$2,0))</f>
        <v>9243.99</v>
      </c>
    </row>
    <row r="119" spans="1:38" x14ac:dyDescent="0.3">
      <c r="A119" t="s">
        <v>352</v>
      </c>
      <c r="B119" t="s">
        <v>322</v>
      </c>
      <c r="C119" t="s">
        <v>158</v>
      </c>
      <c r="D119" t="s">
        <v>204</v>
      </c>
      <c r="E119" t="s">
        <v>1040</v>
      </c>
      <c r="F119" t="s">
        <v>4782</v>
      </c>
      <c r="G119" t="s">
        <v>4856</v>
      </c>
      <c r="H119" t="s">
        <v>4773</v>
      </c>
      <c r="I119" t="s">
        <v>821</v>
      </c>
      <c r="J119" t="s">
        <v>710</v>
      </c>
      <c r="K119" t="s">
        <v>748</v>
      </c>
      <c r="L119" t="s">
        <v>749</v>
      </c>
      <c r="M119" s="9">
        <f>SUMIFS(#REF!,#REF!,
$A119,#REF!,
"&gt;="&amp;'Faturado mensal'!M$2,#REF!,
"&lt;"&amp;EOMONTH('Faturado mensal'!M$2,0))</f>
        <v>579.71</v>
      </c>
      <c r="N119" s="9">
        <f>SUMIFS(#REF!,#REF!,
$A119,#REF!,
"&gt;="&amp;'Faturado mensal'!N$2,#REF!,
"&lt;"&amp;EOMONTH('Faturado mensal'!N$2,0))</f>
        <v>2898.55</v>
      </c>
      <c r="O119" s="9">
        <f>SUMIFS(#REF!,#REF!,
$A119,#REF!,
"&gt;="&amp;'Faturado mensal'!O$2,#REF!,
"&lt;"&amp;EOMONTH('Faturado mensal'!O$2,0))</f>
        <v>2318.84</v>
      </c>
      <c r="P119" s="9">
        <f>SUMIFS(#REF!,#REF!,
$A119,#REF!,
"&gt;="&amp;'Faturado mensal'!P$2,#REF!,
"&lt;"&amp;EOMONTH('Faturado mensal'!P$2,0))</f>
        <v>2318.84</v>
      </c>
      <c r="Q119" s="9">
        <f>SUMIFS(#REF!,#REF!,
$A119,#REF!,
"&gt;="&amp;'Faturado mensal'!Q$2,#REF!,
"&lt;"&amp;EOMONTH('Faturado mensal'!Q$2,0))</f>
        <v>2318.84</v>
      </c>
      <c r="R119" s="9">
        <f>SUMIFS(#REF!,#REF!,
$A119,#REF!,
"&gt;="&amp;'Faturado mensal'!R$2,#REF!,
"&lt;"&amp;EOMONTH('Faturado mensal'!R$2,0))</f>
        <v>2898.55</v>
      </c>
      <c r="S119" s="9">
        <f>SUMIFS(#REF!,#REF!,
$A119,#REF!,
"&gt;="&amp;'Faturado mensal'!S$2,#REF!,
"&lt;"&amp;EOMONTH('Faturado mensal'!S$2,0))</f>
        <v>2318.84</v>
      </c>
      <c r="T119" s="9">
        <f>SUMIFS(#REF!,#REF!,
$A119,#REF!,
"&gt;="&amp;'Faturado mensal'!T$2,#REF!,
"&lt;"&amp;EOMONTH('Faturado mensal'!T$2,0))</f>
        <v>2358.8200000000002</v>
      </c>
      <c r="U119" s="9">
        <f>SUMIFS(#REF!,#REF!,
$A119,#REF!,
"&gt;="&amp;'Faturado mensal'!U$2,#REF!,
"&lt;"&amp;EOMONTH('Faturado mensal'!U$2,0))</f>
        <v>3013.1</v>
      </c>
      <c r="V119" s="9">
        <f>SUMIFS(#REF!,#REF!,
$A119,#REF!,
"&gt;="&amp;'Faturado mensal'!V$2,#REF!,
"&lt;"&amp;EOMONTH('Faturado mensal'!V$2,0))</f>
        <v>2318.84</v>
      </c>
      <c r="W119" s="9">
        <f>SUMIFS(#REF!,#REF!,
$A119,#REF!,
"&gt;="&amp;'Faturado mensal'!W$2,#REF!,
"&lt;"&amp;EOMONTH('Faturado mensal'!W$2,0))</f>
        <v>2898.55</v>
      </c>
      <c r="X119" s="9">
        <f>SUMIFS(#REF!,#REF!,
$A119,#REF!,
"&gt;="&amp;'Faturado mensal'!X$2,#REF!,
"&lt;"&amp;EOMONTH('Faturado mensal'!X$2,0))</f>
        <v>2318.84</v>
      </c>
      <c r="Y119" s="11">
        <f>SUMIFS(#REF!,#REF!,
$A119,#REF!,
"&gt;="&amp;'Faturado mensal'!M$2,#REF!,
"&lt;"&amp;EOMONTH('Faturado mensal'!M$2,12))</f>
        <v>28560.32</v>
      </c>
      <c r="Z119" s="9">
        <f>SUMIFS(#REF!,#REF!,
$A119,#REF!,
"&gt;="&amp;'Faturado mensal'!Z$2,#REF!,
"&lt;"&amp;EOMONTH('Faturado mensal'!Z$2,0))</f>
        <v>0</v>
      </c>
      <c r="AA119" s="9">
        <f>SUMIFS(#REF!,#REF!,
$A119,#REF!,
"&gt;="&amp;'Faturado mensal'!AA$2,#REF!,
"&lt;"&amp;EOMONTH('Faturado mensal'!AA$2,0))</f>
        <v>3238.38</v>
      </c>
      <c r="AB119" s="9">
        <f>SUMIFS(#REF!,#REF!,
$A119,#REF!,
"&gt;="&amp;'Faturado mensal'!AB$2,#REF!,
"&lt;"&amp;EOMONTH('Faturado mensal'!AB$2,0))</f>
        <v>2158.92</v>
      </c>
      <c r="AC119" s="9">
        <f>SUMIFS(#REF!,#REF!,
$A119,#REF!,
"&gt;="&amp;'Faturado mensal'!AC$2,#REF!,
"&lt;"&amp;EOMONTH('Faturado mensal'!AC$2,0))</f>
        <v>2198.9</v>
      </c>
      <c r="AD119" s="9">
        <f>SUMIFS(#REF!,#REF!,
$A119,#REF!,
"&gt;="&amp;'Faturado mensal'!AD$2,#REF!,
"&lt;"&amp;EOMONTH('Faturado mensal'!AD$2,0))</f>
        <v>2758.62</v>
      </c>
      <c r="AE119" s="9">
        <f>SUMIFS(#REF!,#REF!,
$A119,#REF!,
"&gt;="&amp;'Faturado mensal'!AE$2,#REF!,
"&lt;"&amp;EOMONTH('Faturado mensal'!AE$2,0))</f>
        <v>2158.92</v>
      </c>
      <c r="AF119" s="9">
        <f>SUMIFS(#REF!,#REF!,
$A119,#REF!,
"&gt;="&amp;'Faturado mensal'!AF$2,#REF!,
"&lt;"&amp;EOMONTH('Faturado mensal'!AF$2,0))</f>
        <v>0</v>
      </c>
      <c r="AG119" s="9">
        <f>SUMIFS(#REF!,#REF!,
$A119,#REF!,
"&gt;="&amp;'Faturado mensal'!AG$2,#REF!,
"&lt;"&amp;EOMONTH('Faturado mensal'!AG$2,0))</f>
        <v>0</v>
      </c>
      <c r="AH119" s="9">
        <f>SUMIFS(#REF!,#REF!,
$A119,#REF!,
"&gt;="&amp;'Faturado mensal'!AH$2,#REF!,
"&lt;"&amp;EOMONTH('Faturado mensal'!AH$2,0))</f>
        <v>0</v>
      </c>
      <c r="AI119" s="9">
        <f>SUMIFS(#REF!,#REF!,
$A119,#REF!,
"&gt;="&amp;'Faturado mensal'!AI$2,#REF!,
"&lt;"&amp;EOMONTH('Faturado mensal'!AI$2,0))</f>
        <v>0</v>
      </c>
      <c r="AJ119" s="9">
        <f>SUMIFS(#REF!,#REF!,
$A119,#REF!,
"&gt;="&amp;'Faturado mensal'!AJ$2,#REF!,
"&lt;"&amp;EOMONTH('Faturado mensal'!AJ$2,0))</f>
        <v>0</v>
      </c>
      <c r="AK119" s="9">
        <f>SUMIFS(#REF!,#REF!,
$A119,#REF!,
"&gt;="&amp;'Faturado mensal'!AK$2,#REF!,
"&lt;"&amp;EOMONTH('Faturado mensal'!AK$2,0))</f>
        <v>0</v>
      </c>
      <c r="AL119" s="9">
        <f>SUMIFS(#REF!,#REF!,
$A119,#REF!,
"&gt;="&amp;Z$2,#REF!,
"&lt;"&amp;EOMONTH(AK$2,0))</f>
        <v>12513.74</v>
      </c>
    </row>
    <row r="120" spans="1:38" x14ac:dyDescent="0.3">
      <c r="A120" t="s">
        <v>353</v>
      </c>
      <c r="B120" t="s">
        <v>338</v>
      </c>
      <c r="C120" t="s">
        <v>31</v>
      </c>
      <c r="D120" t="s">
        <v>204</v>
      </c>
      <c r="E120" t="s">
        <v>1040</v>
      </c>
      <c r="F120" t="s">
        <v>4785</v>
      </c>
      <c r="G120" t="s">
        <v>4856</v>
      </c>
      <c r="H120" t="s">
        <v>4773</v>
      </c>
      <c r="I120" t="s">
        <v>31</v>
      </c>
      <c r="J120" t="s">
        <v>710</v>
      </c>
      <c r="K120" t="s">
        <v>748</v>
      </c>
      <c r="L120" t="s">
        <v>749</v>
      </c>
      <c r="M120" s="9">
        <f>SUMIFS(#REF!,#REF!,
$A120,#REF!,
"&gt;="&amp;'Faturado mensal'!M$2,#REF!,
"&lt;"&amp;EOMONTH('Faturado mensal'!M$2,0))</f>
        <v>5958.04</v>
      </c>
      <c r="N120" s="9">
        <f>SUMIFS(#REF!,#REF!,
$A120,#REF!,
"&gt;="&amp;'Faturado mensal'!N$2,#REF!,
"&lt;"&amp;EOMONTH('Faturado mensal'!N$2,0))</f>
        <v>5671.09</v>
      </c>
      <c r="O120" s="9">
        <f>SUMIFS(#REF!,#REF!,
$A120,#REF!,
"&gt;="&amp;'Faturado mensal'!O$2,#REF!,
"&lt;"&amp;EOMONTH('Faturado mensal'!O$2,0))</f>
        <v>5388.49</v>
      </c>
      <c r="P120" s="9">
        <f>SUMIFS(#REF!,#REF!,
$A120,#REF!,
"&gt;="&amp;'Faturado mensal'!P$2,#REF!,
"&lt;"&amp;EOMONTH('Faturado mensal'!P$2,0))</f>
        <v>5389.28</v>
      </c>
      <c r="Q120" s="9">
        <f>SUMIFS(#REF!,#REF!,
$A120,#REF!,
"&gt;="&amp;'Faturado mensal'!Q$2,#REF!,
"&lt;"&amp;EOMONTH('Faturado mensal'!Q$2,0))</f>
        <v>5388.13</v>
      </c>
      <c r="R120" s="9">
        <f>SUMIFS(#REF!,#REF!,
$A120,#REF!,
"&gt;="&amp;'Faturado mensal'!R$2,#REF!,
"&lt;"&amp;EOMONTH('Faturado mensal'!R$2,0))</f>
        <v>5387.18</v>
      </c>
      <c r="S120" s="9">
        <f>SUMIFS(#REF!,#REF!,
$A120,#REF!,
"&gt;="&amp;'Faturado mensal'!S$2,#REF!,
"&lt;"&amp;EOMONTH('Faturado mensal'!S$2,0))</f>
        <v>5384.77</v>
      </c>
      <c r="T120" s="9">
        <f>SUMIFS(#REF!,#REF!,
$A120,#REF!,
"&gt;="&amp;'Faturado mensal'!T$2,#REF!,
"&lt;"&amp;EOMONTH('Faturado mensal'!T$2,0))</f>
        <v>5826</v>
      </c>
      <c r="U120" s="9">
        <f>SUMIFS(#REF!,#REF!,
$A120,#REF!,
"&gt;="&amp;'Faturado mensal'!U$2,#REF!,
"&lt;"&amp;EOMONTH('Faturado mensal'!U$2,0))</f>
        <v>6449.11</v>
      </c>
      <c r="V120" s="9">
        <f>SUMIFS(#REF!,#REF!,
$A120,#REF!,
"&gt;="&amp;'Faturado mensal'!V$2,#REF!,
"&lt;"&amp;EOMONTH('Faturado mensal'!V$2,0))</f>
        <v>6195.44</v>
      </c>
      <c r="W120" s="9">
        <f>SUMIFS(#REF!,#REF!,
$A120,#REF!,
"&gt;="&amp;'Faturado mensal'!W$2,#REF!,
"&lt;"&amp;EOMONTH('Faturado mensal'!W$2,0))</f>
        <v>7100.34</v>
      </c>
      <c r="X120" s="9">
        <f>SUMIFS(#REF!,#REF!,
$A120,#REF!,
"&gt;="&amp;'Faturado mensal'!X$2,#REF!,
"&lt;"&amp;EOMONTH('Faturado mensal'!X$2,0))</f>
        <v>5415.35</v>
      </c>
      <c r="Y120" s="11">
        <f>SUMIFS(#REF!,#REF!,
$A120,#REF!,
"&gt;="&amp;'Faturado mensal'!M$2,#REF!,
"&lt;"&amp;EOMONTH('Faturado mensal'!M$2,12))</f>
        <v>74921.770000000019</v>
      </c>
      <c r="Z120" s="9">
        <f>SUMIFS(#REF!,#REF!,
$A120,#REF!,
"&gt;="&amp;'Faturado mensal'!Z$2,#REF!,
"&lt;"&amp;EOMONTH('Faturado mensal'!Z$2,0))</f>
        <v>5368.55</v>
      </c>
      <c r="AA120" s="9">
        <f>SUMIFS(#REF!,#REF!,
$A120,#REF!,
"&gt;="&amp;'Faturado mensal'!AA$2,#REF!,
"&lt;"&amp;EOMONTH('Faturado mensal'!AA$2,0))</f>
        <v>5481.97</v>
      </c>
      <c r="AB120" s="9">
        <f>SUMIFS(#REF!,#REF!,
$A120,#REF!,
"&gt;="&amp;'Faturado mensal'!AB$2,#REF!,
"&lt;"&amp;EOMONTH('Faturado mensal'!AB$2,0))</f>
        <v>6715.36</v>
      </c>
      <c r="AC120" s="9">
        <f>SUMIFS(#REF!,#REF!,
$A120,#REF!,
"&gt;="&amp;'Faturado mensal'!AC$2,#REF!,
"&lt;"&amp;EOMONTH('Faturado mensal'!AC$2,0))</f>
        <v>6617.4</v>
      </c>
      <c r="AD120" s="9">
        <f>SUMIFS(#REF!,#REF!,
$A120,#REF!,
"&gt;="&amp;'Faturado mensal'!AD$2,#REF!,
"&lt;"&amp;EOMONTH('Faturado mensal'!AD$2,0))</f>
        <v>5882.77</v>
      </c>
      <c r="AE120" s="9">
        <f>SUMIFS(#REF!,#REF!,
$A120,#REF!,
"&gt;="&amp;'Faturado mensal'!AE$2,#REF!,
"&lt;"&amp;EOMONTH('Faturado mensal'!AE$2,0))</f>
        <v>0</v>
      </c>
      <c r="AF120" s="9">
        <f>SUMIFS(#REF!,#REF!,
$A120,#REF!,
"&gt;="&amp;'Faturado mensal'!AF$2,#REF!,
"&lt;"&amp;EOMONTH('Faturado mensal'!AF$2,0))</f>
        <v>0</v>
      </c>
      <c r="AG120" s="9">
        <f>SUMIFS(#REF!,#REF!,
$A120,#REF!,
"&gt;="&amp;'Faturado mensal'!AG$2,#REF!,
"&lt;"&amp;EOMONTH('Faturado mensal'!AG$2,0))</f>
        <v>0</v>
      </c>
      <c r="AH120" s="9">
        <f>SUMIFS(#REF!,#REF!,
$A120,#REF!,
"&gt;="&amp;'Faturado mensal'!AH$2,#REF!,
"&lt;"&amp;EOMONTH('Faturado mensal'!AH$2,0))</f>
        <v>0</v>
      </c>
      <c r="AI120" s="9">
        <f>SUMIFS(#REF!,#REF!,
$A120,#REF!,
"&gt;="&amp;'Faturado mensal'!AI$2,#REF!,
"&lt;"&amp;EOMONTH('Faturado mensal'!AI$2,0))</f>
        <v>0</v>
      </c>
      <c r="AJ120" s="9">
        <f>SUMIFS(#REF!,#REF!,
$A120,#REF!,
"&gt;="&amp;'Faturado mensal'!AJ$2,#REF!,
"&lt;"&amp;EOMONTH('Faturado mensal'!AJ$2,0))</f>
        <v>0</v>
      </c>
      <c r="AK120" s="9">
        <f>SUMIFS(#REF!,#REF!,
$A120,#REF!,
"&gt;="&amp;'Faturado mensal'!AK$2,#REF!,
"&lt;"&amp;EOMONTH('Faturado mensal'!AK$2,0))</f>
        <v>0</v>
      </c>
      <c r="AL120" s="9">
        <f>SUMIFS(#REF!,#REF!,
$A120,#REF!,
"&gt;="&amp;Z$2,#REF!,
"&lt;"&amp;EOMONTH(AK$2,0))</f>
        <v>30066.05</v>
      </c>
    </row>
    <row r="121" spans="1:38" x14ac:dyDescent="0.3">
      <c r="A121" t="s">
        <v>354</v>
      </c>
      <c r="B121" t="s">
        <v>355</v>
      </c>
      <c r="C121" t="s">
        <v>143</v>
      </c>
      <c r="D121" t="s">
        <v>204</v>
      </c>
      <c r="E121" t="s">
        <v>4834</v>
      </c>
      <c r="F121" t="s">
        <v>4776</v>
      </c>
      <c r="G121" t="s">
        <v>4856</v>
      </c>
      <c r="H121" t="s">
        <v>4771</v>
      </c>
      <c r="I121" t="s">
        <v>143</v>
      </c>
      <c r="J121" t="s">
        <v>710</v>
      </c>
      <c r="K121" t="s">
        <v>748</v>
      </c>
      <c r="L121" t="s">
        <v>749</v>
      </c>
      <c r="M121" s="9">
        <f>SUMIFS(#REF!,#REF!,
$A121,#REF!,
"&gt;="&amp;'Faturado mensal'!M$2,#REF!,
"&lt;"&amp;EOMONTH('Faturado mensal'!M$2,0))</f>
        <v>1891</v>
      </c>
      <c r="N121" s="9">
        <f>SUMIFS(#REF!,#REF!,
$A121,#REF!,
"&gt;="&amp;'Faturado mensal'!N$2,#REF!,
"&lt;"&amp;EOMONTH('Faturado mensal'!N$2,0))</f>
        <v>860.3</v>
      </c>
      <c r="O121" s="9">
        <f>SUMIFS(#REF!,#REF!,
$A121,#REF!,
"&gt;="&amp;'Faturado mensal'!O$2,#REF!,
"&lt;"&amp;EOMONTH('Faturado mensal'!O$2,0))</f>
        <v>2511.2800000000002</v>
      </c>
      <c r="P121" s="9">
        <f>SUMIFS(#REF!,#REF!,
$A121,#REF!,
"&gt;="&amp;'Faturado mensal'!P$2,#REF!,
"&lt;"&amp;EOMONTH('Faturado mensal'!P$2,0))</f>
        <v>1440.7</v>
      </c>
      <c r="Q121" s="9">
        <f>SUMIFS(#REF!,#REF!,
$A121,#REF!,
"&gt;="&amp;'Faturado mensal'!Q$2,#REF!,
"&lt;"&amp;EOMONTH('Faturado mensal'!Q$2,0))</f>
        <v>1743.66</v>
      </c>
      <c r="R121" s="9">
        <f>SUMIFS(#REF!,#REF!,
$A121,#REF!,
"&gt;="&amp;'Faturado mensal'!R$2,#REF!,
"&lt;"&amp;EOMONTH('Faturado mensal'!R$2,0))</f>
        <v>632.79999999999995</v>
      </c>
      <c r="S121" s="9">
        <f>SUMIFS(#REF!,#REF!,
$A121,#REF!,
"&gt;="&amp;'Faturado mensal'!S$2,#REF!,
"&lt;"&amp;EOMONTH('Faturado mensal'!S$2,0))</f>
        <v>0</v>
      </c>
      <c r="T121" s="9">
        <f>SUMIFS(#REF!,#REF!,
$A121,#REF!,
"&gt;="&amp;'Faturado mensal'!T$2,#REF!,
"&lt;"&amp;EOMONTH('Faturado mensal'!T$2,0))</f>
        <v>589.32000000000005</v>
      </c>
      <c r="U121" s="9">
        <f>SUMIFS(#REF!,#REF!,
$A121,#REF!,
"&gt;="&amp;'Faturado mensal'!U$2,#REF!,
"&lt;"&amp;EOMONTH('Faturado mensal'!U$2,0))</f>
        <v>1488.44</v>
      </c>
      <c r="V121" s="9">
        <f>SUMIFS(#REF!,#REF!,
$A121,#REF!,
"&gt;="&amp;'Faturado mensal'!V$2,#REF!,
"&lt;"&amp;EOMONTH('Faturado mensal'!V$2,0))</f>
        <v>0</v>
      </c>
      <c r="W121" s="9">
        <f>SUMIFS(#REF!,#REF!,
$A121,#REF!,
"&gt;="&amp;'Faturado mensal'!W$2,#REF!,
"&lt;"&amp;EOMONTH('Faturado mensal'!W$2,0))</f>
        <v>640</v>
      </c>
      <c r="X121" s="9">
        <f>SUMIFS(#REF!,#REF!,
$A121,#REF!,
"&gt;="&amp;'Faturado mensal'!X$2,#REF!,
"&lt;"&amp;EOMONTH('Faturado mensal'!X$2,0))</f>
        <v>0</v>
      </c>
      <c r="Y121" s="11">
        <f>SUMIFS(#REF!,#REF!,
$A121,#REF!,
"&gt;="&amp;'Faturado mensal'!M$2,#REF!,
"&lt;"&amp;EOMONTH('Faturado mensal'!M$2,12))</f>
        <v>11797.5</v>
      </c>
      <c r="Z121" s="9">
        <f>SUMIFS(#REF!,#REF!,
$A121,#REF!,
"&gt;="&amp;'Faturado mensal'!Z$2,#REF!,
"&lt;"&amp;EOMONTH('Faturado mensal'!Z$2,0))</f>
        <v>0</v>
      </c>
      <c r="AA121" s="9">
        <f>SUMIFS(#REF!,#REF!,
$A121,#REF!,
"&gt;="&amp;'Faturado mensal'!AA$2,#REF!,
"&lt;"&amp;EOMONTH('Faturado mensal'!AA$2,0))</f>
        <v>0</v>
      </c>
      <c r="AB121" s="9">
        <f>SUMIFS(#REF!,#REF!,
$A121,#REF!,
"&gt;="&amp;'Faturado mensal'!AB$2,#REF!,
"&lt;"&amp;EOMONTH('Faturado mensal'!AB$2,0))</f>
        <v>1341.07</v>
      </c>
      <c r="AC121" s="9">
        <f>SUMIFS(#REF!,#REF!,
$A121,#REF!,
"&gt;="&amp;'Faturado mensal'!AC$2,#REF!,
"&lt;"&amp;EOMONTH('Faturado mensal'!AC$2,0))</f>
        <v>668.78</v>
      </c>
      <c r="AD121" s="9">
        <f>SUMIFS(#REF!,#REF!,
$A121,#REF!,
"&gt;="&amp;'Faturado mensal'!AD$2,#REF!,
"&lt;"&amp;EOMONTH('Faturado mensal'!AD$2,0))</f>
        <v>560</v>
      </c>
      <c r="AE121" s="9">
        <f>SUMIFS(#REF!,#REF!,
$A121,#REF!,
"&gt;="&amp;'Faturado mensal'!AE$2,#REF!,
"&lt;"&amp;EOMONTH('Faturado mensal'!AE$2,0))</f>
        <v>0</v>
      </c>
      <c r="AF121" s="9">
        <f>SUMIFS(#REF!,#REF!,
$A121,#REF!,
"&gt;="&amp;'Faturado mensal'!AF$2,#REF!,
"&lt;"&amp;EOMONTH('Faturado mensal'!AF$2,0))</f>
        <v>0</v>
      </c>
      <c r="AG121" s="9">
        <f>SUMIFS(#REF!,#REF!,
$A121,#REF!,
"&gt;="&amp;'Faturado mensal'!AG$2,#REF!,
"&lt;"&amp;EOMONTH('Faturado mensal'!AG$2,0))</f>
        <v>0</v>
      </c>
      <c r="AH121" s="9">
        <f>SUMIFS(#REF!,#REF!,
$A121,#REF!,
"&gt;="&amp;'Faturado mensal'!AH$2,#REF!,
"&lt;"&amp;EOMONTH('Faturado mensal'!AH$2,0))</f>
        <v>0</v>
      </c>
      <c r="AI121" s="9">
        <f>SUMIFS(#REF!,#REF!,
$A121,#REF!,
"&gt;="&amp;'Faturado mensal'!AI$2,#REF!,
"&lt;"&amp;EOMONTH('Faturado mensal'!AI$2,0))</f>
        <v>0</v>
      </c>
      <c r="AJ121" s="9">
        <f>SUMIFS(#REF!,#REF!,
$A121,#REF!,
"&gt;="&amp;'Faturado mensal'!AJ$2,#REF!,
"&lt;"&amp;EOMONTH('Faturado mensal'!AJ$2,0))</f>
        <v>0</v>
      </c>
      <c r="AK121" s="9">
        <f>SUMIFS(#REF!,#REF!,
$A121,#REF!,
"&gt;="&amp;'Faturado mensal'!AK$2,#REF!,
"&lt;"&amp;EOMONTH('Faturado mensal'!AK$2,0))</f>
        <v>0</v>
      </c>
      <c r="AL121" s="9">
        <f>SUMIFS(#REF!,#REF!,
$A121,#REF!,
"&gt;="&amp;Z$2,#REF!,
"&lt;"&amp;EOMONTH(AK$2,0))</f>
        <v>2569.85</v>
      </c>
    </row>
    <row r="122" spans="1:38" x14ac:dyDescent="0.3">
      <c r="A122" t="s">
        <v>356</v>
      </c>
      <c r="B122" t="s">
        <v>210</v>
      </c>
      <c r="C122" t="s">
        <v>163</v>
      </c>
      <c r="D122" t="s">
        <v>209</v>
      </c>
      <c r="G122" t="s">
        <v>4853</v>
      </c>
      <c r="H122" t="s">
        <v>4773</v>
      </c>
      <c r="I122" t="s">
        <v>163</v>
      </c>
      <c r="J122" t="s">
        <v>710</v>
      </c>
      <c r="K122" t="s">
        <v>748</v>
      </c>
      <c r="L122" t="s">
        <v>749</v>
      </c>
      <c r="M122" s="9">
        <f>SUMIFS(#REF!,#REF!,
$A122,#REF!,
"&gt;="&amp;'Faturado mensal'!M$2,#REF!,
"&lt;"&amp;EOMONTH('Faturado mensal'!M$2,0))</f>
        <v>120</v>
      </c>
      <c r="N122" s="9">
        <f>SUMIFS(#REF!,#REF!,
$A122,#REF!,
"&gt;="&amp;'Faturado mensal'!N$2,#REF!,
"&lt;"&amp;EOMONTH('Faturado mensal'!N$2,0))</f>
        <v>120</v>
      </c>
      <c r="O122" s="9">
        <f>SUMIFS(#REF!,#REF!,
$A122,#REF!,
"&gt;="&amp;'Faturado mensal'!O$2,#REF!,
"&lt;"&amp;EOMONTH('Faturado mensal'!O$2,0))</f>
        <v>120</v>
      </c>
      <c r="P122" s="9">
        <f>SUMIFS(#REF!,#REF!,
$A122,#REF!,
"&gt;="&amp;'Faturado mensal'!P$2,#REF!,
"&lt;"&amp;EOMONTH('Faturado mensal'!P$2,0))</f>
        <v>0</v>
      </c>
      <c r="Q122" s="9">
        <f>SUMIFS(#REF!,#REF!,
$A122,#REF!,
"&gt;="&amp;'Faturado mensal'!Q$2,#REF!,
"&lt;"&amp;EOMONTH('Faturado mensal'!Q$2,0))</f>
        <v>0</v>
      </c>
      <c r="R122" s="9">
        <f>SUMIFS(#REF!,#REF!,
$A122,#REF!,
"&gt;="&amp;'Faturado mensal'!R$2,#REF!,
"&lt;"&amp;EOMONTH('Faturado mensal'!R$2,0))</f>
        <v>0</v>
      </c>
      <c r="S122" s="9">
        <f>SUMIFS(#REF!,#REF!,
$A122,#REF!,
"&gt;="&amp;'Faturado mensal'!S$2,#REF!,
"&lt;"&amp;EOMONTH('Faturado mensal'!S$2,0))</f>
        <v>0</v>
      </c>
      <c r="T122" s="9">
        <f>SUMIFS(#REF!,#REF!,
$A122,#REF!,
"&gt;="&amp;'Faturado mensal'!T$2,#REF!,
"&lt;"&amp;EOMONTH('Faturado mensal'!T$2,0))</f>
        <v>0</v>
      </c>
      <c r="U122" s="9">
        <f>SUMIFS(#REF!,#REF!,
$A122,#REF!,
"&gt;="&amp;'Faturado mensal'!U$2,#REF!,
"&lt;"&amp;EOMONTH('Faturado mensal'!U$2,0))</f>
        <v>0</v>
      </c>
      <c r="V122" s="9">
        <f>SUMIFS(#REF!,#REF!,
$A122,#REF!,
"&gt;="&amp;'Faturado mensal'!V$2,#REF!,
"&lt;"&amp;EOMONTH('Faturado mensal'!V$2,0))</f>
        <v>0</v>
      </c>
      <c r="W122" s="9">
        <f>SUMIFS(#REF!,#REF!,
$A122,#REF!,
"&gt;="&amp;'Faturado mensal'!W$2,#REF!,
"&lt;"&amp;EOMONTH('Faturado mensal'!W$2,0))</f>
        <v>0</v>
      </c>
      <c r="X122" s="9">
        <f>SUMIFS(#REF!,#REF!,
$A122,#REF!,
"&gt;="&amp;'Faturado mensal'!X$2,#REF!,
"&lt;"&amp;EOMONTH('Faturado mensal'!X$2,0))</f>
        <v>0</v>
      </c>
      <c r="Y122" s="11">
        <f>SUMIFS(#REF!,#REF!,
$A122,#REF!,
"&gt;="&amp;'Faturado mensal'!M$2,#REF!,
"&lt;"&amp;EOMONTH('Faturado mensal'!M$2,12))</f>
        <v>360</v>
      </c>
      <c r="Z122" s="9">
        <f>SUMIFS(#REF!,#REF!,
$A122,#REF!,
"&gt;="&amp;'Faturado mensal'!Z$2,#REF!,
"&lt;"&amp;EOMONTH('Faturado mensal'!Z$2,0))</f>
        <v>0</v>
      </c>
      <c r="AA122" s="9">
        <f>SUMIFS(#REF!,#REF!,
$A122,#REF!,
"&gt;="&amp;'Faturado mensal'!AA$2,#REF!,
"&lt;"&amp;EOMONTH('Faturado mensal'!AA$2,0))</f>
        <v>0</v>
      </c>
      <c r="AB122" s="9">
        <f>SUMIFS(#REF!,#REF!,
$A122,#REF!,
"&gt;="&amp;'Faturado mensal'!AB$2,#REF!,
"&lt;"&amp;EOMONTH('Faturado mensal'!AB$2,0))</f>
        <v>0</v>
      </c>
      <c r="AC122" s="9">
        <f>SUMIFS(#REF!,#REF!,
$A122,#REF!,
"&gt;="&amp;'Faturado mensal'!AC$2,#REF!,
"&lt;"&amp;EOMONTH('Faturado mensal'!AC$2,0))</f>
        <v>0</v>
      </c>
      <c r="AD122" s="9">
        <f>SUMIFS(#REF!,#REF!,
$A122,#REF!,
"&gt;="&amp;'Faturado mensal'!AD$2,#REF!,
"&lt;"&amp;EOMONTH('Faturado mensal'!AD$2,0))</f>
        <v>0</v>
      </c>
      <c r="AE122" s="9">
        <f>SUMIFS(#REF!,#REF!,
$A122,#REF!,
"&gt;="&amp;'Faturado mensal'!AE$2,#REF!,
"&lt;"&amp;EOMONTH('Faturado mensal'!AE$2,0))</f>
        <v>0</v>
      </c>
      <c r="AF122" s="9">
        <f>SUMIFS(#REF!,#REF!,
$A122,#REF!,
"&gt;="&amp;'Faturado mensal'!AF$2,#REF!,
"&lt;"&amp;EOMONTH('Faturado mensal'!AF$2,0))</f>
        <v>0</v>
      </c>
      <c r="AG122" s="9">
        <f>SUMIFS(#REF!,#REF!,
$A122,#REF!,
"&gt;="&amp;'Faturado mensal'!AG$2,#REF!,
"&lt;"&amp;EOMONTH('Faturado mensal'!AG$2,0))</f>
        <v>0</v>
      </c>
      <c r="AH122" s="9">
        <f>SUMIFS(#REF!,#REF!,
$A122,#REF!,
"&gt;="&amp;'Faturado mensal'!AH$2,#REF!,
"&lt;"&amp;EOMONTH('Faturado mensal'!AH$2,0))</f>
        <v>0</v>
      </c>
      <c r="AI122" s="9">
        <f>SUMIFS(#REF!,#REF!,
$A122,#REF!,
"&gt;="&amp;'Faturado mensal'!AI$2,#REF!,
"&lt;"&amp;EOMONTH('Faturado mensal'!AI$2,0))</f>
        <v>0</v>
      </c>
      <c r="AJ122" s="9">
        <f>SUMIFS(#REF!,#REF!,
$A122,#REF!,
"&gt;="&amp;'Faturado mensal'!AJ$2,#REF!,
"&lt;"&amp;EOMONTH('Faturado mensal'!AJ$2,0))</f>
        <v>0</v>
      </c>
      <c r="AK122" s="9">
        <f>SUMIFS(#REF!,#REF!,
$A122,#REF!,
"&gt;="&amp;'Faturado mensal'!AK$2,#REF!,
"&lt;"&amp;EOMONTH('Faturado mensal'!AK$2,0))</f>
        <v>0</v>
      </c>
      <c r="AL122" s="9">
        <f>SUMIFS(#REF!,#REF!,
$A122,#REF!,
"&gt;="&amp;Z$2,#REF!,
"&lt;"&amp;EOMONTH(AK$2,0))</f>
        <v>0</v>
      </c>
    </row>
    <row r="123" spans="1:38" x14ac:dyDescent="0.3">
      <c r="A123" t="s">
        <v>357</v>
      </c>
      <c r="B123" t="s">
        <v>327</v>
      </c>
      <c r="C123" t="s">
        <v>159</v>
      </c>
      <c r="D123" t="s">
        <v>204</v>
      </c>
      <c r="E123" t="s">
        <v>4834</v>
      </c>
      <c r="F123" t="s">
        <v>4776</v>
      </c>
      <c r="G123" t="s">
        <v>4853</v>
      </c>
      <c r="H123" t="s">
        <v>4773</v>
      </c>
      <c r="I123" t="s">
        <v>159</v>
      </c>
      <c r="J123" t="s">
        <v>890</v>
      </c>
      <c r="K123" t="s">
        <v>711</v>
      </c>
      <c r="L123" t="s">
        <v>712</v>
      </c>
      <c r="M123" s="9">
        <f>SUMIFS(#REF!,#REF!,
$A123,#REF!,
"&gt;="&amp;'Faturado mensal'!M$2,#REF!,
"&lt;"&amp;EOMONTH('Faturado mensal'!M$2,0))</f>
        <v>14508.830000000002</v>
      </c>
      <c r="N123" s="9">
        <f>SUMIFS(#REF!,#REF!,
$A123,#REF!,
"&gt;="&amp;'Faturado mensal'!N$2,#REF!,
"&lt;"&amp;EOMONTH('Faturado mensal'!N$2,0))</f>
        <v>22311.71</v>
      </c>
      <c r="O123" s="9">
        <f>SUMIFS(#REF!,#REF!,
$A123,#REF!,
"&gt;="&amp;'Faturado mensal'!O$2,#REF!,
"&lt;"&amp;EOMONTH('Faturado mensal'!O$2,0))</f>
        <v>14293.81</v>
      </c>
      <c r="P123" s="9">
        <f>SUMIFS(#REF!,#REF!,
$A123,#REF!,
"&gt;="&amp;'Faturado mensal'!P$2,#REF!,
"&lt;"&amp;EOMONTH('Faturado mensal'!P$2,0))</f>
        <v>26287.119999999999</v>
      </c>
      <c r="Q123" s="9">
        <f>SUMIFS(#REF!,#REF!,
$A123,#REF!,
"&gt;="&amp;'Faturado mensal'!Q$2,#REF!,
"&lt;"&amp;EOMONTH('Faturado mensal'!Q$2,0))</f>
        <v>13673.109999999999</v>
      </c>
      <c r="R123" s="9">
        <f>SUMIFS(#REF!,#REF!,
$A123,#REF!,
"&gt;="&amp;'Faturado mensal'!R$2,#REF!,
"&lt;"&amp;EOMONTH('Faturado mensal'!R$2,0))</f>
        <v>25131.280000000002</v>
      </c>
      <c r="S123" s="9">
        <f>SUMIFS(#REF!,#REF!,
$A123,#REF!,
"&gt;="&amp;'Faturado mensal'!S$2,#REF!,
"&lt;"&amp;EOMONTH('Faturado mensal'!S$2,0))</f>
        <v>24704.75</v>
      </c>
      <c r="T123" s="9">
        <f>SUMIFS(#REF!,#REF!,
$A123,#REF!,
"&gt;="&amp;'Faturado mensal'!T$2,#REF!,
"&lt;"&amp;EOMONTH('Faturado mensal'!T$2,0))</f>
        <v>25537.539999999997</v>
      </c>
      <c r="U123" s="9">
        <f>SUMIFS(#REF!,#REF!,
$A123,#REF!,
"&gt;="&amp;'Faturado mensal'!U$2,#REF!,
"&lt;"&amp;EOMONTH('Faturado mensal'!U$2,0))</f>
        <v>21855.910000000003</v>
      </c>
      <c r="V123" s="9">
        <f>SUMIFS(#REF!,#REF!,
$A123,#REF!,
"&gt;="&amp;'Faturado mensal'!V$2,#REF!,
"&lt;"&amp;EOMONTH('Faturado mensal'!V$2,0))</f>
        <v>3510.8</v>
      </c>
      <c r="W123" s="9">
        <f>SUMIFS(#REF!,#REF!,
$A123,#REF!,
"&gt;="&amp;'Faturado mensal'!W$2,#REF!,
"&lt;"&amp;EOMONTH('Faturado mensal'!W$2,0))</f>
        <v>10410.06</v>
      </c>
      <c r="X123" s="9">
        <f>SUMIFS(#REF!,#REF!,
$A123,#REF!,
"&gt;="&amp;'Faturado mensal'!X$2,#REF!,
"&lt;"&amp;EOMONTH('Faturado mensal'!X$2,0))</f>
        <v>31631.569999999996</v>
      </c>
      <c r="Y123" s="11">
        <f>SUMIFS(#REF!,#REF!,
$A123,#REF!,
"&gt;="&amp;'Faturado mensal'!M$2,#REF!,
"&lt;"&amp;EOMONTH('Faturado mensal'!M$2,12))</f>
        <v>241024.56999999998</v>
      </c>
      <c r="Z123" s="9">
        <f>SUMIFS(#REF!,#REF!,
$A123,#REF!,
"&gt;="&amp;'Faturado mensal'!Z$2,#REF!,
"&lt;"&amp;EOMONTH('Faturado mensal'!Z$2,0))</f>
        <v>7168.08</v>
      </c>
      <c r="AA123" s="9">
        <f>SUMIFS(#REF!,#REF!,
$A123,#REF!,
"&gt;="&amp;'Faturado mensal'!AA$2,#REF!,
"&lt;"&amp;EOMONTH('Faturado mensal'!AA$2,0))</f>
        <v>11769.51</v>
      </c>
      <c r="AB123" s="9">
        <f>SUMIFS(#REF!,#REF!,
$A123,#REF!,
"&gt;="&amp;'Faturado mensal'!AB$2,#REF!,
"&lt;"&amp;EOMONTH('Faturado mensal'!AB$2,0))</f>
        <v>21069.079999999998</v>
      </c>
      <c r="AC123" s="9">
        <f>SUMIFS(#REF!,#REF!,
$A123,#REF!,
"&gt;="&amp;'Faturado mensal'!AC$2,#REF!,
"&lt;"&amp;EOMONTH('Faturado mensal'!AC$2,0))</f>
        <v>3742.33</v>
      </c>
      <c r="AD123" s="9">
        <f>SUMIFS(#REF!,#REF!,
$A123,#REF!,
"&gt;="&amp;'Faturado mensal'!AD$2,#REF!,
"&lt;"&amp;EOMONTH('Faturado mensal'!AD$2,0))</f>
        <v>32910.450000000004</v>
      </c>
      <c r="AE123" s="9">
        <f>SUMIFS(#REF!,#REF!,
$A123,#REF!,
"&gt;="&amp;'Faturado mensal'!AE$2,#REF!,
"&lt;"&amp;EOMONTH('Faturado mensal'!AE$2,0))</f>
        <v>20151</v>
      </c>
      <c r="AF123" s="9">
        <f>SUMIFS(#REF!,#REF!,
$A123,#REF!,
"&gt;="&amp;'Faturado mensal'!AF$2,#REF!,
"&lt;"&amp;EOMONTH('Faturado mensal'!AF$2,0))</f>
        <v>0</v>
      </c>
      <c r="AG123" s="9">
        <f>SUMIFS(#REF!,#REF!,
$A123,#REF!,
"&gt;="&amp;'Faturado mensal'!AG$2,#REF!,
"&lt;"&amp;EOMONTH('Faturado mensal'!AG$2,0))</f>
        <v>0</v>
      </c>
      <c r="AH123" s="9">
        <f>SUMIFS(#REF!,#REF!,
$A123,#REF!,
"&gt;="&amp;'Faturado mensal'!AH$2,#REF!,
"&lt;"&amp;EOMONTH('Faturado mensal'!AH$2,0))</f>
        <v>0</v>
      </c>
      <c r="AI123" s="9">
        <f>SUMIFS(#REF!,#REF!,
$A123,#REF!,
"&gt;="&amp;'Faturado mensal'!AI$2,#REF!,
"&lt;"&amp;EOMONTH('Faturado mensal'!AI$2,0))</f>
        <v>0</v>
      </c>
      <c r="AJ123" s="9">
        <f>SUMIFS(#REF!,#REF!,
$A123,#REF!,
"&gt;="&amp;'Faturado mensal'!AJ$2,#REF!,
"&lt;"&amp;EOMONTH('Faturado mensal'!AJ$2,0))</f>
        <v>0</v>
      </c>
      <c r="AK123" s="9">
        <f>SUMIFS(#REF!,#REF!,
$A123,#REF!,
"&gt;="&amp;'Faturado mensal'!AK$2,#REF!,
"&lt;"&amp;EOMONTH('Faturado mensal'!AK$2,0))</f>
        <v>0</v>
      </c>
      <c r="AL123" s="9">
        <f>SUMIFS(#REF!,#REF!,
$A123,#REF!,
"&gt;="&amp;Z$2,#REF!,
"&lt;"&amp;EOMONTH(AK$2,0))</f>
        <v>96810.450000000012</v>
      </c>
    </row>
    <row r="124" spans="1:38" x14ac:dyDescent="0.3">
      <c r="A124" t="s">
        <v>358</v>
      </c>
      <c r="B124" t="s">
        <v>359</v>
      </c>
      <c r="C124" t="s">
        <v>53</v>
      </c>
      <c r="D124" t="s">
        <v>204</v>
      </c>
      <c r="E124" t="s">
        <v>1036</v>
      </c>
      <c r="F124" t="s">
        <v>4776</v>
      </c>
      <c r="G124" t="s">
        <v>4853</v>
      </c>
      <c r="H124" t="s">
        <v>4773</v>
      </c>
      <c r="I124" t="s">
        <v>53</v>
      </c>
      <c r="J124" t="s">
        <v>710</v>
      </c>
      <c r="K124" t="s">
        <v>711</v>
      </c>
      <c r="L124" t="s">
        <v>712</v>
      </c>
      <c r="M124" s="9">
        <f>SUMIFS(#REF!,#REF!,
$A124,#REF!,
"&gt;="&amp;'Faturado mensal'!M$2,#REF!,
"&lt;"&amp;EOMONTH('Faturado mensal'!M$2,0))</f>
        <v>625.27</v>
      </c>
      <c r="N124" s="9">
        <f>SUMIFS(#REF!,#REF!,
$A124,#REF!,
"&gt;="&amp;'Faturado mensal'!N$2,#REF!,
"&lt;"&amp;EOMONTH('Faturado mensal'!N$2,0))</f>
        <v>625.37</v>
      </c>
      <c r="O124" s="9">
        <f>SUMIFS(#REF!,#REF!,
$A124,#REF!,
"&gt;="&amp;'Faturado mensal'!O$2,#REF!,
"&lt;"&amp;EOMONTH('Faturado mensal'!O$2,0))</f>
        <v>625.37</v>
      </c>
      <c r="P124" s="9">
        <f>SUMIFS(#REF!,#REF!,
$A124,#REF!,
"&gt;="&amp;'Faturado mensal'!P$2,#REF!,
"&lt;"&amp;EOMONTH('Faturado mensal'!P$2,0))</f>
        <v>625.37</v>
      </c>
      <c r="Q124" s="9">
        <f>SUMIFS(#REF!,#REF!,
$A124,#REF!,
"&gt;="&amp;'Faturado mensal'!Q$2,#REF!,
"&lt;"&amp;EOMONTH('Faturado mensal'!Q$2,0))</f>
        <v>625.37</v>
      </c>
      <c r="R124" s="9">
        <f>SUMIFS(#REF!,#REF!,
$A124,#REF!,
"&gt;="&amp;'Faturado mensal'!R$2,#REF!,
"&lt;"&amp;EOMONTH('Faturado mensal'!R$2,0))</f>
        <v>625.37</v>
      </c>
      <c r="S124" s="9">
        <f>SUMIFS(#REF!,#REF!,
$A124,#REF!,
"&gt;="&amp;'Faturado mensal'!S$2,#REF!,
"&lt;"&amp;EOMONTH('Faturado mensal'!S$2,0))</f>
        <v>625.37</v>
      </c>
      <c r="T124" s="9">
        <f>SUMIFS(#REF!,#REF!,
$A124,#REF!,
"&gt;="&amp;'Faturado mensal'!T$2,#REF!,
"&lt;"&amp;EOMONTH('Faturado mensal'!T$2,0))</f>
        <v>625.37</v>
      </c>
      <c r="U124" s="9">
        <f>SUMIFS(#REF!,#REF!,
$A124,#REF!,
"&gt;="&amp;'Faturado mensal'!U$2,#REF!,
"&lt;"&amp;EOMONTH('Faturado mensal'!U$2,0))</f>
        <v>625.37</v>
      </c>
      <c r="V124" s="9">
        <f>SUMIFS(#REF!,#REF!,
$A124,#REF!,
"&gt;="&amp;'Faturado mensal'!V$2,#REF!,
"&lt;"&amp;EOMONTH('Faturado mensal'!V$2,0))</f>
        <v>625.37</v>
      </c>
      <c r="W124" s="9">
        <f>SUMIFS(#REF!,#REF!,
$A124,#REF!,
"&gt;="&amp;'Faturado mensal'!W$2,#REF!,
"&lt;"&amp;EOMONTH('Faturado mensal'!W$2,0))</f>
        <v>625.37</v>
      </c>
      <c r="X124" s="9">
        <f>SUMIFS(#REF!,#REF!,
$A124,#REF!,
"&gt;="&amp;'Faturado mensal'!X$2,#REF!,
"&lt;"&amp;EOMONTH('Faturado mensal'!X$2,0))</f>
        <v>625.37</v>
      </c>
      <c r="Y124" s="11">
        <f>SUMIFS(#REF!,#REF!,
$A124,#REF!,
"&gt;="&amp;'Faturado mensal'!M$2,#REF!,
"&lt;"&amp;EOMONTH('Faturado mensal'!M$2,12))</f>
        <v>8954.34</v>
      </c>
      <c r="Z124" s="9">
        <f>SUMIFS(#REF!,#REF!,
$A124,#REF!,
"&gt;="&amp;'Faturado mensal'!Z$2,#REF!,
"&lt;"&amp;EOMONTH('Faturado mensal'!Z$2,0))</f>
        <v>1450</v>
      </c>
      <c r="AA124" s="9">
        <f>SUMIFS(#REF!,#REF!,
$A124,#REF!,
"&gt;="&amp;'Faturado mensal'!AA$2,#REF!,
"&lt;"&amp;EOMONTH('Faturado mensal'!AA$2,0))</f>
        <v>1450</v>
      </c>
      <c r="AB124" s="9">
        <f>SUMIFS(#REF!,#REF!,
$A124,#REF!,
"&gt;="&amp;'Faturado mensal'!AB$2,#REF!,
"&lt;"&amp;EOMONTH('Faturado mensal'!AB$2,0))</f>
        <v>1450</v>
      </c>
      <c r="AC124" s="9">
        <f>SUMIFS(#REF!,#REF!,
$A124,#REF!,
"&gt;="&amp;'Faturado mensal'!AC$2,#REF!,
"&lt;"&amp;EOMONTH('Faturado mensal'!AC$2,0))</f>
        <v>1450</v>
      </c>
      <c r="AD124" s="9">
        <f>SUMIFS(#REF!,#REF!,
$A124,#REF!,
"&gt;="&amp;'Faturado mensal'!AD$2,#REF!,
"&lt;"&amp;EOMONTH('Faturado mensal'!AD$2,0))</f>
        <v>1450</v>
      </c>
      <c r="AE124" s="9">
        <f>SUMIFS(#REF!,#REF!,
$A124,#REF!,
"&gt;="&amp;'Faturado mensal'!AE$2,#REF!,
"&lt;"&amp;EOMONTH('Faturado mensal'!AE$2,0))</f>
        <v>1450</v>
      </c>
      <c r="AF124" s="9">
        <f>SUMIFS(#REF!,#REF!,
$A124,#REF!,
"&gt;="&amp;'Faturado mensal'!AF$2,#REF!,
"&lt;"&amp;EOMONTH('Faturado mensal'!AF$2,0))</f>
        <v>0</v>
      </c>
      <c r="AG124" s="9">
        <f>SUMIFS(#REF!,#REF!,
$A124,#REF!,
"&gt;="&amp;'Faturado mensal'!AG$2,#REF!,
"&lt;"&amp;EOMONTH('Faturado mensal'!AG$2,0))</f>
        <v>0</v>
      </c>
      <c r="AH124" s="9">
        <f>SUMIFS(#REF!,#REF!,
$A124,#REF!,
"&gt;="&amp;'Faturado mensal'!AH$2,#REF!,
"&lt;"&amp;EOMONTH('Faturado mensal'!AH$2,0))</f>
        <v>0</v>
      </c>
      <c r="AI124" s="9">
        <f>SUMIFS(#REF!,#REF!,
$A124,#REF!,
"&gt;="&amp;'Faturado mensal'!AI$2,#REF!,
"&lt;"&amp;EOMONTH('Faturado mensal'!AI$2,0))</f>
        <v>0</v>
      </c>
      <c r="AJ124" s="9">
        <f>SUMIFS(#REF!,#REF!,
$A124,#REF!,
"&gt;="&amp;'Faturado mensal'!AJ$2,#REF!,
"&lt;"&amp;EOMONTH('Faturado mensal'!AJ$2,0))</f>
        <v>0</v>
      </c>
      <c r="AK124" s="9">
        <f>SUMIFS(#REF!,#REF!,
$A124,#REF!,
"&gt;="&amp;'Faturado mensal'!AK$2,#REF!,
"&lt;"&amp;EOMONTH('Faturado mensal'!AK$2,0))</f>
        <v>0</v>
      </c>
      <c r="AL124" s="9">
        <f>SUMIFS(#REF!,#REF!,
$A124,#REF!,
"&gt;="&amp;Z$2,#REF!,
"&lt;"&amp;EOMONTH(AK$2,0))</f>
        <v>8700</v>
      </c>
    </row>
    <row r="125" spans="1:38" x14ac:dyDescent="0.3">
      <c r="A125" t="s">
        <v>360</v>
      </c>
      <c r="B125" t="s">
        <v>239</v>
      </c>
      <c r="C125" t="s">
        <v>199</v>
      </c>
      <c r="D125" t="s">
        <v>209</v>
      </c>
      <c r="E125" t="s">
        <v>4847</v>
      </c>
      <c r="F125" t="s">
        <v>4779</v>
      </c>
      <c r="G125" t="s">
        <v>4852</v>
      </c>
      <c r="H125" t="s">
        <v>4771</v>
      </c>
      <c r="I125" t="s">
        <v>199</v>
      </c>
      <c r="J125" t="s">
        <v>710</v>
      </c>
      <c r="K125" t="s">
        <v>711</v>
      </c>
      <c r="L125" t="s">
        <v>712</v>
      </c>
      <c r="M125" s="9">
        <f>SUMIFS(#REF!,#REF!,
$A125,#REF!,
"&gt;="&amp;'Faturado mensal'!M$2,#REF!,
"&lt;"&amp;EOMONTH('Faturado mensal'!M$2,0))</f>
        <v>0</v>
      </c>
      <c r="N125" s="9">
        <f>SUMIFS(#REF!,#REF!,
$A125,#REF!,
"&gt;="&amp;'Faturado mensal'!N$2,#REF!,
"&lt;"&amp;EOMONTH('Faturado mensal'!N$2,0))</f>
        <v>0</v>
      </c>
      <c r="O125" s="9">
        <f>SUMIFS(#REF!,#REF!,
$A125,#REF!,
"&gt;="&amp;'Faturado mensal'!O$2,#REF!,
"&lt;"&amp;EOMONTH('Faturado mensal'!O$2,0))</f>
        <v>0</v>
      </c>
      <c r="P125" s="9">
        <f>SUMIFS(#REF!,#REF!,
$A125,#REF!,
"&gt;="&amp;'Faturado mensal'!P$2,#REF!,
"&lt;"&amp;EOMONTH('Faturado mensal'!P$2,0))</f>
        <v>0</v>
      </c>
      <c r="Q125" s="9">
        <f>SUMIFS(#REF!,#REF!,
$A125,#REF!,
"&gt;="&amp;'Faturado mensal'!Q$2,#REF!,
"&lt;"&amp;EOMONTH('Faturado mensal'!Q$2,0))</f>
        <v>0</v>
      </c>
      <c r="R125" s="9">
        <f>SUMIFS(#REF!,#REF!,
$A125,#REF!,
"&gt;="&amp;'Faturado mensal'!R$2,#REF!,
"&lt;"&amp;EOMONTH('Faturado mensal'!R$2,0))</f>
        <v>0</v>
      </c>
      <c r="S125" s="9">
        <f>SUMIFS(#REF!,#REF!,
$A125,#REF!,
"&gt;="&amp;'Faturado mensal'!S$2,#REF!,
"&lt;"&amp;EOMONTH('Faturado mensal'!S$2,0))</f>
        <v>0</v>
      </c>
      <c r="T125" s="9">
        <f>SUMIFS(#REF!,#REF!,
$A125,#REF!,
"&gt;="&amp;'Faturado mensal'!T$2,#REF!,
"&lt;"&amp;EOMONTH('Faturado mensal'!T$2,0))</f>
        <v>0</v>
      </c>
      <c r="U125" s="9">
        <f>SUMIFS(#REF!,#REF!,
$A125,#REF!,
"&gt;="&amp;'Faturado mensal'!U$2,#REF!,
"&lt;"&amp;EOMONTH('Faturado mensal'!U$2,0))</f>
        <v>0</v>
      </c>
      <c r="V125" s="9">
        <f>SUMIFS(#REF!,#REF!,
$A125,#REF!,
"&gt;="&amp;'Faturado mensal'!V$2,#REF!,
"&lt;"&amp;EOMONTH('Faturado mensal'!V$2,0))</f>
        <v>0</v>
      </c>
      <c r="W125" s="9">
        <f>SUMIFS(#REF!,#REF!,
$A125,#REF!,
"&gt;="&amp;'Faturado mensal'!W$2,#REF!,
"&lt;"&amp;EOMONTH('Faturado mensal'!W$2,0))</f>
        <v>0</v>
      </c>
      <c r="X125" s="9">
        <f>SUMIFS(#REF!,#REF!,
$A125,#REF!,
"&gt;="&amp;'Faturado mensal'!X$2,#REF!,
"&lt;"&amp;EOMONTH('Faturado mensal'!X$2,0))</f>
        <v>0</v>
      </c>
      <c r="Y125" s="11">
        <f>SUMIFS(#REF!,#REF!,
$A125,#REF!,
"&gt;="&amp;'Faturado mensal'!M$2,#REF!,
"&lt;"&amp;EOMONTH('Faturado mensal'!M$2,12))</f>
        <v>0</v>
      </c>
      <c r="Z125" s="9">
        <f>SUMIFS(#REF!,#REF!,
$A125,#REF!,
"&gt;="&amp;'Faturado mensal'!Z$2,#REF!,
"&lt;"&amp;EOMONTH('Faturado mensal'!Z$2,0))</f>
        <v>0</v>
      </c>
      <c r="AA125" s="9">
        <f>SUMIFS(#REF!,#REF!,
$A125,#REF!,
"&gt;="&amp;'Faturado mensal'!AA$2,#REF!,
"&lt;"&amp;EOMONTH('Faturado mensal'!AA$2,0))</f>
        <v>0</v>
      </c>
      <c r="AB125" s="9">
        <f>SUMIFS(#REF!,#REF!,
$A125,#REF!,
"&gt;="&amp;'Faturado mensal'!AB$2,#REF!,
"&lt;"&amp;EOMONTH('Faturado mensal'!AB$2,0))</f>
        <v>0</v>
      </c>
      <c r="AC125" s="9">
        <f>SUMIFS(#REF!,#REF!,
$A125,#REF!,
"&gt;="&amp;'Faturado mensal'!AC$2,#REF!,
"&lt;"&amp;EOMONTH('Faturado mensal'!AC$2,0))</f>
        <v>0</v>
      </c>
      <c r="AD125" s="9">
        <f>SUMIFS(#REF!,#REF!,
$A125,#REF!,
"&gt;="&amp;'Faturado mensal'!AD$2,#REF!,
"&lt;"&amp;EOMONTH('Faturado mensal'!AD$2,0))</f>
        <v>0</v>
      </c>
      <c r="AE125" s="9">
        <f>SUMIFS(#REF!,#REF!,
$A125,#REF!,
"&gt;="&amp;'Faturado mensal'!AE$2,#REF!,
"&lt;"&amp;EOMONTH('Faturado mensal'!AE$2,0))</f>
        <v>0</v>
      </c>
      <c r="AF125" s="9">
        <f>SUMIFS(#REF!,#REF!,
$A125,#REF!,
"&gt;="&amp;'Faturado mensal'!AF$2,#REF!,
"&lt;"&amp;EOMONTH('Faturado mensal'!AF$2,0))</f>
        <v>0</v>
      </c>
      <c r="AG125" s="9">
        <f>SUMIFS(#REF!,#REF!,
$A125,#REF!,
"&gt;="&amp;'Faturado mensal'!AG$2,#REF!,
"&lt;"&amp;EOMONTH('Faturado mensal'!AG$2,0))</f>
        <v>0</v>
      </c>
      <c r="AH125" s="9">
        <f>SUMIFS(#REF!,#REF!,
$A125,#REF!,
"&gt;="&amp;'Faturado mensal'!AH$2,#REF!,
"&lt;"&amp;EOMONTH('Faturado mensal'!AH$2,0))</f>
        <v>0</v>
      </c>
      <c r="AI125" s="9">
        <f>SUMIFS(#REF!,#REF!,
$A125,#REF!,
"&gt;="&amp;'Faturado mensal'!AI$2,#REF!,
"&lt;"&amp;EOMONTH('Faturado mensal'!AI$2,0))</f>
        <v>0</v>
      </c>
      <c r="AJ125" s="9">
        <f>SUMIFS(#REF!,#REF!,
$A125,#REF!,
"&gt;="&amp;'Faturado mensal'!AJ$2,#REF!,
"&lt;"&amp;EOMONTH('Faturado mensal'!AJ$2,0))</f>
        <v>0</v>
      </c>
      <c r="AK125" s="9">
        <f>SUMIFS(#REF!,#REF!,
$A125,#REF!,
"&gt;="&amp;'Faturado mensal'!AK$2,#REF!,
"&lt;"&amp;EOMONTH('Faturado mensal'!AK$2,0))</f>
        <v>0</v>
      </c>
      <c r="AL125" s="9">
        <f>SUMIFS(#REF!,#REF!,
$A125,#REF!,
"&gt;="&amp;Z$2,#REF!,
"&lt;"&amp;EOMONTH(AK$2,0))</f>
        <v>0</v>
      </c>
    </row>
    <row r="126" spans="1:38" x14ac:dyDescent="0.3">
      <c r="A126" t="s">
        <v>361</v>
      </c>
      <c r="B126" t="s">
        <v>355</v>
      </c>
      <c r="C126" t="s">
        <v>143</v>
      </c>
      <c r="D126" t="s">
        <v>204</v>
      </c>
      <c r="E126" t="s">
        <v>4834</v>
      </c>
      <c r="F126" t="s">
        <v>4776</v>
      </c>
      <c r="G126" t="s">
        <v>4853</v>
      </c>
      <c r="H126" t="s">
        <v>4771</v>
      </c>
      <c r="I126" t="s">
        <v>143</v>
      </c>
      <c r="J126" t="s">
        <v>710</v>
      </c>
      <c r="K126" t="s">
        <v>711</v>
      </c>
      <c r="L126" t="s">
        <v>712</v>
      </c>
      <c r="M126" s="9">
        <f>SUMIFS(#REF!,#REF!,
$A126,#REF!,
"&gt;="&amp;'Faturado mensal'!M$2,#REF!,
"&lt;"&amp;EOMONTH('Faturado mensal'!M$2,0))</f>
        <v>0</v>
      </c>
      <c r="N126" s="9">
        <f>SUMIFS(#REF!,#REF!,
$A126,#REF!,
"&gt;="&amp;'Faturado mensal'!N$2,#REF!,
"&lt;"&amp;EOMONTH('Faturado mensal'!N$2,0))</f>
        <v>0</v>
      </c>
      <c r="O126" s="9">
        <f>SUMIFS(#REF!,#REF!,
$A126,#REF!,
"&gt;="&amp;'Faturado mensal'!O$2,#REF!,
"&lt;"&amp;EOMONTH('Faturado mensal'!O$2,0))</f>
        <v>0</v>
      </c>
      <c r="P126" s="9">
        <f>SUMIFS(#REF!,#REF!,
$A126,#REF!,
"&gt;="&amp;'Faturado mensal'!P$2,#REF!,
"&lt;"&amp;EOMONTH('Faturado mensal'!P$2,0))</f>
        <v>2160</v>
      </c>
      <c r="Q126" s="9">
        <f>SUMIFS(#REF!,#REF!,
$A126,#REF!,
"&gt;="&amp;'Faturado mensal'!Q$2,#REF!,
"&lt;"&amp;EOMONTH('Faturado mensal'!Q$2,0))</f>
        <v>0</v>
      </c>
      <c r="R126" s="9">
        <f>SUMIFS(#REF!,#REF!,
$A126,#REF!,
"&gt;="&amp;'Faturado mensal'!R$2,#REF!,
"&lt;"&amp;EOMONTH('Faturado mensal'!R$2,0))</f>
        <v>0</v>
      </c>
      <c r="S126" s="9">
        <f>SUMIFS(#REF!,#REF!,
$A126,#REF!,
"&gt;="&amp;'Faturado mensal'!S$2,#REF!,
"&lt;"&amp;EOMONTH('Faturado mensal'!S$2,0))</f>
        <v>0</v>
      </c>
      <c r="T126" s="9">
        <f>SUMIFS(#REF!,#REF!,
$A126,#REF!,
"&gt;="&amp;'Faturado mensal'!T$2,#REF!,
"&lt;"&amp;EOMONTH('Faturado mensal'!T$2,0))</f>
        <v>0</v>
      </c>
      <c r="U126" s="9">
        <f>SUMIFS(#REF!,#REF!,
$A126,#REF!,
"&gt;="&amp;'Faturado mensal'!U$2,#REF!,
"&lt;"&amp;EOMONTH('Faturado mensal'!U$2,0))</f>
        <v>0</v>
      </c>
      <c r="V126" s="9">
        <f>SUMIFS(#REF!,#REF!,
$A126,#REF!,
"&gt;="&amp;'Faturado mensal'!V$2,#REF!,
"&lt;"&amp;EOMONTH('Faturado mensal'!V$2,0))</f>
        <v>2880</v>
      </c>
      <c r="W126" s="9">
        <f>SUMIFS(#REF!,#REF!,
$A126,#REF!,
"&gt;="&amp;'Faturado mensal'!W$2,#REF!,
"&lt;"&amp;EOMONTH('Faturado mensal'!W$2,0))</f>
        <v>2320</v>
      </c>
      <c r="X126" s="9">
        <f>SUMIFS(#REF!,#REF!,
$A126,#REF!,
"&gt;="&amp;'Faturado mensal'!X$2,#REF!,
"&lt;"&amp;EOMONTH('Faturado mensal'!X$2,0))</f>
        <v>0</v>
      </c>
      <c r="Y126" s="11">
        <f>SUMIFS(#REF!,#REF!,
$A126,#REF!,
"&gt;="&amp;'Faturado mensal'!M$2,#REF!,
"&lt;"&amp;EOMONTH('Faturado mensal'!M$2,12))</f>
        <v>7360</v>
      </c>
      <c r="Z126" s="9">
        <f>SUMIFS(#REF!,#REF!,
$A126,#REF!,
"&gt;="&amp;'Faturado mensal'!Z$2,#REF!,
"&lt;"&amp;EOMONTH('Faturado mensal'!Z$2,0))</f>
        <v>0</v>
      </c>
      <c r="AA126" s="9">
        <f>SUMIFS(#REF!,#REF!,
$A126,#REF!,
"&gt;="&amp;'Faturado mensal'!AA$2,#REF!,
"&lt;"&amp;EOMONTH('Faturado mensal'!AA$2,0))</f>
        <v>0</v>
      </c>
      <c r="AB126" s="9">
        <f>SUMIFS(#REF!,#REF!,
$A126,#REF!,
"&gt;="&amp;'Faturado mensal'!AB$2,#REF!,
"&lt;"&amp;EOMONTH('Faturado mensal'!AB$2,0))</f>
        <v>0</v>
      </c>
      <c r="AC126" s="9">
        <f>SUMIFS(#REF!,#REF!,
$A126,#REF!,
"&gt;="&amp;'Faturado mensal'!AC$2,#REF!,
"&lt;"&amp;EOMONTH('Faturado mensal'!AC$2,0))</f>
        <v>0</v>
      </c>
      <c r="AD126" s="9">
        <f>SUMIFS(#REF!,#REF!,
$A126,#REF!,
"&gt;="&amp;'Faturado mensal'!AD$2,#REF!,
"&lt;"&amp;EOMONTH('Faturado mensal'!AD$2,0))</f>
        <v>2317</v>
      </c>
      <c r="AE126" s="9">
        <f>SUMIFS(#REF!,#REF!,
$A126,#REF!,
"&gt;="&amp;'Faturado mensal'!AE$2,#REF!,
"&lt;"&amp;EOMONTH('Faturado mensal'!AE$2,0))</f>
        <v>0</v>
      </c>
      <c r="AF126" s="9">
        <f>SUMIFS(#REF!,#REF!,
$A126,#REF!,
"&gt;="&amp;'Faturado mensal'!AF$2,#REF!,
"&lt;"&amp;EOMONTH('Faturado mensal'!AF$2,0))</f>
        <v>0</v>
      </c>
      <c r="AG126" s="9">
        <f>SUMIFS(#REF!,#REF!,
$A126,#REF!,
"&gt;="&amp;'Faturado mensal'!AG$2,#REF!,
"&lt;"&amp;EOMONTH('Faturado mensal'!AG$2,0))</f>
        <v>0</v>
      </c>
      <c r="AH126" s="9">
        <f>SUMIFS(#REF!,#REF!,
$A126,#REF!,
"&gt;="&amp;'Faturado mensal'!AH$2,#REF!,
"&lt;"&amp;EOMONTH('Faturado mensal'!AH$2,0))</f>
        <v>0</v>
      </c>
      <c r="AI126" s="9">
        <f>SUMIFS(#REF!,#REF!,
$A126,#REF!,
"&gt;="&amp;'Faturado mensal'!AI$2,#REF!,
"&lt;"&amp;EOMONTH('Faturado mensal'!AI$2,0))</f>
        <v>0</v>
      </c>
      <c r="AJ126" s="9">
        <f>SUMIFS(#REF!,#REF!,
$A126,#REF!,
"&gt;="&amp;'Faturado mensal'!AJ$2,#REF!,
"&lt;"&amp;EOMONTH('Faturado mensal'!AJ$2,0))</f>
        <v>0</v>
      </c>
      <c r="AK126" s="9">
        <f>SUMIFS(#REF!,#REF!,
$A126,#REF!,
"&gt;="&amp;'Faturado mensal'!AK$2,#REF!,
"&lt;"&amp;EOMONTH('Faturado mensal'!AK$2,0))</f>
        <v>0</v>
      </c>
      <c r="AL126" s="9">
        <f>SUMIFS(#REF!,#REF!,
$A126,#REF!,
"&gt;="&amp;Z$2,#REF!,
"&lt;"&amp;EOMONTH(AK$2,0))</f>
        <v>2317</v>
      </c>
    </row>
    <row r="127" spans="1:38" x14ac:dyDescent="0.3">
      <c r="A127" t="s">
        <v>362</v>
      </c>
      <c r="B127" t="s">
        <v>270</v>
      </c>
      <c r="C127" t="s">
        <v>82</v>
      </c>
      <c r="D127" t="s">
        <v>209</v>
      </c>
      <c r="I127" t="s">
        <v>82</v>
      </c>
      <c r="J127" t="s">
        <v>710</v>
      </c>
      <c r="K127" t="s">
        <v>711</v>
      </c>
      <c r="L127" t="s">
        <v>712</v>
      </c>
      <c r="M127" s="9">
        <f>SUMIFS(#REF!,#REF!,
$A127,#REF!,
"&gt;="&amp;'Faturado mensal'!M$2,#REF!,
"&lt;"&amp;EOMONTH('Faturado mensal'!M$2,0))</f>
        <v>1882</v>
      </c>
      <c r="N127" s="9">
        <f>SUMIFS(#REF!,#REF!,
$A127,#REF!,
"&gt;="&amp;'Faturado mensal'!N$2,#REF!,
"&lt;"&amp;EOMONTH('Faturado mensal'!N$2,0))</f>
        <v>1882</v>
      </c>
      <c r="O127" s="9">
        <f>SUMIFS(#REF!,#REF!,
$A127,#REF!,
"&gt;="&amp;'Faturado mensal'!O$2,#REF!,
"&lt;"&amp;EOMONTH('Faturado mensal'!O$2,0))</f>
        <v>1882</v>
      </c>
      <c r="P127" s="9">
        <f>SUMIFS(#REF!,#REF!,
$A127,#REF!,
"&gt;="&amp;'Faturado mensal'!P$2,#REF!,
"&lt;"&amp;EOMONTH('Faturado mensal'!P$2,0))</f>
        <v>1882</v>
      </c>
      <c r="Q127" s="9">
        <f>SUMIFS(#REF!,#REF!,
$A127,#REF!,
"&gt;="&amp;'Faturado mensal'!Q$2,#REF!,
"&lt;"&amp;EOMONTH('Faturado mensal'!Q$2,0))</f>
        <v>0</v>
      </c>
      <c r="R127" s="9">
        <f>SUMIFS(#REF!,#REF!,
$A127,#REF!,
"&gt;="&amp;'Faturado mensal'!R$2,#REF!,
"&lt;"&amp;EOMONTH('Faturado mensal'!R$2,0))</f>
        <v>0</v>
      </c>
      <c r="S127" s="9">
        <f>SUMIFS(#REF!,#REF!,
$A127,#REF!,
"&gt;="&amp;'Faturado mensal'!S$2,#REF!,
"&lt;"&amp;EOMONTH('Faturado mensal'!S$2,0))</f>
        <v>0</v>
      </c>
      <c r="T127" s="9">
        <f>SUMIFS(#REF!,#REF!,
$A127,#REF!,
"&gt;="&amp;'Faturado mensal'!T$2,#REF!,
"&lt;"&amp;EOMONTH('Faturado mensal'!T$2,0))</f>
        <v>3764</v>
      </c>
      <c r="U127" s="9">
        <f>SUMIFS(#REF!,#REF!,
$A127,#REF!,
"&gt;="&amp;'Faturado mensal'!U$2,#REF!,
"&lt;"&amp;EOMONTH('Faturado mensal'!U$2,0))</f>
        <v>0</v>
      </c>
      <c r="V127" s="9">
        <f>SUMIFS(#REF!,#REF!,
$A127,#REF!,
"&gt;="&amp;'Faturado mensal'!V$2,#REF!,
"&lt;"&amp;EOMONTH('Faturado mensal'!V$2,0))</f>
        <v>0</v>
      </c>
      <c r="W127" s="9">
        <f>SUMIFS(#REF!,#REF!,
$A127,#REF!,
"&gt;="&amp;'Faturado mensal'!W$2,#REF!,
"&lt;"&amp;EOMONTH('Faturado mensal'!W$2,0))</f>
        <v>0</v>
      </c>
      <c r="X127" s="9">
        <f>SUMIFS(#REF!,#REF!,
$A127,#REF!,
"&gt;="&amp;'Faturado mensal'!X$2,#REF!,
"&lt;"&amp;EOMONTH('Faturado mensal'!X$2,0))</f>
        <v>0</v>
      </c>
      <c r="Y127" s="11">
        <f>SUMIFS(#REF!,#REF!,
$A127,#REF!,
"&gt;="&amp;'Faturado mensal'!M$2,#REF!,
"&lt;"&amp;EOMONTH('Faturado mensal'!M$2,12))</f>
        <v>11292</v>
      </c>
      <c r="Z127" s="9">
        <f>SUMIFS(#REF!,#REF!,
$A127,#REF!,
"&gt;="&amp;'Faturado mensal'!Z$2,#REF!,
"&lt;"&amp;EOMONTH('Faturado mensal'!Z$2,0))</f>
        <v>0</v>
      </c>
      <c r="AA127" s="9">
        <f>SUMIFS(#REF!,#REF!,
$A127,#REF!,
"&gt;="&amp;'Faturado mensal'!AA$2,#REF!,
"&lt;"&amp;EOMONTH('Faturado mensal'!AA$2,0))</f>
        <v>0</v>
      </c>
      <c r="AB127" s="9">
        <f>SUMIFS(#REF!,#REF!,
$A127,#REF!,
"&gt;="&amp;'Faturado mensal'!AB$2,#REF!,
"&lt;"&amp;EOMONTH('Faturado mensal'!AB$2,0))</f>
        <v>0</v>
      </c>
      <c r="AC127" s="9">
        <f>SUMIFS(#REF!,#REF!,
$A127,#REF!,
"&gt;="&amp;'Faturado mensal'!AC$2,#REF!,
"&lt;"&amp;EOMONTH('Faturado mensal'!AC$2,0))</f>
        <v>0</v>
      </c>
      <c r="AD127" s="9">
        <f>SUMIFS(#REF!,#REF!,
$A127,#REF!,
"&gt;="&amp;'Faturado mensal'!AD$2,#REF!,
"&lt;"&amp;EOMONTH('Faturado mensal'!AD$2,0))</f>
        <v>0</v>
      </c>
      <c r="AE127" s="9">
        <f>SUMIFS(#REF!,#REF!,
$A127,#REF!,
"&gt;="&amp;'Faturado mensal'!AE$2,#REF!,
"&lt;"&amp;EOMONTH('Faturado mensal'!AE$2,0))</f>
        <v>0</v>
      </c>
      <c r="AF127" s="9">
        <f>SUMIFS(#REF!,#REF!,
$A127,#REF!,
"&gt;="&amp;'Faturado mensal'!AF$2,#REF!,
"&lt;"&amp;EOMONTH('Faturado mensal'!AF$2,0))</f>
        <v>0</v>
      </c>
      <c r="AG127" s="9">
        <f>SUMIFS(#REF!,#REF!,
$A127,#REF!,
"&gt;="&amp;'Faturado mensal'!AG$2,#REF!,
"&lt;"&amp;EOMONTH('Faturado mensal'!AG$2,0))</f>
        <v>0</v>
      </c>
      <c r="AH127" s="9">
        <f>SUMIFS(#REF!,#REF!,
$A127,#REF!,
"&gt;="&amp;'Faturado mensal'!AH$2,#REF!,
"&lt;"&amp;EOMONTH('Faturado mensal'!AH$2,0))</f>
        <v>0</v>
      </c>
      <c r="AI127" s="9">
        <f>SUMIFS(#REF!,#REF!,
$A127,#REF!,
"&gt;="&amp;'Faturado mensal'!AI$2,#REF!,
"&lt;"&amp;EOMONTH('Faturado mensal'!AI$2,0))</f>
        <v>0</v>
      </c>
      <c r="AJ127" s="9">
        <f>SUMIFS(#REF!,#REF!,
$A127,#REF!,
"&gt;="&amp;'Faturado mensal'!AJ$2,#REF!,
"&lt;"&amp;EOMONTH('Faturado mensal'!AJ$2,0))</f>
        <v>0</v>
      </c>
      <c r="AK127" s="9">
        <f>SUMIFS(#REF!,#REF!,
$A127,#REF!,
"&gt;="&amp;'Faturado mensal'!AK$2,#REF!,
"&lt;"&amp;EOMONTH('Faturado mensal'!AK$2,0))</f>
        <v>0</v>
      </c>
      <c r="AL127" s="9">
        <f>SUMIFS(#REF!,#REF!,
$A127,#REF!,
"&gt;="&amp;Z$2,#REF!,
"&lt;"&amp;EOMONTH(AK$2,0))</f>
        <v>0</v>
      </c>
    </row>
    <row r="128" spans="1:38" x14ac:dyDescent="0.3">
      <c r="A128" t="s">
        <v>363</v>
      </c>
      <c r="B128" t="s">
        <v>364</v>
      </c>
      <c r="C128" t="s">
        <v>72</v>
      </c>
      <c r="D128" t="s">
        <v>209</v>
      </c>
      <c r="E128" t="s">
        <v>4834</v>
      </c>
      <c r="F128" t="s">
        <v>4776</v>
      </c>
      <c r="G128" t="s">
        <v>4853</v>
      </c>
      <c r="H128" t="s">
        <v>4773</v>
      </c>
      <c r="I128" t="s">
        <v>72</v>
      </c>
      <c r="J128" t="s">
        <v>710</v>
      </c>
      <c r="K128" t="s">
        <v>711</v>
      </c>
      <c r="L128" t="s">
        <v>712</v>
      </c>
      <c r="M128" s="9">
        <f>SUMIFS(#REF!,#REF!,
$A128,#REF!,
"&gt;="&amp;'Faturado mensal'!M$2,#REF!,
"&lt;"&amp;EOMONTH('Faturado mensal'!M$2,0))</f>
        <v>4800</v>
      </c>
      <c r="N128" s="9">
        <f>SUMIFS(#REF!,#REF!,
$A128,#REF!,
"&gt;="&amp;'Faturado mensal'!N$2,#REF!,
"&lt;"&amp;EOMONTH('Faturado mensal'!N$2,0))</f>
        <v>4800</v>
      </c>
      <c r="O128" s="9">
        <f>SUMIFS(#REF!,#REF!,
$A128,#REF!,
"&gt;="&amp;'Faturado mensal'!O$2,#REF!,
"&lt;"&amp;EOMONTH('Faturado mensal'!O$2,0))</f>
        <v>4800</v>
      </c>
      <c r="P128" s="9">
        <f>SUMIFS(#REF!,#REF!,
$A128,#REF!,
"&gt;="&amp;'Faturado mensal'!P$2,#REF!,
"&lt;"&amp;EOMONTH('Faturado mensal'!P$2,0))</f>
        <v>5192</v>
      </c>
      <c r="Q128" s="9">
        <f>SUMIFS(#REF!,#REF!,
$A128,#REF!,
"&gt;="&amp;'Faturado mensal'!Q$2,#REF!,
"&lt;"&amp;EOMONTH('Faturado mensal'!Q$2,0))</f>
        <v>6490</v>
      </c>
      <c r="R128" s="9">
        <f>SUMIFS(#REF!,#REF!,
$A128,#REF!,
"&gt;="&amp;'Faturado mensal'!R$2,#REF!,
"&lt;"&amp;EOMONTH('Faturado mensal'!R$2,0))</f>
        <v>5192</v>
      </c>
      <c r="S128" s="9">
        <f>SUMIFS(#REF!,#REF!,
$A128,#REF!,
"&gt;="&amp;'Faturado mensal'!S$2,#REF!,
"&lt;"&amp;EOMONTH('Faturado mensal'!S$2,0))</f>
        <v>7788</v>
      </c>
      <c r="T128" s="9">
        <f>SUMIFS(#REF!,#REF!,
$A128,#REF!,
"&gt;="&amp;'Faturado mensal'!T$2,#REF!,
"&lt;"&amp;EOMONTH('Faturado mensal'!T$2,0))</f>
        <v>9735</v>
      </c>
      <c r="U128" s="9">
        <f>SUMIFS(#REF!,#REF!,
$A128,#REF!,
"&gt;="&amp;'Faturado mensal'!U$2,#REF!,
"&lt;"&amp;EOMONTH('Faturado mensal'!U$2,0))</f>
        <v>7788</v>
      </c>
      <c r="V128" s="9">
        <f>SUMIFS(#REF!,#REF!,
$A128,#REF!,
"&gt;="&amp;'Faturado mensal'!V$2,#REF!,
"&lt;"&amp;EOMONTH('Faturado mensal'!V$2,0))</f>
        <v>9735</v>
      </c>
      <c r="W128" s="9">
        <f>SUMIFS(#REF!,#REF!,
$A128,#REF!,
"&gt;="&amp;'Faturado mensal'!W$2,#REF!,
"&lt;"&amp;EOMONTH('Faturado mensal'!W$2,0))</f>
        <v>0</v>
      </c>
      <c r="X128" s="9">
        <f>SUMIFS(#REF!,#REF!,
$A128,#REF!,
"&gt;="&amp;'Faturado mensal'!X$2,#REF!,
"&lt;"&amp;EOMONTH('Faturado mensal'!X$2,0))</f>
        <v>7788</v>
      </c>
      <c r="Y128" s="11">
        <f>SUMIFS(#REF!,#REF!,
$A128,#REF!,
"&gt;="&amp;'Faturado mensal'!M$2,#REF!,
"&lt;"&amp;EOMONTH('Faturado mensal'!M$2,12))</f>
        <v>87737</v>
      </c>
      <c r="Z128" s="9">
        <f>SUMIFS(#REF!,#REF!,
$A128,#REF!,
"&gt;="&amp;'Faturado mensal'!Z$2,#REF!,
"&lt;"&amp;EOMONTH('Faturado mensal'!Z$2,0))</f>
        <v>13629</v>
      </c>
      <c r="AA128" s="9">
        <f>SUMIFS(#REF!,#REF!,
$A128,#REF!,
"&gt;="&amp;'Faturado mensal'!AA$2,#REF!,
"&lt;"&amp;EOMONTH('Faturado mensal'!AA$2,0))</f>
        <v>7788</v>
      </c>
      <c r="AB128" s="9">
        <f>SUMIFS(#REF!,#REF!,
$A128,#REF!,
"&gt;="&amp;'Faturado mensal'!AB$2,#REF!,
"&lt;"&amp;EOMONTH('Faturado mensal'!AB$2,0))</f>
        <v>5526</v>
      </c>
      <c r="AC128" s="9">
        <f>SUMIFS(#REF!,#REF!,
$A128,#REF!,
"&gt;="&amp;'Faturado mensal'!AC$2,#REF!,
"&lt;"&amp;EOMONTH('Faturado mensal'!AC$2,0))</f>
        <v>0</v>
      </c>
      <c r="AD128" s="9">
        <f>SUMIFS(#REF!,#REF!,
$A128,#REF!,
"&gt;="&amp;'Faturado mensal'!AD$2,#REF!,
"&lt;"&amp;EOMONTH('Faturado mensal'!AD$2,0))</f>
        <v>0</v>
      </c>
      <c r="AE128" s="9">
        <f>SUMIFS(#REF!,#REF!,
$A128,#REF!,
"&gt;="&amp;'Faturado mensal'!AE$2,#REF!,
"&lt;"&amp;EOMONTH('Faturado mensal'!AE$2,0))</f>
        <v>0</v>
      </c>
      <c r="AF128" s="9">
        <f>SUMIFS(#REF!,#REF!,
$A128,#REF!,
"&gt;="&amp;'Faturado mensal'!AF$2,#REF!,
"&lt;"&amp;EOMONTH('Faturado mensal'!AF$2,0))</f>
        <v>0</v>
      </c>
      <c r="AG128" s="9">
        <f>SUMIFS(#REF!,#REF!,
$A128,#REF!,
"&gt;="&amp;'Faturado mensal'!AG$2,#REF!,
"&lt;"&amp;EOMONTH('Faturado mensal'!AG$2,0))</f>
        <v>0</v>
      </c>
      <c r="AH128" s="9">
        <f>SUMIFS(#REF!,#REF!,
$A128,#REF!,
"&gt;="&amp;'Faturado mensal'!AH$2,#REF!,
"&lt;"&amp;EOMONTH('Faturado mensal'!AH$2,0))</f>
        <v>0</v>
      </c>
      <c r="AI128" s="9">
        <f>SUMIFS(#REF!,#REF!,
$A128,#REF!,
"&gt;="&amp;'Faturado mensal'!AI$2,#REF!,
"&lt;"&amp;EOMONTH('Faturado mensal'!AI$2,0))</f>
        <v>0</v>
      </c>
      <c r="AJ128" s="9">
        <f>SUMIFS(#REF!,#REF!,
$A128,#REF!,
"&gt;="&amp;'Faturado mensal'!AJ$2,#REF!,
"&lt;"&amp;EOMONTH('Faturado mensal'!AJ$2,0))</f>
        <v>0</v>
      </c>
      <c r="AK128" s="9">
        <f>SUMIFS(#REF!,#REF!,
$A128,#REF!,
"&gt;="&amp;'Faturado mensal'!AK$2,#REF!,
"&lt;"&amp;EOMONTH('Faturado mensal'!AK$2,0))</f>
        <v>0</v>
      </c>
      <c r="AL128" s="9">
        <f>SUMIFS(#REF!,#REF!,
$A128,#REF!,
"&gt;="&amp;Z$2,#REF!,
"&lt;"&amp;EOMONTH(AK$2,0))</f>
        <v>26943</v>
      </c>
    </row>
    <row r="129" spans="1:38" x14ac:dyDescent="0.3">
      <c r="A129" t="s">
        <v>365</v>
      </c>
      <c r="B129" t="s">
        <v>312</v>
      </c>
      <c r="C129" t="s">
        <v>73</v>
      </c>
      <c r="D129" t="s">
        <v>204</v>
      </c>
      <c r="E129" t="s">
        <v>4834</v>
      </c>
      <c r="F129" t="s">
        <v>1006</v>
      </c>
      <c r="G129" t="s">
        <v>4856</v>
      </c>
      <c r="H129" t="s">
        <v>4773</v>
      </c>
      <c r="I129" t="s">
        <v>73</v>
      </c>
      <c r="J129" t="s">
        <v>710</v>
      </c>
      <c r="K129" t="s">
        <v>748</v>
      </c>
      <c r="L129" t="s">
        <v>749</v>
      </c>
      <c r="M129" s="9">
        <f>SUMIFS(#REF!,#REF!,
$A129,#REF!,
"&gt;="&amp;'Faturado mensal'!M$2,#REF!,
"&lt;"&amp;EOMONTH('Faturado mensal'!M$2,0))</f>
        <v>2255</v>
      </c>
      <c r="N129" s="9">
        <f>SUMIFS(#REF!,#REF!,
$A129,#REF!,
"&gt;="&amp;'Faturado mensal'!N$2,#REF!,
"&lt;"&amp;EOMONTH('Faturado mensal'!N$2,0))</f>
        <v>2255</v>
      </c>
      <c r="O129" s="9">
        <f>SUMIFS(#REF!,#REF!,
$A129,#REF!,
"&gt;="&amp;'Faturado mensal'!O$2,#REF!,
"&lt;"&amp;EOMONTH('Faturado mensal'!O$2,0))</f>
        <v>2255</v>
      </c>
      <c r="P129" s="9">
        <f>SUMIFS(#REF!,#REF!,
$A129,#REF!,
"&gt;="&amp;'Faturado mensal'!P$2,#REF!,
"&lt;"&amp;EOMONTH('Faturado mensal'!P$2,0))</f>
        <v>2255</v>
      </c>
      <c r="Q129" s="9">
        <f>SUMIFS(#REF!,#REF!,
$A129,#REF!,
"&gt;="&amp;'Faturado mensal'!Q$2,#REF!,
"&lt;"&amp;EOMONTH('Faturado mensal'!Q$2,0))</f>
        <v>2255</v>
      </c>
      <c r="R129" s="9">
        <f>SUMIFS(#REF!,#REF!,
$A129,#REF!,
"&gt;="&amp;'Faturado mensal'!R$2,#REF!,
"&lt;"&amp;EOMONTH('Faturado mensal'!R$2,0))</f>
        <v>2255</v>
      </c>
      <c r="S129" s="9">
        <f>SUMIFS(#REF!,#REF!,
$A129,#REF!,
"&gt;="&amp;'Faturado mensal'!S$2,#REF!,
"&lt;"&amp;EOMONTH('Faturado mensal'!S$2,0))</f>
        <v>2255</v>
      </c>
      <c r="T129" s="9">
        <f>SUMIFS(#REF!,#REF!,
$A129,#REF!,
"&gt;="&amp;'Faturado mensal'!T$2,#REF!,
"&lt;"&amp;EOMONTH('Faturado mensal'!T$2,0))</f>
        <v>2255</v>
      </c>
      <c r="U129" s="9">
        <f>SUMIFS(#REF!,#REF!,
$A129,#REF!,
"&gt;="&amp;'Faturado mensal'!U$2,#REF!,
"&lt;"&amp;EOMONTH('Faturado mensal'!U$2,0))</f>
        <v>2255</v>
      </c>
      <c r="V129" s="9">
        <f>SUMIFS(#REF!,#REF!,
$A129,#REF!,
"&gt;="&amp;'Faturado mensal'!V$2,#REF!,
"&lt;"&amp;EOMONTH('Faturado mensal'!V$2,0))</f>
        <v>2255</v>
      </c>
      <c r="W129" s="9">
        <f>SUMIFS(#REF!,#REF!,
$A129,#REF!,
"&gt;="&amp;'Faturado mensal'!W$2,#REF!,
"&lt;"&amp;EOMONTH('Faturado mensal'!W$2,0))</f>
        <v>2255</v>
      </c>
      <c r="X129" s="9">
        <f>SUMIFS(#REF!,#REF!,
$A129,#REF!,
"&gt;="&amp;'Faturado mensal'!X$2,#REF!,
"&lt;"&amp;EOMONTH('Faturado mensal'!X$2,0))</f>
        <v>2255</v>
      </c>
      <c r="Y129" s="11">
        <f>SUMIFS(#REF!,#REF!,
$A129,#REF!,
"&gt;="&amp;'Faturado mensal'!M$2,#REF!,
"&lt;"&amp;EOMONTH('Faturado mensal'!M$2,12))</f>
        <v>29421</v>
      </c>
      <c r="Z129" s="9">
        <f>SUMIFS(#REF!,#REF!,
$A129,#REF!,
"&gt;="&amp;'Faturado mensal'!Z$2,#REF!,
"&lt;"&amp;EOMONTH('Faturado mensal'!Z$2,0))</f>
        <v>2361</v>
      </c>
      <c r="AA129" s="9">
        <f>SUMIFS(#REF!,#REF!,
$A129,#REF!,
"&gt;="&amp;'Faturado mensal'!AA$2,#REF!,
"&lt;"&amp;EOMONTH('Faturado mensal'!AA$2,0))</f>
        <v>2361</v>
      </c>
      <c r="AB129" s="9">
        <f>SUMIFS(#REF!,#REF!,
$A129,#REF!,
"&gt;="&amp;'Faturado mensal'!AB$2,#REF!,
"&lt;"&amp;EOMONTH('Faturado mensal'!AB$2,0))</f>
        <v>2361</v>
      </c>
      <c r="AC129" s="9">
        <f>SUMIFS(#REF!,#REF!,
$A129,#REF!,
"&gt;="&amp;'Faturado mensal'!AC$2,#REF!,
"&lt;"&amp;EOMONTH('Faturado mensal'!AC$2,0))</f>
        <v>2361</v>
      </c>
      <c r="AD129" s="9">
        <f>SUMIFS(#REF!,#REF!,
$A129,#REF!,
"&gt;="&amp;'Faturado mensal'!AD$2,#REF!,
"&lt;"&amp;EOMONTH('Faturado mensal'!AD$2,0))</f>
        <v>2361</v>
      </c>
      <c r="AE129" s="9">
        <f>SUMIFS(#REF!,#REF!,
$A129,#REF!,
"&gt;="&amp;'Faturado mensal'!AE$2,#REF!,
"&lt;"&amp;EOMONTH('Faturado mensal'!AE$2,0))</f>
        <v>2361</v>
      </c>
      <c r="AF129" s="9">
        <f>SUMIFS(#REF!,#REF!,
$A129,#REF!,
"&gt;="&amp;'Faturado mensal'!AF$2,#REF!,
"&lt;"&amp;EOMONTH('Faturado mensal'!AF$2,0))</f>
        <v>0</v>
      </c>
      <c r="AG129" s="9">
        <f>SUMIFS(#REF!,#REF!,
$A129,#REF!,
"&gt;="&amp;'Faturado mensal'!AG$2,#REF!,
"&lt;"&amp;EOMONTH('Faturado mensal'!AG$2,0))</f>
        <v>0</v>
      </c>
      <c r="AH129" s="9">
        <f>SUMIFS(#REF!,#REF!,
$A129,#REF!,
"&gt;="&amp;'Faturado mensal'!AH$2,#REF!,
"&lt;"&amp;EOMONTH('Faturado mensal'!AH$2,0))</f>
        <v>0</v>
      </c>
      <c r="AI129" s="9">
        <f>SUMIFS(#REF!,#REF!,
$A129,#REF!,
"&gt;="&amp;'Faturado mensal'!AI$2,#REF!,
"&lt;"&amp;EOMONTH('Faturado mensal'!AI$2,0))</f>
        <v>0</v>
      </c>
      <c r="AJ129" s="9">
        <f>SUMIFS(#REF!,#REF!,
$A129,#REF!,
"&gt;="&amp;'Faturado mensal'!AJ$2,#REF!,
"&lt;"&amp;EOMONTH('Faturado mensal'!AJ$2,0))</f>
        <v>0</v>
      </c>
      <c r="AK129" s="9">
        <f>SUMIFS(#REF!,#REF!,
$A129,#REF!,
"&gt;="&amp;'Faturado mensal'!AK$2,#REF!,
"&lt;"&amp;EOMONTH('Faturado mensal'!AK$2,0))</f>
        <v>0</v>
      </c>
      <c r="AL129" s="9">
        <f>SUMIFS(#REF!,#REF!,
$A129,#REF!,
"&gt;="&amp;Z$2,#REF!,
"&lt;"&amp;EOMONTH(AK$2,0))</f>
        <v>14166</v>
      </c>
    </row>
    <row r="130" spans="1:38" x14ac:dyDescent="0.3">
      <c r="A130" t="s">
        <v>366</v>
      </c>
      <c r="B130" t="s">
        <v>349</v>
      </c>
      <c r="C130" t="s">
        <v>9</v>
      </c>
      <c r="D130" t="s">
        <v>209</v>
      </c>
      <c r="I130" t="s">
        <v>9</v>
      </c>
      <c r="J130" t="s">
        <v>710</v>
      </c>
      <c r="K130" t="s">
        <v>748</v>
      </c>
      <c r="L130" t="s">
        <v>749</v>
      </c>
      <c r="M130" s="9">
        <f>SUMIFS(#REF!,#REF!,
$A130,#REF!,
"&gt;="&amp;'Faturado mensal'!M$2,#REF!,
"&lt;"&amp;EOMONTH('Faturado mensal'!M$2,0))</f>
        <v>0</v>
      </c>
      <c r="N130" s="9">
        <f>SUMIFS(#REF!,#REF!,
$A130,#REF!,
"&gt;="&amp;'Faturado mensal'!N$2,#REF!,
"&lt;"&amp;EOMONTH('Faturado mensal'!N$2,0))</f>
        <v>0</v>
      </c>
      <c r="O130" s="9">
        <f>SUMIFS(#REF!,#REF!,
$A130,#REF!,
"&gt;="&amp;'Faturado mensal'!O$2,#REF!,
"&lt;"&amp;EOMONTH('Faturado mensal'!O$2,0))</f>
        <v>0</v>
      </c>
      <c r="P130" s="9">
        <f>SUMIFS(#REF!,#REF!,
$A130,#REF!,
"&gt;="&amp;'Faturado mensal'!P$2,#REF!,
"&lt;"&amp;EOMONTH('Faturado mensal'!P$2,0))</f>
        <v>0</v>
      </c>
      <c r="Q130" s="9">
        <f>SUMIFS(#REF!,#REF!,
$A130,#REF!,
"&gt;="&amp;'Faturado mensal'!Q$2,#REF!,
"&lt;"&amp;EOMONTH('Faturado mensal'!Q$2,0))</f>
        <v>0</v>
      </c>
      <c r="R130" s="9">
        <f>SUMIFS(#REF!,#REF!,
$A130,#REF!,
"&gt;="&amp;'Faturado mensal'!R$2,#REF!,
"&lt;"&amp;EOMONTH('Faturado mensal'!R$2,0))</f>
        <v>0</v>
      </c>
      <c r="S130" s="9">
        <f>SUMIFS(#REF!,#REF!,
$A130,#REF!,
"&gt;="&amp;'Faturado mensal'!S$2,#REF!,
"&lt;"&amp;EOMONTH('Faturado mensal'!S$2,0))</f>
        <v>0</v>
      </c>
      <c r="T130" s="9">
        <f>SUMIFS(#REF!,#REF!,
$A130,#REF!,
"&gt;="&amp;'Faturado mensal'!T$2,#REF!,
"&lt;"&amp;EOMONTH('Faturado mensal'!T$2,0))</f>
        <v>0</v>
      </c>
      <c r="U130" s="9">
        <f>SUMIFS(#REF!,#REF!,
$A130,#REF!,
"&gt;="&amp;'Faturado mensal'!U$2,#REF!,
"&lt;"&amp;EOMONTH('Faturado mensal'!U$2,0))</f>
        <v>0</v>
      </c>
      <c r="V130" s="9">
        <f>SUMIFS(#REF!,#REF!,
$A130,#REF!,
"&gt;="&amp;'Faturado mensal'!V$2,#REF!,
"&lt;"&amp;EOMONTH('Faturado mensal'!V$2,0))</f>
        <v>0</v>
      </c>
      <c r="W130" s="9">
        <f>SUMIFS(#REF!,#REF!,
$A130,#REF!,
"&gt;="&amp;'Faturado mensal'!W$2,#REF!,
"&lt;"&amp;EOMONTH('Faturado mensal'!W$2,0))</f>
        <v>0</v>
      </c>
      <c r="X130" s="9">
        <f>SUMIFS(#REF!,#REF!,
$A130,#REF!,
"&gt;="&amp;'Faturado mensal'!X$2,#REF!,
"&lt;"&amp;EOMONTH('Faturado mensal'!X$2,0))</f>
        <v>0</v>
      </c>
      <c r="Y130" s="11">
        <f>SUMIFS(#REF!,#REF!,
$A130,#REF!,
"&gt;="&amp;'Faturado mensal'!M$2,#REF!,
"&lt;"&amp;EOMONTH('Faturado mensal'!M$2,12))</f>
        <v>0</v>
      </c>
      <c r="Z130" s="9">
        <f>SUMIFS(#REF!,#REF!,
$A130,#REF!,
"&gt;="&amp;'Faturado mensal'!Z$2,#REF!,
"&lt;"&amp;EOMONTH('Faturado mensal'!Z$2,0))</f>
        <v>0</v>
      </c>
      <c r="AA130" s="9">
        <f>SUMIFS(#REF!,#REF!,
$A130,#REF!,
"&gt;="&amp;'Faturado mensal'!AA$2,#REF!,
"&lt;"&amp;EOMONTH('Faturado mensal'!AA$2,0))</f>
        <v>0</v>
      </c>
      <c r="AB130" s="9">
        <f>SUMIFS(#REF!,#REF!,
$A130,#REF!,
"&gt;="&amp;'Faturado mensal'!AB$2,#REF!,
"&lt;"&amp;EOMONTH('Faturado mensal'!AB$2,0))</f>
        <v>0</v>
      </c>
      <c r="AC130" s="9">
        <f>SUMIFS(#REF!,#REF!,
$A130,#REF!,
"&gt;="&amp;'Faturado mensal'!AC$2,#REF!,
"&lt;"&amp;EOMONTH('Faturado mensal'!AC$2,0))</f>
        <v>0</v>
      </c>
      <c r="AD130" s="9">
        <f>SUMIFS(#REF!,#REF!,
$A130,#REF!,
"&gt;="&amp;'Faturado mensal'!AD$2,#REF!,
"&lt;"&amp;EOMONTH('Faturado mensal'!AD$2,0))</f>
        <v>0</v>
      </c>
      <c r="AE130" s="9">
        <f>SUMIFS(#REF!,#REF!,
$A130,#REF!,
"&gt;="&amp;'Faturado mensal'!AE$2,#REF!,
"&lt;"&amp;EOMONTH('Faturado mensal'!AE$2,0))</f>
        <v>0</v>
      </c>
      <c r="AF130" s="9">
        <f>SUMIFS(#REF!,#REF!,
$A130,#REF!,
"&gt;="&amp;'Faturado mensal'!AF$2,#REF!,
"&lt;"&amp;EOMONTH('Faturado mensal'!AF$2,0))</f>
        <v>0</v>
      </c>
      <c r="AG130" s="9">
        <f>SUMIFS(#REF!,#REF!,
$A130,#REF!,
"&gt;="&amp;'Faturado mensal'!AG$2,#REF!,
"&lt;"&amp;EOMONTH('Faturado mensal'!AG$2,0))</f>
        <v>0</v>
      </c>
      <c r="AH130" s="9">
        <f>SUMIFS(#REF!,#REF!,
$A130,#REF!,
"&gt;="&amp;'Faturado mensal'!AH$2,#REF!,
"&lt;"&amp;EOMONTH('Faturado mensal'!AH$2,0))</f>
        <v>0</v>
      </c>
      <c r="AI130" s="9">
        <f>SUMIFS(#REF!,#REF!,
$A130,#REF!,
"&gt;="&amp;'Faturado mensal'!AI$2,#REF!,
"&lt;"&amp;EOMONTH('Faturado mensal'!AI$2,0))</f>
        <v>0</v>
      </c>
      <c r="AJ130" s="9">
        <f>SUMIFS(#REF!,#REF!,
$A130,#REF!,
"&gt;="&amp;'Faturado mensal'!AJ$2,#REF!,
"&lt;"&amp;EOMONTH('Faturado mensal'!AJ$2,0))</f>
        <v>0</v>
      </c>
      <c r="AK130" s="9">
        <f>SUMIFS(#REF!,#REF!,
$A130,#REF!,
"&gt;="&amp;'Faturado mensal'!AK$2,#REF!,
"&lt;"&amp;EOMONTH('Faturado mensal'!AK$2,0))</f>
        <v>0</v>
      </c>
      <c r="AL130" s="9">
        <f>SUMIFS(#REF!,#REF!,
$A130,#REF!,
"&gt;="&amp;Z$2,#REF!,
"&lt;"&amp;EOMONTH(AK$2,0))</f>
        <v>0</v>
      </c>
    </row>
    <row r="131" spans="1:38" x14ac:dyDescent="0.3">
      <c r="A131" t="s">
        <v>367</v>
      </c>
      <c r="B131" t="s">
        <v>368</v>
      </c>
      <c r="C131" t="s">
        <v>198</v>
      </c>
      <c r="D131" t="s">
        <v>209</v>
      </c>
      <c r="I131" t="s">
        <v>829</v>
      </c>
      <c r="J131" t="s">
        <v>818</v>
      </c>
      <c r="K131" t="s">
        <v>711</v>
      </c>
      <c r="L131" t="s">
        <v>712</v>
      </c>
      <c r="M131" s="9">
        <f>SUMIFS(#REF!,#REF!,
$A131,#REF!,
"&gt;="&amp;'Faturado mensal'!M$2,#REF!,
"&lt;"&amp;EOMONTH('Faturado mensal'!M$2,0))</f>
        <v>0</v>
      </c>
      <c r="N131" s="9">
        <f>SUMIFS(#REF!,#REF!,
$A131,#REF!,
"&gt;="&amp;'Faturado mensal'!N$2,#REF!,
"&lt;"&amp;EOMONTH('Faturado mensal'!N$2,0))</f>
        <v>0</v>
      </c>
      <c r="O131" s="9">
        <f>SUMIFS(#REF!,#REF!,
$A131,#REF!,
"&gt;="&amp;'Faturado mensal'!O$2,#REF!,
"&lt;"&amp;EOMONTH('Faturado mensal'!O$2,0))</f>
        <v>0</v>
      </c>
      <c r="P131" s="9">
        <f>SUMIFS(#REF!,#REF!,
$A131,#REF!,
"&gt;="&amp;'Faturado mensal'!P$2,#REF!,
"&lt;"&amp;EOMONTH('Faturado mensal'!P$2,0))</f>
        <v>0</v>
      </c>
      <c r="Q131" s="9">
        <f>SUMIFS(#REF!,#REF!,
$A131,#REF!,
"&gt;="&amp;'Faturado mensal'!Q$2,#REF!,
"&lt;"&amp;EOMONTH('Faturado mensal'!Q$2,0))</f>
        <v>0</v>
      </c>
      <c r="R131" s="9">
        <f>SUMIFS(#REF!,#REF!,
$A131,#REF!,
"&gt;="&amp;'Faturado mensal'!R$2,#REF!,
"&lt;"&amp;EOMONTH('Faturado mensal'!R$2,0))</f>
        <v>0</v>
      </c>
      <c r="S131" s="9">
        <f>SUMIFS(#REF!,#REF!,
$A131,#REF!,
"&gt;="&amp;'Faturado mensal'!S$2,#REF!,
"&lt;"&amp;EOMONTH('Faturado mensal'!S$2,0))</f>
        <v>0</v>
      </c>
      <c r="T131" s="9">
        <f>SUMIFS(#REF!,#REF!,
$A131,#REF!,
"&gt;="&amp;'Faturado mensal'!T$2,#REF!,
"&lt;"&amp;EOMONTH('Faturado mensal'!T$2,0))</f>
        <v>0</v>
      </c>
      <c r="U131" s="9">
        <f>SUMIFS(#REF!,#REF!,
$A131,#REF!,
"&gt;="&amp;'Faturado mensal'!U$2,#REF!,
"&lt;"&amp;EOMONTH('Faturado mensal'!U$2,0))</f>
        <v>0</v>
      </c>
      <c r="V131" s="9">
        <f>SUMIFS(#REF!,#REF!,
$A131,#REF!,
"&gt;="&amp;'Faturado mensal'!V$2,#REF!,
"&lt;"&amp;EOMONTH('Faturado mensal'!V$2,0))</f>
        <v>0</v>
      </c>
      <c r="W131" s="9">
        <f>SUMIFS(#REF!,#REF!,
$A131,#REF!,
"&gt;="&amp;'Faturado mensal'!W$2,#REF!,
"&lt;"&amp;EOMONTH('Faturado mensal'!W$2,0))</f>
        <v>0</v>
      </c>
      <c r="X131" s="9">
        <f>SUMIFS(#REF!,#REF!,
$A131,#REF!,
"&gt;="&amp;'Faturado mensal'!X$2,#REF!,
"&lt;"&amp;EOMONTH('Faturado mensal'!X$2,0))</f>
        <v>0</v>
      </c>
      <c r="Y131" s="11">
        <f>SUMIFS(#REF!,#REF!,
$A131,#REF!,
"&gt;="&amp;'Faturado mensal'!M$2,#REF!,
"&lt;"&amp;EOMONTH('Faturado mensal'!M$2,12))</f>
        <v>0</v>
      </c>
      <c r="Z131" s="9">
        <f>SUMIFS(#REF!,#REF!,
$A131,#REF!,
"&gt;="&amp;'Faturado mensal'!Z$2,#REF!,
"&lt;"&amp;EOMONTH('Faturado mensal'!Z$2,0))</f>
        <v>0</v>
      </c>
      <c r="AA131" s="9">
        <f>SUMIFS(#REF!,#REF!,
$A131,#REF!,
"&gt;="&amp;'Faturado mensal'!AA$2,#REF!,
"&lt;"&amp;EOMONTH('Faturado mensal'!AA$2,0))</f>
        <v>0</v>
      </c>
      <c r="AB131" s="9">
        <f>SUMIFS(#REF!,#REF!,
$A131,#REF!,
"&gt;="&amp;'Faturado mensal'!AB$2,#REF!,
"&lt;"&amp;EOMONTH('Faturado mensal'!AB$2,0))</f>
        <v>0</v>
      </c>
      <c r="AC131" s="9">
        <f>SUMIFS(#REF!,#REF!,
$A131,#REF!,
"&gt;="&amp;'Faturado mensal'!AC$2,#REF!,
"&lt;"&amp;EOMONTH('Faturado mensal'!AC$2,0))</f>
        <v>0</v>
      </c>
      <c r="AD131" s="9">
        <f>SUMIFS(#REF!,#REF!,
$A131,#REF!,
"&gt;="&amp;'Faturado mensal'!AD$2,#REF!,
"&lt;"&amp;EOMONTH('Faturado mensal'!AD$2,0))</f>
        <v>0</v>
      </c>
      <c r="AE131" s="9">
        <f>SUMIFS(#REF!,#REF!,
$A131,#REF!,
"&gt;="&amp;'Faturado mensal'!AE$2,#REF!,
"&lt;"&amp;EOMONTH('Faturado mensal'!AE$2,0))</f>
        <v>0</v>
      </c>
      <c r="AF131" s="9">
        <f>SUMIFS(#REF!,#REF!,
$A131,#REF!,
"&gt;="&amp;'Faturado mensal'!AF$2,#REF!,
"&lt;"&amp;EOMONTH('Faturado mensal'!AF$2,0))</f>
        <v>0</v>
      </c>
      <c r="AG131" s="9">
        <f>SUMIFS(#REF!,#REF!,
$A131,#REF!,
"&gt;="&amp;'Faturado mensal'!AG$2,#REF!,
"&lt;"&amp;EOMONTH('Faturado mensal'!AG$2,0))</f>
        <v>0</v>
      </c>
      <c r="AH131" s="9">
        <f>SUMIFS(#REF!,#REF!,
$A131,#REF!,
"&gt;="&amp;'Faturado mensal'!AH$2,#REF!,
"&lt;"&amp;EOMONTH('Faturado mensal'!AH$2,0))</f>
        <v>0</v>
      </c>
      <c r="AI131" s="9">
        <f>SUMIFS(#REF!,#REF!,
$A131,#REF!,
"&gt;="&amp;'Faturado mensal'!AI$2,#REF!,
"&lt;"&amp;EOMONTH('Faturado mensal'!AI$2,0))</f>
        <v>0</v>
      </c>
      <c r="AJ131" s="9">
        <f>SUMIFS(#REF!,#REF!,
$A131,#REF!,
"&gt;="&amp;'Faturado mensal'!AJ$2,#REF!,
"&lt;"&amp;EOMONTH('Faturado mensal'!AJ$2,0))</f>
        <v>0</v>
      </c>
      <c r="AK131" s="9">
        <f>SUMIFS(#REF!,#REF!,
$A131,#REF!,
"&gt;="&amp;'Faturado mensal'!AK$2,#REF!,
"&lt;"&amp;EOMONTH('Faturado mensal'!AK$2,0))</f>
        <v>0</v>
      </c>
      <c r="AL131" s="9">
        <f>SUMIFS(#REF!,#REF!,
$A131,#REF!,
"&gt;="&amp;Z$2,#REF!,
"&lt;"&amp;EOMONTH(AK$2,0))</f>
        <v>0</v>
      </c>
    </row>
    <row r="132" spans="1:38" x14ac:dyDescent="0.3">
      <c r="A132" t="s">
        <v>830</v>
      </c>
      <c r="B132" t="s">
        <v>243</v>
      </c>
      <c r="C132" t="s">
        <v>61</v>
      </c>
      <c r="D132" t="s">
        <v>204</v>
      </c>
      <c r="E132" t="s">
        <v>4834</v>
      </c>
      <c r="F132" t="s">
        <v>4805</v>
      </c>
      <c r="G132" t="s">
        <v>4853</v>
      </c>
      <c r="I132" t="s">
        <v>61</v>
      </c>
      <c r="J132" t="s">
        <v>710</v>
      </c>
      <c r="K132" t="s">
        <v>711</v>
      </c>
      <c r="L132" t="s">
        <v>712</v>
      </c>
      <c r="M132" s="9">
        <f>SUMIFS(#REF!,#REF!,
$A132,#REF!,
"&gt;="&amp;'Faturado mensal'!M$2,#REF!,
"&lt;"&amp;EOMONTH('Faturado mensal'!M$2,0))</f>
        <v>0</v>
      </c>
      <c r="N132" s="9">
        <f>SUMIFS(#REF!,#REF!,
$A132,#REF!,
"&gt;="&amp;'Faturado mensal'!N$2,#REF!,
"&lt;"&amp;EOMONTH('Faturado mensal'!N$2,0))</f>
        <v>0</v>
      </c>
      <c r="O132" s="9">
        <f>SUMIFS(#REF!,#REF!,
$A132,#REF!,
"&gt;="&amp;'Faturado mensal'!O$2,#REF!,
"&lt;"&amp;EOMONTH('Faturado mensal'!O$2,0))</f>
        <v>0</v>
      </c>
      <c r="P132" s="9">
        <f>SUMIFS(#REF!,#REF!,
$A132,#REF!,
"&gt;="&amp;'Faturado mensal'!P$2,#REF!,
"&lt;"&amp;EOMONTH('Faturado mensal'!P$2,0))</f>
        <v>0</v>
      </c>
      <c r="Q132" s="9">
        <f>SUMIFS(#REF!,#REF!,
$A132,#REF!,
"&gt;="&amp;'Faturado mensal'!Q$2,#REF!,
"&lt;"&amp;EOMONTH('Faturado mensal'!Q$2,0))</f>
        <v>0</v>
      </c>
      <c r="R132" s="9">
        <f>SUMIFS(#REF!,#REF!,
$A132,#REF!,
"&gt;="&amp;'Faturado mensal'!R$2,#REF!,
"&lt;"&amp;EOMONTH('Faturado mensal'!R$2,0))</f>
        <v>0</v>
      </c>
      <c r="S132" s="9">
        <f>SUMIFS(#REF!,#REF!,
$A132,#REF!,
"&gt;="&amp;'Faturado mensal'!S$2,#REF!,
"&lt;"&amp;EOMONTH('Faturado mensal'!S$2,0))</f>
        <v>0</v>
      </c>
      <c r="T132" s="9">
        <f>SUMIFS(#REF!,#REF!,
$A132,#REF!,
"&gt;="&amp;'Faturado mensal'!T$2,#REF!,
"&lt;"&amp;EOMONTH('Faturado mensal'!T$2,0))</f>
        <v>0</v>
      </c>
      <c r="U132" s="9">
        <f>SUMIFS(#REF!,#REF!,
$A132,#REF!,
"&gt;="&amp;'Faturado mensal'!U$2,#REF!,
"&lt;"&amp;EOMONTH('Faturado mensal'!U$2,0))</f>
        <v>0</v>
      </c>
      <c r="V132" s="9">
        <f>SUMIFS(#REF!,#REF!,
$A132,#REF!,
"&gt;="&amp;'Faturado mensal'!V$2,#REF!,
"&lt;"&amp;EOMONTH('Faturado mensal'!V$2,0))</f>
        <v>0</v>
      </c>
      <c r="W132" s="9">
        <f>SUMIFS(#REF!,#REF!,
$A132,#REF!,
"&gt;="&amp;'Faturado mensal'!W$2,#REF!,
"&lt;"&amp;EOMONTH('Faturado mensal'!W$2,0))</f>
        <v>0</v>
      </c>
      <c r="X132" s="9">
        <f>SUMIFS(#REF!,#REF!,
$A132,#REF!,
"&gt;="&amp;'Faturado mensal'!X$2,#REF!,
"&lt;"&amp;EOMONTH('Faturado mensal'!X$2,0))</f>
        <v>0</v>
      </c>
      <c r="Y132" s="11">
        <f>SUMIFS(#REF!,#REF!,
$A132,#REF!,
"&gt;="&amp;'Faturado mensal'!M$2,#REF!,
"&lt;"&amp;EOMONTH('Faturado mensal'!M$2,12))</f>
        <v>0</v>
      </c>
      <c r="Z132" s="9">
        <f>SUMIFS(#REF!,#REF!,
$A132,#REF!,
"&gt;="&amp;'Faturado mensal'!Z$2,#REF!,
"&lt;"&amp;EOMONTH('Faturado mensal'!Z$2,0))</f>
        <v>0</v>
      </c>
      <c r="AA132" s="9">
        <f>SUMIFS(#REF!,#REF!,
$A132,#REF!,
"&gt;="&amp;'Faturado mensal'!AA$2,#REF!,
"&lt;"&amp;EOMONTH('Faturado mensal'!AA$2,0))</f>
        <v>0</v>
      </c>
      <c r="AB132" s="9">
        <f>SUMIFS(#REF!,#REF!,
$A132,#REF!,
"&gt;="&amp;'Faturado mensal'!AB$2,#REF!,
"&lt;"&amp;EOMONTH('Faturado mensal'!AB$2,0))</f>
        <v>0</v>
      </c>
      <c r="AC132" s="9">
        <f>SUMIFS(#REF!,#REF!,
$A132,#REF!,
"&gt;="&amp;'Faturado mensal'!AC$2,#REF!,
"&lt;"&amp;EOMONTH('Faturado mensal'!AC$2,0))</f>
        <v>0</v>
      </c>
      <c r="AD132" s="9">
        <f>SUMIFS(#REF!,#REF!,
$A132,#REF!,
"&gt;="&amp;'Faturado mensal'!AD$2,#REF!,
"&lt;"&amp;EOMONTH('Faturado mensal'!AD$2,0))</f>
        <v>0</v>
      </c>
      <c r="AE132" s="9">
        <f>SUMIFS(#REF!,#REF!,
$A132,#REF!,
"&gt;="&amp;'Faturado mensal'!AE$2,#REF!,
"&lt;"&amp;EOMONTH('Faturado mensal'!AE$2,0))</f>
        <v>0</v>
      </c>
      <c r="AF132" s="9">
        <f>SUMIFS(#REF!,#REF!,
$A132,#REF!,
"&gt;="&amp;'Faturado mensal'!AF$2,#REF!,
"&lt;"&amp;EOMONTH('Faturado mensal'!AF$2,0))</f>
        <v>0</v>
      </c>
      <c r="AG132" s="9">
        <f>SUMIFS(#REF!,#REF!,
$A132,#REF!,
"&gt;="&amp;'Faturado mensal'!AG$2,#REF!,
"&lt;"&amp;EOMONTH('Faturado mensal'!AG$2,0))</f>
        <v>0</v>
      </c>
      <c r="AH132" s="9">
        <f>SUMIFS(#REF!,#REF!,
$A132,#REF!,
"&gt;="&amp;'Faturado mensal'!AH$2,#REF!,
"&lt;"&amp;EOMONTH('Faturado mensal'!AH$2,0))</f>
        <v>0</v>
      </c>
      <c r="AI132" s="9">
        <f>SUMIFS(#REF!,#REF!,
$A132,#REF!,
"&gt;="&amp;'Faturado mensal'!AI$2,#REF!,
"&lt;"&amp;EOMONTH('Faturado mensal'!AI$2,0))</f>
        <v>0</v>
      </c>
      <c r="AJ132" s="9">
        <f>SUMIFS(#REF!,#REF!,
$A132,#REF!,
"&gt;="&amp;'Faturado mensal'!AJ$2,#REF!,
"&lt;"&amp;EOMONTH('Faturado mensal'!AJ$2,0))</f>
        <v>0</v>
      </c>
      <c r="AK132" s="9">
        <f>SUMIFS(#REF!,#REF!,
$A132,#REF!,
"&gt;="&amp;'Faturado mensal'!AK$2,#REF!,
"&lt;"&amp;EOMONTH('Faturado mensal'!AK$2,0))</f>
        <v>0</v>
      </c>
      <c r="AL132" s="9">
        <f>SUMIFS(#REF!,#REF!,
$A132,#REF!,
"&gt;="&amp;Z$2,#REF!,
"&lt;"&amp;EOMONTH(AK$2,0))</f>
        <v>0</v>
      </c>
    </row>
    <row r="133" spans="1:38" x14ac:dyDescent="0.3">
      <c r="A133" t="s">
        <v>369</v>
      </c>
      <c r="B133" t="s">
        <v>370</v>
      </c>
      <c r="C133" t="s">
        <v>115</v>
      </c>
      <c r="D133" t="s">
        <v>209</v>
      </c>
      <c r="I133" t="s">
        <v>831</v>
      </c>
      <c r="J133" t="s">
        <v>719</v>
      </c>
      <c r="K133" t="s">
        <v>720</v>
      </c>
      <c r="L133" t="s">
        <v>721</v>
      </c>
      <c r="M133" s="9">
        <f>SUMIFS(#REF!,#REF!,
$A133,#REF!,
"&gt;="&amp;'Faturado mensal'!M$2,#REF!,
"&lt;"&amp;EOMONTH('Faturado mensal'!M$2,0))</f>
        <v>0</v>
      </c>
      <c r="N133" s="9">
        <f>SUMIFS(#REF!,#REF!,
$A133,#REF!,
"&gt;="&amp;'Faturado mensal'!N$2,#REF!,
"&lt;"&amp;EOMONTH('Faturado mensal'!N$2,0))</f>
        <v>0</v>
      </c>
      <c r="O133" s="9">
        <f>SUMIFS(#REF!,#REF!,
$A133,#REF!,
"&gt;="&amp;'Faturado mensal'!O$2,#REF!,
"&lt;"&amp;EOMONTH('Faturado mensal'!O$2,0))</f>
        <v>0</v>
      </c>
      <c r="P133" s="9">
        <f>SUMIFS(#REF!,#REF!,
$A133,#REF!,
"&gt;="&amp;'Faturado mensal'!P$2,#REF!,
"&lt;"&amp;EOMONTH('Faturado mensal'!P$2,0))</f>
        <v>0</v>
      </c>
      <c r="Q133" s="9">
        <f>SUMIFS(#REF!,#REF!,
$A133,#REF!,
"&gt;="&amp;'Faturado mensal'!Q$2,#REF!,
"&lt;"&amp;EOMONTH('Faturado mensal'!Q$2,0))</f>
        <v>0</v>
      </c>
      <c r="R133" s="9">
        <f>SUMIFS(#REF!,#REF!,
$A133,#REF!,
"&gt;="&amp;'Faturado mensal'!R$2,#REF!,
"&lt;"&amp;EOMONTH('Faturado mensal'!R$2,0))</f>
        <v>0</v>
      </c>
      <c r="S133" s="9">
        <f>SUMIFS(#REF!,#REF!,
$A133,#REF!,
"&gt;="&amp;'Faturado mensal'!S$2,#REF!,
"&lt;"&amp;EOMONTH('Faturado mensal'!S$2,0))</f>
        <v>0</v>
      </c>
      <c r="T133" s="9">
        <f>SUMIFS(#REF!,#REF!,
$A133,#REF!,
"&gt;="&amp;'Faturado mensal'!T$2,#REF!,
"&lt;"&amp;EOMONTH('Faturado mensal'!T$2,0))</f>
        <v>0</v>
      </c>
      <c r="U133" s="9">
        <f>SUMIFS(#REF!,#REF!,
$A133,#REF!,
"&gt;="&amp;'Faturado mensal'!U$2,#REF!,
"&lt;"&amp;EOMONTH('Faturado mensal'!U$2,0))</f>
        <v>0</v>
      </c>
      <c r="V133" s="9">
        <f>SUMIFS(#REF!,#REF!,
$A133,#REF!,
"&gt;="&amp;'Faturado mensal'!V$2,#REF!,
"&lt;"&amp;EOMONTH('Faturado mensal'!V$2,0))</f>
        <v>0</v>
      </c>
      <c r="W133" s="9">
        <f>SUMIFS(#REF!,#REF!,
$A133,#REF!,
"&gt;="&amp;'Faturado mensal'!W$2,#REF!,
"&lt;"&amp;EOMONTH('Faturado mensal'!W$2,0))</f>
        <v>0</v>
      </c>
      <c r="X133" s="9">
        <f>SUMIFS(#REF!,#REF!,
$A133,#REF!,
"&gt;="&amp;'Faturado mensal'!X$2,#REF!,
"&lt;"&amp;EOMONTH('Faturado mensal'!X$2,0))</f>
        <v>0</v>
      </c>
      <c r="Y133" s="11">
        <f>SUMIFS(#REF!,#REF!,
$A133,#REF!,
"&gt;="&amp;'Faturado mensal'!M$2,#REF!,
"&lt;"&amp;EOMONTH('Faturado mensal'!M$2,12))</f>
        <v>0</v>
      </c>
      <c r="Z133" s="9">
        <f>SUMIFS(#REF!,#REF!,
$A133,#REF!,
"&gt;="&amp;'Faturado mensal'!Z$2,#REF!,
"&lt;"&amp;EOMONTH('Faturado mensal'!Z$2,0))</f>
        <v>0</v>
      </c>
      <c r="AA133" s="9">
        <f>SUMIFS(#REF!,#REF!,
$A133,#REF!,
"&gt;="&amp;'Faturado mensal'!AA$2,#REF!,
"&lt;"&amp;EOMONTH('Faturado mensal'!AA$2,0))</f>
        <v>0</v>
      </c>
      <c r="AB133" s="9">
        <f>SUMIFS(#REF!,#REF!,
$A133,#REF!,
"&gt;="&amp;'Faturado mensal'!AB$2,#REF!,
"&lt;"&amp;EOMONTH('Faturado mensal'!AB$2,0))</f>
        <v>0</v>
      </c>
      <c r="AC133" s="9">
        <f>SUMIFS(#REF!,#REF!,
$A133,#REF!,
"&gt;="&amp;'Faturado mensal'!AC$2,#REF!,
"&lt;"&amp;EOMONTH('Faturado mensal'!AC$2,0))</f>
        <v>0</v>
      </c>
      <c r="AD133" s="9">
        <f>SUMIFS(#REF!,#REF!,
$A133,#REF!,
"&gt;="&amp;'Faturado mensal'!AD$2,#REF!,
"&lt;"&amp;EOMONTH('Faturado mensal'!AD$2,0))</f>
        <v>0</v>
      </c>
      <c r="AE133" s="9">
        <f>SUMIFS(#REF!,#REF!,
$A133,#REF!,
"&gt;="&amp;'Faturado mensal'!AE$2,#REF!,
"&lt;"&amp;EOMONTH('Faturado mensal'!AE$2,0))</f>
        <v>0</v>
      </c>
      <c r="AF133" s="9">
        <f>SUMIFS(#REF!,#REF!,
$A133,#REF!,
"&gt;="&amp;'Faturado mensal'!AF$2,#REF!,
"&lt;"&amp;EOMONTH('Faturado mensal'!AF$2,0))</f>
        <v>0</v>
      </c>
      <c r="AG133" s="9">
        <f>SUMIFS(#REF!,#REF!,
$A133,#REF!,
"&gt;="&amp;'Faturado mensal'!AG$2,#REF!,
"&lt;"&amp;EOMONTH('Faturado mensal'!AG$2,0))</f>
        <v>0</v>
      </c>
      <c r="AH133" s="9">
        <f>SUMIFS(#REF!,#REF!,
$A133,#REF!,
"&gt;="&amp;'Faturado mensal'!AH$2,#REF!,
"&lt;"&amp;EOMONTH('Faturado mensal'!AH$2,0))</f>
        <v>0</v>
      </c>
      <c r="AI133" s="9">
        <f>SUMIFS(#REF!,#REF!,
$A133,#REF!,
"&gt;="&amp;'Faturado mensal'!AI$2,#REF!,
"&lt;"&amp;EOMONTH('Faturado mensal'!AI$2,0))</f>
        <v>0</v>
      </c>
      <c r="AJ133" s="9">
        <f>SUMIFS(#REF!,#REF!,
$A133,#REF!,
"&gt;="&amp;'Faturado mensal'!AJ$2,#REF!,
"&lt;"&amp;EOMONTH('Faturado mensal'!AJ$2,0))</f>
        <v>0</v>
      </c>
      <c r="AK133" s="9">
        <f>SUMIFS(#REF!,#REF!,
$A133,#REF!,
"&gt;="&amp;'Faturado mensal'!AK$2,#REF!,
"&lt;"&amp;EOMONTH('Faturado mensal'!AK$2,0))</f>
        <v>0</v>
      </c>
      <c r="AL133" s="9">
        <f>SUMIFS(#REF!,#REF!,
$A133,#REF!,
"&gt;="&amp;Z$2,#REF!,
"&lt;"&amp;EOMONTH(AK$2,0))</f>
        <v>0</v>
      </c>
    </row>
    <row r="134" spans="1:38" x14ac:dyDescent="0.3">
      <c r="A134" t="s">
        <v>371</v>
      </c>
      <c r="B134" t="s">
        <v>372</v>
      </c>
      <c r="C134" t="s">
        <v>105</v>
      </c>
      <c r="D134" t="s">
        <v>209</v>
      </c>
      <c r="E134" t="s">
        <v>4843</v>
      </c>
      <c r="F134" t="s">
        <v>4777</v>
      </c>
      <c r="G134" t="s">
        <v>4858</v>
      </c>
      <c r="H134" t="s">
        <v>4773</v>
      </c>
      <c r="I134" t="s">
        <v>832</v>
      </c>
      <c r="J134" t="s">
        <v>719</v>
      </c>
      <c r="K134" t="s">
        <v>720</v>
      </c>
      <c r="L134" t="s">
        <v>721</v>
      </c>
      <c r="M134" s="9">
        <f>SUMIFS(#REF!,#REF!,
$A134,#REF!,
"&gt;="&amp;'Faturado mensal'!M$2,#REF!,
"&lt;"&amp;EOMONTH('Faturado mensal'!M$2,0))</f>
        <v>2089</v>
      </c>
      <c r="N134" s="9">
        <f>SUMIFS(#REF!,#REF!,
$A134,#REF!,
"&gt;="&amp;'Faturado mensal'!N$2,#REF!,
"&lt;"&amp;EOMONTH('Faturado mensal'!N$2,0))</f>
        <v>9801</v>
      </c>
      <c r="O134" s="9">
        <f>SUMIFS(#REF!,#REF!,
$A134,#REF!,
"&gt;="&amp;'Faturado mensal'!O$2,#REF!,
"&lt;"&amp;EOMONTH('Faturado mensal'!O$2,0))</f>
        <v>5966.4</v>
      </c>
      <c r="P134" s="9">
        <f>SUMIFS(#REF!,#REF!,
$A134,#REF!,
"&gt;="&amp;'Faturado mensal'!P$2,#REF!,
"&lt;"&amp;EOMONTH('Faturado mensal'!P$2,0))</f>
        <v>3861</v>
      </c>
      <c r="Q134" s="9">
        <f>SUMIFS(#REF!,#REF!,
$A134,#REF!,
"&gt;="&amp;'Faturado mensal'!Q$2,#REF!,
"&lt;"&amp;EOMONTH('Faturado mensal'!Q$2,0))</f>
        <v>27056.14</v>
      </c>
      <c r="R134" s="9">
        <f>SUMIFS(#REF!,#REF!,
$A134,#REF!,
"&gt;="&amp;'Faturado mensal'!R$2,#REF!,
"&lt;"&amp;EOMONTH('Faturado mensal'!R$2,0))</f>
        <v>21029</v>
      </c>
      <c r="S134" s="9">
        <f>SUMIFS(#REF!,#REF!,
$A134,#REF!,
"&gt;="&amp;'Faturado mensal'!S$2,#REF!,
"&lt;"&amp;EOMONTH('Faturado mensal'!S$2,0))</f>
        <v>14467</v>
      </c>
      <c r="T134" s="9">
        <f>SUMIFS(#REF!,#REF!,
$A134,#REF!,
"&gt;="&amp;'Faturado mensal'!T$2,#REF!,
"&lt;"&amp;EOMONTH('Faturado mensal'!T$2,0))</f>
        <v>25456</v>
      </c>
      <c r="U134" s="9">
        <f>SUMIFS(#REF!,#REF!,
$A134,#REF!,
"&gt;="&amp;'Faturado mensal'!U$2,#REF!,
"&lt;"&amp;EOMONTH('Faturado mensal'!U$2,0))</f>
        <v>27834.92</v>
      </c>
      <c r="V134" s="9">
        <f>SUMIFS(#REF!,#REF!,
$A134,#REF!,
"&gt;="&amp;'Faturado mensal'!V$2,#REF!,
"&lt;"&amp;EOMONTH('Faturado mensal'!V$2,0))</f>
        <v>9841.2999999999993</v>
      </c>
      <c r="W134" s="9">
        <f>SUMIFS(#REF!,#REF!,
$A134,#REF!,
"&gt;="&amp;'Faturado mensal'!W$2,#REF!,
"&lt;"&amp;EOMONTH('Faturado mensal'!W$2,0))</f>
        <v>0</v>
      </c>
      <c r="X134" s="9">
        <f>SUMIFS(#REF!,#REF!,
$A134,#REF!,
"&gt;="&amp;'Faturado mensal'!X$2,#REF!,
"&lt;"&amp;EOMONTH('Faturado mensal'!X$2,0))</f>
        <v>0</v>
      </c>
      <c r="Y134" s="11">
        <f>SUMIFS(#REF!,#REF!,
$A134,#REF!,
"&gt;="&amp;'Faturado mensal'!M$2,#REF!,
"&lt;"&amp;EOMONTH('Faturado mensal'!M$2,12))</f>
        <v>147401.76</v>
      </c>
      <c r="Z134" s="9">
        <f>SUMIFS(#REF!,#REF!,
$A134,#REF!,
"&gt;="&amp;'Faturado mensal'!Z$2,#REF!,
"&lt;"&amp;EOMONTH('Faturado mensal'!Z$2,0))</f>
        <v>0</v>
      </c>
      <c r="AA134" s="9">
        <f>SUMIFS(#REF!,#REF!,
$A134,#REF!,
"&gt;="&amp;'Faturado mensal'!AA$2,#REF!,
"&lt;"&amp;EOMONTH('Faturado mensal'!AA$2,0))</f>
        <v>0</v>
      </c>
      <c r="AB134" s="9">
        <f>SUMIFS(#REF!,#REF!,
$A134,#REF!,
"&gt;="&amp;'Faturado mensal'!AB$2,#REF!,
"&lt;"&amp;EOMONTH('Faturado mensal'!AB$2,0))</f>
        <v>0</v>
      </c>
      <c r="AC134" s="9">
        <f>SUMIFS(#REF!,#REF!,
$A134,#REF!,
"&gt;="&amp;'Faturado mensal'!AC$2,#REF!,
"&lt;"&amp;EOMONTH('Faturado mensal'!AC$2,0))</f>
        <v>0</v>
      </c>
      <c r="AD134" s="9">
        <f>SUMIFS(#REF!,#REF!,
$A134,#REF!,
"&gt;="&amp;'Faturado mensal'!AD$2,#REF!,
"&lt;"&amp;EOMONTH('Faturado mensal'!AD$2,0))</f>
        <v>0</v>
      </c>
      <c r="AE134" s="9">
        <f>SUMIFS(#REF!,#REF!,
$A134,#REF!,
"&gt;="&amp;'Faturado mensal'!AE$2,#REF!,
"&lt;"&amp;EOMONTH('Faturado mensal'!AE$2,0))</f>
        <v>0</v>
      </c>
      <c r="AF134" s="9">
        <f>SUMIFS(#REF!,#REF!,
$A134,#REF!,
"&gt;="&amp;'Faturado mensal'!AF$2,#REF!,
"&lt;"&amp;EOMONTH('Faturado mensal'!AF$2,0))</f>
        <v>0</v>
      </c>
      <c r="AG134" s="9">
        <f>SUMIFS(#REF!,#REF!,
$A134,#REF!,
"&gt;="&amp;'Faturado mensal'!AG$2,#REF!,
"&lt;"&amp;EOMONTH('Faturado mensal'!AG$2,0))</f>
        <v>0</v>
      </c>
      <c r="AH134" s="9">
        <f>SUMIFS(#REF!,#REF!,
$A134,#REF!,
"&gt;="&amp;'Faturado mensal'!AH$2,#REF!,
"&lt;"&amp;EOMONTH('Faturado mensal'!AH$2,0))</f>
        <v>0</v>
      </c>
      <c r="AI134" s="9">
        <f>SUMIFS(#REF!,#REF!,
$A134,#REF!,
"&gt;="&amp;'Faturado mensal'!AI$2,#REF!,
"&lt;"&amp;EOMONTH('Faturado mensal'!AI$2,0))</f>
        <v>0</v>
      </c>
      <c r="AJ134" s="9">
        <f>SUMIFS(#REF!,#REF!,
$A134,#REF!,
"&gt;="&amp;'Faturado mensal'!AJ$2,#REF!,
"&lt;"&amp;EOMONTH('Faturado mensal'!AJ$2,0))</f>
        <v>0</v>
      </c>
      <c r="AK134" s="9">
        <f>SUMIFS(#REF!,#REF!,
$A134,#REF!,
"&gt;="&amp;'Faturado mensal'!AK$2,#REF!,
"&lt;"&amp;EOMONTH('Faturado mensal'!AK$2,0))</f>
        <v>0</v>
      </c>
      <c r="AL134" s="9">
        <f>SUMIFS(#REF!,#REF!,
$A134,#REF!,
"&gt;="&amp;Z$2,#REF!,
"&lt;"&amp;EOMONTH(AK$2,0))</f>
        <v>0</v>
      </c>
    </row>
    <row r="135" spans="1:38" x14ac:dyDescent="0.3">
      <c r="A135" t="s">
        <v>373</v>
      </c>
      <c r="B135" t="s">
        <v>374</v>
      </c>
      <c r="C135" t="s">
        <v>123</v>
      </c>
      <c r="D135" t="s">
        <v>209</v>
      </c>
      <c r="I135" t="s">
        <v>833</v>
      </c>
      <c r="J135" t="s">
        <v>719</v>
      </c>
      <c r="K135" t="s">
        <v>720</v>
      </c>
      <c r="L135" t="s">
        <v>721</v>
      </c>
      <c r="M135" s="9">
        <f>SUMIFS(#REF!,#REF!,
$A135,#REF!,
"&gt;="&amp;'Faturado mensal'!M$2,#REF!,
"&lt;"&amp;EOMONTH('Faturado mensal'!M$2,0))</f>
        <v>0</v>
      </c>
      <c r="N135" s="9">
        <f>SUMIFS(#REF!,#REF!,
$A135,#REF!,
"&gt;="&amp;'Faturado mensal'!N$2,#REF!,
"&lt;"&amp;EOMONTH('Faturado mensal'!N$2,0))</f>
        <v>0</v>
      </c>
      <c r="O135" s="9">
        <f>SUMIFS(#REF!,#REF!,
$A135,#REF!,
"&gt;="&amp;'Faturado mensal'!O$2,#REF!,
"&lt;"&amp;EOMONTH('Faturado mensal'!O$2,0))</f>
        <v>0</v>
      </c>
      <c r="P135" s="9">
        <f>SUMIFS(#REF!,#REF!,
$A135,#REF!,
"&gt;="&amp;'Faturado mensal'!P$2,#REF!,
"&lt;"&amp;EOMONTH('Faturado mensal'!P$2,0))</f>
        <v>0</v>
      </c>
      <c r="Q135" s="9">
        <f>SUMIFS(#REF!,#REF!,
$A135,#REF!,
"&gt;="&amp;'Faturado mensal'!Q$2,#REF!,
"&lt;"&amp;EOMONTH('Faturado mensal'!Q$2,0))</f>
        <v>0</v>
      </c>
      <c r="R135" s="9">
        <f>SUMIFS(#REF!,#REF!,
$A135,#REF!,
"&gt;="&amp;'Faturado mensal'!R$2,#REF!,
"&lt;"&amp;EOMONTH('Faturado mensal'!R$2,0))</f>
        <v>0</v>
      </c>
      <c r="S135" s="9">
        <f>SUMIFS(#REF!,#REF!,
$A135,#REF!,
"&gt;="&amp;'Faturado mensal'!S$2,#REF!,
"&lt;"&amp;EOMONTH('Faturado mensal'!S$2,0))</f>
        <v>0</v>
      </c>
      <c r="T135" s="9">
        <f>SUMIFS(#REF!,#REF!,
$A135,#REF!,
"&gt;="&amp;'Faturado mensal'!T$2,#REF!,
"&lt;"&amp;EOMONTH('Faturado mensal'!T$2,0))</f>
        <v>0</v>
      </c>
      <c r="U135" s="9">
        <f>SUMIFS(#REF!,#REF!,
$A135,#REF!,
"&gt;="&amp;'Faturado mensal'!U$2,#REF!,
"&lt;"&amp;EOMONTH('Faturado mensal'!U$2,0))</f>
        <v>0</v>
      </c>
      <c r="V135" s="9">
        <f>SUMIFS(#REF!,#REF!,
$A135,#REF!,
"&gt;="&amp;'Faturado mensal'!V$2,#REF!,
"&lt;"&amp;EOMONTH('Faturado mensal'!V$2,0))</f>
        <v>0</v>
      </c>
      <c r="W135" s="9">
        <f>SUMIFS(#REF!,#REF!,
$A135,#REF!,
"&gt;="&amp;'Faturado mensal'!W$2,#REF!,
"&lt;"&amp;EOMONTH('Faturado mensal'!W$2,0))</f>
        <v>0</v>
      </c>
      <c r="X135" s="9">
        <f>SUMIFS(#REF!,#REF!,
$A135,#REF!,
"&gt;="&amp;'Faturado mensal'!X$2,#REF!,
"&lt;"&amp;EOMONTH('Faturado mensal'!X$2,0))</f>
        <v>0</v>
      </c>
      <c r="Y135" s="11">
        <f>SUMIFS(#REF!,#REF!,
$A135,#REF!,
"&gt;="&amp;'Faturado mensal'!M$2,#REF!,
"&lt;"&amp;EOMONTH('Faturado mensal'!M$2,12))</f>
        <v>0</v>
      </c>
      <c r="Z135" s="9">
        <f>SUMIFS(#REF!,#REF!,
$A135,#REF!,
"&gt;="&amp;'Faturado mensal'!Z$2,#REF!,
"&lt;"&amp;EOMONTH('Faturado mensal'!Z$2,0))</f>
        <v>0</v>
      </c>
      <c r="AA135" s="9">
        <f>SUMIFS(#REF!,#REF!,
$A135,#REF!,
"&gt;="&amp;'Faturado mensal'!AA$2,#REF!,
"&lt;"&amp;EOMONTH('Faturado mensal'!AA$2,0))</f>
        <v>0</v>
      </c>
      <c r="AB135" s="9">
        <f>SUMIFS(#REF!,#REF!,
$A135,#REF!,
"&gt;="&amp;'Faturado mensal'!AB$2,#REF!,
"&lt;"&amp;EOMONTH('Faturado mensal'!AB$2,0))</f>
        <v>0</v>
      </c>
      <c r="AC135" s="9">
        <f>SUMIFS(#REF!,#REF!,
$A135,#REF!,
"&gt;="&amp;'Faturado mensal'!AC$2,#REF!,
"&lt;"&amp;EOMONTH('Faturado mensal'!AC$2,0))</f>
        <v>0</v>
      </c>
      <c r="AD135" s="9">
        <f>SUMIFS(#REF!,#REF!,
$A135,#REF!,
"&gt;="&amp;'Faturado mensal'!AD$2,#REF!,
"&lt;"&amp;EOMONTH('Faturado mensal'!AD$2,0))</f>
        <v>0</v>
      </c>
      <c r="AE135" s="9">
        <f>SUMIFS(#REF!,#REF!,
$A135,#REF!,
"&gt;="&amp;'Faturado mensal'!AE$2,#REF!,
"&lt;"&amp;EOMONTH('Faturado mensal'!AE$2,0))</f>
        <v>0</v>
      </c>
      <c r="AF135" s="9">
        <f>SUMIFS(#REF!,#REF!,
$A135,#REF!,
"&gt;="&amp;'Faturado mensal'!AF$2,#REF!,
"&lt;"&amp;EOMONTH('Faturado mensal'!AF$2,0))</f>
        <v>0</v>
      </c>
      <c r="AG135" s="9">
        <f>SUMIFS(#REF!,#REF!,
$A135,#REF!,
"&gt;="&amp;'Faturado mensal'!AG$2,#REF!,
"&lt;"&amp;EOMONTH('Faturado mensal'!AG$2,0))</f>
        <v>0</v>
      </c>
      <c r="AH135" s="9">
        <f>SUMIFS(#REF!,#REF!,
$A135,#REF!,
"&gt;="&amp;'Faturado mensal'!AH$2,#REF!,
"&lt;"&amp;EOMONTH('Faturado mensal'!AH$2,0))</f>
        <v>0</v>
      </c>
      <c r="AI135" s="9">
        <f>SUMIFS(#REF!,#REF!,
$A135,#REF!,
"&gt;="&amp;'Faturado mensal'!AI$2,#REF!,
"&lt;"&amp;EOMONTH('Faturado mensal'!AI$2,0))</f>
        <v>0</v>
      </c>
      <c r="AJ135" s="9">
        <f>SUMIFS(#REF!,#REF!,
$A135,#REF!,
"&gt;="&amp;'Faturado mensal'!AJ$2,#REF!,
"&lt;"&amp;EOMONTH('Faturado mensal'!AJ$2,0))</f>
        <v>0</v>
      </c>
      <c r="AK135" s="9">
        <f>SUMIFS(#REF!,#REF!,
$A135,#REF!,
"&gt;="&amp;'Faturado mensal'!AK$2,#REF!,
"&lt;"&amp;EOMONTH('Faturado mensal'!AK$2,0))</f>
        <v>0</v>
      </c>
      <c r="AL135" s="9">
        <f>SUMIFS(#REF!,#REF!,
$A135,#REF!,
"&gt;="&amp;Z$2,#REF!,
"&lt;"&amp;EOMONTH(AK$2,0))</f>
        <v>0</v>
      </c>
    </row>
    <row r="136" spans="1:38" x14ac:dyDescent="0.3">
      <c r="A136" t="s">
        <v>375</v>
      </c>
      <c r="B136" t="s">
        <v>376</v>
      </c>
      <c r="C136" t="s">
        <v>35</v>
      </c>
      <c r="D136" t="s">
        <v>209</v>
      </c>
      <c r="E136" t="s">
        <v>1037</v>
      </c>
      <c r="F136" t="s">
        <v>4807</v>
      </c>
      <c r="G136" t="s">
        <v>4852</v>
      </c>
      <c r="H136" t="s">
        <v>4771</v>
      </c>
      <c r="I136" t="s">
        <v>35</v>
      </c>
      <c r="J136" t="s">
        <v>710</v>
      </c>
      <c r="K136" t="s">
        <v>717</v>
      </c>
      <c r="L136" t="s">
        <v>718</v>
      </c>
      <c r="M136" s="9">
        <f>SUMIFS(#REF!,#REF!,
$A136,#REF!,
"&gt;="&amp;'Faturado mensal'!M$2,#REF!,
"&lt;"&amp;EOMONTH('Faturado mensal'!M$2,0))</f>
        <v>143642.65</v>
      </c>
      <c r="N136" s="9">
        <f>SUMIFS(#REF!,#REF!,
$A136,#REF!,
"&gt;="&amp;'Faturado mensal'!N$2,#REF!,
"&lt;"&amp;EOMONTH('Faturado mensal'!N$2,0))</f>
        <v>142240.15</v>
      </c>
      <c r="O136" s="9">
        <f>SUMIFS(#REF!,#REF!,
$A136,#REF!,
"&gt;="&amp;'Faturado mensal'!O$2,#REF!,
"&lt;"&amp;EOMONTH('Faturado mensal'!O$2,0))</f>
        <v>137263.5</v>
      </c>
      <c r="P136" s="9">
        <f>SUMIFS(#REF!,#REF!,
$A136,#REF!,
"&gt;="&amp;'Faturado mensal'!P$2,#REF!,
"&lt;"&amp;EOMONTH('Faturado mensal'!P$2,0))</f>
        <v>246.65</v>
      </c>
      <c r="Q136" s="9">
        <f>SUMIFS(#REF!,#REF!,
$A136,#REF!,
"&gt;="&amp;'Faturado mensal'!Q$2,#REF!,
"&lt;"&amp;EOMONTH('Faturado mensal'!Q$2,0))</f>
        <v>138853.98000000001</v>
      </c>
      <c r="R136" s="9">
        <f>SUMIFS(#REF!,#REF!,
$A136,#REF!,
"&gt;="&amp;'Faturado mensal'!R$2,#REF!,
"&lt;"&amp;EOMONTH('Faturado mensal'!R$2,0))</f>
        <v>146732.14000000001</v>
      </c>
      <c r="S136" s="9">
        <f>SUMIFS(#REF!,#REF!,
$A136,#REF!,
"&gt;="&amp;'Faturado mensal'!S$2,#REF!,
"&lt;"&amp;EOMONTH('Faturado mensal'!S$2,0))</f>
        <v>144102.32</v>
      </c>
      <c r="T136" s="9">
        <f>SUMIFS(#REF!,#REF!,
$A136,#REF!,
"&gt;="&amp;'Faturado mensal'!T$2,#REF!,
"&lt;"&amp;EOMONTH('Faturado mensal'!T$2,0))</f>
        <v>144879.98000000001</v>
      </c>
      <c r="U136" s="9">
        <f>SUMIFS(#REF!,#REF!,
$A136,#REF!,
"&gt;="&amp;'Faturado mensal'!U$2,#REF!,
"&lt;"&amp;EOMONTH('Faturado mensal'!U$2,0))</f>
        <v>140542.32</v>
      </c>
      <c r="V136" s="9">
        <f>SUMIFS(#REF!,#REF!,
$A136,#REF!,
"&gt;="&amp;'Faturado mensal'!V$2,#REF!,
"&lt;"&amp;EOMONTH('Faturado mensal'!V$2,0))</f>
        <v>0</v>
      </c>
      <c r="W136" s="9">
        <f>SUMIFS(#REF!,#REF!,
$A136,#REF!,
"&gt;="&amp;'Faturado mensal'!W$2,#REF!,
"&lt;"&amp;EOMONTH('Faturado mensal'!W$2,0))</f>
        <v>0</v>
      </c>
      <c r="X136" s="9">
        <f>SUMIFS(#REF!,#REF!,
$A136,#REF!,
"&gt;="&amp;'Faturado mensal'!X$2,#REF!,
"&lt;"&amp;EOMONTH('Faturado mensal'!X$2,0))</f>
        <v>0</v>
      </c>
      <c r="Y136" s="11">
        <f>SUMIFS(#REF!,#REF!,
$A136,#REF!,
"&gt;="&amp;'Faturado mensal'!M$2,#REF!,
"&lt;"&amp;EOMONTH('Faturado mensal'!M$2,12))</f>
        <v>1271960.8500000001</v>
      </c>
      <c r="Z136" s="9">
        <f>SUMIFS(#REF!,#REF!,
$A136,#REF!,
"&gt;="&amp;'Faturado mensal'!Z$2,#REF!,
"&lt;"&amp;EOMONTH('Faturado mensal'!Z$2,0))</f>
        <v>0</v>
      </c>
      <c r="AA136" s="9">
        <f>SUMIFS(#REF!,#REF!,
$A136,#REF!,
"&gt;="&amp;'Faturado mensal'!AA$2,#REF!,
"&lt;"&amp;EOMONTH('Faturado mensal'!AA$2,0))</f>
        <v>0</v>
      </c>
      <c r="AB136" s="9">
        <f>SUMIFS(#REF!,#REF!,
$A136,#REF!,
"&gt;="&amp;'Faturado mensal'!AB$2,#REF!,
"&lt;"&amp;EOMONTH('Faturado mensal'!AB$2,0))</f>
        <v>0</v>
      </c>
      <c r="AC136" s="9">
        <f>SUMIFS(#REF!,#REF!,
$A136,#REF!,
"&gt;="&amp;'Faturado mensal'!AC$2,#REF!,
"&lt;"&amp;EOMONTH('Faturado mensal'!AC$2,0))</f>
        <v>137.66</v>
      </c>
      <c r="AD136" s="9">
        <f>SUMIFS(#REF!,#REF!,
$A136,#REF!,
"&gt;="&amp;'Faturado mensal'!AD$2,#REF!,
"&lt;"&amp;EOMONTH('Faturado mensal'!AD$2,0))</f>
        <v>0</v>
      </c>
      <c r="AE136" s="9">
        <f>SUMIFS(#REF!,#REF!,
$A136,#REF!,
"&gt;="&amp;'Faturado mensal'!AE$2,#REF!,
"&lt;"&amp;EOMONTH('Faturado mensal'!AE$2,0))</f>
        <v>0</v>
      </c>
      <c r="AF136" s="9">
        <f>SUMIFS(#REF!,#REF!,
$A136,#REF!,
"&gt;="&amp;'Faturado mensal'!AF$2,#REF!,
"&lt;"&amp;EOMONTH('Faturado mensal'!AF$2,0))</f>
        <v>0</v>
      </c>
      <c r="AG136" s="9">
        <f>SUMIFS(#REF!,#REF!,
$A136,#REF!,
"&gt;="&amp;'Faturado mensal'!AG$2,#REF!,
"&lt;"&amp;EOMONTH('Faturado mensal'!AG$2,0))</f>
        <v>0</v>
      </c>
      <c r="AH136" s="9">
        <f>SUMIFS(#REF!,#REF!,
$A136,#REF!,
"&gt;="&amp;'Faturado mensal'!AH$2,#REF!,
"&lt;"&amp;EOMONTH('Faturado mensal'!AH$2,0))</f>
        <v>0</v>
      </c>
      <c r="AI136" s="9">
        <f>SUMIFS(#REF!,#REF!,
$A136,#REF!,
"&gt;="&amp;'Faturado mensal'!AI$2,#REF!,
"&lt;"&amp;EOMONTH('Faturado mensal'!AI$2,0))</f>
        <v>0</v>
      </c>
      <c r="AJ136" s="9">
        <f>SUMIFS(#REF!,#REF!,
$A136,#REF!,
"&gt;="&amp;'Faturado mensal'!AJ$2,#REF!,
"&lt;"&amp;EOMONTH('Faturado mensal'!AJ$2,0))</f>
        <v>0</v>
      </c>
      <c r="AK136" s="9">
        <f>SUMIFS(#REF!,#REF!,
$A136,#REF!,
"&gt;="&amp;'Faturado mensal'!AK$2,#REF!,
"&lt;"&amp;EOMONTH('Faturado mensal'!AK$2,0))</f>
        <v>0</v>
      </c>
      <c r="AL136" s="9">
        <f>SUMIFS(#REF!,#REF!,
$A136,#REF!,
"&gt;="&amp;Z$2,#REF!,
"&lt;"&amp;EOMONTH(AK$2,0))</f>
        <v>137.66</v>
      </c>
    </row>
    <row r="137" spans="1:38" x14ac:dyDescent="0.3">
      <c r="A137" t="s">
        <v>377</v>
      </c>
      <c r="B137" t="s">
        <v>376</v>
      </c>
      <c r="C137" t="s">
        <v>35</v>
      </c>
      <c r="D137" t="s">
        <v>209</v>
      </c>
      <c r="G137" t="s">
        <v>4852</v>
      </c>
      <c r="H137" t="s">
        <v>4771</v>
      </c>
      <c r="I137" t="s">
        <v>35</v>
      </c>
      <c r="J137" t="s">
        <v>710</v>
      </c>
      <c r="K137" t="s">
        <v>717</v>
      </c>
      <c r="L137" t="s">
        <v>718</v>
      </c>
      <c r="M137" s="9">
        <f>SUMIFS(#REF!,#REF!,
$A137,#REF!,
"&gt;="&amp;'Faturado mensal'!M$2,#REF!,
"&lt;"&amp;EOMONTH('Faturado mensal'!M$2,0))</f>
        <v>0</v>
      </c>
      <c r="N137" s="9">
        <f>SUMIFS(#REF!,#REF!,
$A137,#REF!,
"&gt;="&amp;'Faturado mensal'!N$2,#REF!,
"&lt;"&amp;EOMONTH('Faturado mensal'!N$2,0))</f>
        <v>82868.399999999994</v>
      </c>
      <c r="O137" s="9">
        <f>SUMIFS(#REF!,#REF!,
$A137,#REF!,
"&gt;="&amp;'Faturado mensal'!O$2,#REF!,
"&lt;"&amp;EOMONTH('Faturado mensal'!O$2,0))</f>
        <v>42428.800000000003</v>
      </c>
      <c r="P137" s="9">
        <f>SUMIFS(#REF!,#REF!,
$A137,#REF!,
"&gt;="&amp;'Faturado mensal'!P$2,#REF!,
"&lt;"&amp;EOMONTH('Faturado mensal'!P$2,0))</f>
        <v>43152.13</v>
      </c>
      <c r="Q137" s="9">
        <f>SUMIFS(#REF!,#REF!,
$A137,#REF!,
"&gt;="&amp;'Faturado mensal'!Q$2,#REF!,
"&lt;"&amp;EOMONTH('Faturado mensal'!Q$2,0))</f>
        <v>43592.13</v>
      </c>
      <c r="R137" s="9">
        <f>SUMIFS(#REF!,#REF!,
$A137,#REF!,
"&gt;="&amp;'Faturado mensal'!R$2,#REF!,
"&lt;"&amp;EOMONTH('Faturado mensal'!R$2,0))</f>
        <v>40909.57</v>
      </c>
      <c r="S137" s="9">
        <f>SUMIFS(#REF!,#REF!,
$A137,#REF!,
"&gt;="&amp;'Faturado mensal'!S$2,#REF!,
"&lt;"&amp;EOMONTH('Faturado mensal'!S$2,0))</f>
        <v>42256</v>
      </c>
      <c r="T137" s="9">
        <f>SUMIFS(#REF!,#REF!,
$A137,#REF!,
"&gt;="&amp;'Faturado mensal'!T$2,#REF!,
"&lt;"&amp;EOMONTH('Faturado mensal'!T$2,0))</f>
        <v>41471.199999999997</v>
      </c>
      <c r="U137" s="9">
        <f>SUMIFS(#REF!,#REF!,
$A137,#REF!,
"&gt;="&amp;'Faturado mensal'!U$2,#REF!,
"&lt;"&amp;EOMONTH('Faturado mensal'!U$2,0))</f>
        <v>42810.400000000001</v>
      </c>
      <c r="V137" s="9">
        <f>SUMIFS(#REF!,#REF!,
$A137,#REF!,
"&gt;="&amp;'Faturado mensal'!V$2,#REF!,
"&lt;"&amp;EOMONTH('Faturado mensal'!V$2,0))</f>
        <v>42510.400000000001</v>
      </c>
      <c r="W137" s="9">
        <f>SUMIFS(#REF!,#REF!,
$A137,#REF!,
"&gt;="&amp;'Faturado mensal'!W$2,#REF!,
"&lt;"&amp;EOMONTH('Faturado mensal'!W$2,0))</f>
        <v>0</v>
      </c>
      <c r="X137" s="9">
        <f>SUMIFS(#REF!,#REF!,
$A137,#REF!,
"&gt;="&amp;'Faturado mensal'!X$2,#REF!,
"&lt;"&amp;EOMONTH('Faturado mensal'!X$2,0))</f>
        <v>0</v>
      </c>
      <c r="Y137" s="11">
        <f>SUMIFS(#REF!,#REF!,
$A137,#REF!,
"&gt;="&amp;'Faturado mensal'!M$2,#REF!,
"&lt;"&amp;EOMONTH('Faturado mensal'!M$2,12))</f>
        <v>421999.03000000009</v>
      </c>
      <c r="Z137" s="9">
        <f>SUMIFS(#REF!,#REF!,
$A137,#REF!,
"&gt;="&amp;'Faturado mensal'!Z$2,#REF!,
"&lt;"&amp;EOMONTH('Faturado mensal'!Z$2,0))</f>
        <v>0</v>
      </c>
      <c r="AA137" s="9">
        <f>SUMIFS(#REF!,#REF!,
$A137,#REF!,
"&gt;="&amp;'Faturado mensal'!AA$2,#REF!,
"&lt;"&amp;EOMONTH('Faturado mensal'!AA$2,0))</f>
        <v>0</v>
      </c>
      <c r="AB137" s="9">
        <f>SUMIFS(#REF!,#REF!,
$A137,#REF!,
"&gt;="&amp;'Faturado mensal'!AB$2,#REF!,
"&lt;"&amp;EOMONTH('Faturado mensal'!AB$2,0))</f>
        <v>0</v>
      </c>
      <c r="AC137" s="9">
        <f>SUMIFS(#REF!,#REF!,
$A137,#REF!,
"&gt;="&amp;'Faturado mensal'!AC$2,#REF!,
"&lt;"&amp;EOMONTH('Faturado mensal'!AC$2,0))</f>
        <v>0</v>
      </c>
      <c r="AD137" s="9">
        <f>SUMIFS(#REF!,#REF!,
$A137,#REF!,
"&gt;="&amp;'Faturado mensal'!AD$2,#REF!,
"&lt;"&amp;EOMONTH('Faturado mensal'!AD$2,0))</f>
        <v>0</v>
      </c>
      <c r="AE137" s="9">
        <f>SUMIFS(#REF!,#REF!,
$A137,#REF!,
"&gt;="&amp;'Faturado mensal'!AE$2,#REF!,
"&lt;"&amp;EOMONTH('Faturado mensal'!AE$2,0))</f>
        <v>0</v>
      </c>
      <c r="AF137" s="9">
        <f>SUMIFS(#REF!,#REF!,
$A137,#REF!,
"&gt;="&amp;'Faturado mensal'!AF$2,#REF!,
"&lt;"&amp;EOMONTH('Faturado mensal'!AF$2,0))</f>
        <v>0</v>
      </c>
      <c r="AG137" s="9">
        <f>SUMIFS(#REF!,#REF!,
$A137,#REF!,
"&gt;="&amp;'Faturado mensal'!AG$2,#REF!,
"&lt;"&amp;EOMONTH('Faturado mensal'!AG$2,0))</f>
        <v>0</v>
      </c>
      <c r="AH137" s="9">
        <f>SUMIFS(#REF!,#REF!,
$A137,#REF!,
"&gt;="&amp;'Faturado mensal'!AH$2,#REF!,
"&lt;"&amp;EOMONTH('Faturado mensal'!AH$2,0))</f>
        <v>0</v>
      </c>
      <c r="AI137" s="9">
        <f>SUMIFS(#REF!,#REF!,
$A137,#REF!,
"&gt;="&amp;'Faturado mensal'!AI$2,#REF!,
"&lt;"&amp;EOMONTH('Faturado mensal'!AI$2,0))</f>
        <v>0</v>
      </c>
      <c r="AJ137" s="9">
        <f>SUMIFS(#REF!,#REF!,
$A137,#REF!,
"&gt;="&amp;'Faturado mensal'!AJ$2,#REF!,
"&lt;"&amp;EOMONTH('Faturado mensal'!AJ$2,0))</f>
        <v>0</v>
      </c>
      <c r="AK137" s="9">
        <f>SUMIFS(#REF!,#REF!,
$A137,#REF!,
"&gt;="&amp;'Faturado mensal'!AK$2,#REF!,
"&lt;"&amp;EOMONTH('Faturado mensal'!AK$2,0))</f>
        <v>0</v>
      </c>
      <c r="AL137" s="9">
        <f>SUMIFS(#REF!,#REF!,
$A137,#REF!,
"&gt;="&amp;Z$2,#REF!,
"&lt;"&amp;EOMONTH(AK$2,0))</f>
        <v>0</v>
      </c>
    </row>
    <row r="138" spans="1:38" x14ac:dyDescent="0.3">
      <c r="A138" t="s">
        <v>378</v>
      </c>
      <c r="B138" t="s">
        <v>379</v>
      </c>
      <c r="C138" t="s">
        <v>131</v>
      </c>
      <c r="D138" t="s">
        <v>204</v>
      </c>
      <c r="E138" t="s">
        <v>4833</v>
      </c>
      <c r="F138" t="s">
        <v>4776</v>
      </c>
      <c r="G138" t="s">
        <v>4852</v>
      </c>
      <c r="H138" t="s">
        <v>4773</v>
      </c>
      <c r="I138" t="s">
        <v>834</v>
      </c>
      <c r="J138" t="s">
        <v>710</v>
      </c>
      <c r="K138" t="s">
        <v>762</v>
      </c>
      <c r="L138" t="s">
        <v>763</v>
      </c>
      <c r="M138" s="9">
        <f>SUMIFS(#REF!,#REF!,
$A138,#REF!,
"&gt;="&amp;'Faturado mensal'!M$2,#REF!,
"&lt;"&amp;EOMONTH('Faturado mensal'!M$2,0))</f>
        <v>68.510000000000005</v>
      </c>
      <c r="N138" s="9">
        <f>SUMIFS(#REF!,#REF!,
$A138,#REF!,
"&gt;="&amp;'Faturado mensal'!N$2,#REF!,
"&lt;"&amp;EOMONTH('Faturado mensal'!N$2,0))</f>
        <v>68.510000000000005</v>
      </c>
      <c r="O138" s="9">
        <f>SUMIFS(#REF!,#REF!,
$A138,#REF!,
"&gt;="&amp;'Faturado mensal'!O$2,#REF!,
"&lt;"&amp;EOMONTH('Faturado mensal'!O$2,0))</f>
        <v>68.510000000000005</v>
      </c>
      <c r="P138" s="9">
        <f>SUMIFS(#REF!,#REF!,
$A138,#REF!,
"&gt;="&amp;'Faturado mensal'!P$2,#REF!,
"&lt;"&amp;EOMONTH('Faturado mensal'!P$2,0))</f>
        <v>68.510000000000005</v>
      </c>
      <c r="Q138" s="9">
        <f>SUMIFS(#REF!,#REF!,
$A138,#REF!,
"&gt;="&amp;'Faturado mensal'!Q$2,#REF!,
"&lt;"&amp;EOMONTH('Faturado mensal'!Q$2,0))</f>
        <v>68.510000000000005</v>
      </c>
      <c r="R138" s="9">
        <f>SUMIFS(#REF!,#REF!,
$A138,#REF!,
"&gt;="&amp;'Faturado mensal'!R$2,#REF!,
"&lt;"&amp;EOMONTH('Faturado mensal'!R$2,0))</f>
        <v>68.510000000000005</v>
      </c>
      <c r="S138" s="9">
        <f>SUMIFS(#REF!,#REF!,
$A138,#REF!,
"&gt;="&amp;'Faturado mensal'!S$2,#REF!,
"&lt;"&amp;EOMONTH('Faturado mensal'!S$2,0))</f>
        <v>68.510000000000005</v>
      </c>
      <c r="T138" s="9">
        <f>SUMIFS(#REF!,#REF!,
$A138,#REF!,
"&gt;="&amp;'Faturado mensal'!T$2,#REF!,
"&lt;"&amp;EOMONTH('Faturado mensal'!T$2,0))</f>
        <v>68.510000000000005</v>
      </c>
      <c r="U138" s="9">
        <f>SUMIFS(#REF!,#REF!,
$A138,#REF!,
"&gt;="&amp;'Faturado mensal'!U$2,#REF!,
"&lt;"&amp;EOMONTH('Faturado mensal'!U$2,0))</f>
        <v>68.510000000000005</v>
      </c>
      <c r="V138" s="9">
        <f>SUMIFS(#REF!,#REF!,
$A138,#REF!,
"&gt;="&amp;'Faturado mensal'!V$2,#REF!,
"&lt;"&amp;EOMONTH('Faturado mensal'!V$2,0))</f>
        <v>68.510000000000005</v>
      </c>
      <c r="W138" s="9">
        <f>SUMIFS(#REF!,#REF!,
$A138,#REF!,
"&gt;="&amp;'Faturado mensal'!W$2,#REF!,
"&lt;"&amp;EOMONTH('Faturado mensal'!W$2,0))</f>
        <v>68.510000000000005</v>
      </c>
      <c r="X138" s="9">
        <f>SUMIFS(#REF!,#REF!,
$A138,#REF!,
"&gt;="&amp;'Faturado mensal'!X$2,#REF!,
"&lt;"&amp;EOMONTH('Faturado mensal'!X$2,0))</f>
        <v>68.510000000000005</v>
      </c>
      <c r="Y138" s="11">
        <f>SUMIFS(#REF!,#REF!,
$A138,#REF!,
"&gt;="&amp;'Faturado mensal'!M$2,#REF!,
"&lt;"&amp;EOMONTH('Faturado mensal'!M$2,12))</f>
        <v>890.63</v>
      </c>
      <c r="Z138" s="9">
        <f>SUMIFS(#REF!,#REF!,
$A138,#REF!,
"&gt;="&amp;'Faturado mensal'!Z$2,#REF!,
"&lt;"&amp;EOMONTH('Faturado mensal'!Z$2,0))</f>
        <v>68.510000000000005</v>
      </c>
      <c r="AA138" s="9">
        <f>SUMIFS(#REF!,#REF!,
$A138,#REF!,
"&gt;="&amp;'Faturado mensal'!AA$2,#REF!,
"&lt;"&amp;EOMONTH('Faturado mensal'!AA$2,0))</f>
        <v>68.510000000000005</v>
      </c>
      <c r="AB138" s="9">
        <f>SUMIFS(#REF!,#REF!,
$A138,#REF!,
"&gt;="&amp;'Faturado mensal'!AB$2,#REF!,
"&lt;"&amp;EOMONTH('Faturado mensal'!AB$2,0))</f>
        <v>68.510000000000005</v>
      </c>
      <c r="AC138" s="9">
        <f>SUMIFS(#REF!,#REF!,
$A138,#REF!,
"&gt;="&amp;'Faturado mensal'!AC$2,#REF!,
"&lt;"&amp;EOMONTH('Faturado mensal'!AC$2,0))</f>
        <v>68.510000000000005</v>
      </c>
      <c r="AD138" s="9">
        <f>SUMIFS(#REF!,#REF!,
$A138,#REF!,
"&gt;="&amp;'Faturado mensal'!AD$2,#REF!,
"&lt;"&amp;EOMONTH('Faturado mensal'!AD$2,0))</f>
        <v>68.510000000000005</v>
      </c>
      <c r="AE138" s="9">
        <f>SUMIFS(#REF!,#REF!,
$A138,#REF!,
"&gt;="&amp;'Faturado mensal'!AE$2,#REF!,
"&lt;"&amp;EOMONTH('Faturado mensal'!AE$2,0))</f>
        <v>68.510000000000005</v>
      </c>
      <c r="AF138" s="9">
        <f>SUMIFS(#REF!,#REF!,
$A138,#REF!,
"&gt;="&amp;'Faturado mensal'!AF$2,#REF!,
"&lt;"&amp;EOMONTH('Faturado mensal'!AF$2,0))</f>
        <v>0</v>
      </c>
      <c r="AG138" s="9">
        <f>SUMIFS(#REF!,#REF!,
$A138,#REF!,
"&gt;="&amp;'Faturado mensal'!AG$2,#REF!,
"&lt;"&amp;EOMONTH('Faturado mensal'!AG$2,0))</f>
        <v>0</v>
      </c>
      <c r="AH138" s="9">
        <f>SUMIFS(#REF!,#REF!,
$A138,#REF!,
"&gt;="&amp;'Faturado mensal'!AH$2,#REF!,
"&lt;"&amp;EOMONTH('Faturado mensal'!AH$2,0))</f>
        <v>0</v>
      </c>
      <c r="AI138" s="9">
        <f>SUMIFS(#REF!,#REF!,
$A138,#REF!,
"&gt;="&amp;'Faturado mensal'!AI$2,#REF!,
"&lt;"&amp;EOMONTH('Faturado mensal'!AI$2,0))</f>
        <v>0</v>
      </c>
      <c r="AJ138" s="9">
        <f>SUMIFS(#REF!,#REF!,
$A138,#REF!,
"&gt;="&amp;'Faturado mensal'!AJ$2,#REF!,
"&lt;"&amp;EOMONTH('Faturado mensal'!AJ$2,0))</f>
        <v>0</v>
      </c>
      <c r="AK138" s="9">
        <f>SUMIFS(#REF!,#REF!,
$A138,#REF!,
"&gt;="&amp;'Faturado mensal'!AK$2,#REF!,
"&lt;"&amp;EOMONTH('Faturado mensal'!AK$2,0))</f>
        <v>0</v>
      </c>
      <c r="AL138" s="9">
        <f>SUMIFS(#REF!,#REF!,
$A138,#REF!,
"&gt;="&amp;Z$2,#REF!,
"&lt;"&amp;EOMONTH(AK$2,0))</f>
        <v>411.06</v>
      </c>
    </row>
    <row r="139" spans="1:38" x14ac:dyDescent="0.3">
      <c r="A139" t="s">
        <v>380</v>
      </c>
      <c r="B139" t="s">
        <v>381</v>
      </c>
      <c r="C139" t="s">
        <v>40</v>
      </c>
      <c r="D139" t="s">
        <v>209</v>
      </c>
      <c r="G139" t="s">
        <v>4852</v>
      </c>
      <c r="H139" t="s">
        <v>4773</v>
      </c>
      <c r="I139" t="s">
        <v>40</v>
      </c>
      <c r="J139" t="s">
        <v>710</v>
      </c>
      <c r="K139" t="s">
        <v>762</v>
      </c>
      <c r="L139" t="s">
        <v>763</v>
      </c>
      <c r="M139" s="9">
        <f>SUMIFS(#REF!,#REF!,
$A139,#REF!,
"&gt;="&amp;'Faturado mensal'!M$2,#REF!,
"&lt;"&amp;EOMONTH('Faturado mensal'!M$2,0))</f>
        <v>0</v>
      </c>
      <c r="N139" s="9">
        <f>SUMIFS(#REF!,#REF!,
$A139,#REF!,
"&gt;="&amp;'Faturado mensal'!N$2,#REF!,
"&lt;"&amp;EOMONTH('Faturado mensal'!N$2,0))</f>
        <v>0</v>
      </c>
      <c r="O139" s="9">
        <f>SUMIFS(#REF!,#REF!,
$A139,#REF!,
"&gt;="&amp;'Faturado mensal'!O$2,#REF!,
"&lt;"&amp;EOMONTH('Faturado mensal'!O$2,0))</f>
        <v>0</v>
      </c>
      <c r="P139" s="9">
        <f>SUMIFS(#REF!,#REF!,
$A139,#REF!,
"&gt;="&amp;'Faturado mensal'!P$2,#REF!,
"&lt;"&amp;EOMONTH('Faturado mensal'!P$2,0))</f>
        <v>0</v>
      </c>
      <c r="Q139" s="9">
        <f>SUMIFS(#REF!,#REF!,
$A139,#REF!,
"&gt;="&amp;'Faturado mensal'!Q$2,#REF!,
"&lt;"&amp;EOMONTH('Faturado mensal'!Q$2,0))</f>
        <v>0</v>
      </c>
      <c r="R139" s="9">
        <f>SUMIFS(#REF!,#REF!,
$A139,#REF!,
"&gt;="&amp;'Faturado mensal'!R$2,#REF!,
"&lt;"&amp;EOMONTH('Faturado mensal'!R$2,0))</f>
        <v>0</v>
      </c>
      <c r="S139" s="9">
        <f>SUMIFS(#REF!,#REF!,
$A139,#REF!,
"&gt;="&amp;'Faturado mensal'!S$2,#REF!,
"&lt;"&amp;EOMONTH('Faturado mensal'!S$2,0))</f>
        <v>0</v>
      </c>
      <c r="T139" s="9">
        <f>SUMIFS(#REF!,#REF!,
$A139,#REF!,
"&gt;="&amp;'Faturado mensal'!T$2,#REF!,
"&lt;"&amp;EOMONTH('Faturado mensal'!T$2,0))</f>
        <v>0</v>
      </c>
      <c r="U139" s="9">
        <f>SUMIFS(#REF!,#REF!,
$A139,#REF!,
"&gt;="&amp;'Faturado mensal'!U$2,#REF!,
"&lt;"&amp;EOMONTH('Faturado mensal'!U$2,0))</f>
        <v>0</v>
      </c>
      <c r="V139" s="9">
        <f>SUMIFS(#REF!,#REF!,
$A139,#REF!,
"&gt;="&amp;'Faturado mensal'!V$2,#REF!,
"&lt;"&amp;EOMONTH('Faturado mensal'!V$2,0))</f>
        <v>0</v>
      </c>
      <c r="W139" s="9">
        <f>SUMIFS(#REF!,#REF!,
$A139,#REF!,
"&gt;="&amp;'Faturado mensal'!W$2,#REF!,
"&lt;"&amp;EOMONTH('Faturado mensal'!W$2,0))</f>
        <v>0</v>
      </c>
      <c r="X139" s="9">
        <f>SUMIFS(#REF!,#REF!,
$A139,#REF!,
"&gt;="&amp;'Faturado mensal'!X$2,#REF!,
"&lt;"&amp;EOMONTH('Faturado mensal'!X$2,0))</f>
        <v>0</v>
      </c>
      <c r="Y139" s="11">
        <f>SUMIFS(#REF!,#REF!,
$A139,#REF!,
"&gt;="&amp;'Faturado mensal'!M$2,#REF!,
"&lt;"&amp;EOMONTH('Faturado mensal'!M$2,12))</f>
        <v>0</v>
      </c>
      <c r="Z139" s="9">
        <f>SUMIFS(#REF!,#REF!,
$A139,#REF!,
"&gt;="&amp;'Faturado mensal'!Z$2,#REF!,
"&lt;"&amp;EOMONTH('Faturado mensal'!Z$2,0))</f>
        <v>0</v>
      </c>
      <c r="AA139" s="9">
        <f>SUMIFS(#REF!,#REF!,
$A139,#REF!,
"&gt;="&amp;'Faturado mensal'!AA$2,#REF!,
"&lt;"&amp;EOMONTH('Faturado mensal'!AA$2,0))</f>
        <v>0</v>
      </c>
      <c r="AB139" s="9">
        <f>SUMIFS(#REF!,#REF!,
$A139,#REF!,
"&gt;="&amp;'Faturado mensal'!AB$2,#REF!,
"&lt;"&amp;EOMONTH('Faturado mensal'!AB$2,0))</f>
        <v>0</v>
      </c>
      <c r="AC139" s="9">
        <f>SUMIFS(#REF!,#REF!,
$A139,#REF!,
"&gt;="&amp;'Faturado mensal'!AC$2,#REF!,
"&lt;"&amp;EOMONTH('Faturado mensal'!AC$2,0))</f>
        <v>0</v>
      </c>
      <c r="AD139" s="9">
        <f>SUMIFS(#REF!,#REF!,
$A139,#REF!,
"&gt;="&amp;'Faturado mensal'!AD$2,#REF!,
"&lt;"&amp;EOMONTH('Faturado mensal'!AD$2,0))</f>
        <v>0</v>
      </c>
      <c r="AE139" s="9">
        <f>SUMIFS(#REF!,#REF!,
$A139,#REF!,
"&gt;="&amp;'Faturado mensal'!AE$2,#REF!,
"&lt;"&amp;EOMONTH('Faturado mensal'!AE$2,0))</f>
        <v>0</v>
      </c>
      <c r="AF139" s="9">
        <f>SUMIFS(#REF!,#REF!,
$A139,#REF!,
"&gt;="&amp;'Faturado mensal'!AF$2,#REF!,
"&lt;"&amp;EOMONTH('Faturado mensal'!AF$2,0))</f>
        <v>0</v>
      </c>
      <c r="AG139" s="9">
        <f>SUMIFS(#REF!,#REF!,
$A139,#REF!,
"&gt;="&amp;'Faturado mensal'!AG$2,#REF!,
"&lt;"&amp;EOMONTH('Faturado mensal'!AG$2,0))</f>
        <v>0</v>
      </c>
      <c r="AH139" s="9">
        <f>SUMIFS(#REF!,#REF!,
$A139,#REF!,
"&gt;="&amp;'Faturado mensal'!AH$2,#REF!,
"&lt;"&amp;EOMONTH('Faturado mensal'!AH$2,0))</f>
        <v>0</v>
      </c>
      <c r="AI139" s="9">
        <f>SUMIFS(#REF!,#REF!,
$A139,#REF!,
"&gt;="&amp;'Faturado mensal'!AI$2,#REF!,
"&lt;"&amp;EOMONTH('Faturado mensal'!AI$2,0))</f>
        <v>0</v>
      </c>
      <c r="AJ139" s="9">
        <f>SUMIFS(#REF!,#REF!,
$A139,#REF!,
"&gt;="&amp;'Faturado mensal'!AJ$2,#REF!,
"&lt;"&amp;EOMONTH('Faturado mensal'!AJ$2,0))</f>
        <v>0</v>
      </c>
      <c r="AK139" s="9">
        <f>SUMIFS(#REF!,#REF!,
$A139,#REF!,
"&gt;="&amp;'Faturado mensal'!AK$2,#REF!,
"&lt;"&amp;EOMONTH('Faturado mensal'!AK$2,0))</f>
        <v>0</v>
      </c>
      <c r="AL139" s="9">
        <f>SUMIFS(#REF!,#REF!,
$A139,#REF!,
"&gt;="&amp;Z$2,#REF!,
"&lt;"&amp;EOMONTH(AK$2,0))</f>
        <v>0</v>
      </c>
    </row>
    <row r="140" spans="1:38" x14ac:dyDescent="0.3">
      <c r="A140" t="s">
        <v>382</v>
      </c>
      <c r="B140" t="s">
        <v>383</v>
      </c>
      <c r="C140" t="s">
        <v>120</v>
      </c>
      <c r="D140" t="s">
        <v>209</v>
      </c>
      <c r="I140" t="s">
        <v>120</v>
      </c>
      <c r="J140" t="s">
        <v>710</v>
      </c>
      <c r="K140" t="s">
        <v>762</v>
      </c>
      <c r="L140" t="s">
        <v>763</v>
      </c>
      <c r="M140" s="9">
        <f>SUMIFS(#REF!,#REF!,
$A140,#REF!,
"&gt;="&amp;'Faturado mensal'!M$2,#REF!,
"&lt;"&amp;EOMONTH('Faturado mensal'!M$2,0))</f>
        <v>0</v>
      </c>
      <c r="N140" s="9">
        <f>SUMIFS(#REF!,#REF!,
$A140,#REF!,
"&gt;="&amp;'Faturado mensal'!N$2,#REF!,
"&lt;"&amp;EOMONTH('Faturado mensal'!N$2,0))</f>
        <v>0</v>
      </c>
      <c r="O140" s="9">
        <f>SUMIFS(#REF!,#REF!,
$A140,#REF!,
"&gt;="&amp;'Faturado mensal'!O$2,#REF!,
"&lt;"&amp;EOMONTH('Faturado mensal'!O$2,0))</f>
        <v>0</v>
      </c>
      <c r="P140" s="9">
        <f>SUMIFS(#REF!,#REF!,
$A140,#REF!,
"&gt;="&amp;'Faturado mensal'!P$2,#REF!,
"&lt;"&amp;EOMONTH('Faturado mensal'!P$2,0))</f>
        <v>0</v>
      </c>
      <c r="Q140" s="9">
        <f>SUMIFS(#REF!,#REF!,
$A140,#REF!,
"&gt;="&amp;'Faturado mensal'!Q$2,#REF!,
"&lt;"&amp;EOMONTH('Faturado mensal'!Q$2,0))</f>
        <v>0</v>
      </c>
      <c r="R140" s="9">
        <f>SUMIFS(#REF!,#REF!,
$A140,#REF!,
"&gt;="&amp;'Faturado mensal'!R$2,#REF!,
"&lt;"&amp;EOMONTH('Faturado mensal'!R$2,0))</f>
        <v>0</v>
      </c>
      <c r="S140" s="9">
        <f>SUMIFS(#REF!,#REF!,
$A140,#REF!,
"&gt;="&amp;'Faturado mensal'!S$2,#REF!,
"&lt;"&amp;EOMONTH('Faturado mensal'!S$2,0))</f>
        <v>0</v>
      </c>
      <c r="T140" s="9">
        <f>SUMIFS(#REF!,#REF!,
$A140,#REF!,
"&gt;="&amp;'Faturado mensal'!T$2,#REF!,
"&lt;"&amp;EOMONTH('Faturado mensal'!T$2,0))</f>
        <v>0</v>
      </c>
      <c r="U140" s="9">
        <f>SUMIFS(#REF!,#REF!,
$A140,#REF!,
"&gt;="&amp;'Faturado mensal'!U$2,#REF!,
"&lt;"&amp;EOMONTH('Faturado mensal'!U$2,0))</f>
        <v>0</v>
      </c>
      <c r="V140" s="9">
        <f>SUMIFS(#REF!,#REF!,
$A140,#REF!,
"&gt;="&amp;'Faturado mensal'!V$2,#REF!,
"&lt;"&amp;EOMONTH('Faturado mensal'!V$2,0))</f>
        <v>0</v>
      </c>
      <c r="W140" s="9">
        <f>SUMIFS(#REF!,#REF!,
$A140,#REF!,
"&gt;="&amp;'Faturado mensal'!W$2,#REF!,
"&lt;"&amp;EOMONTH('Faturado mensal'!W$2,0))</f>
        <v>0</v>
      </c>
      <c r="X140" s="9">
        <f>SUMIFS(#REF!,#REF!,
$A140,#REF!,
"&gt;="&amp;'Faturado mensal'!X$2,#REF!,
"&lt;"&amp;EOMONTH('Faturado mensal'!X$2,0))</f>
        <v>0</v>
      </c>
      <c r="Y140" s="11">
        <f>SUMIFS(#REF!,#REF!,
$A140,#REF!,
"&gt;="&amp;'Faturado mensal'!M$2,#REF!,
"&lt;"&amp;EOMONTH('Faturado mensal'!M$2,12))</f>
        <v>0</v>
      </c>
      <c r="Z140" s="9">
        <f>SUMIFS(#REF!,#REF!,
$A140,#REF!,
"&gt;="&amp;'Faturado mensal'!Z$2,#REF!,
"&lt;"&amp;EOMONTH('Faturado mensal'!Z$2,0))</f>
        <v>0</v>
      </c>
      <c r="AA140" s="9">
        <f>SUMIFS(#REF!,#REF!,
$A140,#REF!,
"&gt;="&amp;'Faturado mensal'!AA$2,#REF!,
"&lt;"&amp;EOMONTH('Faturado mensal'!AA$2,0))</f>
        <v>0</v>
      </c>
      <c r="AB140" s="9">
        <f>SUMIFS(#REF!,#REF!,
$A140,#REF!,
"&gt;="&amp;'Faturado mensal'!AB$2,#REF!,
"&lt;"&amp;EOMONTH('Faturado mensal'!AB$2,0))</f>
        <v>0</v>
      </c>
      <c r="AC140" s="9">
        <f>SUMIFS(#REF!,#REF!,
$A140,#REF!,
"&gt;="&amp;'Faturado mensal'!AC$2,#REF!,
"&lt;"&amp;EOMONTH('Faturado mensal'!AC$2,0))</f>
        <v>0</v>
      </c>
      <c r="AD140" s="9">
        <f>SUMIFS(#REF!,#REF!,
$A140,#REF!,
"&gt;="&amp;'Faturado mensal'!AD$2,#REF!,
"&lt;"&amp;EOMONTH('Faturado mensal'!AD$2,0))</f>
        <v>0</v>
      </c>
      <c r="AE140" s="9">
        <f>SUMIFS(#REF!,#REF!,
$A140,#REF!,
"&gt;="&amp;'Faturado mensal'!AE$2,#REF!,
"&lt;"&amp;EOMONTH('Faturado mensal'!AE$2,0))</f>
        <v>0</v>
      </c>
      <c r="AF140" s="9">
        <f>SUMIFS(#REF!,#REF!,
$A140,#REF!,
"&gt;="&amp;'Faturado mensal'!AF$2,#REF!,
"&lt;"&amp;EOMONTH('Faturado mensal'!AF$2,0))</f>
        <v>0</v>
      </c>
      <c r="AG140" s="9">
        <f>SUMIFS(#REF!,#REF!,
$A140,#REF!,
"&gt;="&amp;'Faturado mensal'!AG$2,#REF!,
"&lt;"&amp;EOMONTH('Faturado mensal'!AG$2,0))</f>
        <v>0</v>
      </c>
      <c r="AH140" s="9">
        <f>SUMIFS(#REF!,#REF!,
$A140,#REF!,
"&gt;="&amp;'Faturado mensal'!AH$2,#REF!,
"&lt;"&amp;EOMONTH('Faturado mensal'!AH$2,0))</f>
        <v>0</v>
      </c>
      <c r="AI140" s="9">
        <f>SUMIFS(#REF!,#REF!,
$A140,#REF!,
"&gt;="&amp;'Faturado mensal'!AI$2,#REF!,
"&lt;"&amp;EOMONTH('Faturado mensal'!AI$2,0))</f>
        <v>0</v>
      </c>
      <c r="AJ140" s="9">
        <f>SUMIFS(#REF!,#REF!,
$A140,#REF!,
"&gt;="&amp;'Faturado mensal'!AJ$2,#REF!,
"&lt;"&amp;EOMONTH('Faturado mensal'!AJ$2,0))</f>
        <v>0</v>
      </c>
      <c r="AK140" s="9">
        <f>SUMIFS(#REF!,#REF!,
$A140,#REF!,
"&gt;="&amp;'Faturado mensal'!AK$2,#REF!,
"&lt;"&amp;EOMONTH('Faturado mensal'!AK$2,0))</f>
        <v>0</v>
      </c>
      <c r="AL140" s="9">
        <f>SUMIFS(#REF!,#REF!,
$A140,#REF!,
"&gt;="&amp;Z$2,#REF!,
"&lt;"&amp;EOMONTH(AK$2,0))</f>
        <v>0</v>
      </c>
    </row>
    <row r="141" spans="1:38" x14ac:dyDescent="0.3">
      <c r="A141" t="s">
        <v>384</v>
      </c>
      <c r="B141" t="s">
        <v>385</v>
      </c>
      <c r="C141" t="s">
        <v>45</v>
      </c>
      <c r="D141" t="s">
        <v>209</v>
      </c>
      <c r="I141" t="s">
        <v>835</v>
      </c>
      <c r="J141" t="s">
        <v>710</v>
      </c>
      <c r="K141" t="s">
        <v>762</v>
      </c>
      <c r="L141" t="s">
        <v>763</v>
      </c>
      <c r="M141" s="9">
        <f>SUMIFS(#REF!,#REF!,
$A141,#REF!,
"&gt;="&amp;'Faturado mensal'!M$2,#REF!,
"&lt;"&amp;EOMONTH('Faturado mensal'!M$2,0))</f>
        <v>0</v>
      </c>
      <c r="N141" s="9">
        <f>SUMIFS(#REF!,#REF!,
$A141,#REF!,
"&gt;="&amp;'Faturado mensal'!N$2,#REF!,
"&lt;"&amp;EOMONTH('Faturado mensal'!N$2,0))</f>
        <v>0</v>
      </c>
      <c r="O141" s="9">
        <f>SUMIFS(#REF!,#REF!,
$A141,#REF!,
"&gt;="&amp;'Faturado mensal'!O$2,#REF!,
"&lt;"&amp;EOMONTH('Faturado mensal'!O$2,0))</f>
        <v>0</v>
      </c>
      <c r="P141" s="9">
        <f>SUMIFS(#REF!,#REF!,
$A141,#REF!,
"&gt;="&amp;'Faturado mensal'!P$2,#REF!,
"&lt;"&amp;EOMONTH('Faturado mensal'!P$2,0))</f>
        <v>0</v>
      </c>
      <c r="Q141" s="9">
        <f>SUMIFS(#REF!,#REF!,
$A141,#REF!,
"&gt;="&amp;'Faturado mensal'!Q$2,#REF!,
"&lt;"&amp;EOMONTH('Faturado mensal'!Q$2,0))</f>
        <v>0</v>
      </c>
      <c r="R141" s="9">
        <f>SUMIFS(#REF!,#REF!,
$A141,#REF!,
"&gt;="&amp;'Faturado mensal'!R$2,#REF!,
"&lt;"&amp;EOMONTH('Faturado mensal'!R$2,0))</f>
        <v>0</v>
      </c>
      <c r="S141" s="9">
        <f>SUMIFS(#REF!,#REF!,
$A141,#REF!,
"&gt;="&amp;'Faturado mensal'!S$2,#REF!,
"&lt;"&amp;EOMONTH('Faturado mensal'!S$2,0))</f>
        <v>0</v>
      </c>
      <c r="T141" s="9">
        <f>SUMIFS(#REF!,#REF!,
$A141,#REF!,
"&gt;="&amp;'Faturado mensal'!T$2,#REF!,
"&lt;"&amp;EOMONTH('Faturado mensal'!T$2,0))</f>
        <v>0</v>
      </c>
      <c r="U141" s="9">
        <f>SUMIFS(#REF!,#REF!,
$A141,#REF!,
"&gt;="&amp;'Faturado mensal'!U$2,#REF!,
"&lt;"&amp;EOMONTH('Faturado mensal'!U$2,0))</f>
        <v>0</v>
      </c>
      <c r="V141" s="9">
        <f>SUMIFS(#REF!,#REF!,
$A141,#REF!,
"&gt;="&amp;'Faturado mensal'!V$2,#REF!,
"&lt;"&amp;EOMONTH('Faturado mensal'!V$2,0))</f>
        <v>0</v>
      </c>
      <c r="W141" s="9">
        <f>SUMIFS(#REF!,#REF!,
$A141,#REF!,
"&gt;="&amp;'Faturado mensal'!W$2,#REF!,
"&lt;"&amp;EOMONTH('Faturado mensal'!W$2,0))</f>
        <v>0</v>
      </c>
      <c r="X141" s="9">
        <f>SUMIFS(#REF!,#REF!,
$A141,#REF!,
"&gt;="&amp;'Faturado mensal'!X$2,#REF!,
"&lt;"&amp;EOMONTH('Faturado mensal'!X$2,0))</f>
        <v>0</v>
      </c>
      <c r="Y141" s="11">
        <f>SUMIFS(#REF!,#REF!,
$A141,#REF!,
"&gt;="&amp;'Faturado mensal'!M$2,#REF!,
"&lt;"&amp;EOMONTH('Faturado mensal'!M$2,12))</f>
        <v>0</v>
      </c>
      <c r="Z141" s="9">
        <f>SUMIFS(#REF!,#REF!,
$A141,#REF!,
"&gt;="&amp;'Faturado mensal'!Z$2,#REF!,
"&lt;"&amp;EOMONTH('Faturado mensal'!Z$2,0))</f>
        <v>0</v>
      </c>
      <c r="AA141" s="9">
        <f>SUMIFS(#REF!,#REF!,
$A141,#REF!,
"&gt;="&amp;'Faturado mensal'!AA$2,#REF!,
"&lt;"&amp;EOMONTH('Faturado mensal'!AA$2,0))</f>
        <v>0</v>
      </c>
      <c r="AB141" s="9">
        <f>SUMIFS(#REF!,#REF!,
$A141,#REF!,
"&gt;="&amp;'Faturado mensal'!AB$2,#REF!,
"&lt;"&amp;EOMONTH('Faturado mensal'!AB$2,0))</f>
        <v>0</v>
      </c>
      <c r="AC141" s="9">
        <f>SUMIFS(#REF!,#REF!,
$A141,#REF!,
"&gt;="&amp;'Faturado mensal'!AC$2,#REF!,
"&lt;"&amp;EOMONTH('Faturado mensal'!AC$2,0))</f>
        <v>0</v>
      </c>
      <c r="AD141" s="9">
        <f>SUMIFS(#REF!,#REF!,
$A141,#REF!,
"&gt;="&amp;'Faturado mensal'!AD$2,#REF!,
"&lt;"&amp;EOMONTH('Faturado mensal'!AD$2,0))</f>
        <v>0</v>
      </c>
      <c r="AE141" s="9">
        <f>SUMIFS(#REF!,#REF!,
$A141,#REF!,
"&gt;="&amp;'Faturado mensal'!AE$2,#REF!,
"&lt;"&amp;EOMONTH('Faturado mensal'!AE$2,0))</f>
        <v>0</v>
      </c>
      <c r="AF141" s="9">
        <f>SUMIFS(#REF!,#REF!,
$A141,#REF!,
"&gt;="&amp;'Faturado mensal'!AF$2,#REF!,
"&lt;"&amp;EOMONTH('Faturado mensal'!AF$2,0))</f>
        <v>0</v>
      </c>
      <c r="AG141" s="9">
        <f>SUMIFS(#REF!,#REF!,
$A141,#REF!,
"&gt;="&amp;'Faturado mensal'!AG$2,#REF!,
"&lt;"&amp;EOMONTH('Faturado mensal'!AG$2,0))</f>
        <v>0</v>
      </c>
      <c r="AH141" s="9">
        <f>SUMIFS(#REF!,#REF!,
$A141,#REF!,
"&gt;="&amp;'Faturado mensal'!AH$2,#REF!,
"&lt;"&amp;EOMONTH('Faturado mensal'!AH$2,0))</f>
        <v>0</v>
      </c>
      <c r="AI141" s="9">
        <f>SUMIFS(#REF!,#REF!,
$A141,#REF!,
"&gt;="&amp;'Faturado mensal'!AI$2,#REF!,
"&lt;"&amp;EOMONTH('Faturado mensal'!AI$2,0))</f>
        <v>0</v>
      </c>
      <c r="AJ141" s="9">
        <f>SUMIFS(#REF!,#REF!,
$A141,#REF!,
"&gt;="&amp;'Faturado mensal'!AJ$2,#REF!,
"&lt;"&amp;EOMONTH('Faturado mensal'!AJ$2,0))</f>
        <v>0</v>
      </c>
      <c r="AK141" s="9">
        <f>SUMIFS(#REF!,#REF!,
$A141,#REF!,
"&gt;="&amp;'Faturado mensal'!AK$2,#REF!,
"&lt;"&amp;EOMONTH('Faturado mensal'!AK$2,0))</f>
        <v>0</v>
      </c>
      <c r="AL141" s="9">
        <f>SUMIFS(#REF!,#REF!,
$A141,#REF!,
"&gt;="&amp;Z$2,#REF!,
"&lt;"&amp;EOMONTH(AK$2,0))</f>
        <v>0</v>
      </c>
    </row>
    <row r="142" spans="1:38" x14ac:dyDescent="0.3">
      <c r="A142" t="s">
        <v>386</v>
      </c>
      <c r="B142" t="s">
        <v>387</v>
      </c>
      <c r="C142" t="s">
        <v>42</v>
      </c>
      <c r="D142" t="s">
        <v>204</v>
      </c>
      <c r="E142" t="s">
        <v>4833</v>
      </c>
      <c r="F142" t="s">
        <v>4776</v>
      </c>
      <c r="G142" t="s">
        <v>4852</v>
      </c>
      <c r="H142" t="s">
        <v>4773</v>
      </c>
      <c r="I142" t="s">
        <v>836</v>
      </c>
      <c r="J142" t="s">
        <v>719</v>
      </c>
      <c r="K142" t="s">
        <v>762</v>
      </c>
      <c r="L142" t="s">
        <v>763</v>
      </c>
      <c r="M142" s="9">
        <f>SUMIFS(#REF!,#REF!,
$A142,#REF!,
"&gt;="&amp;'Faturado mensal'!M$2,#REF!,
"&lt;"&amp;EOMONTH('Faturado mensal'!M$2,0))</f>
        <v>1870</v>
      </c>
      <c r="N142" s="9">
        <f>SUMIFS(#REF!,#REF!,
$A142,#REF!,
"&gt;="&amp;'Faturado mensal'!N$2,#REF!,
"&lt;"&amp;EOMONTH('Faturado mensal'!N$2,0))</f>
        <v>1870</v>
      </c>
      <c r="O142" s="9">
        <f>SUMIFS(#REF!,#REF!,
$A142,#REF!,
"&gt;="&amp;'Faturado mensal'!O$2,#REF!,
"&lt;"&amp;EOMONTH('Faturado mensal'!O$2,0))</f>
        <v>1870</v>
      </c>
      <c r="P142" s="9">
        <f>SUMIFS(#REF!,#REF!,
$A142,#REF!,
"&gt;="&amp;'Faturado mensal'!P$2,#REF!,
"&lt;"&amp;EOMONTH('Faturado mensal'!P$2,0))</f>
        <v>1870</v>
      </c>
      <c r="Q142" s="9">
        <f>SUMIFS(#REF!,#REF!,
$A142,#REF!,
"&gt;="&amp;'Faturado mensal'!Q$2,#REF!,
"&lt;"&amp;EOMONTH('Faturado mensal'!Q$2,0))</f>
        <v>1870</v>
      </c>
      <c r="R142" s="9">
        <f>SUMIFS(#REF!,#REF!,
$A142,#REF!,
"&gt;="&amp;'Faturado mensal'!R$2,#REF!,
"&lt;"&amp;EOMONTH('Faturado mensal'!R$2,0))</f>
        <v>1870</v>
      </c>
      <c r="S142" s="9">
        <f>SUMIFS(#REF!,#REF!,
$A142,#REF!,
"&gt;="&amp;'Faturado mensal'!S$2,#REF!,
"&lt;"&amp;EOMONTH('Faturado mensal'!S$2,0))</f>
        <v>1870</v>
      </c>
      <c r="T142" s="9">
        <f>SUMIFS(#REF!,#REF!,
$A142,#REF!,
"&gt;="&amp;'Faturado mensal'!T$2,#REF!,
"&lt;"&amp;EOMONTH('Faturado mensal'!T$2,0))</f>
        <v>1870</v>
      </c>
      <c r="U142" s="9">
        <f>SUMIFS(#REF!,#REF!,
$A142,#REF!,
"&gt;="&amp;'Faturado mensal'!U$2,#REF!,
"&lt;"&amp;EOMONTH('Faturado mensal'!U$2,0))</f>
        <v>1870</v>
      </c>
      <c r="V142" s="9">
        <f>SUMIFS(#REF!,#REF!,
$A142,#REF!,
"&gt;="&amp;'Faturado mensal'!V$2,#REF!,
"&lt;"&amp;EOMONTH('Faturado mensal'!V$2,0))</f>
        <v>1870</v>
      </c>
      <c r="W142" s="9">
        <f>SUMIFS(#REF!,#REF!,
$A142,#REF!,
"&gt;="&amp;'Faturado mensal'!W$2,#REF!,
"&lt;"&amp;EOMONTH('Faturado mensal'!W$2,0))</f>
        <v>1870</v>
      </c>
      <c r="X142" s="9">
        <f>SUMIFS(#REF!,#REF!,
$A142,#REF!,
"&gt;="&amp;'Faturado mensal'!X$2,#REF!,
"&lt;"&amp;EOMONTH('Faturado mensal'!X$2,0))</f>
        <v>1887</v>
      </c>
      <c r="Y142" s="11">
        <f>SUMIFS(#REF!,#REF!,
$A142,#REF!,
"&gt;="&amp;'Faturado mensal'!M$2,#REF!,
"&lt;"&amp;EOMONTH('Faturado mensal'!M$2,12))</f>
        <v>24344</v>
      </c>
      <c r="Z142" s="9">
        <f>SUMIFS(#REF!,#REF!,
$A142,#REF!,
"&gt;="&amp;'Faturado mensal'!Z$2,#REF!,
"&lt;"&amp;EOMONTH('Faturado mensal'!Z$2,0))</f>
        <v>1887</v>
      </c>
      <c r="AA142" s="9">
        <f>SUMIFS(#REF!,#REF!,
$A142,#REF!,
"&gt;="&amp;'Faturado mensal'!AA$2,#REF!,
"&lt;"&amp;EOMONTH('Faturado mensal'!AA$2,0))</f>
        <v>1887</v>
      </c>
      <c r="AB142" s="9">
        <f>SUMIFS(#REF!,#REF!,
$A142,#REF!,
"&gt;="&amp;'Faturado mensal'!AB$2,#REF!,
"&lt;"&amp;EOMONTH('Faturado mensal'!AB$2,0))</f>
        <v>1887</v>
      </c>
      <c r="AC142" s="9">
        <f>SUMIFS(#REF!,#REF!,
$A142,#REF!,
"&gt;="&amp;'Faturado mensal'!AC$2,#REF!,
"&lt;"&amp;EOMONTH('Faturado mensal'!AC$2,0))</f>
        <v>1887</v>
      </c>
      <c r="AD142" s="9">
        <f>SUMIFS(#REF!,#REF!,
$A142,#REF!,
"&gt;="&amp;'Faturado mensal'!AD$2,#REF!,
"&lt;"&amp;EOMONTH('Faturado mensal'!AD$2,0))</f>
        <v>1887</v>
      </c>
      <c r="AE142" s="9">
        <f>SUMIFS(#REF!,#REF!,
$A142,#REF!,
"&gt;="&amp;'Faturado mensal'!AE$2,#REF!,
"&lt;"&amp;EOMONTH('Faturado mensal'!AE$2,0))</f>
        <v>1887</v>
      </c>
      <c r="AF142" s="9">
        <f>SUMIFS(#REF!,#REF!,
$A142,#REF!,
"&gt;="&amp;'Faturado mensal'!AF$2,#REF!,
"&lt;"&amp;EOMONTH('Faturado mensal'!AF$2,0))</f>
        <v>0</v>
      </c>
      <c r="AG142" s="9">
        <f>SUMIFS(#REF!,#REF!,
$A142,#REF!,
"&gt;="&amp;'Faturado mensal'!AG$2,#REF!,
"&lt;"&amp;EOMONTH('Faturado mensal'!AG$2,0))</f>
        <v>0</v>
      </c>
      <c r="AH142" s="9">
        <f>SUMIFS(#REF!,#REF!,
$A142,#REF!,
"&gt;="&amp;'Faturado mensal'!AH$2,#REF!,
"&lt;"&amp;EOMONTH('Faturado mensal'!AH$2,0))</f>
        <v>0</v>
      </c>
      <c r="AI142" s="9">
        <f>SUMIFS(#REF!,#REF!,
$A142,#REF!,
"&gt;="&amp;'Faturado mensal'!AI$2,#REF!,
"&lt;"&amp;EOMONTH('Faturado mensal'!AI$2,0))</f>
        <v>0</v>
      </c>
      <c r="AJ142" s="9">
        <f>SUMIFS(#REF!,#REF!,
$A142,#REF!,
"&gt;="&amp;'Faturado mensal'!AJ$2,#REF!,
"&lt;"&amp;EOMONTH('Faturado mensal'!AJ$2,0))</f>
        <v>0</v>
      </c>
      <c r="AK142" s="9">
        <f>SUMIFS(#REF!,#REF!,
$A142,#REF!,
"&gt;="&amp;'Faturado mensal'!AK$2,#REF!,
"&lt;"&amp;EOMONTH('Faturado mensal'!AK$2,0))</f>
        <v>0</v>
      </c>
      <c r="AL142" s="9">
        <f>SUMIFS(#REF!,#REF!,
$A142,#REF!,
"&gt;="&amp;Z$2,#REF!,
"&lt;"&amp;EOMONTH(AK$2,0))</f>
        <v>11322</v>
      </c>
    </row>
    <row r="143" spans="1:38" x14ac:dyDescent="0.3">
      <c r="A143" t="s">
        <v>388</v>
      </c>
      <c r="B143" t="s">
        <v>389</v>
      </c>
      <c r="C143" t="s">
        <v>32</v>
      </c>
      <c r="D143" t="s">
        <v>204</v>
      </c>
      <c r="E143" t="s">
        <v>4843</v>
      </c>
      <c r="F143" t="s">
        <v>4785</v>
      </c>
      <c r="G143" t="s">
        <v>4852</v>
      </c>
      <c r="H143" t="s">
        <v>4771</v>
      </c>
      <c r="I143" t="s">
        <v>32</v>
      </c>
      <c r="J143" t="s">
        <v>710</v>
      </c>
      <c r="K143" t="s">
        <v>785</v>
      </c>
      <c r="L143" t="s">
        <v>786</v>
      </c>
      <c r="M143" s="9">
        <f>SUMIFS(#REF!,#REF!,
$A143,#REF!,
"&gt;="&amp;'Faturado mensal'!M$2,#REF!,
"&lt;"&amp;EOMONTH('Faturado mensal'!M$2,0))</f>
        <v>44581.46</v>
      </c>
      <c r="N143" s="9">
        <f>SUMIFS(#REF!,#REF!,
$A143,#REF!,
"&gt;="&amp;'Faturado mensal'!N$2,#REF!,
"&lt;"&amp;EOMONTH('Faturado mensal'!N$2,0))</f>
        <v>44919.51</v>
      </c>
      <c r="O143" s="9">
        <f>SUMIFS(#REF!,#REF!,
$A143,#REF!,
"&gt;="&amp;'Faturado mensal'!O$2,#REF!,
"&lt;"&amp;EOMONTH('Faturado mensal'!O$2,0))</f>
        <v>42012.23</v>
      </c>
      <c r="P143" s="9">
        <f>SUMIFS(#REF!,#REF!,
$A143,#REF!,
"&gt;="&amp;'Faturado mensal'!P$2,#REF!,
"&lt;"&amp;EOMONTH('Faturado mensal'!P$2,0))</f>
        <v>42688.34</v>
      </c>
      <c r="Q143" s="9">
        <f>SUMIFS(#REF!,#REF!,
$A143,#REF!,
"&gt;="&amp;'Faturado mensal'!Q$2,#REF!,
"&lt;"&amp;EOMONTH('Faturado mensal'!Q$2,0))</f>
        <v>39375.370000000003</v>
      </c>
      <c r="R143" s="9">
        <f>SUMIFS(#REF!,#REF!,
$A143,#REF!,
"&gt;="&amp;'Faturado mensal'!R$2,#REF!,
"&lt;"&amp;EOMONTH('Faturado mensal'!R$2,0))</f>
        <v>41674.160000000003</v>
      </c>
      <c r="S143" s="9">
        <f>SUMIFS(#REF!,#REF!,
$A143,#REF!,
"&gt;="&amp;'Faturado mensal'!S$2,#REF!,
"&lt;"&amp;EOMONTH('Faturado mensal'!S$2,0))</f>
        <v>57698.07</v>
      </c>
      <c r="T143" s="9">
        <f>SUMIFS(#REF!,#REF!,
$A143,#REF!,
"&gt;="&amp;'Faturado mensal'!T$2,#REF!,
"&lt;"&amp;EOMONTH('Faturado mensal'!T$2,0))</f>
        <v>52897.66</v>
      </c>
      <c r="U143" s="9">
        <f>SUMIFS(#REF!,#REF!,
$A143,#REF!,
"&gt;="&amp;'Faturado mensal'!U$2,#REF!,
"&lt;"&amp;EOMONTH('Faturado mensal'!U$2,0))</f>
        <v>48164.85</v>
      </c>
      <c r="V143" s="9">
        <f>SUMIFS(#REF!,#REF!,
$A143,#REF!,
"&gt;="&amp;'Faturado mensal'!V$2,#REF!,
"&lt;"&amp;EOMONTH('Faturado mensal'!V$2,0))</f>
        <v>35859.589999999997</v>
      </c>
      <c r="W143" s="9">
        <f>SUMIFS(#REF!,#REF!,
$A143,#REF!,
"&gt;="&amp;'Faturado mensal'!W$2,#REF!,
"&lt;"&amp;EOMONTH('Faturado mensal'!W$2,0))</f>
        <v>37008.99</v>
      </c>
      <c r="X143" s="9">
        <f>SUMIFS(#REF!,#REF!,
$A143,#REF!,
"&gt;="&amp;'Faturado mensal'!X$2,#REF!,
"&lt;"&amp;EOMONTH('Faturado mensal'!X$2,0))</f>
        <v>46001.3</v>
      </c>
      <c r="Y143" s="11">
        <f>SUMIFS(#REF!,#REF!,
$A143,#REF!,
"&gt;="&amp;'Faturado mensal'!M$2,#REF!,
"&lt;"&amp;EOMONTH('Faturado mensal'!M$2,12))</f>
        <v>569235.73</v>
      </c>
      <c r="Z143" s="9">
        <f>SUMIFS(#REF!,#REF!,
$A143,#REF!,
"&gt;="&amp;'Faturado mensal'!Z$2,#REF!,
"&lt;"&amp;EOMONTH('Faturado mensal'!Z$2,0))</f>
        <v>36354.199999999997</v>
      </c>
      <c r="AA143" s="9">
        <f>SUMIFS(#REF!,#REF!,
$A143,#REF!,
"&gt;="&amp;'Faturado mensal'!AA$2,#REF!,
"&lt;"&amp;EOMONTH('Faturado mensal'!AA$2,0))</f>
        <v>44953.84</v>
      </c>
      <c r="AB143" s="9">
        <f>SUMIFS(#REF!,#REF!,
$A143,#REF!,
"&gt;="&amp;'Faturado mensal'!AB$2,#REF!,
"&lt;"&amp;EOMONTH('Faturado mensal'!AB$2,0))</f>
        <v>37106.06</v>
      </c>
      <c r="AC143" s="9">
        <f>SUMIFS(#REF!,#REF!,
$A143,#REF!,
"&gt;="&amp;'Faturado mensal'!AC$2,#REF!,
"&lt;"&amp;EOMONTH('Faturado mensal'!AC$2,0))</f>
        <v>41281.949999999997</v>
      </c>
      <c r="AD143" s="9">
        <f>SUMIFS(#REF!,#REF!,
$A143,#REF!,
"&gt;="&amp;'Faturado mensal'!AD$2,#REF!,
"&lt;"&amp;EOMONTH('Faturado mensal'!AD$2,0))</f>
        <v>35162.11</v>
      </c>
      <c r="AE143" s="9">
        <f>SUMIFS(#REF!,#REF!,
$A143,#REF!,
"&gt;="&amp;'Faturado mensal'!AE$2,#REF!,
"&lt;"&amp;EOMONTH('Faturado mensal'!AE$2,0))</f>
        <v>29474.25</v>
      </c>
      <c r="AF143" s="9">
        <f>SUMIFS(#REF!,#REF!,
$A143,#REF!,
"&gt;="&amp;'Faturado mensal'!AF$2,#REF!,
"&lt;"&amp;EOMONTH('Faturado mensal'!AF$2,0))</f>
        <v>0</v>
      </c>
      <c r="AG143" s="9">
        <f>SUMIFS(#REF!,#REF!,
$A143,#REF!,
"&gt;="&amp;'Faturado mensal'!AG$2,#REF!,
"&lt;"&amp;EOMONTH('Faturado mensal'!AG$2,0))</f>
        <v>0</v>
      </c>
      <c r="AH143" s="9">
        <f>SUMIFS(#REF!,#REF!,
$A143,#REF!,
"&gt;="&amp;'Faturado mensal'!AH$2,#REF!,
"&lt;"&amp;EOMONTH('Faturado mensal'!AH$2,0))</f>
        <v>0</v>
      </c>
      <c r="AI143" s="9">
        <f>SUMIFS(#REF!,#REF!,
$A143,#REF!,
"&gt;="&amp;'Faturado mensal'!AI$2,#REF!,
"&lt;"&amp;EOMONTH('Faturado mensal'!AI$2,0))</f>
        <v>0</v>
      </c>
      <c r="AJ143" s="9">
        <f>SUMIFS(#REF!,#REF!,
$A143,#REF!,
"&gt;="&amp;'Faturado mensal'!AJ$2,#REF!,
"&lt;"&amp;EOMONTH('Faturado mensal'!AJ$2,0))</f>
        <v>0</v>
      </c>
      <c r="AK143" s="9">
        <f>SUMIFS(#REF!,#REF!,
$A143,#REF!,
"&gt;="&amp;'Faturado mensal'!AK$2,#REF!,
"&lt;"&amp;EOMONTH('Faturado mensal'!AK$2,0))</f>
        <v>0</v>
      </c>
      <c r="AL143" s="9">
        <f>SUMIFS(#REF!,#REF!,
$A143,#REF!,
"&gt;="&amp;Z$2,#REF!,
"&lt;"&amp;EOMONTH(AK$2,0))</f>
        <v>224332.40999999997</v>
      </c>
    </row>
    <row r="144" spans="1:38" x14ac:dyDescent="0.3">
      <c r="A144" t="s">
        <v>390</v>
      </c>
      <c r="B144" t="s">
        <v>391</v>
      </c>
      <c r="C144" t="s">
        <v>104</v>
      </c>
      <c r="D144" t="s">
        <v>204</v>
      </c>
      <c r="E144" t="s">
        <v>4833</v>
      </c>
      <c r="F144" t="s">
        <v>4776</v>
      </c>
      <c r="G144" t="s">
        <v>4852</v>
      </c>
      <c r="H144" t="s">
        <v>4773</v>
      </c>
      <c r="I144" t="s">
        <v>837</v>
      </c>
      <c r="J144" t="s">
        <v>710</v>
      </c>
      <c r="K144" t="s">
        <v>762</v>
      </c>
      <c r="L144" t="s">
        <v>763</v>
      </c>
      <c r="M144" s="9">
        <f>SUMIFS(#REF!,#REF!,
$A144,#REF!,
"&gt;="&amp;'Faturado mensal'!M$2,#REF!,
"&lt;"&amp;EOMONTH('Faturado mensal'!M$2,0))</f>
        <v>1132.97</v>
      </c>
      <c r="N144" s="9">
        <f>SUMIFS(#REF!,#REF!,
$A144,#REF!,
"&gt;="&amp;'Faturado mensal'!N$2,#REF!,
"&lt;"&amp;EOMONTH('Faturado mensal'!N$2,0))</f>
        <v>1132.97</v>
      </c>
      <c r="O144" s="9">
        <f>SUMIFS(#REF!,#REF!,
$A144,#REF!,
"&gt;="&amp;'Faturado mensal'!O$2,#REF!,
"&lt;"&amp;EOMONTH('Faturado mensal'!O$2,0))</f>
        <v>1132.97</v>
      </c>
      <c r="P144" s="9">
        <f>SUMIFS(#REF!,#REF!,
$A144,#REF!,
"&gt;="&amp;'Faturado mensal'!P$2,#REF!,
"&lt;"&amp;EOMONTH('Faturado mensal'!P$2,0))</f>
        <v>1132.97</v>
      </c>
      <c r="Q144" s="9">
        <f>SUMIFS(#REF!,#REF!,
$A144,#REF!,
"&gt;="&amp;'Faturado mensal'!Q$2,#REF!,
"&lt;"&amp;EOMONTH('Faturado mensal'!Q$2,0))</f>
        <v>1132.97</v>
      </c>
      <c r="R144" s="9">
        <f>SUMIFS(#REF!,#REF!,
$A144,#REF!,
"&gt;="&amp;'Faturado mensal'!R$2,#REF!,
"&lt;"&amp;EOMONTH('Faturado mensal'!R$2,0))</f>
        <v>1132.97</v>
      </c>
      <c r="S144" s="9">
        <f>SUMIFS(#REF!,#REF!,
$A144,#REF!,
"&gt;="&amp;'Faturado mensal'!S$2,#REF!,
"&lt;"&amp;EOMONTH('Faturado mensal'!S$2,0))</f>
        <v>1132.97</v>
      </c>
      <c r="T144" s="9">
        <f>SUMIFS(#REF!,#REF!,
$A144,#REF!,
"&gt;="&amp;'Faturado mensal'!T$2,#REF!,
"&lt;"&amp;EOMONTH('Faturado mensal'!T$2,0))</f>
        <v>294.39</v>
      </c>
      <c r="U144" s="9">
        <f>SUMIFS(#REF!,#REF!,
$A144,#REF!,
"&gt;="&amp;'Faturado mensal'!U$2,#REF!,
"&lt;"&amp;EOMONTH('Faturado mensal'!U$2,0))</f>
        <v>838.58</v>
      </c>
      <c r="V144" s="9">
        <f>SUMIFS(#REF!,#REF!,
$A144,#REF!,
"&gt;="&amp;'Faturado mensal'!V$2,#REF!,
"&lt;"&amp;EOMONTH('Faturado mensal'!V$2,0))</f>
        <v>3945.5</v>
      </c>
      <c r="W144" s="9">
        <f>SUMIFS(#REF!,#REF!,
$A144,#REF!,
"&gt;="&amp;'Faturado mensal'!W$2,#REF!,
"&lt;"&amp;EOMONTH('Faturado mensal'!W$2,0))</f>
        <v>312.67</v>
      </c>
      <c r="X144" s="9">
        <f>SUMIFS(#REF!,#REF!,
$A144,#REF!,
"&gt;="&amp;'Faturado mensal'!X$2,#REF!,
"&lt;"&amp;EOMONTH('Faturado mensal'!X$2,0))</f>
        <v>3632.83</v>
      </c>
      <c r="Y144" s="11">
        <f>SUMIFS(#REF!,#REF!,
$A144,#REF!,
"&gt;="&amp;'Faturado mensal'!M$2,#REF!,
"&lt;"&amp;EOMONTH('Faturado mensal'!M$2,12))</f>
        <v>18927.509999999995</v>
      </c>
      <c r="Z144" s="9">
        <f>SUMIFS(#REF!,#REF!,
$A144,#REF!,
"&gt;="&amp;'Faturado mensal'!Z$2,#REF!,
"&lt;"&amp;EOMONTH('Faturado mensal'!Z$2,0))</f>
        <v>1972.75</v>
      </c>
      <c r="AA144" s="9">
        <f>SUMIFS(#REF!,#REF!,
$A144,#REF!,
"&gt;="&amp;'Faturado mensal'!AA$2,#REF!,
"&lt;"&amp;EOMONTH('Faturado mensal'!AA$2,0))</f>
        <v>1660.08</v>
      </c>
      <c r="AB144" s="9">
        <f>SUMIFS(#REF!,#REF!,
$A144,#REF!,
"&gt;="&amp;'Faturado mensal'!AB$2,#REF!,
"&lt;"&amp;EOMONTH('Faturado mensal'!AB$2,0))</f>
        <v>2285.42</v>
      </c>
      <c r="AC144" s="9">
        <f>SUMIFS(#REF!,#REF!,
$A144,#REF!,
"&gt;="&amp;'Faturado mensal'!AC$2,#REF!,
"&lt;"&amp;EOMONTH('Faturado mensal'!AC$2,0))</f>
        <v>1972.75</v>
      </c>
      <c r="AD144" s="9">
        <f>SUMIFS(#REF!,#REF!,
$A144,#REF!,
"&gt;="&amp;'Faturado mensal'!AD$2,#REF!,
"&lt;"&amp;EOMONTH('Faturado mensal'!AD$2,0))</f>
        <v>1972.75</v>
      </c>
      <c r="AE144" s="9">
        <f>SUMIFS(#REF!,#REF!,
$A144,#REF!,
"&gt;="&amp;'Faturado mensal'!AE$2,#REF!,
"&lt;"&amp;EOMONTH('Faturado mensal'!AE$2,0))</f>
        <v>1972.75</v>
      </c>
      <c r="AF144" s="9">
        <f>SUMIFS(#REF!,#REF!,
$A144,#REF!,
"&gt;="&amp;'Faturado mensal'!AF$2,#REF!,
"&lt;"&amp;EOMONTH('Faturado mensal'!AF$2,0))</f>
        <v>0</v>
      </c>
      <c r="AG144" s="9">
        <f>SUMIFS(#REF!,#REF!,
$A144,#REF!,
"&gt;="&amp;'Faturado mensal'!AG$2,#REF!,
"&lt;"&amp;EOMONTH('Faturado mensal'!AG$2,0))</f>
        <v>0</v>
      </c>
      <c r="AH144" s="9">
        <f>SUMIFS(#REF!,#REF!,
$A144,#REF!,
"&gt;="&amp;'Faturado mensal'!AH$2,#REF!,
"&lt;"&amp;EOMONTH('Faturado mensal'!AH$2,0))</f>
        <v>0</v>
      </c>
      <c r="AI144" s="9">
        <f>SUMIFS(#REF!,#REF!,
$A144,#REF!,
"&gt;="&amp;'Faturado mensal'!AI$2,#REF!,
"&lt;"&amp;EOMONTH('Faturado mensal'!AI$2,0))</f>
        <v>0</v>
      </c>
      <c r="AJ144" s="9">
        <f>SUMIFS(#REF!,#REF!,
$A144,#REF!,
"&gt;="&amp;'Faturado mensal'!AJ$2,#REF!,
"&lt;"&amp;EOMONTH('Faturado mensal'!AJ$2,0))</f>
        <v>0</v>
      </c>
      <c r="AK144" s="9">
        <f>SUMIFS(#REF!,#REF!,
$A144,#REF!,
"&gt;="&amp;'Faturado mensal'!AK$2,#REF!,
"&lt;"&amp;EOMONTH('Faturado mensal'!AK$2,0))</f>
        <v>0</v>
      </c>
      <c r="AL144" s="9">
        <f>SUMIFS(#REF!,#REF!,
$A144,#REF!,
"&gt;="&amp;Z$2,#REF!,
"&lt;"&amp;EOMONTH(AK$2,0))</f>
        <v>11836.5</v>
      </c>
    </row>
    <row r="145" spans="1:38" x14ac:dyDescent="0.3">
      <c r="A145" t="s">
        <v>392</v>
      </c>
      <c r="B145" t="s">
        <v>393</v>
      </c>
      <c r="C145" t="s">
        <v>34</v>
      </c>
      <c r="D145" t="s">
        <v>209</v>
      </c>
      <c r="I145" t="s">
        <v>34</v>
      </c>
      <c r="J145" t="s">
        <v>710</v>
      </c>
      <c r="K145" t="s">
        <v>762</v>
      </c>
      <c r="L145" t="s">
        <v>763</v>
      </c>
      <c r="M145" s="9">
        <f>SUMIFS(#REF!,#REF!,
$A145,#REF!,
"&gt;="&amp;'Faturado mensal'!M$2,#REF!,
"&lt;"&amp;EOMONTH('Faturado mensal'!M$2,0))</f>
        <v>0</v>
      </c>
      <c r="N145" s="9">
        <f>SUMIFS(#REF!,#REF!,
$A145,#REF!,
"&gt;="&amp;'Faturado mensal'!N$2,#REF!,
"&lt;"&amp;EOMONTH('Faturado mensal'!N$2,0))</f>
        <v>0</v>
      </c>
      <c r="O145" s="9">
        <f>SUMIFS(#REF!,#REF!,
$A145,#REF!,
"&gt;="&amp;'Faturado mensal'!O$2,#REF!,
"&lt;"&amp;EOMONTH('Faturado mensal'!O$2,0))</f>
        <v>0</v>
      </c>
      <c r="P145" s="9">
        <f>SUMIFS(#REF!,#REF!,
$A145,#REF!,
"&gt;="&amp;'Faturado mensal'!P$2,#REF!,
"&lt;"&amp;EOMONTH('Faturado mensal'!P$2,0))</f>
        <v>0</v>
      </c>
      <c r="Q145" s="9">
        <f>SUMIFS(#REF!,#REF!,
$A145,#REF!,
"&gt;="&amp;'Faturado mensal'!Q$2,#REF!,
"&lt;"&amp;EOMONTH('Faturado mensal'!Q$2,0))</f>
        <v>0</v>
      </c>
      <c r="R145" s="9">
        <f>SUMIFS(#REF!,#REF!,
$A145,#REF!,
"&gt;="&amp;'Faturado mensal'!R$2,#REF!,
"&lt;"&amp;EOMONTH('Faturado mensal'!R$2,0))</f>
        <v>0</v>
      </c>
      <c r="S145" s="9">
        <f>SUMIFS(#REF!,#REF!,
$A145,#REF!,
"&gt;="&amp;'Faturado mensal'!S$2,#REF!,
"&lt;"&amp;EOMONTH('Faturado mensal'!S$2,0))</f>
        <v>0</v>
      </c>
      <c r="T145" s="9">
        <f>SUMIFS(#REF!,#REF!,
$A145,#REF!,
"&gt;="&amp;'Faturado mensal'!T$2,#REF!,
"&lt;"&amp;EOMONTH('Faturado mensal'!T$2,0))</f>
        <v>0</v>
      </c>
      <c r="U145" s="9">
        <f>SUMIFS(#REF!,#REF!,
$A145,#REF!,
"&gt;="&amp;'Faturado mensal'!U$2,#REF!,
"&lt;"&amp;EOMONTH('Faturado mensal'!U$2,0))</f>
        <v>0</v>
      </c>
      <c r="V145" s="9">
        <f>SUMIFS(#REF!,#REF!,
$A145,#REF!,
"&gt;="&amp;'Faturado mensal'!V$2,#REF!,
"&lt;"&amp;EOMONTH('Faturado mensal'!V$2,0))</f>
        <v>0</v>
      </c>
      <c r="W145" s="9">
        <f>SUMIFS(#REF!,#REF!,
$A145,#REF!,
"&gt;="&amp;'Faturado mensal'!W$2,#REF!,
"&lt;"&amp;EOMONTH('Faturado mensal'!W$2,0))</f>
        <v>0</v>
      </c>
      <c r="X145" s="9">
        <f>SUMIFS(#REF!,#REF!,
$A145,#REF!,
"&gt;="&amp;'Faturado mensal'!X$2,#REF!,
"&lt;"&amp;EOMONTH('Faturado mensal'!X$2,0))</f>
        <v>0</v>
      </c>
      <c r="Y145" s="11">
        <f>SUMIFS(#REF!,#REF!,
$A145,#REF!,
"&gt;="&amp;'Faturado mensal'!M$2,#REF!,
"&lt;"&amp;EOMONTH('Faturado mensal'!M$2,12))</f>
        <v>0</v>
      </c>
      <c r="Z145" s="9">
        <f>SUMIFS(#REF!,#REF!,
$A145,#REF!,
"&gt;="&amp;'Faturado mensal'!Z$2,#REF!,
"&lt;"&amp;EOMONTH('Faturado mensal'!Z$2,0))</f>
        <v>0</v>
      </c>
      <c r="AA145" s="9">
        <f>SUMIFS(#REF!,#REF!,
$A145,#REF!,
"&gt;="&amp;'Faturado mensal'!AA$2,#REF!,
"&lt;"&amp;EOMONTH('Faturado mensal'!AA$2,0))</f>
        <v>0</v>
      </c>
      <c r="AB145" s="9">
        <f>SUMIFS(#REF!,#REF!,
$A145,#REF!,
"&gt;="&amp;'Faturado mensal'!AB$2,#REF!,
"&lt;"&amp;EOMONTH('Faturado mensal'!AB$2,0))</f>
        <v>0</v>
      </c>
      <c r="AC145" s="9">
        <f>SUMIFS(#REF!,#REF!,
$A145,#REF!,
"&gt;="&amp;'Faturado mensal'!AC$2,#REF!,
"&lt;"&amp;EOMONTH('Faturado mensal'!AC$2,0))</f>
        <v>0</v>
      </c>
      <c r="AD145" s="9">
        <f>SUMIFS(#REF!,#REF!,
$A145,#REF!,
"&gt;="&amp;'Faturado mensal'!AD$2,#REF!,
"&lt;"&amp;EOMONTH('Faturado mensal'!AD$2,0))</f>
        <v>0</v>
      </c>
      <c r="AE145" s="9">
        <f>SUMIFS(#REF!,#REF!,
$A145,#REF!,
"&gt;="&amp;'Faturado mensal'!AE$2,#REF!,
"&lt;"&amp;EOMONTH('Faturado mensal'!AE$2,0))</f>
        <v>0</v>
      </c>
      <c r="AF145" s="9">
        <f>SUMIFS(#REF!,#REF!,
$A145,#REF!,
"&gt;="&amp;'Faturado mensal'!AF$2,#REF!,
"&lt;"&amp;EOMONTH('Faturado mensal'!AF$2,0))</f>
        <v>0</v>
      </c>
      <c r="AG145" s="9">
        <f>SUMIFS(#REF!,#REF!,
$A145,#REF!,
"&gt;="&amp;'Faturado mensal'!AG$2,#REF!,
"&lt;"&amp;EOMONTH('Faturado mensal'!AG$2,0))</f>
        <v>0</v>
      </c>
      <c r="AH145" s="9">
        <f>SUMIFS(#REF!,#REF!,
$A145,#REF!,
"&gt;="&amp;'Faturado mensal'!AH$2,#REF!,
"&lt;"&amp;EOMONTH('Faturado mensal'!AH$2,0))</f>
        <v>0</v>
      </c>
      <c r="AI145" s="9">
        <f>SUMIFS(#REF!,#REF!,
$A145,#REF!,
"&gt;="&amp;'Faturado mensal'!AI$2,#REF!,
"&lt;"&amp;EOMONTH('Faturado mensal'!AI$2,0))</f>
        <v>0</v>
      </c>
      <c r="AJ145" s="9">
        <f>SUMIFS(#REF!,#REF!,
$A145,#REF!,
"&gt;="&amp;'Faturado mensal'!AJ$2,#REF!,
"&lt;"&amp;EOMONTH('Faturado mensal'!AJ$2,0))</f>
        <v>0</v>
      </c>
      <c r="AK145" s="9">
        <f>SUMIFS(#REF!,#REF!,
$A145,#REF!,
"&gt;="&amp;'Faturado mensal'!AK$2,#REF!,
"&lt;"&amp;EOMONTH('Faturado mensal'!AK$2,0))</f>
        <v>0</v>
      </c>
      <c r="AL145" s="9">
        <f>SUMIFS(#REF!,#REF!,
$A145,#REF!,
"&gt;="&amp;Z$2,#REF!,
"&lt;"&amp;EOMONTH(AK$2,0))</f>
        <v>0</v>
      </c>
    </row>
    <row r="146" spans="1:38" x14ac:dyDescent="0.3">
      <c r="A146" t="s">
        <v>394</v>
      </c>
      <c r="B146" t="s">
        <v>395</v>
      </c>
      <c r="C146" t="s">
        <v>77</v>
      </c>
      <c r="D146" t="s">
        <v>209</v>
      </c>
      <c r="G146" t="s">
        <v>4845</v>
      </c>
      <c r="H146" t="s">
        <v>4773</v>
      </c>
      <c r="I146" t="s">
        <v>838</v>
      </c>
      <c r="J146" t="s">
        <v>710</v>
      </c>
      <c r="K146" t="s">
        <v>839</v>
      </c>
      <c r="L146" t="s">
        <v>840</v>
      </c>
      <c r="M146" s="9">
        <f>SUMIFS(#REF!,#REF!,
$A146,#REF!,
"&gt;="&amp;'Faturado mensal'!M$2,#REF!,
"&lt;"&amp;EOMONTH('Faturado mensal'!M$2,0))</f>
        <v>0</v>
      </c>
      <c r="N146" s="9">
        <f>SUMIFS(#REF!,#REF!,
$A146,#REF!,
"&gt;="&amp;'Faturado mensal'!N$2,#REF!,
"&lt;"&amp;EOMONTH('Faturado mensal'!N$2,0))</f>
        <v>0</v>
      </c>
      <c r="O146" s="9">
        <f>SUMIFS(#REF!,#REF!,
$A146,#REF!,
"&gt;="&amp;'Faturado mensal'!O$2,#REF!,
"&lt;"&amp;EOMONTH('Faturado mensal'!O$2,0))</f>
        <v>0</v>
      </c>
      <c r="P146" s="9">
        <f>SUMIFS(#REF!,#REF!,
$A146,#REF!,
"&gt;="&amp;'Faturado mensal'!P$2,#REF!,
"&lt;"&amp;EOMONTH('Faturado mensal'!P$2,0))</f>
        <v>0</v>
      </c>
      <c r="Q146" s="9">
        <f>SUMIFS(#REF!,#REF!,
$A146,#REF!,
"&gt;="&amp;'Faturado mensal'!Q$2,#REF!,
"&lt;"&amp;EOMONTH('Faturado mensal'!Q$2,0))</f>
        <v>0</v>
      </c>
      <c r="R146" s="9">
        <f>SUMIFS(#REF!,#REF!,
$A146,#REF!,
"&gt;="&amp;'Faturado mensal'!R$2,#REF!,
"&lt;"&amp;EOMONTH('Faturado mensal'!R$2,0))</f>
        <v>0</v>
      </c>
      <c r="S146" s="9">
        <f>SUMIFS(#REF!,#REF!,
$A146,#REF!,
"&gt;="&amp;'Faturado mensal'!S$2,#REF!,
"&lt;"&amp;EOMONTH('Faturado mensal'!S$2,0))</f>
        <v>0</v>
      </c>
      <c r="T146" s="9">
        <f>SUMIFS(#REF!,#REF!,
$A146,#REF!,
"&gt;="&amp;'Faturado mensal'!T$2,#REF!,
"&lt;"&amp;EOMONTH('Faturado mensal'!T$2,0))</f>
        <v>0</v>
      </c>
      <c r="U146" s="9">
        <f>SUMIFS(#REF!,#REF!,
$A146,#REF!,
"&gt;="&amp;'Faturado mensal'!U$2,#REF!,
"&lt;"&amp;EOMONTH('Faturado mensal'!U$2,0))</f>
        <v>0</v>
      </c>
      <c r="V146" s="9">
        <f>SUMIFS(#REF!,#REF!,
$A146,#REF!,
"&gt;="&amp;'Faturado mensal'!V$2,#REF!,
"&lt;"&amp;EOMONTH('Faturado mensal'!V$2,0))</f>
        <v>0</v>
      </c>
      <c r="W146" s="9">
        <f>SUMIFS(#REF!,#REF!,
$A146,#REF!,
"&gt;="&amp;'Faturado mensal'!W$2,#REF!,
"&lt;"&amp;EOMONTH('Faturado mensal'!W$2,0))</f>
        <v>0</v>
      </c>
      <c r="X146" s="9">
        <f>SUMIFS(#REF!,#REF!,
$A146,#REF!,
"&gt;="&amp;'Faturado mensal'!X$2,#REF!,
"&lt;"&amp;EOMONTH('Faturado mensal'!X$2,0))</f>
        <v>0</v>
      </c>
      <c r="Y146" s="11">
        <f>SUMIFS(#REF!,#REF!,
$A146,#REF!,
"&gt;="&amp;'Faturado mensal'!M$2,#REF!,
"&lt;"&amp;EOMONTH('Faturado mensal'!M$2,12))</f>
        <v>0</v>
      </c>
      <c r="Z146" s="9">
        <f>SUMIFS(#REF!,#REF!,
$A146,#REF!,
"&gt;="&amp;'Faturado mensal'!Z$2,#REF!,
"&lt;"&amp;EOMONTH('Faturado mensal'!Z$2,0))</f>
        <v>0</v>
      </c>
      <c r="AA146" s="9">
        <f>SUMIFS(#REF!,#REF!,
$A146,#REF!,
"&gt;="&amp;'Faturado mensal'!AA$2,#REF!,
"&lt;"&amp;EOMONTH('Faturado mensal'!AA$2,0))</f>
        <v>0</v>
      </c>
      <c r="AB146" s="9">
        <f>SUMIFS(#REF!,#REF!,
$A146,#REF!,
"&gt;="&amp;'Faturado mensal'!AB$2,#REF!,
"&lt;"&amp;EOMONTH('Faturado mensal'!AB$2,0))</f>
        <v>0</v>
      </c>
      <c r="AC146" s="9">
        <f>SUMIFS(#REF!,#REF!,
$A146,#REF!,
"&gt;="&amp;'Faturado mensal'!AC$2,#REF!,
"&lt;"&amp;EOMONTH('Faturado mensal'!AC$2,0))</f>
        <v>0</v>
      </c>
      <c r="AD146" s="9">
        <f>SUMIFS(#REF!,#REF!,
$A146,#REF!,
"&gt;="&amp;'Faturado mensal'!AD$2,#REF!,
"&lt;"&amp;EOMONTH('Faturado mensal'!AD$2,0))</f>
        <v>0</v>
      </c>
      <c r="AE146" s="9">
        <f>SUMIFS(#REF!,#REF!,
$A146,#REF!,
"&gt;="&amp;'Faturado mensal'!AE$2,#REF!,
"&lt;"&amp;EOMONTH('Faturado mensal'!AE$2,0))</f>
        <v>0</v>
      </c>
      <c r="AF146" s="9">
        <f>SUMIFS(#REF!,#REF!,
$A146,#REF!,
"&gt;="&amp;'Faturado mensal'!AF$2,#REF!,
"&lt;"&amp;EOMONTH('Faturado mensal'!AF$2,0))</f>
        <v>0</v>
      </c>
      <c r="AG146" s="9">
        <f>SUMIFS(#REF!,#REF!,
$A146,#REF!,
"&gt;="&amp;'Faturado mensal'!AG$2,#REF!,
"&lt;"&amp;EOMONTH('Faturado mensal'!AG$2,0))</f>
        <v>0</v>
      </c>
      <c r="AH146" s="9">
        <f>SUMIFS(#REF!,#REF!,
$A146,#REF!,
"&gt;="&amp;'Faturado mensal'!AH$2,#REF!,
"&lt;"&amp;EOMONTH('Faturado mensal'!AH$2,0))</f>
        <v>0</v>
      </c>
      <c r="AI146" s="9">
        <f>SUMIFS(#REF!,#REF!,
$A146,#REF!,
"&gt;="&amp;'Faturado mensal'!AI$2,#REF!,
"&lt;"&amp;EOMONTH('Faturado mensal'!AI$2,0))</f>
        <v>0</v>
      </c>
      <c r="AJ146" s="9">
        <f>SUMIFS(#REF!,#REF!,
$A146,#REF!,
"&gt;="&amp;'Faturado mensal'!AJ$2,#REF!,
"&lt;"&amp;EOMONTH('Faturado mensal'!AJ$2,0))</f>
        <v>0</v>
      </c>
      <c r="AK146" s="9">
        <f>SUMIFS(#REF!,#REF!,
$A146,#REF!,
"&gt;="&amp;'Faturado mensal'!AK$2,#REF!,
"&lt;"&amp;EOMONTH('Faturado mensal'!AK$2,0))</f>
        <v>0</v>
      </c>
      <c r="AL146" s="9">
        <f>SUMIFS(#REF!,#REF!,
$A146,#REF!,
"&gt;="&amp;Z$2,#REF!,
"&lt;"&amp;EOMONTH(AK$2,0))</f>
        <v>0</v>
      </c>
    </row>
    <row r="147" spans="1:38" x14ac:dyDescent="0.3">
      <c r="A147" t="s">
        <v>396</v>
      </c>
      <c r="B147" t="s">
        <v>397</v>
      </c>
      <c r="C147" t="s">
        <v>161</v>
      </c>
      <c r="D147" t="s">
        <v>209</v>
      </c>
      <c r="G147" t="s">
        <v>4852</v>
      </c>
      <c r="H147" t="s">
        <v>4772</v>
      </c>
      <c r="I147" t="s">
        <v>161</v>
      </c>
      <c r="J147" t="s">
        <v>710</v>
      </c>
      <c r="K147" t="s">
        <v>768</v>
      </c>
      <c r="L147" t="s">
        <v>769</v>
      </c>
      <c r="M147" s="9">
        <f>SUMIFS(#REF!,#REF!,
$A147,#REF!,
"&gt;="&amp;'Faturado mensal'!M$2,#REF!,
"&lt;"&amp;EOMONTH('Faturado mensal'!M$2,0))</f>
        <v>21.36</v>
      </c>
      <c r="N147" s="9">
        <f>SUMIFS(#REF!,#REF!,
$A147,#REF!,
"&gt;="&amp;'Faturado mensal'!N$2,#REF!,
"&lt;"&amp;EOMONTH('Faturado mensal'!N$2,0))</f>
        <v>0</v>
      </c>
      <c r="O147" s="9">
        <f>SUMIFS(#REF!,#REF!,
$A147,#REF!,
"&gt;="&amp;'Faturado mensal'!O$2,#REF!,
"&lt;"&amp;EOMONTH('Faturado mensal'!O$2,0))</f>
        <v>0</v>
      </c>
      <c r="P147" s="9">
        <f>SUMIFS(#REF!,#REF!,
$A147,#REF!,
"&gt;="&amp;'Faturado mensal'!P$2,#REF!,
"&lt;"&amp;EOMONTH('Faturado mensal'!P$2,0))</f>
        <v>0</v>
      </c>
      <c r="Q147" s="9">
        <f>SUMIFS(#REF!,#REF!,
$A147,#REF!,
"&gt;="&amp;'Faturado mensal'!Q$2,#REF!,
"&lt;"&amp;EOMONTH('Faturado mensal'!Q$2,0))</f>
        <v>0</v>
      </c>
      <c r="R147" s="9">
        <f>SUMIFS(#REF!,#REF!,
$A147,#REF!,
"&gt;="&amp;'Faturado mensal'!R$2,#REF!,
"&lt;"&amp;EOMONTH('Faturado mensal'!R$2,0))</f>
        <v>0</v>
      </c>
      <c r="S147" s="9">
        <f>SUMIFS(#REF!,#REF!,
$A147,#REF!,
"&gt;="&amp;'Faturado mensal'!S$2,#REF!,
"&lt;"&amp;EOMONTH('Faturado mensal'!S$2,0))</f>
        <v>0</v>
      </c>
      <c r="T147" s="9">
        <f>SUMIFS(#REF!,#REF!,
$A147,#REF!,
"&gt;="&amp;'Faturado mensal'!T$2,#REF!,
"&lt;"&amp;EOMONTH('Faturado mensal'!T$2,0))</f>
        <v>0</v>
      </c>
      <c r="U147" s="9">
        <f>SUMIFS(#REF!,#REF!,
$A147,#REF!,
"&gt;="&amp;'Faturado mensal'!U$2,#REF!,
"&lt;"&amp;EOMONTH('Faturado mensal'!U$2,0))</f>
        <v>0</v>
      </c>
      <c r="V147" s="9">
        <f>SUMIFS(#REF!,#REF!,
$A147,#REF!,
"&gt;="&amp;'Faturado mensal'!V$2,#REF!,
"&lt;"&amp;EOMONTH('Faturado mensal'!V$2,0))</f>
        <v>0</v>
      </c>
      <c r="W147" s="9">
        <f>SUMIFS(#REF!,#REF!,
$A147,#REF!,
"&gt;="&amp;'Faturado mensal'!W$2,#REF!,
"&lt;"&amp;EOMONTH('Faturado mensal'!W$2,0))</f>
        <v>0</v>
      </c>
      <c r="X147" s="9">
        <f>SUMIFS(#REF!,#REF!,
$A147,#REF!,
"&gt;="&amp;'Faturado mensal'!X$2,#REF!,
"&lt;"&amp;EOMONTH('Faturado mensal'!X$2,0))</f>
        <v>0</v>
      </c>
      <c r="Y147" s="11">
        <f>SUMIFS(#REF!,#REF!,
$A147,#REF!,
"&gt;="&amp;'Faturado mensal'!M$2,#REF!,
"&lt;"&amp;EOMONTH('Faturado mensal'!M$2,12))</f>
        <v>21.36</v>
      </c>
      <c r="Z147" s="9">
        <f>SUMIFS(#REF!,#REF!,
$A147,#REF!,
"&gt;="&amp;'Faturado mensal'!Z$2,#REF!,
"&lt;"&amp;EOMONTH('Faturado mensal'!Z$2,0))</f>
        <v>0</v>
      </c>
      <c r="AA147" s="9">
        <f>SUMIFS(#REF!,#REF!,
$A147,#REF!,
"&gt;="&amp;'Faturado mensal'!AA$2,#REF!,
"&lt;"&amp;EOMONTH('Faturado mensal'!AA$2,0))</f>
        <v>0</v>
      </c>
      <c r="AB147" s="9">
        <f>SUMIFS(#REF!,#REF!,
$A147,#REF!,
"&gt;="&amp;'Faturado mensal'!AB$2,#REF!,
"&lt;"&amp;EOMONTH('Faturado mensal'!AB$2,0))</f>
        <v>0</v>
      </c>
      <c r="AC147" s="9">
        <f>SUMIFS(#REF!,#REF!,
$A147,#REF!,
"&gt;="&amp;'Faturado mensal'!AC$2,#REF!,
"&lt;"&amp;EOMONTH('Faturado mensal'!AC$2,0))</f>
        <v>0</v>
      </c>
      <c r="AD147" s="9">
        <f>SUMIFS(#REF!,#REF!,
$A147,#REF!,
"&gt;="&amp;'Faturado mensal'!AD$2,#REF!,
"&lt;"&amp;EOMONTH('Faturado mensal'!AD$2,0))</f>
        <v>0</v>
      </c>
      <c r="AE147" s="9">
        <f>SUMIFS(#REF!,#REF!,
$A147,#REF!,
"&gt;="&amp;'Faturado mensal'!AE$2,#REF!,
"&lt;"&amp;EOMONTH('Faturado mensal'!AE$2,0))</f>
        <v>0</v>
      </c>
      <c r="AF147" s="9">
        <f>SUMIFS(#REF!,#REF!,
$A147,#REF!,
"&gt;="&amp;'Faturado mensal'!AF$2,#REF!,
"&lt;"&amp;EOMONTH('Faturado mensal'!AF$2,0))</f>
        <v>0</v>
      </c>
      <c r="AG147" s="9">
        <f>SUMIFS(#REF!,#REF!,
$A147,#REF!,
"&gt;="&amp;'Faturado mensal'!AG$2,#REF!,
"&lt;"&amp;EOMONTH('Faturado mensal'!AG$2,0))</f>
        <v>0</v>
      </c>
      <c r="AH147" s="9">
        <f>SUMIFS(#REF!,#REF!,
$A147,#REF!,
"&gt;="&amp;'Faturado mensal'!AH$2,#REF!,
"&lt;"&amp;EOMONTH('Faturado mensal'!AH$2,0))</f>
        <v>0</v>
      </c>
      <c r="AI147" s="9">
        <f>SUMIFS(#REF!,#REF!,
$A147,#REF!,
"&gt;="&amp;'Faturado mensal'!AI$2,#REF!,
"&lt;"&amp;EOMONTH('Faturado mensal'!AI$2,0))</f>
        <v>0</v>
      </c>
      <c r="AJ147" s="9">
        <f>SUMIFS(#REF!,#REF!,
$A147,#REF!,
"&gt;="&amp;'Faturado mensal'!AJ$2,#REF!,
"&lt;"&amp;EOMONTH('Faturado mensal'!AJ$2,0))</f>
        <v>0</v>
      </c>
      <c r="AK147" s="9">
        <f>SUMIFS(#REF!,#REF!,
$A147,#REF!,
"&gt;="&amp;'Faturado mensal'!AK$2,#REF!,
"&lt;"&amp;EOMONTH('Faturado mensal'!AK$2,0))</f>
        <v>0</v>
      </c>
      <c r="AL147" s="9">
        <f>SUMIFS(#REF!,#REF!,
$A147,#REF!,
"&gt;="&amp;Z$2,#REF!,
"&lt;"&amp;EOMONTH(AK$2,0))</f>
        <v>0</v>
      </c>
    </row>
    <row r="148" spans="1:38" x14ac:dyDescent="0.3">
      <c r="A148" t="s">
        <v>398</v>
      </c>
      <c r="B148" t="s">
        <v>399</v>
      </c>
      <c r="C148" t="s">
        <v>97</v>
      </c>
      <c r="D148" t="s">
        <v>204</v>
      </c>
      <c r="E148" t="s">
        <v>4841</v>
      </c>
      <c r="F148" t="s">
        <v>4776</v>
      </c>
      <c r="G148" t="s">
        <v>4852</v>
      </c>
      <c r="H148" t="s">
        <v>4773</v>
      </c>
      <c r="I148" t="s">
        <v>97</v>
      </c>
      <c r="J148" t="s">
        <v>710</v>
      </c>
      <c r="K148" t="s">
        <v>717</v>
      </c>
      <c r="L148" t="s">
        <v>718</v>
      </c>
      <c r="M148" s="9">
        <f>SUMIFS(#REF!,#REF!,
$A148,#REF!,
"&gt;="&amp;'Faturado mensal'!M$2,#REF!,
"&lt;"&amp;EOMONTH('Faturado mensal'!M$2,0))</f>
        <v>22921.53</v>
      </c>
      <c r="N148" s="9">
        <f>SUMIFS(#REF!,#REF!,
$A148,#REF!,
"&gt;="&amp;'Faturado mensal'!N$2,#REF!,
"&lt;"&amp;EOMONTH('Faturado mensal'!N$2,0))</f>
        <v>22921.53</v>
      </c>
      <c r="O148" s="9">
        <f>SUMIFS(#REF!,#REF!,
$A148,#REF!,
"&gt;="&amp;'Faturado mensal'!O$2,#REF!,
"&lt;"&amp;EOMONTH('Faturado mensal'!O$2,0))</f>
        <v>22921.51</v>
      </c>
      <c r="P148" s="9">
        <f>SUMIFS(#REF!,#REF!,
$A148,#REF!,
"&gt;="&amp;'Faturado mensal'!P$2,#REF!,
"&lt;"&amp;EOMONTH('Faturado mensal'!P$2,0))</f>
        <v>0</v>
      </c>
      <c r="Q148" s="9">
        <f>SUMIFS(#REF!,#REF!,
$A148,#REF!,
"&gt;="&amp;'Faturado mensal'!Q$2,#REF!,
"&lt;"&amp;EOMONTH('Faturado mensal'!Q$2,0))</f>
        <v>0</v>
      </c>
      <c r="R148" s="9">
        <f>SUMIFS(#REF!,#REF!,
$A148,#REF!,
"&gt;="&amp;'Faturado mensal'!R$2,#REF!,
"&lt;"&amp;EOMONTH('Faturado mensal'!R$2,0))</f>
        <v>0</v>
      </c>
      <c r="S148" s="9">
        <f>SUMIFS(#REF!,#REF!,
$A148,#REF!,
"&gt;="&amp;'Faturado mensal'!S$2,#REF!,
"&lt;"&amp;EOMONTH('Faturado mensal'!S$2,0))</f>
        <v>0</v>
      </c>
      <c r="T148" s="9">
        <f>SUMIFS(#REF!,#REF!,
$A148,#REF!,
"&gt;="&amp;'Faturado mensal'!T$2,#REF!,
"&lt;"&amp;EOMONTH('Faturado mensal'!T$2,0))</f>
        <v>0</v>
      </c>
      <c r="U148" s="9">
        <f>SUMIFS(#REF!,#REF!,
$A148,#REF!,
"&gt;="&amp;'Faturado mensal'!U$2,#REF!,
"&lt;"&amp;EOMONTH('Faturado mensal'!U$2,0))</f>
        <v>63211.27</v>
      </c>
      <c r="V148" s="9">
        <f>SUMIFS(#REF!,#REF!,
$A148,#REF!,
"&gt;="&amp;'Faturado mensal'!V$2,#REF!,
"&lt;"&amp;EOMONTH('Faturado mensal'!V$2,0))</f>
        <v>21070.42</v>
      </c>
      <c r="W148" s="9">
        <f>SUMIFS(#REF!,#REF!,
$A148,#REF!,
"&gt;="&amp;'Faturado mensal'!W$2,#REF!,
"&lt;"&amp;EOMONTH('Faturado mensal'!W$2,0))</f>
        <v>21070.42</v>
      </c>
      <c r="X148" s="9">
        <f>SUMIFS(#REF!,#REF!,
$A148,#REF!,
"&gt;="&amp;'Faturado mensal'!X$2,#REF!,
"&lt;"&amp;EOMONTH('Faturado mensal'!X$2,0))</f>
        <v>42140.84</v>
      </c>
      <c r="Y148" s="11">
        <f>SUMIFS(#REF!,#REF!,
$A148,#REF!,
"&gt;="&amp;'Faturado mensal'!M$2,#REF!,
"&lt;"&amp;EOMONTH('Faturado mensal'!M$2,12))</f>
        <v>216257.51999999996</v>
      </c>
      <c r="Z148" s="9">
        <f>SUMIFS(#REF!,#REF!,
$A148,#REF!,
"&gt;="&amp;'Faturado mensal'!Z$2,#REF!,
"&lt;"&amp;EOMONTH('Faturado mensal'!Z$2,0))</f>
        <v>0</v>
      </c>
      <c r="AA148" s="9">
        <f>SUMIFS(#REF!,#REF!,
$A148,#REF!,
"&gt;="&amp;'Faturado mensal'!AA$2,#REF!,
"&lt;"&amp;EOMONTH('Faturado mensal'!AA$2,0))</f>
        <v>21070.42</v>
      </c>
      <c r="AB148" s="9">
        <f>SUMIFS(#REF!,#REF!,
$A148,#REF!,
"&gt;="&amp;'Faturado mensal'!AB$2,#REF!,
"&lt;"&amp;EOMONTH('Faturado mensal'!AB$2,0))</f>
        <v>42140.84</v>
      </c>
      <c r="AC148" s="9">
        <f>SUMIFS(#REF!,#REF!,
$A148,#REF!,
"&gt;="&amp;'Faturado mensal'!AC$2,#REF!,
"&lt;"&amp;EOMONTH('Faturado mensal'!AC$2,0))</f>
        <v>0</v>
      </c>
      <c r="AD148" s="9">
        <f>SUMIFS(#REF!,#REF!,
$A148,#REF!,
"&gt;="&amp;'Faturado mensal'!AD$2,#REF!,
"&lt;"&amp;EOMONTH('Faturado mensal'!AD$2,0))</f>
        <v>0</v>
      </c>
      <c r="AE148" s="9">
        <f>SUMIFS(#REF!,#REF!,
$A148,#REF!,
"&gt;="&amp;'Faturado mensal'!AE$2,#REF!,
"&lt;"&amp;EOMONTH('Faturado mensal'!AE$2,0))</f>
        <v>0</v>
      </c>
      <c r="AF148" s="9">
        <f>SUMIFS(#REF!,#REF!,
$A148,#REF!,
"&gt;="&amp;'Faturado mensal'!AF$2,#REF!,
"&lt;"&amp;EOMONTH('Faturado mensal'!AF$2,0))</f>
        <v>0</v>
      </c>
      <c r="AG148" s="9">
        <f>SUMIFS(#REF!,#REF!,
$A148,#REF!,
"&gt;="&amp;'Faturado mensal'!AG$2,#REF!,
"&lt;"&amp;EOMONTH('Faturado mensal'!AG$2,0))</f>
        <v>0</v>
      </c>
      <c r="AH148" s="9">
        <f>SUMIFS(#REF!,#REF!,
$A148,#REF!,
"&gt;="&amp;'Faturado mensal'!AH$2,#REF!,
"&lt;"&amp;EOMONTH('Faturado mensal'!AH$2,0))</f>
        <v>0</v>
      </c>
      <c r="AI148" s="9">
        <f>SUMIFS(#REF!,#REF!,
$A148,#REF!,
"&gt;="&amp;'Faturado mensal'!AI$2,#REF!,
"&lt;"&amp;EOMONTH('Faturado mensal'!AI$2,0))</f>
        <v>0</v>
      </c>
      <c r="AJ148" s="9">
        <f>SUMIFS(#REF!,#REF!,
$A148,#REF!,
"&gt;="&amp;'Faturado mensal'!AJ$2,#REF!,
"&lt;"&amp;EOMONTH('Faturado mensal'!AJ$2,0))</f>
        <v>0</v>
      </c>
      <c r="AK148" s="9">
        <f>SUMIFS(#REF!,#REF!,
$A148,#REF!,
"&gt;="&amp;'Faturado mensal'!AK$2,#REF!,
"&lt;"&amp;EOMONTH('Faturado mensal'!AK$2,0))</f>
        <v>0</v>
      </c>
      <c r="AL148" s="9">
        <f>SUMIFS(#REF!,#REF!,
$A148,#REF!,
"&gt;="&amp;Z$2,#REF!,
"&lt;"&amp;EOMONTH(AK$2,0))</f>
        <v>63211.259999999995</v>
      </c>
    </row>
    <row r="149" spans="1:38" x14ac:dyDescent="0.3">
      <c r="A149" t="s">
        <v>400</v>
      </c>
      <c r="B149" t="s">
        <v>401</v>
      </c>
      <c r="C149" t="s">
        <v>187</v>
      </c>
      <c r="D149" t="s">
        <v>204</v>
      </c>
      <c r="E149" t="s">
        <v>4833</v>
      </c>
      <c r="F149" t="s">
        <v>4776</v>
      </c>
      <c r="G149" t="s">
        <v>4852</v>
      </c>
      <c r="H149" t="s">
        <v>4773</v>
      </c>
      <c r="I149" t="s">
        <v>187</v>
      </c>
      <c r="J149" t="s">
        <v>710</v>
      </c>
      <c r="K149" t="s">
        <v>762</v>
      </c>
      <c r="L149" t="s">
        <v>763</v>
      </c>
      <c r="M149" s="9">
        <f>SUMIFS(#REF!,#REF!,
$A149,#REF!,
"&gt;="&amp;'Faturado mensal'!M$2,#REF!,
"&lt;"&amp;EOMONTH('Faturado mensal'!M$2,0))</f>
        <v>390</v>
      </c>
      <c r="N149" s="9">
        <f>SUMIFS(#REF!,#REF!,
$A149,#REF!,
"&gt;="&amp;'Faturado mensal'!N$2,#REF!,
"&lt;"&amp;EOMONTH('Faturado mensal'!N$2,0))</f>
        <v>390</v>
      </c>
      <c r="O149" s="9">
        <f>SUMIFS(#REF!,#REF!,
$A149,#REF!,
"&gt;="&amp;'Faturado mensal'!O$2,#REF!,
"&lt;"&amp;EOMONTH('Faturado mensal'!O$2,0))</f>
        <v>390</v>
      </c>
      <c r="P149" s="9">
        <f>SUMIFS(#REF!,#REF!,
$A149,#REF!,
"&gt;="&amp;'Faturado mensal'!P$2,#REF!,
"&lt;"&amp;EOMONTH('Faturado mensal'!P$2,0))</f>
        <v>390</v>
      </c>
      <c r="Q149" s="9">
        <f>SUMIFS(#REF!,#REF!,
$A149,#REF!,
"&gt;="&amp;'Faturado mensal'!Q$2,#REF!,
"&lt;"&amp;EOMONTH('Faturado mensal'!Q$2,0))</f>
        <v>390</v>
      </c>
      <c r="R149" s="9">
        <f>SUMIFS(#REF!,#REF!,
$A149,#REF!,
"&gt;="&amp;'Faturado mensal'!R$2,#REF!,
"&lt;"&amp;EOMONTH('Faturado mensal'!R$2,0))</f>
        <v>390</v>
      </c>
      <c r="S149" s="9">
        <f>SUMIFS(#REF!,#REF!,
$A149,#REF!,
"&gt;="&amp;'Faturado mensal'!S$2,#REF!,
"&lt;"&amp;EOMONTH('Faturado mensal'!S$2,0))</f>
        <v>390</v>
      </c>
      <c r="T149" s="9">
        <f>SUMIFS(#REF!,#REF!,
$A149,#REF!,
"&gt;="&amp;'Faturado mensal'!T$2,#REF!,
"&lt;"&amp;EOMONTH('Faturado mensal'!T$2,0))</f>
        <v>390</v>
      </c>
      <c r="U149" s="9">
        <f>SUMIFS(#REF!,#REF!,
$A149,#REF!,
"&gt;="&amp;'Faturado mensal'!U$2,#REF!,
"&lt;"&amp;EOMONTH('Faturado mensal'!U$2,0))</f>
        <v>390</v>
      </c>
      <c r="V149" s="9">
        <f>SUMIFS(#REF!,#REF!,
$A149,#REF!,
"&gt;="&amp;'Faturado mensal'!V$2,#REF!,
"&lt;"&amp;EOMONTH('Faturado mensal'!V$2,0))</f>
        <v>390</v>
      </c>
      <c r="W149" s="9">
        <f>SUMIFS(#REF!,#REF!,
$A149,#REF!,
"&gt;="&amp;'Faturado mensal'!W$2,#REF!,
"&lt;"&amp;EOMONTH('Faturado mensal'!W$2,0))</f>
        <v>390</v>
      </c>
      <c r="X149" s="9">
        <f>SUMIFS(#REF!,#REF!,
$A149,#REF!,
"&gt;="&amp;'Faturado mensal'!X$2,#REF!,
"&lt;"&amp;EOMONTH('Faturado mensal'!X$2,0))</f>
        <v>390</v>
      </c>
      <c r="Y149" s="11">
        <f>SUMIFS(#REF!,#REF!,
$A149,#REF!,
"&gt;="&amp;'Faturado mensal'!M$2,#REF!,
"&lt;"&amp;EOMONTH('Faturado mensal'!M$2,12))</f>
        <v>5070</v>
      </c>
      <c r="Z149" s="9">
        <f>SUMIFS(#REF!,#REF!,
$A149,#REF!,
"&gt;="&amp;'Faturado mensal'!Z$2,#REF!,
"&lt;"&amp;EOMONTH('Faturado mensal'!Z$2,0))</f>
        <v>390</v>
      </c>
      <c r="AA149" s="9">
        <f>SUMIFS(#REF!,#REF!,
$A149,#REF!,
"&gt;="&amp;'Faturado mensal'!AA$2,#REF!,
"&lt;"&amp;EOMONTH('Faturado mensal'!AA$2,0))</f>
        <v>390</v>
      </c>
      <c r="AB149" s="9">
        <f>SUMIFS(#REF!,#REF!,
$A149,#REF!,
"&gt;="&amp;'Faturado mensal'!AB$2,#REF!,
"&lt;"&amp;EOMONTH('Faturado mensal'!AB$2,0))</f>
        <v>390</v>
      </c>
      <c r="AC149" s="9">
        <f>SUMIFS(#REF!,#REF!,
$A149,#REF!,
"&gt;="&amp;'Faturado mensal'!AC$2,#REF!,
"&lt;"&amp;EOMONTH('Faturado mensal'!AC$2,0))</f>
        <v>390</v>
      </c>
      <c r="AD149" s="9">
        <f>SUMIFS(#REF!,#REF!,
$A149,#REF!,
"&gt;="&amp;'Faturado mensal'!AD$2,#REF!,
"&lt;"&amp;EOMONTH('Faturado mensal'!AD$2,0))</f>
        <v>390</v>
      </c>
      <c r="AE149" s="9">
        <f>SUMIFS(#REF!,#REF!,
$A149,#REF!,
"&gt;="&amp;'Faturado mensal'!AE$2,#REF!,
"&lt;"&amp;EOMONTH('Faturado mensal'!AE$2,0))</f>
        <v>390</v>
      </c>
      <c r="AF149" s="9">
        <f>SUMIFS(#REF!,#REF!,
$A149,#REF!,
"&gt;="&amp;'Faturado mensal'!AF$2,#REF!,
"&lt;"&amp;EOMONTH('Faturado mensal'!AF$2,0))</f>
        <v>0</v>
      </c>
      <c r="AG149" s="9">
        <f>SUMIFS(#REF!,#REF!,
$A149,#REF!,
"&gt;="&amp;'Faturado mensal'!AG$2,#REF!,
"&lt;"&amp;EOMONTH('Faturado mensal'!AG$2,0))</f>
        <v>0</v>
      </c>
      <c r="AH149" s="9">
        <f>SUMIFS(#REF!,#REF!,
$A149,#REF!,
"&gt;="&amp;'Faturado mensal'!AH$2,#REF!,
"&lt;"&amp;EOMONTH('Faturado mensal'!AH$2,0))</f>
        <v>0</v>
      </c>
      <c r="AI149" s="9">
        <f>SUMIFS(#REF!,#REF!,
$A149,#REF!,
"&gt;="&amp;'Faturado mensal'!AI$2,#REF!,
"&lt;"&amp;EOMONTH('Faturado mensal'!AI$2,0))</f>
        <v>0</v>
      </c>
      <c r="AJ149" s="9">
        <f>SUMIFS(#REF!,#REF!,
$A149,#REF!,
"&gt;="&amp;'Faturado mensal'!AJ$2,#REF!,
"&lt;"&amp;EOMONTH('Faturado mensal'!AJ$2,0))</f>
        <v>0</v>
      </c>
      <c r="AK149" s="9">
        <f>SUMIFS(#REF!,#REF!,
$A149,#REF!,
"&gt;="&amp;'Faturado mensal'!AK$2,#REF!,
"&lt;"&amp;EOMONTH('Faturado mensal'!AK$2,0))</f>
        <v>0</v>
      </c>
      <c r="AL149" s="9">
        <f>SUMIFS(#REF!,#REF!,
$A149,#REF!,
"&gt;="&amp;Z$2,#REF!,
"&lt;"&amp;EOMONTH(AK$2,0))</f>
        <v>2340</v>
      </c>
    </row>
    <row r="150" spans="1:38" x14ac:dyDescent="0.3">
      <c r="A150" t="s">
        <v>402</v>
      </c>
      <c r="B150" t="s">
        <v>403</v>
      </c>
      <c r="C150" t="s">
        <v>106</v>
      </c>
      <c r="D150" t="s">
        <v>204</v>
      </c>
      <c r="E150" t="s">
        <v>1037</v>
      </c>
      <c r="F150" t="s">
        <v>4779</v>
      </c>
      <c r="G150" t="s">
        <v>4845</v>
      </c>
      <c r="H150" t="s">
        <v>4772</v>
      </c>
      <c r="I150" t="s">
        <v>106</v>
      </c>
      <c r="J150" t="s">
        <v>710</v>
      </c>
      <c r="K150" t="s">
        <v>762</v>
      </c>
      <c r="L150" t="s">
        <v>763</v>
      </c>
      <c r="M150" s="9">
        <f>SUMIFS(#REF!,#REF!,
$A150,#REF!,
"&gt;="&amp;'Faturado mensal'!M$2,#REF!,
"&lt;"&amp;EOMONTH('Faturado mensal'!M$2,0))</f>
        <v>39294.26</v>
      </c>
      <c r="N150" s="9">
        <f>SUMIFS(#REF!,#REF!,
$A150,#REF!,
"&gt;="&amp;'Faturado mensal'!N$2,#REF!,
"&lt;"&amp;EOMONTH('Faturado mensal'!N$2,0))</f>
        <v>18120.68</v>
      </c>
      <c r="O150" s="9">
        <f>SUMIFS(#REF!,#REF!,
$A150,#REF!,
"&gt;="&amp;'Faturado mensal'!O$2,#REF!,
"&lt;"&amp;EOMONTH('Faturado mensal'!O$2,0))</f>
        <v>24794.55</v>
      </c>
      <c r="P150" s="9">
        <f>SUMIFS(#REF!,#REF!,
$A150,#REF!,
"&gt;="&amp;'Faturado mensal'!P$2,#REF!,
"&lt;"&amp;EOMONTH('Faturado mensal'!P$2,0))</f>
        <v>16649.21</v>
      </c>
      <c r="Q150" s="9">
        <f>SUMIFS(#REF!,#REF!,
$A150,#REF!,
"&gt;="&amp;'Faturado mensal'!Q$2,#REF!,
"&lt;"&amp;EOMONTH('Faturado mensal'!Q$2,0))</f>
        <v>19012.82</v>
      </c>
      <c r="R150" s="9">
        <f>SUMIFS(#REF!,#REF!,
$A150,#REF!,
"&gt;="&amp;'Faturado mensal'!R$2,#REF!,
"&lt;"&amp;EOMONTH('Faturado mensal'!R$2,0))</f>
        <v>23609.87</v>
      </c>
      <c r="S150" s="9">
        <f>SUMIFS(#REF!,#REF!,
$A150,#REF!,
"&gt;="&amp;'Faturado mensal'!S$2,#REF!,
"&lt;"&amp;EOMONTH('Faturado mensal'!S$2,0))</f>
        <v>0</v>
      </c>
      <c r="T150" s="9">
        <f>SUMIFS(#REF!,#REF!,
$A150,#REF!,
"&gt;="&amp;'Faturado mensal'!T$2,#REF!,
"&lt;"&amp;EOMONTH('Faturado mensal'!T$2,0))</f>
        <v>41878.9</v>
      </c>
      <c r="U150" s="9">
        <f>SUMIFS(#REF!,#REF!,
$A150,#REF!,
"&gt;="&amp;'Faturado mensal'!U$2,#REF!,
"&lt;"&amp;EOMONTH('Faturado mensal'!U$2,0))</f>
        <v>0</v>
      </c>
      <c r="V150" s="9">
        <f>SUMIFS(#REF!,#REF!,
$A150,#REF!,
"&gt;="&amp;'Faturado mensal'!V$2,#REF!,
"&lt;"&amp;EOMONTH('Faturado mensal'!V$2,0))</f>
        <v>0</v>
      </c>
      <c r="W150" s="9">
        <f>SUMIFS(#REF!,#REF!,
$A150,#REF!,
"&gt;="&amp;'Faturado mensal'!W$2,#REF!,
"&lt;"&amp;EOMONTH('Faturado mensal'!W$2,0))</f>
        <v>0</v>
      </c>
      <c r="X150" s="9">
        <f>SUMIFS(#REF!,#REF!,
$A150,#REF!,
"&gt;="&amp;'Faturado mensal'!X$2,#REF!,
"&lt;"&amp;EOMONTH('Faturado mensal'!X$2,0))</f>
        <v>2417.5</v>
      </c>
      <c r="Y150" s="11">
        <f>SUMIFS(#REF!,#REF!,
$A150,#REF!,
"&gt;="&amp;'Faturado mensal'!M$2,#REF!,
"&lt;"&amp;EOMONTH('Faturado mensal'!M$2,12))</f>
        <v>185777.79</v>
      </c>
      <c r="Z150" s="9">
        <f>SUMIFS(#REF!,#REF!,
$A150,#REF!,
"&gt;="&amp;'Faturado mensal'!Z$2,#REF!,
"&lt;"&amp;EOMONTH('Faturado mensal'!Z$2,0))</f>
        <v>0</v>
      </c>
      <c r="AA150" s="9">
        <f>SUMIFS(#REF!,#REF!,
$A150,#REF!,
"&gt;="&amp;'Faturado mensal'!AA$2,#REF!,
"&lt;"&amp;EOMONTH('Faturado mensal'!AA$2,0))</f>
        <v>0</v>
      </c>
      <c r="AB150" s="9">
        <f>SUMIFS(#REF!,#REF!,
$A150,#REF!,
"&gt;="&amp;'Faturado mensal'!AB$2,#REF!,
"&lt;"&amp;EOMONTH('Faturado mensal'!AB$2,0))</f>
        <v>0</v>
      </c>
      <c r="AC150" s="9">
        <f>SUMIFS(#REF!,#REF!,
$A150,#REF!,
"&gt;="&amp;'Faturado mensal'!AC$2,#REF!,
"&lt;"&amp;EOMONTH('Faturado mensal'!AC$2,0))</f>
        <v>0</v>
      </c>
      <c r="AD150" s="9">
        <f>SUMIFS(#REF!,#REF!,
$A150,#REF!,
"&gt;="&amp;'Faturado mensal'!AD$2,#REF!,
"&lt;"&amp;EOMONTH('Faturado mensal'!AD$2,0))</f>
        <v>0</v>
      </c>
      <c r="AE150" s="9">
        <f>SUMIFS(#REF!,#REF!,
$A150,#REF!,
"&gt;="&amp;'Faturado mensal'!AE$2,#REF!,
"&lt;"&amp;EOMONTH('Faturado mensal'!AE$2,0))</f>
        <v>0</v>
      </c>
      <c r="AF150" s="9">
        <f>SUMIFS(#REF!,#REF!,
$A150,#REF!,
"&gt;="&amp;'Faturado mensal'!AF$2,#REF!,
"&lt;"&amp;EOMONTH('Faturado mensal'!AF$2,0))</f>
        <v>0</v>
      </c>
      <c r="AG150" s="9">
        <f>SUMIFS(#REF!,#REF!,
$A150,#REF!,
"&gt;="&amp;'Faturado mensal'!AG$2,#REF!,
"&lt;"&amp;EOMONTH('Faturado mensal'!AG$2,0))</f>
        <v>0</v>
      </c>
      <c r="AH150" s="9">
        <f>SUMIFS(#REF!,#REF!,
$A150,#REF!,
"&gt;="&amp;'Faturado mensal'!AH$2,#REF!,
"&lt;"&amp;EOMONTH('Faturado mensal'!AH$2,0))</f>
        <v>0</v>
      </c>
      <c r="AI150" s="9">
        <f>SUMIFS(#REF!,#REF!,
$A150,#REF!,
"&gt;="&amp;'Faturado mensal'!AI$2,#REF!,
"&lt;"&amp;EOMONTH('Faturado mensal'!AI$2,0))</f>
        <v>0</v>
      </c>
      <c r="AJ150" s="9">
        <f>SUMIFS(#REF!,#REF!,
$A150,#REF!,
"&gt;="&amp;'Faturado mensal'!AJ$2,#REF!,
"&lt;"&amp;EOMONTH('Faturado mensal'!AJ$2,0))</f>
        <v>0</v>
      </c>
      <c r="AK150" s="9">
        <f>SUMIFS(#REF!,#REF!,
$A150,#REF!,
"&gt;="&amp;'Faturado mensal'!AK$2,#REF!,
"&lt;"&amp;EOMONTH('Faturado mensal'!AK$2,0))</f>
        <v>0</v>
      </c>
      <c r="AL150" s="9">
        <f>SUMIFS(#REF!,#REF!,
$A150,#REF!,
"&gt;="&amp;Z$2,#REF!,
"&lt;"&amp;EOMONTH(AK$2,0))</f>
        <v>0</v>
      </c>
    </row>
    <row r="151" spans="1:38" x14ac:dyDescent="0.3">
      <c r="A151" t="s">
        <v>404</v>
      </c>
      <c r="B151" t="s">
        <v>405</v>
      </c>
      <c r="C151" t="s">
        <v>107</v>
      </c>
      <c r="D151" t="s">
        <v>204</v>
      </c>
      <c r="E151" t="s">
        <v>1037</v>
      </c>
      <c r="F151" t="s">
        <v>4806</v>
      </c>
      <c r="G151" t="s">
        <v>4845</v>
      </c>
      <c r="H151" t="s">
        <v>4772</v>
      </c>
      <c r="I151" t="s">
        <v>841</v>
      </c>
      <c r="J151" t="s">
        <v>710</v>
      </c>
      <c r="K151" t="s">
        <v>762</v>
      </c>
      <c r="L151" t="s">
        <v>763</v>
      </c>
      <c r="M151" s="9">
        <f>SUMIFS(#REF!,#REF!,
$A151,#REF!,
"&gt;="&amp;'Faturado mensal'!M$2,#REF!,
"&lt;"&amp;EOMONTH('Faturado mensal'!M$2,0))</f>
        <v>0</v>
      </c>
      <c r="N151" s="9">
        <f>SUMIFS(#REF!,#REF!,
$A151,#REF!,
"&gt;="&amp;'Faturado mensal'!N$2,#REF!,
"&lt;"&amp;EOMONTH('Faturado mensal'!N$2,0))</f>
        <v>0</v>
      </c>
      <c r="O151" s="9">
        <f>SUMIFS(#REF!,#REF!,
$A151,#REF!,
"&gt;="&amp;'Faturado mensal'!O$2,#REF!,
"&lt;"&amp;EOMONTH('Faturado mensal'!O$2,0))</f>
        <v>0</v>
      </c>
      <c r="P151" s="9">
        <f>SUMIFS(#REF!,#REF!,
$A151,#REF!,
"&gt;="&amp;'Faturado mensal'!P$2,#REF!,
"&lt;"&amp;EOMONTH('Faturado mensal'!P$2,0))</f>
        <v>0</v>
      </c>
      <c r="Q151" s="9">
        <f>SUMIFS(#REF!,#REF!,
$A151,#REF!,
"&gt;="&amp;'Faturado mensal'!Q$2,#REF!,
"&lt;"&amp;EOMONTH('Faturado mensal'!Q$2,0))</f>
        <v>0</v>
      </c>
      <c r="R151" s="9">
        <f>SUMIFS(#REF!,#REF!,
$A151,#REF!,
"&gt;="&amp;'Faturado mensal'!R$2,#REF!,
"&lt;"&amp;EOMONTH('Faturado mensal'!R$2,0))</f>
        <v>0</v>
      </c>
      <c r="S151" s="9">
        <f>SUMIFS(#REF!,#REF!,
$A151,#REF!,
"&gt;="&amp;'Faturado mensal'!S$2,#REF!,
"&lt;"&amp;EOMONTH('Faturado mensal'!S$2,0))</f>
        <v>0</v>
      </c>
      <c r="T151" s="9">
        <f>SUMIFS(#REF!,#REF!,
$A151,#REF!,
"&gt;="&amp;'Faturado mensal'!T$2,#REF!,
"&lt;"&amp;EOMONTH('Faturado mensal'!T$2,0))</f>
        <v>0</v>
      </c>
      <c r="U151" s="9">
        <f>SUMIFS(#REF!,#REF!,
$A151,#REF!,
"&gt;="&amp;'Faturado mensal'!U$2,#REF!,
"&lt;"&amp;EOMONTH('Faturado mensal'!U$2,0))</f>
        <v>0</v>
      </c>
      <c r="V151" s="9">
        <f>SUMIFS(#REF!,#REF!,
$A151,#REF!,
"&gt;="&amp;'Faturado mensal'!V$2,#REF!,
"&lt;"&amp;EOMONTH('Faturado mensal'!V$2,0))</f>
        <v>0</v>
      </c>
      <c r="W151" s="9">
        <f>SUMIFS(#REF!,#REF!,
$A151,#REF!,
"&gt;="&amp;'Faturado mensal'!W$2,#REF!,
"&lt;"&amp;EOMONTH('Faturado mensal'!W$2,0))</f>
        <v>0</v>
      </c>
      <c r="X151" s="9">
        <f>SUMIFS(#REF!,#REF!,
$A151,#REF!,
"&gt;="&amp;'Faturado mensal'!X$2,#REF!,
"&lt;"&amp;EOMONTH('Faturado mensal'!X$2,0))</f>
        <v>0</v>
      </c>
      <c r="Y151" s="11">
        <f>SUMIFS(#REF!,#REF!,
$A151,#REF!,
"&gt;="&amp;'Faturado mensal'!M$2,#REF!,
"&lt;"&amp;EOMONTH('Faturado mensal'!M$2,12))</f>
        <v>0</v>
      </c>
      <c r="Z151" s="9">
        <f>SUMIFS(#REF!,#REF!,
$A151,#REF!,
"&gt;="&amp;'Faturado mensal'!Z$2,#REF!,
"&lt;"&amp;EOMONTH('Faturado mensal'!Z$2,0))</f>
        <v>0</v>
      </c>
      <c r="AA151" s="9">
        <f>SUMIFS(#REF!,#REF!,
$A151,#REF!,
"&gt;="&amp;'Faturado mensal'!AA$2,#REF!,
"&lt;"&amp;EOMONTH('Faturado mensal'!AA$2,0))</f>
        <v>0</v>
      </c>
      <c r="AB151" s="9">
        <f>SUMIFS(#REF!,#REF!,
$A151,#REF!,
"&gt;="&amp;'Faturado mensal'!AB$2,#REF!,
"&lt;"&amp;EOMONTH('Faturado mensal'!AB$2,0))</f>
        <v>12260.65</v>
      </c>
      <c r="AC151" s="9">
        <f>SUMIFS(#REF!,#REF!,
$A151,#REF!,
"&gt;="&amp;'Faturado mensal'!AC$2,#REF!,
"&lt;"&amp;EOMONTH('Faturado mensal'!AC$2,0))</f>
        <v>150481.75</v>
      </c>
      <c r="AD151" s="9">
        <f>SUMIFS(#REF!,#REF!,
$A151,#REF!,
"&gt;="&amp;'Faturado mensal'!AD$2,#REF!,
"&lt;"&amp;EOMONTH('Faturado mensal'!AD$2,0))</f>
        <v>150606.35</v>
      </c>
      <c r="AE151" s="9">
        <f>SUMIFS(#REF!,#REF!,
$A151,#REF!,
"&gt;="&amp;'Faturado mensal'!AE$2,#REF!,
"&lt;"&amp;EOMONTH('Faturado mensal'!AE$2,0))</f>
        <v>149304.4</v>
      </c>
      <c r="AF151" s="9">
        <f>SUMIFS(#REF!,#REF!,
$A151,#REF!,
"&gt;="&amp;'Faturado mensal'!AF$2,#REF!,
"&lt;"&amp;EOMONTH('Faturado mensal'!AF$2,0))</f>
        <v>0</v>
      </c>
      <c r="AG151" s="9">
        <f>SUMIFS(#REF!,#REF!,
$A151,#REF!,
"&gt;="&amp;'Faturado mensal'!AG$2,#REF!,
"&lt;"&amp;EOMONTH('Faturado mensal'!AG$2,0))</f>
        <v>0</v>
      </c>
      <c r="AH151" s="9">
        <f>SUMIFS(#REF!,#REF!,
$A151,#REF!,
"&gt;="&amp;'Faturado mensal'!AH$2,#REF!,
"&lt;"&amp;EOMONTH('Faturado mensal'!AH$2,0))</f>
        <v>0</v>
      </c>
      <c r="AI151" s="9">
        <f>SUMIFS(#REF!,#REF!,
$A151,#REF!,
"&gt;="&amp;'Faturado mensal'!AI$2,#REF!,
"&lt;"&amp;EOMONTH('Faturado mensal'!AI$2,0))</f>
        <v>0</v>
      </c>
      <c r="AJ151" s="9">
        <f>SUMIFS(#REF!,#REF!,
$A151,#REF!,
"&gt;="&amp;'Faturado mensal'!AJ$2,#REF!,
"&lt;"&amp;EOMONTH('Faturado mensal'!AJ$2,0))</f>
        <v>0</v>
      </c>
      <c r="AK151" s="9">
        <f>SUMIFS(#REF!,#REF!,
$A151,#REF!,
"&gt;="&amp;'Faturado mensal'!AK$2,#REF!,
"&lt;"&amp;EOMONTH('Faturado mensal'!AK$2,0))</f>
        <v>0</v>
      </c>
      <c r="AL151" s="9">
        <f>SUMIFS(#REF!,#REF!,
$A151,#REF!,
"&gt;="&amp;Z$2,#REF!,
"&lt;"&amp;EOMONTH(AK$2,0))</f>
        <v>462653.15</v>
      </c>
    </row>
    <row r="152" spans="1:38" x14ac:dyDescent="0.3">
      <c r="A152" t="s">
        <v>406</v>
      </c>
      <c r="B152" t="s">
        <v>407</v>
      </c>
      <c r="C152" t="s">
        <v>170</v>
      </c>
      <c r="D152" t="s">
        <v>204</v>
      </c>
      <c r="E152" t="s">
        <v>4833</v>
      </c>
      <c r="F152" t="s">
        <v>4776</v>
      </c>
      <c r="G152" t="s">
        <v>4852</v>
      </c>
      <c r="H152" t="s">
        <v>4771</v>
      </c>
      <c r="I152" t="s">
        <v>842</v>
      </c>
      <c r="J152" t="s">
        <v>710</v>
      </c>
      <c r="K152" t="s">
        <v>762</v>
      </c>
      <c r="L152" t="s">
        <v>763</v>
      </c>
      <c r="M152" s="9">
        <f>SUMIFS(#REF!,#REF!,
$A152,#REF!,
"&gt;="&amp;'Faturado mensal'!M$2,#REF!,
"&lt;"&amp;EOMONTH('Faturado mensal'!M$2,0))</f>
        <v>30231.88</v>
      </c>
      <c r="N152" s="9">
        <f>SUMIFS(#REF!,#REF!,
$A152,#REF!,
"&gt;="&amp;'Faturado mensal'!N$2,#REF!,
"&lt;"&amp;EOMONTH('Faturado mensal'!N$2,0))</f>
        <v>32851.78</v>
      </c>
      <c r="O152" s="9">
        <f>SUMIFS(#REF!,#REF!,
$A152,#REF!,
"&gt;="&amp;'Faturado mensal'!O$2,#REF!,
"&lt;"&amp;EOMONTH('Faturado mensal'!O$2,0))</f>
        <v>27959.87</v>
      </c>
      <c r="P152" s="9">
        <f>SUMIFS(#REF!,#REF!,
$A152,#REF!,
"&gt;="&amp;'Faturado mensal'!P$2,#REF!,
"&lt;"&amp;EOMONTH('Faturado mensal'!P$2,0))</f>
        <v>32914.68</v>
      </c>
      <c r="Q152" s="9">
        <f>SUMIFS(#REF!,#REF!,
$A152,#REF!,
"&gt;="&amp;'Faturado mensal'!Q$2,#REF!,
"&lt;"&amp;EOMONTH('Faturado mensal'!Q$2,0))</f>
        <v>29676.69</v>
      </c>
      <c r="R152" s="9">
        <f>SUMIFS(#REF!,#REF!,
$A152,#REF!,
"&gt;="&amp;'Faturado mensal'!R$2,#REF!,
"&lt;"&amp;EOMONTH('Faturado mensal'!R$2,0))</f>
        <v>33741.980000000003</v>
      </c>
      <c r="S152" s="9">
        <f>SUMIFS(#REF!,#REF!,
$A152,#REF!,
"&gt;="&amp;'Faturado mensal'!S$2,#REF!,
"&lt;"&amp;EOMONTH('Faturado mensal'!S$2,0))</f>
        <v>33955.019999999997</v>
      </c>
      <c r="T152" s="9">
        <f>SUMIFS(#REF!,#REF!,
$A152,#REF!,
"&gt;="&amp;'Faturado mensal'!T$2,#REF!,
"&lt;"&amp;EOMONTH('Faturado mensal'!T$2,0))</f>
        <v>28643</v>
      </c>
      <c r="U152" s="9">
        <f>SUMIFS(#REF!,#REF!,
$A152,#REF!,
"&gt;="&amp;'Faturado mensal'!U$2,#REF!,
"&lt;"&amp;EOMONTH('Faturado mensal'!U$2,0))</f>
        <v>37325.769999999997</v>
      </c>
      <c r="V152" s="9">
        <f>SUMIFS(#REF!,#REF!,
$A152,#REF!,
"&gt;="&amp;'Faturado mensal'!V$2,#REF!,
"&lt;"&amp;EOMONTH('Faturado mensal'!V$2,0))</f>
        <v>38251.269999999997</v>
      </c>
      <c r="W152" s="9">
        <f>SUMIFS(#REF!,#REF!,
$A152,#REF!,
"&gt;="&amp;'Faturado mensal'!W$2,#REF!,
"&lt;"&amp;EOMONTH('Faturado mensal'!W$2,0))</f>
        <v>38716.730000000003</v>
      </c>
      <c r="X152" s="9">
        <f>SUMIFS(#REF!,#REF!,
$A152,#REF!,
"&gt;="&amp;'Faturado mensal'!X$2,#REF!,
"&lt;"&amp;EOMONTH('Faturado mensal'!X$2,0))</f>
        <v>38764.92</v>
      </c>
      <c r="Y152" s="11">
        <f>SUMIFS(#REF!,#REF!,
$A152,#REF!,
"&gt;="&amp;'Faturado mensal'!M$2,#REF!,
"&lt;"&amp;EOMONTH('Faturado mensal'!M$2,12))</f>
        <v>442458.56999999995</v>
      </c>
      <c r="Z152" s="9">
        <f>SUMIFS(#REF!,#REF!,
$A152,#REF!,
"&gt;="&amp;'Faturado mensal'!Z$2,#REF!,
"&lt;"&amp;EOMONTH('Faturado mensal'!Z$2,0))</f>
        <v>39424.980000000003</v>
      </c>
      <c r="AA152" s="9">
        <f>SUMIFS(#REF!,#REF!,
$A152,#REF!,
"&gt;="&amp;'Faturado mensal'!AA$2,#REF!,
"&lt;"&amp;EOMONTH('Faturado mensal'!AA$2,0))</f>
        <v>39472.120000000003</v>
      </c>
      <c r="AB152" s="9">
        <f>SUMIFS(#REF!,#REF!,
$A152,#REF!,
"&gt;="&amp;'Faturado mensal'!AB$2,#REF!,
"&lt;"&amp;EOMONTH('Faturado mensal'!AB$2,0))</f>
        <v>41374.43</v>
      </c>
      <c r="AC152" s="9">
        <f>SUMIFS(#REF!,#REF!,
$A152,#REF!,
"&gt;="&amp;'Faturado mensal'!AC$2,#REF!,
"&lt;"&amp;EOMONTH('Faturado mensal'!AC$2,0))</f>
        <v>42420.73</v>
      </c>
      <c r="AD152" s="9">
        <f>SUMIFS(#REF!,#REF!,
$A152,#REF!,
"&gt;="&amp;'Faturado mensal'!AD$2,#REF!,
"&lt;"&amp;EOMONTH('Faturado mensal'!AD$2,0))</f>
        <v>42420.73</v>
      </c>
      <c r="AE152" s="9">
        <f>SUMIFS(#REF!,#REF!,
$A152,#REF!,
"&gt;="&amp;'Faturado mensal'!AE$2,#REF!,
"&lt;"&amp;EOMONTH('Faturado mensal'!AE$2,0))</f>
        <v>42430.080000000002</v>
      </c>
      <c r="AF152" s="9">
        <f>SUMIFS(#REF!,#REF!,
$A152,#REF!,
"&gt;="&amp;'Faturado mensal'!AF$2,#REF!,
"&lt;"&amp;EOMONTH('Faturado mensal'!AF$2,0))</f>
        <v>0</v>
      </c>
      <c r="AG152" s="9">
        <f>SUMIFS(#REF!,#REF!,
$A152,#REF!,
"&gt;="&amp;'Faturado mensal'!AG$2,#REF!,
"&lt;"&amp;EOMONTH('Faturado mensal'!AG$2,0))</f>
        <v>0</v>
      </c>
      <c r="AH152" s="9">
        <f>SUMIFS(#REF!,#REF!,
$A152,#REF!,
"&gt;="&amp;'Faturado mensal'!AH$2,#REF!,
"&lt;"&amp;EOMONTH('Faturado mensal'!AH$2,0))</f>
        <v>0</v>
      </c>
      <c r="AI152" s="9">
        <f>SUMIFS(#REF!,#REF!,
$A152,#REF!,
"&gt;="&amp;'Faturado mensal'!AI$2,#REF!,
"&lt;"&amp;EOMONTH('Faturado mensal'!AI$2,0))</f>
        <v>0</v>
      </c>
      <c r="AJ152" s="9">
        <f>SUMIFS(#REF!,#REF!,
$A152,#REF!,
"&gt;="&amp;'Faturado mensal'!AJ$2,#REF!,
"&lt;"&amp;EOMONTH('Faturado mensal'!AJ$2,0))</f>
        <v>0</v>
      </c>
      <c r="AK152" s="9">
        <f>SUMIFS(#REF!,#REF!,
$A152,#REF!,
"&gt;="&amp;'Faturado mensal'!AK$2,#REF!,
"&lt;"&amp;EOMONTH('Faturado mensal'!AK$2,0))</f>
        <v>0</v>
      </c>
      <c r="AL152" s="9">
        <f>SUMIFS(#REF!,#REF!,
$A152,#REF!,
"&gt;="&amp;Z$2,#REF!,
"&lt;"&amp;EOMONTH(AK$2,0))</f>
        <v>247543.07</v>
      </c>
    </row>
    <row r="153" spans="1:38" x14ac:dyDescent="0.3">
      <c r="A153" t="s">
        <v>408</v>
      </c>
      <c r="B153" t="s">
        <v>409</v>
      </c>
      <c r="C153" t="s">
        <v>28</v>
      </c>
      <c r="D153" t="s">
        <v>204</v>
      </c>
      <c r="E153" t="s">
        <v>4833</v>
      </c>
      <c r="F153" t="s">
        <v>4776</v>
      </c>
      <c r="G153" t="s">
        <v>4852</v>
      </c>
      <c r="H153" t="s">
        <v>4773</v>
      </c>
      <c r="I153" t="s">
        <v>28</v>
      </c>
      <c r="J153" t="s">
        <v>710</v>
      </c>
      <c r="K153" t="s">
        <v>762</v>
      </c>
      <c r="L153" t="s">
        <v>763</v>
      </c>
      <c r="M153" s="9">
        <f>SUMIFS(#REF!,#REF!,
$A153,#REF!,
"&gt;="&amp;'Faturado mensal'!M$2,#REF!,
"&lt;"&amp;EOMONTH('Faturado mensal'!M$2,0))</f>
        <v>26151.73</v>
      </c>
      <c r="N153" s="9">
        <f>SUMIFS(#REF!,#REF!,
$A153,#REF!,
"&gt;="&amp;'Faturado mensal'!N$2,#REF!,
"&lt;"&amp;EOMONTH('Faturado mensal'!N$2,0))</f>
        <v>26801.03</v>
      </c>
      <c r="O153" s="9">
        <f>SUMIFS(#REF!,#REF!,
$A153,#REF!,
"&gt;="&amp;'Faturado mensal'!O$2,#REF!,
"&lt;"&amp;EOMONTH('Faturado mensal'!O$2,0))</f>
        <v>25583.69</v>
      </c>
      <c r="P153" s="9">
        <f>SUMIFS(#REF!,#REF!,
$A153,#REF!,
"&gt;="&amp;'Faturado mensal'!P$2,#REF!,
"&lt;"&amp;EOMONTH('Faturado mensal'!P$2,0))</f>
        <v>19633.419999999998</v>
      </c>
      <c r="Q153" s="9">
        <f>SUMIFS(#REF!,#REF!,
$A153,#REF!,
"&gt;="&amp;'Faturado mensal'!Q$2,#REF!,
"&lt;"&amp;EOMONTH('Faturado mensal'!Q$2,0))</f>
        <v>19785.47</v>
      </c>
      <c r="R153" s="9">
        <f>SUMIFS(#REF!,#REF!,
$A153,#REF!,
"&gt;="&amp;'Faturado mensal'!R$2,#REF!,
"&lt;"&amp;EOMONTH('Faturado mensal'!R$2,0))</f>
        <v>21306.1</v>
      </c>
      <c r="S153" s="9">
        <f>SUMIFS(#REF!,#REF!,
$A153,#REF!,
"&gt;="&amp;'Faturado mensal'!S$2,#REF!,
"&lt;"&amp;EOMONTH('Faturado mensal'!S$2,0))</f>
        <v>21975.19</v>
      </c>
      <c r="T153" s="9">
        <f>SUMIFS(#REF!,#REF!,
$A153,#REF!,
"&gt;="&amp;'Faturado mensal'!T$2,#REF!,
"&lt;"&amp;EOMONTH('Faturado mensal'!T$2,0))</f>
        <v>23197.56</v>
      </c>
      <c r="U153" s="9">
        <f>SUMIFS(#REF!,#REF!,
$A153,#REF!,
"&gt;="&amp;'Faturado mensal'!U$2,#REF!,
"&lt;"&amp;EOMONTH('Faturado mensal'!U$2,0))</f>
        <v>35229.230000000003</v>
      </c>
      <c r="V153" s="9">
        <f>SUMIFS(#REF!,#REF!,
$A153,#REF!,
"&gt;="&amp;'Faturado mensal'!V$2,#REF!,
"&lt;"&amp;EOMONTH('Faturado mensal'!V$2,0))</f>
        <v>30764.1</v>
      </c>
      <c r="W153" s="9">
        <f>SUMIFS(#REF!,#REF!,
$A153,#REF!,
"&gt;="&amp;'Faturado mensal'!W$2,#REF!,
"&lt;"&amp;EOMONTH('Faturado mensal'!W$2,0))</f>
        <v>24368.73</v>
      </c>
      <c r="X153" s="9">
        <f>SUMIFS(#REF!,#REF!,
$A153,#REF!,
"&gt;="&amp;'Faturado mensal'!X$2,#REF!,
"&lt;"&amp;EOMONTH('Faturado mensal'!X$2,0))</f>
        <v>24843.13</v>
      </c>
      <c r="Y153" s="11">
        <f>SUMIFS(#REF!,#REF!,
$A153,#REF!,
"&gt;="&amp;'Faturado mensal'!M$2,#REF!,
"&lt;"&amp;EOMONTH('Faturado mensal'!M$2,12))</f>
        <v>324434.68</v>
      </c>
      <c r="Z153" s="9">
        <f>SUMIFS(#REF!,#REF!,
$A153,#REF!,
"&gt;="&amp;'Faturado mensal'!Z$2,#REF!,
"&lt;"&amp;EOMONTH('Faturado mensal'!Z$2,0))</f>
        <v>24795.3</v>
      </c>
      <c r="AA153" s="9">
        <f>SUMIFS(#REF!,#REF!,
$A153,#REF!,
"&gt;="&amp;'Faturado mensal'!AA$2,#REF!,
"&lt;"&amp;EOMONTH('Faturado mensal'!AA$2,0))</f>
        <v>25182.48</v>
      </c>
      <c r="AB153" s="9">
        <f>SUMIFS(#REF!,#REF!,
$A153,#REF!,
"&gt;="&amp;'Faturado mensal'!AB$2,#REF!,
"&lt;"&amp;EOMONTH('Faturado mensal'!AB$2,0))</f>
        <v>26140.240000000002</v>
      </c>
      <c r="AC153" s="9">
        <f>SUMIFS(#REF!,#REF!,
$A153,#REF!,
"&gt;="&amp;'Faturado mensal'!AC$2,#REF!,
"&lt;"&amp;EOMONTH('Faturado mensal'!AC$2,0))</f>
        <v>24452.27</v>
      </c>
      <c r="AD153" s="9">
        <f>SUMIFS(#REF!,#REF!,
$A153,#REF!,
"&gt;="&amp;'Faturado mensal'!AD$2,#REF!,
"&lt;"&amp;EOMONTH('Faturado mensal'!AD$2,0))</f>
        <v>0</v>
      </c>
      <c r="AE153" s="9">
        <f>SUMIFS(#REF!,#REF!,
$A153,#REF!,
"&gt;="&amp;'Faturado mensal'!AE$2,#REF!,
"&lt;"&amp;EOMONTH('Faturado mensal'!AE$2,0))</f>
        <v>68670.98</v>
      </c>
      <c r="AF153" s="9">
        <f>SUMIFS(#REF!,#REF!,
$A153,#REF!,
"&gt;="&amp;'Faturado mensal'!AF$2,#REF!,
"&lt;"&amp;EOMONTH('Faturado mensal'!AF$2,0))</f>
        <v>0</v>
      </c>
      <c r="AG153" s="9">
        <f>SUMIFS(#REF!,#REF!,
$A153,#REF!,
"&gt;="&amp;'Faturado mensal'!AG$2,#REF!,
"&lt;"&amp;EOMONTH('Faturado mensal'!AG$2,0))</f>
        <v>0</v>
      </c>
      <c r="AH153" s="9">
        <f>SUMIFS(#REF!,#REF!,
$A153,#REF!,
"&gt;="&amp;'Faturado mensal'!AH$2,#REF!,
"&lt;"&amp;EOMONTH('Faturado mensal'!AH$2,0))</f>
        <v>0</v>
      </c>
      <c r="AI153" s="9">
        <f>SUMIFS(#REF!,#REF!,
$A153,#REF!,
"&gt;="&amp;'Faturado mensal'!AI$2,#REF!,
"&lt;"&amp;EOMONTH('Faturado mensal'!AI$2,0))</f>
        <v>0</v>
      </c>
      <c r="AJ153" s="9">
        <f>SUMIFS(#REF!,#REF!,
$A153,#REF!,
"&gt;="&amp;'Faturado mensal'!AJ$2,#REF!,
"&lt;"&amp;EOMONTH('Faturado mensal'!AJ$2,0))</f>
        <v>0</v>
      </c>
      <c r="AK153" s="9">
        <f>SUMIFS(#REF!,#REF!,
$A153,#REF!,
"&gt;="&amp;'Faturado mensal'!AK$2,#REF!,
"&lt;"&amp;EOMONTH('Faturado mensal'!AK$2,0))</f>
        <v>0</v>
      </c>
      <c r="AL153" s="9">
        <f>SUMIFS(#REF!,#REF!,
$A153,#REF!,
"&gt;="&amp;Z$2,#REF!,
"&lt;"&amp;EOMONTH(AK$2,0))</f>
        <v>169241.27000000002</v>
      </c>
    </row>
    <row r="154" spans="1:38" x14ac:dyDescent="0.3">
      <c r="A154" t="s">
        <v>410</v>
      </c>
      <c r="B154" t="s">
        <v>411</v>
      </c>
      <c r="C154" t="s">
        <v>154</v>
      </c>
      <c r="D154" t="s">
        <v>204</v>
      </c>
      <c r="E154" t="s">
        <v>4833</v>
      </c>
      <c r="F154" t="s">
        <v>4776</v>
      </c>
      <c r="G154" t="s">
        <v>4852</v>
      </c>
      <c r="H154" t="s">
        <v>4773</v>
      </c>
      <c r="I154" t="s">
        <v>154</v>
      </c>
      <c r="J154" t="s">
        <v>710</v>
      </c>
      <c r="K154" t="s">
        <v>762</v>
      </c>
      <c r="L154" t="s">
        <v>763</v>
      </c>
      <c r="M154" s="9">
        <f>SUMIFS(#REF!,#REF!,
$A154,#REF!,
"&gt;="&amp;'Faturado mensal'!M$2,#REF!,
"&lt;"&amp;EOMONTH('Faturado mensal'!M$2,0))</f>
        <v>17481.86</v>
      </c>
      <c r="N154" s="9">
        <f>SUMIFS(#REF!,#REF!,
$A154,#REF!,
"&gt;="&amp;'Faturado mensal'!N$2,#REF!,
"&lt;"&amp;EOMONTH('Faturado mensal'!N$2,0))</f>
        <v>17754</v>
      </c>
      <c r="O154" s="9">
        <f>SUMIFS(#REF!,#REF!,
$A154,#REF!,
"&gt;="&amp;'Faturado mensal'!O$2,#REF!,
"&lt;"&amp;EOMONTH('Faturado mensal'!O$2,0))</f>
        <v>17828.53</v>
      </c>
      <c r="P154" s="9">
        <f>SUMIFS(#REF!,#REF!,
$A154,#REF!,
"&gt;="&amp;'Faturado mensal'!P$2,#REF!,
"&lt;"&amp;EOMONTH('Faturado mensal'!P$2,0))</f>
        <v>17743.649999999998</v>
      </c>
      <c r="Q154" s="9">
        <f>SUMIFS(#REF!,#REF!,
$A154,#REF!,
"&gt;="&amp;'Faturado mensal'!Q$2,#REF!,
"&lt;"&amp;EOMONTH('Faturado mensal'!Q$2,0))</f>
        <v>18531.259999999998</v>
      </c>
      <c r="R154" s="9">
        <f>SUMIFS(#REF!,#REF!,
$A154,#REF!,
"&gt;="&amp;'Faturado mensal'!R$2,#REF!,
"&lt;"&amp;EOMONTH('Faturado mensal'!R$2,0))</f>
        <v>19287.57</v>
      </c>
      <c r="S154" s="9">
        <f>SUMIFS(#REF!,#REF!,
$A154,#REF!,
"&gt;="&amp;'Faturado mensal'!S$2,#REF!,
"&lt;"&amp;EOMONTH('Faturado mensal'!S$2,0))</f>
        <v>19317.189999999999</v>
      </c>
      <c r="T154" s="9">
        <f>SUMIFS(#REF!,#REF!,
$A154,#REF!,
"&gt;="&amp;'Faturado mensal'!T$2,#REF!,
"&lt;"&amp;EOMONTH('Faturado mensal'!T$2,0))</f>
        <v>19161.93</v>
      </c>
      <c r="U154" s="9">
        <f>SUMIFS(#REF!,#REF!,
$A154,#REF!,
"&gt;="&amp;'Faturado mensal'!U$2,#REF!,
"&lt;"&amp;EOMONTH('Faturado mensal'!U$2,0))</f>
        <v>19757.62</v>
      </c>
      <c r="V154" s="9">
        <f>SUMIFS(#REF!,#REF!,
$A154,#REF!,
"&gt;="&amp;'Faturado mensal'!V$2,#REF!,
"&lt;"&amp;EOMONTH('Faturado mensal'!V$2,0))</f>
        <v>19338.899999999998</v>
      </c>
      <c r="W154" s="9">
        <f>SUMIFS(#REF!,#REF!,
$A154,#REF!,
"&gt;="&amp;'Faturado mensal'!W$2,#REF!,
"&lt;"&amp;EOMONTH('Faturado mensal'!W$2,0))</f>
        <v>18756.55</v>
      </c>
      <c r="X154" s="9">
        <f>SUMIFS(#REF!,#REF!,
$A154,#REF!,
"&gt;="&amp;'Faturado mensal'!X$2,#REF!,
"&lt;"&amp;EOMONTH('Faturado mensal'!X$2,0))</f>
        <v>18512.149999999998</v>
      </c>
      <c r="Y154" s="11">
        <f>SUMIFS(#REF!,#REF!,
$A154,#REF!,
"&gt;="&amp;'Faturado mensal'!M$2,#REF!,
"&lt;"&amp;EOMONTH('Faturado mensal'!M$2,12))</f>
        <v>241726.99999999997</v>
      </c>
      <c r="Z154" s="9">
        <f>SUMIFS(#REF!,#REF!,
$A154,#REF!,
"&gt;="&amp;'Faturado mensal'!Z$2,#REF!,
"&lt;"&amp;EOMONTH('Faturado mensal'!Z$2,0))</f>
        <v>18255.79</v>
      </c>
      <c r="AA154" s="9">
        <f>SUMIFS(#REF!,#REF!,
$A154,#REF!,
"&gt;="&amp;'Faturado mensal'!AA$2,#REF!,
"&lt;"&amp;EOMONTH('Faturado mensal'!AA$2,0))</f>
        <v>18492.149999999998</v>
      </c>
      <c r="AB154" s="9">
        <f>SUMIFS(#REF!,#REF!,
$A154,#REF!,
"&gt;="&amp;'Faturado mensal'!AB$2,#REF!,
"&lt;"&amp;EOMONTH('Faturado mensal'!AB$2,0))</f>
        <v>19799.169999999998</v>
      </c>
      <c r="AC154" s="9">
        <f>SUMIFS(#REF!,#REF!,
$A154,#REF!,
"&gt;="&amp;'Faturado mensal'!AC$2,#REF!,
"&lt;"&amp;EOMONTH('Faturado mensal'!AC$2,0))</f>
        <v>20634.39</v>
      </c>
      <c r="AD154" s="9">
        <f>SUMIFS(#REF!,#REF!,
$A154,#REF!,
"&gt;="&amp;'Faturado mensal'!AD$2,#REF!,
"&lt;"&amp;EOMONTH('Faturado mensal'!AD$2,0))</f>
        <v>20328.46</v>
      </c>
      <c r="AE154" s="9">
        <f>SUMIFS(#REF!,#REF!,
$A154,#REF!,
"&gt;="&amp;'Faturado mensal'!AE$2,#REF!,
"&lt;"&amp;EOMONTH('Faturado mensal'!AE$2,0))</f>
        <v>21224.53</v>
      </c>
      <c r="AF154" s="9">
        <f>SUMIFS(#REF!,#REF!,
$A154,#REF!,
"&gt;="&amp;'Faturado mensal'!AF$2,#REF!,
"&lt;"&amp;EOMONTH('Faturado mensal'!AF$2,0))</f>
        <v>0</v>
      </c>
      <c r="AG154" s="9">
        <f>SUMIFS(#REF!,#REF!,
$A154,#REF!,
"&gt;="&amp;'Faturado mensal'!AG$2,#REF!,
"&lt;"&amp;EOMONTH('Faturado mensal'!AG$2,0))</f>
        <v>0</v>
      </c>
      <c r="AH154" s="9">
        <f>SUMIFS(#REF!,#REF!,
$A154,#REF!,
"&gt;="&amp;'Faturado mensal'!AH$2,#REF!,
"&lt;"&amp;EOMONTH('Faturado mensal'!AH$2,0))</f>
        <v>0</v>
      </c>
      <c r="AI154" s="9">
        <f>SUMIFS(#REF!,#REF!,
$A154,#REF!,
"&gt;="&amp;'Faturado mensal'!AI$2,#REF!,
"&lt;"&amp;EOMONTH('Faturado mensal'!AI$2,0))</f>
        <v>0</v>
      </c>
      <c r="AJ154" s="9">
        <f>SUMIFS(#REF!,#REF!,
$A154,#REF!,
"&gt;="&amp;'Faturado mensal'!AJ$2,#REF!,
"&lt;"&amp;EOMONTH('Faturado mensal'!AJ$2,0))</f>
        <v>0</v>
      </c>
      <c r="AK154" s="9">
        <f>SUMIFS(#REF!,#REF!,
$A154,#REF!,
"&gt;="&amp;'Faturado mensal'!AK$2,#REF!,
"&lt;"&amp;EOMONTH('Faturado mensal'!AK$2,0))</f>
        <v>0</v>
      </c>
      <c r="AL154" s="9">
        <f>SUMIFS(#REF!,#REF!,
$A154,#REF!,
"&gt;="&amp;Z$2,#REF!,
"&lt;"&amp;EOMONTH(AK$2,0))</f>
        <v>118734.48999999999</v>
      </c>
    </row>
    <row r="155" spans="1:38" x14ac:dyDescent="0.3">
      <c r="A155" t="s">
        <v>412</v>
      </c>
      <c r="B155" t="s">
        <v>413</v>
      </c>
      <c r="C155" t="s">
        <v>111</v>
      </c>
      <c r="D155" t="s">
        <v>209</v>
      </c>
      <c r="I155" t="s">
        <v>111</v>
      </c>
      <c r="J155" t="s">
        <v>710</v>
      </c>
      <c r="K155" t="s">
        <v>843</v>
      </c>
      <c r="L155" t="s">
        <v>844</v>
      </c>
      <c r="M155" s="9">
        <f>SUMIFS(#REF!,#REF!,
$A155,#REF!,
"&gt;="&amp;'Faturado mensal'!M$2,#REF!,
"&lt;"&amp;EOMONTH('Faturado mensal'!M$2,0))</f>
        <v>0</v>
      </c>
      <c r="N155" s="9">
        <f>SUMIFS(#REF!,#REF!,
$A155,#REF!,
"&gt;="&amp;'Faturado mensal'!N$2,#REF!,
"&lt;"&amp;EOMONTH('Faturado mensal'!N$2,0))</f>
        <v>0</v>
      </c>
      <c r="O155" s="9">
        <f>SUMIFS(#REF!,#REF!,
$A155,#REF!,
"&gt;="&amp;'Faturado mensal'!O$2,#REF!,
"&lt;"&amp;EOMONTH('Faturado mensal'!O$2,0))</f>
        <v>0</v>
      </c>
      <c r="P155" s="9">
        <f>SUMIFS(#REF!,#REF!,
$A155,#REF!,
"&gt;="&amp;'Faturado mensal'!P$2,#REF!,
"&lt;"&amp;EOMONTH('Faturado mensal'!P$2,0))</f>
        <v>0</v>
      </c>
      <c r="Q155" s="9">
        <f>SUMIFS(#REF!,#REF!,
$A155,#REF!,
"&gt;="&amp;'Faturado mensal'!Q$2,#REF!,
"&lt;"&amp;EOMONTH('Faturado mensal'!Q$2,0))</f>
        <v>0</v>
      </c>
      <c r="R155" s="9">
        <f>SUMIFS(#REF!,#REF!,
$A155,#REF!,
"&gt;="&amp;'Faturado mensal'!R$2,#REF!,
"&lt;"&amp;EOMONTH('Faturado mensal'!R$2,0))</f>
        <v>0</v>
      </c>
      <c r="S155" s="9">
        <f>SUMIFS(#REF!,#REF!,
$A155,#REF!,
"&gt;="&amp;'Faturado mensal'!S$2,#REF!,
"&lt;"&amp;EOMONTH('Faturado mensal'!S$2,0))</f>
        <v>0</v>
      </c>
      <c r="T155" s="9">
        <f>SUMIFS(#REF!,#REF!,
$A155,#REF!,
"&gt;="&amp;'Faturado mensal'!T$2,#REF!,
"&lt;"&amp;EOMONTH('Faturado mensal'!T$2,0))</f>
        <v>0</v>
      </c>
      <c r="U155" s="9">
        <f>SUMIFS(#REF!,#REF!,
$A155,#REF!,
"&gt;="&amp;'Faturado mensal'!U$2,#REF!,
"&lt;"&amp;EOMONTH('Faturado mensal'!U$2,0))</f>
        <v>0</v>
      </c>
      <c r="V155" s="9">
        <f>SUMIFS(#REF!,#REF!,
$A155,#REF!,
"&gt;="&amp;'Faturado mensal'!V$2,#REF!,
"&lt;"&amp;EOMONTH('Faturado mensal'!V$2,0))</f>
        <v>0</v>
      </c>
      <c r="W155" s="9">
        <f>SUMIFS(#REF!,#REF!,
$A155,#REF!,
"&gt;="&amp;'Faturado mensal'!W$2,#REF!,
"&lt;"&amp;EOMONTH('Faturado mensal'!W$2,0))</f>
        <v>0</v>
      </c>
      <c r="X155" s="9">
        <f>SUMIFS(#REF!,#REF!,
$A155,#REF!,
"&gt;="&amp;'Faturado mensal'!X$2,#REF!,
"&lt;"&amp;EOMONTH('Faturado mensal'!X$2,0))</f>
        <v>0</v>
      </c>
      <c r="Y155" s="11">
        <f>SUMIFS(#REF!,#REF!,
$A155,#REF!,
"&gt;="&amp;'Faturado mensal'!M$2,#REF!,
"&lt;"&amp;EOMONTH('Faturado mensal'!M$2,12))</f>
        <v>0</v>
      </c>
      <c r="Z155" s="9">
        <f>SUMIFS(#REF!,#REF!,
$A155,#REF!,
"&gt;="&amp;'Faturado mensal'!Z$2,#REF!,
"&lt;"&amp;EOMONTH('Faturado mensal'!Z$2,0))</f>
        <v>0</v>
      </c>
      <c r="AA155" s="9">
        <f>SUMIFS(#REF!,#REF!,
$A155,#REF!,
"&gt;="&amp;'Faturado mensal'!AA$2,#REF!,
"&lt;"&amp;EOMONTH('Faturado mensal'!AA$2,0))</f>
        <v>0</v>
      </c>
      <c r="AB155" s="9">
        <f>SUMIFS(#REF!,#REF!,
$A155,#REF!,
"&gt;="&amp;'Faturado mensal'!AB$2,#REF!,
"&lt;"&amp;EOMONTH('Faturado mensal'!AB$2,0))</f>
        <v>0</v>
      </c>
      <c r="AC155" s="9">
        <f>SUMIFS(#REF!,#REF!,
$A155,#REF!,
"&gt;="&amp;'Faturado mensal'!AC$2,#REF!,
"&lt;"&amp;EOMONTH('Faturado mensal'!AC$2,0))</f>
        <v>0</v>
      </c>
      <c r="AD155" s="9">
        <f>SUMIFS(#REF!,#REF!,
$A155,#REF!,
"&gt;="&amp;'Faturado mensal'!AD$2,#REF!,
"&lt;"&amp;EOMONTH('Faturado mensal'!AD$2,0))</f>
        <v>0</v>
      </c>
      <c r="AE155" s="9">
        <f>SUMIFS(#REF!,#REF!,
$A155,#REF!,
"&gt;="&amp;'Faturado mensal'!AE$2,#REF!,
"&lt;"&amp;EOMONTH('Faturado mensal'!AE$2,0))</f>
        <v>0</v>
      </c>
      <c r="AF155" s="9">
        <f>SUMIFS(#REF!,#REF!,
$A155,#REF!,
"&gt;="&amp;'Faturado mensal'!AF$2,#REF!,
"&lt;"&amp;EOMONTH('Faturado mensal'!AF$2,0))</f>
        <v>0</v>
      </c>
      <c r="AG155" s="9">
        <f>SUMIFS(#REF!,#REF!,
$A155,#REF!,
"&gt;="&amp;'Faturado mensal'!AG$2,#REF!,
"&lt;"&amp;EOMONTH('Faturado mensal'!AG$2,0))</f>
        <v>0</v>
      </c>
      <c r="AH155" s="9">
        <f>SUMIFS(#REF!,#REF!,
$A155,#REF!,
"&gt;="&amp;'Faturado mensal'!AH$2,#REF!,
"&lt;"&amp;EOMONTH('Faturado mensal'!AH$2,0))</f>
        <v>0</v>
      </c>
      <c r="AI155" s="9">
        <f>SUMIFS(#REF!,#REF!,
$A155,#REF!,
"&gt;="&amp;'Faturado mensal'!AI$2,#REF!,
"&lt;"&amp;EOMONTH('Faturado mensal'!AI$2,0))</f>
        <v>0</v>
      </c>
      <c r="AJ155" s="9">
        <f>SUMIFS(#REF!,#REF!,
$A155,#REF!,
"&gt;="&amp;'Faturado mensal'!AJ$2,#REF!,
"&lt;"&amp;EOMONTH('Faturado mensal'!AJ$2,0))</f>
        <v>0</v>
      </c>
      <c r="AK155" s="9">
        <f>SUMIFS(#REF!,#REF!,
$A155,#REF!,
"&gt;="&amp;'Faturado mensal'!AK$2,#REF!,
"&lt;"&amp;EOMONTH('Faturado mensal'!AK$2,0))</f>
        <v>0</v>
      </c>
      <c r="AL155" s="9">
        <f>SUMIFS(#REF!,#REF!,
$A155,#REF!,
"&gt;="&amp;Z$2,#REF!,
"&lt;"&amp;EOMONTH(AK$2,0))</f>
        <v>0</v>
      </c>
    </row>
    <row r="156" spans="1:38" x14ac:dyDescent="0.3">
      <c r="A156" t="s">
        <v>414</v>
      </c>
      <c r="B156" t="s">
        <v>415</v>
      </c>
      <c r="C156" t="s">
        <v>60</v>
      </c>
      <c r="D156" t="s">
        <v>204</v>
      </c>
      <c r="E156" t="s">
        <v>1037</v>
      </c>
      <c r="F156" t="s">
        <v>4807</v>
      </c>
      <c r="G156" t="s">
        <v>4852</v>
      </c>
      <c r="H156" t="s">
        <v>4771</v>
      </c>
      <c r="I156" t="s">
        <v>60</v>
      </c>
      <c r="J156" t="s">
        <v>814</v>
      </c>
      <c r="K156" t="s">
        <v>768</v>
      </c>
      <c r="L156" t="s">
        <v>769</v>
      </c>
      <c r="M156" s="9">
        <f>SUMIFS(#REF!,#REF!,
$A156,#REF!,
"&gt;="&amp;'Faturado mensal'!M$2,#REF!,
"&lt;"&amp;EOMONTH('Faturado mensal'!M$2,0))</f>
        <v>2754.53</v>
      </c>
      <c r="N156" s="9">
        <f>SUMIFS(#REF!,#REF!,
$A156,#REF!,
"&gt;="&amp;'Faturado mensal'!N$2,#REF!,
"&lt;"&amp;EOMONTH('Faturado mensal'!N$2,0))</f>
        <v>0</v>
      </c>
      <c r="O156" s="9">
        <f>SUMIFS(#REF!,#REF!,
$A156,#REF!,
"&gt;="&amp;'Faturado mensal'!O$2,#REF!,
"&lt;"&amp;EOMONTH('Faturado mensal'!O$2,0))</f>
        <v>5934.52</v>
      </c>
      <c r="P156" s="9">
        <f>SUMIFS(#REF!,#REF!,
$A156,#REF!,
"&gt;="&amp;'Faturado mensal'!P$2,#REF!,
"&lt;"&amp;EOMONTH('Faturado mensal'!P$2,0))</f>
        <v>0</v>
      </c>
      <c r="Q156" s="9">
        <f>SUMIFS(#REF!,#REF!,
$A156,#REF!,
"&gt;="&amp;'Faturado mensal'!Q$2,#REF!,
"&lt;"&amp;EOMONTH('Faturado mensal'!Q$2,0))</f>
        <v>5939.3099999999995</v>
      </c>
      <c r="R156" s="9">
        <f>SUMIFS(#REF!,#REF!,
$A156,#REF!,
"&gt;="&amp;'Faturado mensal'!R$2,#REF!,
"&lt;"&amp;EOMONTH('Faturado mensal'!R$2,0))</f>
        <v>2452.65</v>
      </c>
      <c r="S156" s="9">
        <f>SUMIFS(#REF!,#REF!,
$A156,#REF!,
"&gt;="&amp;'Faturado mensal'!S$2,#REF!,
"&lt;"&amp;EOMONTH('Faturado mensal'!S$2,0))</f>
        <v>2350.86</v>
      </c>
      <c r="T156" s="9">
        <f>SUMIFS(#REF!,#REF!,
$A156,#REF!,
"&gt;="&amp;'Faturado mensal'!T$2,#REF!,
"&lt;"&amp;EOMONTH('Faturado mensal'!T$2,0))</f>
        <v>2700.84</v>
      </c>
      <c r="U156" s="9">
        <f>SUMIFS(#REF!,#REF!,
$A156,#REF!,
"&gt;="&amp;'Faturado mensal'!U$2,#REF!,
"&lt;"&amp;EOMONTH('Faturado mensal'!U$2,0))</f>
        <v>0</v>
      </c>
      <c r="V156" s="9">
        <f>SUMIFS(#REF!,#REF!,
$A156,#REF!,
"&gt;="&amp;'Faturado mensal'!V$2,#REF!,
"&lt;"&amp;EOMONTH('Faturado mensal'!V$2,0))</f>
        <v>5146.6100000000006</v>
      </c>
      <c r="W156" s="9">
        <f>SUMIFS(#REF!,#REF!,
$A156,#REF!,
"&gt;="&amp;'Faturado mensal'!W$2,#REF!,
"&lt;"&amp;EOMONTH('Faturado mensal'!W$2,0))</f>
        <v>2254.2399999999998</v>
      </c>
      <c r="X156" s="9">
        <f>SUMIFS(#REF!,#REF!,
$A156,#REF!,
"&gt;="&amp;'Faturado mensal'!X$2,#REF!,
"&lt;"&amp;EOMONTH('Faturado mensal'!X$2,0))</f>
        <v>1980.23</v>
      </c>
      <c r="Y156" s="11">
        <f>SUMIFS(#REF!,#REF!,
$A156,#REF!,
"&gt;="&amp;'Faturado mensal'!M$2,#REF!,
"&lt;"&amp;EOMONTH('Faturado mensal'!M$2,12))</f>
        <v>36145.530000000006</v>
      </c>
      <c r="Z156" s="9">
        <f>SUMIFS(#REF!,#REF!,
$A156,#REF!,
"&gt;="&amp;'Faturado mensal'!Z$2,#REF!,
"&lt;"&amp;EOMONTH('Faturado mensal'!Z$2,0))</f>
        <v>1764.44</v>
      </c>
      <c r="AA156" s="9">
        <f>SUMIFS(#REF!,#REF!,
$A156,#REF!,
"&gt;="&amp;'Faturado mensal'!AA$2,#REF!,
"&lt;"&amp;EOMONTH('Faturado mensal'!AA$2,0))</f>
        <v>1610.01</v>
      </c>
      <c r="AB156" s="9">
        <f>SUMIFS(#REF!,#REF!,
$A156,#REF!,
"&gt;="&amp;'Faturado mensal'!AB$2,#REF!,
"&lt;"&amp;EOMONTH('Faturado mensal'!AB$2,0))</f>
        <v>0</v>
      </c>
      <c r="AC156" s="9">
        <f>SUMIFS(#REF!,#REF!,
$A156,#REF!,
"&gt;="&amp;'Faturado mensal'!AC$2,#REF!,
"&lt;"&amp;EOMONTH('Faturado mensal'!AC$2,0))</f>
        <v>1769.77</v>
      </c>
      <c r="AD156" s="9">
        <f>SUMIFS(#REF!,#REF!,
$A156,#REF!,
"&gt;="&amp;'Faturado mensal'!AD$2,#REF!,
"&lt;"&amp;EOMONTH('Faturado mensal'!AD$2,0))</f>
        <v>1688.13</v>
      </c>
      <c r="AE156" s="9">
        <f>SUMIFS(#REF!,#REF!,
$A156,#REF!,
"&gt;="&amp;'Faturado mensal'!AE$2,#REF!,
"&lt;"&amp;EOMONTH('Faturado mensal'!AE$2,0))</f>
        <v>0</v>
      </c>
      <c r="AF156" s="9">
        <f>SUMIFS(#REF!,#REF!,
$A156,#REF!,
"&gt;="&amp;'Faturado mensal'!AF$2,#REF!,
"&lt;"&amp;EOMONTH('Faturado mensal'!AF$2,0))</f>
        <v>0</v>
      </c>
      <c r="AG156" s="9">
        <f>SUMIFS(#REF!,#REF!,
$A156,#REF!,
"&gt;="&amp;'Faturado mensal'!AG$2,#REF!,
"&lt;"&amp;EOMONTH('Faturado mensal'!AG$2,0))</f>
        <v>0</v>
      </c>
      <c r="AH156" s="9">
        <f>SUMIFS(#REF!,#REF!,
$A156,#REF!,
"&gt;="&amp;'Faturado mensal'!AH$2,#REF!,
"&lt;"&amp;EOMONTH('Faturado mensal'!AH$2,0))</f>
        <v>0</v>
      </c>
      <c r="AI156" s="9">
        <f>SUMIFS(#REF!,#REF!,
$A156,#REF!,
"&gt;="&amp;'Faturado mensal'!AI$2,#REF!,
"&lt;"&amp;EOMONTH('Faturado mensal'!AI$2,0))</f>
        <v>0</v>
      </c>
      <c r="AJ156" s="9">
        <f>SUMIFS(#REF!,#REF!,
$A156,#REF!,
"&gt;="&amp;'Faturado mensal'!AJ$2,#REF!,
"&lt;"&amp;EOMONTH('Faturado mensal'!AJ$2,0))</f>
        <v>0</v>
      </c>
      <c r="AK156" s="9">
        <f>SUMIFS(#REF!,#REF!,
$A156,#REF!,
"&gt;="&amp;'Faturado mensal'!AK$2,#REF!,
"&lt;"&amp;EOMONTH('Faturado mensal'!AK$2,0))</f>
        <v>0</v>
      </c>
      <c r="AL156" s="9">
        <f>SUMIFS(#REF!,#REF!,
$A156,#REF!,
"&gt;="&amp;Z$2,#REF!,
"&lt;"&amp;EOMONTH(AK$2,0))</f>
        <v>9113.15</v>
      </c>
    </row>
    <row r="157" spans="1:38" x14ac:dyDescent="0.3">
      <c r="A157" t="s">
        <v>416</v>
      </c>
      <c r="B157" t="s">
        <v>417</v>
      </c>
      <c r="C157" t="s">
        <v>185</v>
      </c>
      <c r="D157" t="s">
        <v>204</v>
      </c>
      <c r="E157" t="s">
        <v>1037</v>
      </c>
      <c r="F157" t="s">
        <v>4780</v>
      </c>
      <c r="G157" t="s">
        <v>4853</v>
      </c>
      <c r="H157" t="s">
        <v>4771</v>
      </c>
      <c r="I157" t="s">
        <v>185</v>
      </c>
      <c r="J157" t="s">
        <v>710</v>
      </c>
      <c r="K157" t="s">
        <v>717</v>
      </c>
      <c r="L157" t="s">
        <v>718</v>
      </c>
      <c r="M157" s="9">
        <f>SUMIFS(#REF!,#REF!,
$A157,#REF!,
"&gt;="&amp;'Faturado mensal'!M$2,#REF!,
"&lt;"&amp;EOMONTH('Faturado mensal'!M$2,0))</f>
        <v>0</v>
      </c>
      <c r="N157" s="9">
        <f>SUMIFS(#REF!,#REF!,
$A157,#REF!,
"&gt;="&amp;'Faturado mensal'!N$2,#REF!,
"&lt;"&amp;EOMONTH('Faturado mensal'!N$2,0))</f>
        <v>0</v>
      </c>
      <c r="O157" s="9">
        <f>SUMIFS(#REF!,#REF!,
$A157,#REF!,
"&gt;="&amp;'Faturado mensal'!O$2,#REF!,
"&lt;"&amp;EOMONTH('Faturado mensal'!O$2,0))</f>
        <v>4061.83</v>
      </c>
      <c r="P157" s="9">
        <f>SUMIFS(#REF!,#REF!,
$A157,#REF!,
"&gt;="&amp;'Faturado mensal'!P$2,#REF!,
"&lt;"&amp;EOMONTH('Faturado mensal'!P$2,0))</f>
        <v>4104.32</v>
      </c>
      <c r="Q157" s="9">
        <f>SUMIFS(#REF!,#REF!,
$A157,#REF!,
"&gt;="&amp;'Faturado mensal'!Q$2,#REF!,
"&lt;"&amp;EOMONTH('Faturado mensal'!Q$2,0))</f>
        <v>0</v>
      </c>
      <c r="R157" s="9">
        <f>SUMIFS(#REF!,#REF!,
$A157,#REF!,
"&gt;="&amp;'Faturado mensal'!R$2,#REF!,
"&lt;"&amp;EOMONTH('Faturado mensal'!R$2,0))</f>
        <v>6846.16</v>
      </c>
      <c r="S157" s="9">
        <f>SUMIFS(#REF!,#REF!,
$A157,#REF!,
"&gt;="&amp;'Faturado mensal'!S$2,#REF!,
"&lt;"&amp;EOMONTH('Faturado mensal'!S$2,0))</f>
        <v>4850.8</v>
      </c>
      <c r="T157" s="9">
        <f>SUMIFS(#REF!,#REF!,
$A157,#REF!,
"&gt;="&amp;'Faturado mensal'!T$2,#REF!,
"&lt;"&amp;EOMONTH('Faturado mensal'!T$2,0))</f>
        <v>3434.76</v>
      </c>
      <c r="U157" s="9">
        <f>SUMIFS(#REF!,#REF!,
$A157,#REF!,
"&gt;="&amp;'Faturado mensal'!U$2,#REF!,
"&lt;"&amp;EOMONTH('Faturado mensal'!U$2,0))</f>
        <v>6335.7300000000005</v>
      </c>
      <c r="V157" s="9">
        <f>SUMIFS(#REF!,#REF!,
$A157,#REF!,
"&gt;="&amp;'Faturado mensal'!V$2,#REF!,
"&lt;"&amp;EOMONTH('Faturado mensal'!V$2,0))</f>
        <v>10779.439999999999</v>
      </c>
      <c r="W157" s="9">
        <f>SUMIFS(#REF!,#REF!,
$A157,#REF!,
"&gt;="&amp;'Faturado mensal'!W$2,#REF!,
"&lt;"&amp;EOMONTH('Faturado mensal'!W$2,0))</f>
        <v>0</v>
      </c>
      <c r="X157" s="9">
        <f>SUMIFS(#REF!,#REF!,
$A157,#REF!,
"&gt;="&amp;'Faturado mensal'!X$2,#REF!,
"&lt;"&amp;EOMONTH('Faturado mensal'!X$2,0))</f>
        <v>1056.8599999999999</v>
      </c>
      <c r="Y157" s="11">
        <f>SUMIFS(#REF!,#REF!,
$A157,#REF!,
"&gt;="&amp;'Faturado mensal'!M$2,#REF!,
"&lt;"&amp;EOMONTH('Faturado mensal'!M$2,12))</f>
        <v>49483.9</v>
      </c>
      <c r="Z157" s="9">
        <f>SUMIFS(#REF!,#REF!,
$A157,#REF!,
"&gt;="&amp;'Faturado mensal'!Z$2,#REF!,
"&lt;"&amp;EOMONTH('Faturado mensal'!Z$2,0))</f>
        <v>6446.35</v>
      </c>
      <c r="AA157" s="9">
        <f>SUMIFS(#REF!,#REF!,
$A157,#REF!,
"&gt;="&amp;'Faturado mensal'!AA$2,#REF!,
"&lt;"&amp;EOMONTH('Faturado mensal'!AA$2,0))</f>
        <v>6527.1</v>
      </c>
      <c r="AB157" s="9">
        <f>SUMIFS(#REF!,#REF!,
$A157,#REF!,
"&gt;="&amp;'Faturado mensal'!AB$2,#REF!,
"&lt;"&amp;EOMONTH('Faturado mensal'!AB$2,0))</f>
        <v>7580.28</v>
      </c>
      <c r="AC157" s="9">
        <f>SUMIFS(#REF!,#REF!,
$A157,#REF!,
"&gt;="&amp;'Faturado mensal'!AC$2,#REF!,
"&lt;"&amp;EOMONTH('Faturado mensal'!AC$2,0))</f>
        <v>7284.67</v>
      </c>
      <c r="AD157" s="9">
        <f>SUMIFS(#REF!,#REF!,
$A157,#REF!,
"&gt;="&amp;'Faturado mensal'!AD$2,#REF!,
"&lt;"&amp;EOMONTH('Faturado mensal'!AD$2,0))</f>
        <v>1464.2</v>
      </c>
      <c r="AE157" s="9">
        <f>SUMIFS(#REF!,#REF!,
$A157,#REF!,
"&gt;="&amp;'Faturado mensal'!AE$2,#REF!,
"&lt;"&amp;EOMONTH('Faturado mensal'!AE$2,0))</f>
        <v>7006.42</v>
      </c>
      <c r="AF157" s="9">
        <f>SUMIFS(#REF!,#REF!,
$A157,#REF!,
"&gt;="&amp;'Faturado mensal'!AF$2,#REF!,
"&lt;"&amp;EOMONTH('Faturado mensal'!AF$2,0))</f>
        <v>0</v>
      </c>
      <c r="AG157" s="9">
        <f>SUMIFS(#REF!,#REF!,
$A157,#REF!,
"&gt;="&amp;'Faturado mensal'!AG$2,#REF!,
"&lt;"&amp;EOMONTH('Faturado mensal'!AG$2,0))</f>
        <v>0</v>
      </c>
      <c r="AH157" s="9">
        <f>SUMIFS(#REF!,#REF!,
$A157,#REF!,
"&gt;="&amp;'Faturado mensal'!AH$2,#REF!,
"&lt;"&amp;EOMONTH('Faturado mensal'!AH$2,0))</f>
        <v>0</v>
      </c>
      <c r="AI157" s="9">
        <f>SUMIFS(#REF!,#REF!,
$A157,#REF!,
"&gt;="&amp;'Faturado mensal'!AI$2,#REF!,
"&lt;"&amp;EOMONTH('Faturado mensal'!AI$2,0))</f>
        <v>0</v>
      </c>
      <c r="AJ157" s="9">
        <f>SUMIFS(#REF!,#REF!,
$A157,#REF!,
"&gt;="&amp;'Faturado mensal'!AJ$2,#REF!,
"&lt;"&amp;EOMONTH('Faturado mensal'!AJ$2,0))</f>
        <v>0</v>
      </c>
      <c r="AK157" s="9">
        <f>SUMIFS(#REF!,#REF!,
$A157,#REF!,
"&gt;="&amp;'Faturado mensal'!AK$2,#REF!,
"&lt;"&amp;EOMONTH('Faturado mensal'!AK$2,0))</f>
        <v>0</v>
      </c>
      <c r="AL157" s="9">
        <f>SUMIFS(#REF!,#REF!,
$A157,#REF!,
"&gt;="&amp;Z$2,#REF!,
"&lt;"&amp;EOMONTH(AK$2,0))</f>
        <v>36309.019999999997</v>
      </c>
    </row>
    <row r="158" spans="1:38" x14ac:dyDescent="0.3">
      <c r="A158" t="s">
        <v>418</v>
      </c>
      <c r="B158" t="s">
        <v>419</v>
      </c>
      <c r="C158" t="s">
        <v>92</v>
      </c>
      <c r="D158" t="s">
        <v>209</v>
      </c>
      <c r="G158" t="s">
        <v>4852</v>
      </c>
      <c r="H158" t="s">
        <v>4771</v>
      </c>
      <c r="I158" t="s">
        <v>420</v>
      </c>
      <c r="J158" t="s">
        <v>710</v>
      </c>
      <c r="K158" t="s">
        <v>785</v>
      </c>
      <c r="L158" t="s">
        <v>786</v>
      </c>
      <c r="M158" s="9">
        <f>SUMIFS(#REF!,#REF!,
$A158,#REF!,
"&gt;="&amp;'Faturado mensal'!M$2,#REF!,
"&lt;"&amp;EOMONTH('Faturado mensal'!M$2,0))</f>
        <v>0</v>
      </c>
      <c r="N158" s="9">
        <f>SUMIFS(#REF!,#REF!,
$A158,#REF!,
"&gt;="&amp;'Faturado mensal'!N$2,#REF!,
"&lt;"&amp;EOMONTH('Faturado mensal'!N$2,0))</f>
        <v>0</v>
      </c>
      <c r="O158" s="9">
        <f>SUMIFS(#REF!,#REF!,
$A158,#REF!,
"&gt;="&amp;'Faturado mensal'!O$2,#REF!,
"&lt;"&amp;EOMONTH('Faturado mensal'!O$2,0))</f>
        <v>0</v>
      </c>
      <c r="P158" s="9">
        <f>SUMIFS(#REF!,#REF!,
$A158,#REF!,
"&gt;="&amp;'Faturado mensal'!P$2,#REF!,
"&lt;"&amp;EOMONTH('Faturado mensal'!P$2,0))</f>
        <v>0</v>
      </c>
      <c r="Q158" s="9">
        <f>SUMIFS(#REF!,#REF!,
$A158,#REF!,
"&gt;="&amp;'Faturado mensal'!Q$2,#REF!,
"&lt;"&amp;EOMONTH('Faturado mensal'!Q$2,0))</f>
        <v>0</v>
      </c>
      <c r="R158" s="9">
        <f>SUMIFS(#REF!,#REF!,
$A158,#REF!,
"&gt;="&amp;'Faturado mensal'!R$2,#REF!,
"&lt;"&amp;EOMONTH('Faturado mensal'!R$2,0))</f>
        <v>0</v>
      </c>
      <c r="S158" s="9">
        <f>SUMIFS(#REF!,#REF!,
$A158,#REF!,
"&gt;="&amp;'Faturado mensal'!S$2,#REF!,
"&lt;"&amp;EOMONTH('Faturado mensal'!S$2,0))</f>
        <v>0</v>
      </c>
      <c r="T158" s="9">
        <f>SUMIFS(#REF!,#REF!,
$A158,#REF!,
"&gt;="&amp;'Faturado mensal'!T$2,#REF!,
"&lt;"&amp;EOMONTH('Faturado mensal'!T$2,0))</f>
        <v>0</v>
      </c>
      <c r="U158" s="9">
        <f>SUMIFS(#REF!,#REF!,
$A158,#REF!,
"&gt;="&amp;'Faturado mensal'!U$2,#REF!,
"&lt;"&amp;EOMONTH('Faturado mensal'!U$2,0))</f>
        <v>0</v>
      </c>
      <c r="V158" s="9">
        <f>SUMIFS(#REF!,#REF!,
$A158,#REF!,
"&gt;="&amp;'Faturado mensal'!V$2,#REF!,
"&lt;"&amp;EOMONTH('Faturado mensal'!V$2,0))</f>
        <v>0</v>
      </c>
      <c r="W158" s="9">
        <f>SUMIFS(#REF!,#REF!,
$A158,#REF!,
"&gt;="&amp;'Faturado mensal'!W$2,#REF!,
"&lt;"&amp;EOMONTH('Faturado mensal'!W$2,0))</f>
        <v>0</v>
      </c>
      <c r="X158" s="9">
        <f>SUMIFS(#REF!,#REF!,
$A158,#REF!,
"&gt;="&amp;'Faturado mensal'!X$2,#REF!,
"&lt;"&amp;EOMONTH('Faturado mensal'!X$2,0))</f>
        <v>0</v>
      </c>
      <c r="Y158" s="11">
        <f>SUMIFS(#REF!,#REF!,
$A158,#REF!,
"&gt;="&amp;'Faturado mensal'!M$2,#REF!,
"&lt;"&amp;EOMONTH('Faturado mensal'!M$2,12))</f>
        <v>0</v>
      </c>
      <c r="Z158" s="9">
        <f>SUMIFS(#REF!,#REF!,
$A158,#REF!,
"&gt;="&amp;'Faturado mensal'!Z$2,#REF!,
"&lt;"&amp;EOMONTH('Faturado mensal'!Z$2,0))</f>
        <v>0</v>
      </c>
      <c r="AA158" s="9">
        <f>SUMIFS(#REF!,#REF!,
$A158,#REF!,
"&gt;="&amp;'Faturado mensal'!AA$2,#REF!,
"&lt;"&amp;EOMONTH('Faturado mensal'!AA$2,0))</f>
        <v>0</v>
      </c>
      <c r="AB158" s="9">
        <f>SUMIFS(#REF!,#REF!,
$A158,#REF!,
"&gt;="&amp;'Faturado mensal'!AB$2,#REF!,
"&lt;"&amp;EOMONTH('Faturado mensal'!AB$2,0))</f>
        <v>0</v>
      </c>
      <c r="AC158" s="9">
        <f>SUMIFS(#REF!,#REF!,
$A158,#REF!,
"&gt;="&amp;'Faturado mensal'!AC$2,#REF!,
"&lt;"&amp;EOMONTH('Faturado mensal'!AC$2,0))</f>
        <v>0</v>
      </c>
      <c r="AD158" s="9">
        <f>SUMIFS(#REF!,#REF!,
$A158,#REF!,
"&gt;="&amp;'Faturado mensal'!AD$2,#REF!,
"&lt;"&amp;EOMONTH('Faturado mensal'!AD$2,0))</f>
        <v>0</v>
      </c>
      <c r="AE158" s="9">
        <f>SUMIFS(#REF!,#REF!,
$A158,#REF!,
"&gt;="&amp;'Faturado mensal'!AE$2,#REF!,
"&lt;"&amp;EOMONTH('Faturado mensal'!AE$2,0))</f>
        <v>0</v>
      </c>
      <c r="AF158" s="9">
        <f>SUMIFS(#REF!,#REF!,
$A158,#REF!,
"&gt;="&amp;'Faturado mensal'!AF$2,#REF!,
"&lt;"&amp;EOMONTH('Faturado mensal'!AF$2,0))</f>
        <v>0</v>
      </c>
      <c r="AG158" s="9">
        <f>SUMIFS(#REF!,#REF!,
$A158,#REF!,
"&gt;="&amp;'Faturado mensal'!AG$2,#REF!,
"&lt;"&amp;EOMONTH('Faturado mensal'!AG$2,0))</f>
        <v>0</v>
      </c>
      <c r="AH158" s="9">
        <f>SUMIFS(#REF!,#REF!,
$A158,#REF!,
"&gt;="&amp;'Faturado mensal'!AH$2,#REF!,
"&lt;"&amp;EOMONTH('Faturado mensal'!AH$2,0))</f>
        <v>0</v>
      </c>
      <c r="AI158" s="9">
        <f>SUMIFS(#REF!,#REF!,
$A158,#REF!,
"&gt;="&amp;'Faturado mensal'!AI$2,#REF!,
"&lt;"&amp;EOMONTH('Faturado mensal'!AI$2,0))</f>
        <v>0</v>
      </c>
      <c r="AJ158" s="9">
        <f>SUMIFS(#REF!,#REF!,
$A158,#REF!,
"&gt;="&amp;'Faturado mensal'!AJ$2,#REF!,
"&lt;"&amp;EOMONTH('Faturado mensal'!AJ$2,0))</f>
        <v>0</v>
      </c>
      <c r="AK158" s="9">
        <f>SUMIFS(#REF!,#REF!,
$A158,#REF!,
"&gt;="&amp;'Faturado mensal'!AK$2,#REF!,
"&lt;"&amp;EOMONTH('Faturado mensal'!AK$2,0))</f>
        <v>0</v>
      </c>
      <c r="AL158" s="9">
        <f>SUMIFS(#REF!,#REF!,
$A158,#REF!,
"&gt;="&amp;Z$2,#REF!,
"&lt;"&amp;EOMONTH(AK$2,0))</f>
        <v>0</v>
      </c>
    </row>
    <row r="159" spans="1:38" x14ac:dyDescent="0.3">
      <c r="A159" t="s">
        <v>421</v>
      </c>
      <c r="B159" t="s">
        <v>422</v>
      </c>
      <c r="C159" t="s">
        <v>37</v>
      </c>
      <c r="D159" t="s">
        <v>204</v>
      </c>
      <c r="E159" t="s">
        <v>4833</v>
      </c>
      <c r="F159" t="s">
        <v>4786</v>
      </c>
      <c r="G159" t="s">
        <v>4852</v>
      </c>
      <c r="H159" t="s">
        <v>4773</v>
      </c>
      <c r="I159" t="s">
        <v>37</v>
      </c>
      <c r="J159" t="s">
        <v>710</v>
      </c>
      <c r="K159" t="s">
        <v>762</v>
      </c>
      <c r="L159" t="s">
        <v>763</v>
      </c>
      <c r="M159" s="9">
        <f>SUMIFS(#REF!,#REF!,
$A159,#REF!,
"&gt;="&amp;'Faturado mensal'!M$2,#REF!,
"&lt;"&amp;EOMONTH('Faturado mensal'!M$2,0))</f>
        <v>153.68</v>
      </c>
      <c r="N159" s="9">
        <f>SUMIFS(#REF!,#REF!,
$A159,#REF!,
"&gt;="&amp;'Faturado mensal'!N$2,#REF!,
"&lt;"&amp;EOMONTH('Faturado mensal'!N$2,0))</f>
        <v>153.68</v>
      </c>
      <c r="O159" s="9">
        <f>SUMIFS(#REF!,#REF!,
$A159,#REF!,
"&gt;="&amp;'Faturado mensal'!O$2,#REF!,
"&lt;"&amp;EOMONTH('Faturado mensal'!O$2,0))</f>
        <v>1230.8800000000001</v>
      </c>
      <c r="P159" s="9">
        <f>SUMIFS(#REF!,#REF!,
$A159,#REF!,
"&gt;="&amp;'Faturado mensal'!P$2,#REF!,
"&lt;"&amp;EOMONTH('Faturado mensal'!P$2,0))</f>
        <v>800</v>
      </c>
      <c r="Q159" s="9">
        <f>SUMIFS(#REF!,#REF!,
$A159,#REF!,
"&gt;="&amp;'Faturado mensal'!Q$2,#REF!,
"&lt;"&amp;EOMONTH('Faturado mensal'!Q$2,0))</f>
        <v>800</v>
      </c>
      <c r="R159" s="9">
        <f>SUMIFS(#REF!,#REF!,
$A159,#REF!,
"&gt;="&amp;'Faturado mensal'!R$2,#REF!,
"&lt;"&amp;EOMONTH('Faturado mensal'!R$2,0))</f>
        <v>800</v>
      </c>
      <c r="S159" s="9">
        <f>SUMIFS(#REF!,#REF!,
$A159,#REF!,
"&gt;="&amp;'Faturado mensal'!S$2,#REF!,
"&lt;"&amp;EOMONTH('Faturado mensal'!S$2,0))</f>
        <v>800</v>
      </c>
      <c r="T159" s="9">
        <f>SUMIFS(#REF!,#REF!,
$A159,#REF!,
"&gt;="&amp;'Faturado mensal'!T$2,#REF!,
"&lt;"&amp;EOMONTH('Faturado mensal'!T$2,0))</f>
        <v>800</v>
      </c>
      <c r="U159" s="9">
        <f>SUMIFS(#REF!,#REF!,
$A159,#REF!,
"&gt;="&amp;'Faturado mensal'!U$2,#REF!,
"&lt;"&amp;EOMONTH('Faturado mensal'!U$2,0))</f>
        <v>800</v>
      </c>
      <c r="V159" s="9">
        <f>SUMIFS(#REF!,#REF!,
$A159,#REF!,
"&gt;="&amp;'Faturado mensal'!V$2,#REF!,
"&lt;"&amp;EOMONTH('Faturado mensal'!V$2,0))</f>
        <v>800</v>
      </c>
      <c r="W159" s="9">
        <f>SUMIFS(#REF!,#REF!,
$A159,#REF!,
"&gt;="&amp;'Faturado mensal'!W$2,#REF!,
"&lt;"&amp;EOMONTH('Faturado mensal'!W$2,0))</f>
        <v>800</v>
      </c>
      <c r="X159" s="9">
        <f>SUMIFS(#REF!,#REF!,
$A159,#REF!,
"&gt;="&amp;'Faturado mensal'!X$2,#REF!,
"&lt;"&amp;EOMONTH('Faturado mensal'!X$2,0))</f>
        <v>800</v>
      </c>
      <c r="Y159" s="11">
        <f>SUMIFS(#REF!,#REF!,
$A159,#REF!,
"&gt;="&amp;'Faturado mensal'!M$2,#REF!,
"&lt;"&amp;EOMONTH('Faturado mensal'!M$2,12))</f>
        <v>9538.24</v>
      </c>
      <c r="Z159" s="9">
        <f>SUMIFS(#REF!,#REF!,
$A159,#REF!,
"&gt;="&amp;'Faturado mensal'!Z$2,#REF!,
"&lt;"&amp;EOMONTH('Faturado mensal'!Z$2,0))</f>
        <v>800</v>
      </c>
      <c r="AA159" s="9">
        <f>SUMIFS(#REF!,#REF!,
$A159,#REF!,
"&gt;="&amp;'Faturado mensal'!AA$2,#REF!,
"&lt;"&amp;EOMONTH('Faturado mensal'!AA$2,0))</f>
        <v>800</v>
      </c>
      <c r="AB159" s="9">
        <f>SUMIFS(#REF!,#REF!,
$A159,#REF!,
"&gt;="&amp;'Faturado mensal'!AB$2,#REF!,
"&lt;"&amp;EOMONTH('Faturado mensal'!AB$2,0))</f>
        <v>800</v>
      </c>
      <c r="AC159" s="9">
        <f>SUMIFS(#REF!,#REF!,
$A159,#REF!,
"&gt;="&amp;'Faturado mensal'!AC$2,#REF!,
"&lt;"&amp;EOMONTH('Faturado mensal'!AC$2,0))</f>
        <v>800</v>
      </c>
      <c r="AD159" s="9">
        <f>SUMIFS(#REF!,#REF!,
$A159,#REF!,
"&gt;="&amp;'Faturado mensal'!AD$2,#REF!,
"&lt;"&amp;EOMONTH('Faturado mensal'!AD$2,0))</f>
        <v>800</v>
      </c>
      <c r="AE159" s="9">
        <f>SUMIFS(#REF!,#REF!,
$A159,#REF!,
"&gt;="&amp;'Faturado mensal'!AE$2,#REF!,
"&lt;"&amp;EOMONTH('Faturado mensal'!AE$2,0))</f>
        <v>800</v>
      </c>
      <c r="AF159" s="9">
        <f>SUMIFS(#REF!,#REF!,
$A159,#REF!,
"&gt;="&amp;'Faturado mensal'!AF$2,#REF!,
"&lt;"&amp;EOMONTH('Faturado mensal'!AF$2,0))</f>
        <v>0</v>
      </c>
      <c r="AG159" s="9">
        <f>SUMIFS(#REF!,#REF!,
$A159,#REF!,
"&gt;="&amp;'Faturado mensal'!AG$2,#REF!,
"&lt;"&amp;EOMONTH('Faturado mensal'!AG$2,0))</f>
        <v>0</v>
      </c>
      <c r="AH159" s="9">
        <f>SUMIFS(#REF!,#REF!,
$A159,#REF!,
"&gt;="&amp;'Faturado mensal'!AH$2,#REF!,
"&lt;"&amp;EOMONTH('Faturado mensal'!AH$2,0))</f>
        <v>0</v>
      </c>
      <c r="AI159" s="9">
        <f>SUMIFS(#REF!,#REF!,
$A159,#REF!,
"&gt;="&amp;'Faturado mensal'!AI$2,#REF!,
"&lt;"&amp;EOMONTH('Faturado mensal'!AI$2,0))</f>
        <v>0</v>
      </c>
      <c r="AJ159" s="9">
        <f>SUMIFS(#REF!,#REF!,
$A159,#REF!,
"&gt;="&amp;'Faturado mensal'!AJ$2,#REF!,
"&lt;"&amp;EOMONTH('Faturado mensal'!AJ$2,0))</f>
        <v>0</v>
      </c>
      <c r="AK159" s="9">
        <f>SUMIFS(#REF!,#REF!,
$A159,#REF!,
"&gt;="&amp;'Faturado mensal'!AK$2,#REF!,
"&lt;"&amp;EOMONTH('Faturado mensal'!AK$2,0))</f>
        <v>0</v>
      </c>
      <c r="AL159" s="9">
        <f>SUMIFS(#REF!,#REF!,
$A159,#REF!,
"&gt;="&amp;Z$2,#REF!,
"&lt;"&amp;EOMONTH(AK$2,0))</f>
        <v>4800</v>
      </c>
    </row>
    <row r="160" spans="1:38" x14ac:dyDescent="0.3">
      <c r="A160" t="s">
        <v>423</v>
      </c>
      <c r="B160" t="s">
        <v>424</v>
      </c>
      <c r="C160" t="s">
        <v>132</v>
      </c>
      <c r="D160" t="s">
        <v>204</v>
      </c>
      <c r="E160" t="s">
        <v>1042</v>
      </c>
      <c r="F160" t="s">
        <v>1006</v>
      </c>
      <c r="G160" t="s">
        <v>4845</v>
      </c>
      <c r="H160" t="s">
        <v>4771</v>
      </c>
      <c r="I160" t="s">
        <v>132</v>
      </c>
      <c r="J160" t="s">
        <v>710</v>
      </c>
      <c r="K160" t="s">
        <v>845</v>
      </c>
      <c r="L160" t="s">
        <v>846</v>
      </c>
      <c r="M160" s="9">
        <f>SUMIFS(#REF!,#REF!,
$A160,#REF!,
"&gt;="&amp;'Faturado mensal'!M$2,#REF!,
"&lt;"&amp;EOMONTH('Faturado mensal'!M$2,0))</f>
        <v>0</v>
      </c>
      <c r="N160" s="9">
        <f>SUMIFS(#REF!,#REF!,
$A160,#REF!,
"&gt;="&amp;'Faturado mensal'!N$2,#REF!,
"&lt;"&amp;EOMONTH('Faturado mensal'!N$2,0))</f>
        <v>0</v>
      </c>
      <c r="O160" s="9">
        <f>SUMIFS(#REF!,#REF!,
$A160,#REF!,
"&gt;="&amp;'Faturado mensal'!O$2,#REF!,
"&lt;"&amp;EOMONTH('Faturado mensal'!O$2,0))</f>
        <v>0</v>
      </c>
      <c r="P160" s="9">
        <f>SUMIFS(#REF!,#REF!,
$A160,#REF!,
"&gt;="&amp;'Faturado mensal'!P$2,#REF!,
"&lt;"&amp;EOMONTH('Faturado mensal'!P$2,0))</f>
        <v>0</v>
      </c>
      <c r="Q160" s="9">
        <f>SUMIFS(#REF!,#REF!,
$A160,#REF!,
"&gt;="&amp;'Faturado mensal'!Q$2,#REF!,
"&lt;"&amp;EOMONTH('Faturado mensal'!Q$2,0))</f>
        <v>0</v>
      </c>
      <c r="R160" s="9">
        <f>SUMIFS(#REF!,#REF!,
$A160,#REF!,
"&gt;="&amp;'Faturado mensal'!R$2,#REF!,
"&lt;"&amp;EOMONTH('Faturado mensal'!R$2,0))</f>
        <v>0</v>
      </c>
      <c r="S160" s="9">
        <f>SUMIFS(#REF!,#REF!,
$A160,#REF!,
"&gt;="&amp;'Faturado mensal'!S$2,#REF!,
"&lt;"&amp;EOMONTH('Faturado mensal'!S$2,0))</f>
        <v>0</v>
      </c>
      <c r="T160" s="9">
        <f>SUMIFS(#REF!,#REF!,
$A160,#REF!,
"&gt;="&amp;'Faturado mensal'!T$2,#REF!,
"&lt;"&amp;EOMONTH('Faturado mensal'!T$2,0))</f>
        <v>0</v>
      </c>
      <c r="U160" s="9">
        <f>SUMIFS(#REF!,#REF!,
$A160,#REF!,
"&gt;="&amp;'Faturado mensal'!U$2,#REF!,
"&lt;"&amp;EOMONTH('Faturado mensal'!U$2,0))</f>
        <v>0</v>
      </c>
      <c r="V160" s="9">
        <f>SUMIFS(#REF!,#REF!,
$A160,#REF!,
"&gt;="&amp;'Faturado mensal'!V$2,#REF!,
"&lt;"&amp;EOMONTH('Faturado mensal'!V$2,0))</f>
        <v>0</v>
      </c>
      <c r="W160" s="9">
        <f>SUMIFS(#REF!,#REF!,
$A160,#REF!,
"&gt;="&amp;'Faturado mensal'!W$2,#REF!,
"&lt;"&amp;EOMONTH('Faturado mensal'!W$2,0))</f>
        <v>3350</v>
      </c>
      <c r="X160" s="9">
        <f>SUMIFS(#REF!,#REF!,
$A160,#REF!,
"&gt;="&amp;'Faturado mensal'!X$2,#REF!,
"&lt;"&amp;EOMONTH('Faturado mensal'!X$2,0))</f>
        <v>0</v>
      </c>
      <c r="Y160" s="11">
        <f>SUMIFS(#REF!,#REF!,
$A160,#REF!,
"&gt;="&amp;'Faturado mensal'!M$2,#REF!,
"&lt;"&amp;EOMONTH('Faturado mensal'!M$2,12))</f>
        <v>3350</v>
      </c>
      <c r="Z160" s="9">
        <f>SUMIFS(#REF!,#REF!,
$A160,#REF!,
"&gt;="&amp;'Faturado mensal'!Z$2,#REF!,
"&lt;"&amp;EOMONTH('Faturado mensal'!Z$2,0))</f>
        <v>0</v>
      </c>
      <c r="AA160" s="9">
        <f>SUMIFS(#REF!,#REF!,
$A160,#REF!,
"&gt;="&amp;'Faturado mensal'!AA$2,#REF!,
"&lt;"&amp;EOMONTH('Faturado mensal'!AA$2,0))</f>
        <v>2555</v>
      </c>
      <c r="AB160" s="9">
        <f>SUMIFS(#REF!,#REF!,
$A160,#REF!,
"&gt;="&amp;'Faturado mensal'!AB$2,#REF!,
"&lt;"&amp;EOMONTH('Faturado mensal'!AB$2,0))</f>
        <v>0</v>
      </c>
      <c r="AC160" s="9">
        <f>SUMIFS(#REF!,#REF!,
$A160,#REF!,
"&gt;="&amp;'Faturado mensal'!AC$2,#REF!,
"&lt;"&amp;EOMONTH('Faturado mensal'!AC$2,0))</f>
        <v>4010</v>
      </c>
      <c r="AD160" s="9">
        <f>SUMIFS(#REF!,#REF!,
$A160,#REF!,
"&gt;="&amp;'Faturado mensal'!AD$2,#REF!,
"&lt;"&amp;EOMONTH('Faturado mensal'!AD$2,0))</f>
        <v>0</v>
      </c>
      <c r="AE160" s="9">
        <f>SUMIFS(#REF!,#REF!,
$A160,#REF!,
"&gt;="&amp;'Faturado mensal'!AE$2,#REF!,
"&lt;"&amp;EOMONTH('Faturado mensal'!AE$2,0))</f>
        <v>0</v>
      </c>
      <c r="AF160" s="9">
        <f>SUMIFS(#REF!,#REF!,
$A160,#REF!,
"&gt;="&amp;'Faturado mensal'!AF$2,#REF!,
"&lt;"&amp;EOMONTH('Faturado mensal'!AF$2,0))</f>
        <v>0</v>
      </c>
      <c r="AG160" s="9">
        <f>SUMIFS(#REF!,#REF!,
$A160,#REF!,
"&gt;="&amp;'Faturado mensal'!AG$2,#REF!,
"&lt;"&amp;EOMONTH('Faturado mensal'!AG$2,0))</f>
        <v>0</v>
      </c>
      <c r="AH160" s="9">
        <f>SUMIFS(#REF!,#REF!,
$A160,#REF!,
"&gt;="&amp;'Faturado mensal'!AH$2,#REF!,
"&lt;"&amp;EOMONTH('Faturado mensal'!AH$2,0))</f>
        <v>0</v>
      </c>
      <c r="AI160" s="9">
        <f>SUMIFS(#REF!,#REF!,
$A160,#REF!,
"&gt;="&amp;'Faturado mensal'!AI$2,#REF!,
"&lt;"&amp;EOMONTH('Faturado mensal'!AI$2,0))</f>
        <v>0</v>
      </c>
      <c r="AJ160" s="9">
        <f>SUMIFS(#REF!,#REF!,
$A160,#REF!,
"&gt;="&amp;'Faturado mensal'!AJ$2,#REF!,
"&lt;"&amp;EOMONTH('Faturado mensal'!AJ$2,0))</f>
        <v>0</v>
      </c>
      <c r="AK160" s="9">
        <f>SUMIFS(#REF!,#REF!,
$A160,#REF!,
"&gt;="&amp;'Faturado mensal'!AK$2,#REF!,
"&lt;"&amp;EOMONTH('Faturado mensal'!AK$2,0))</f>
        <v>0</v>
      </c>
      <c r="AL160" s="9">
        <f>SUMIFS(#REF!,#REF!,
$A160,#REF!,
"&gt;="&amp;Z$2,#REF!,
"&lt;"&amp;EOMONTH(AK$2,0))</f>
        <v>6565</v>
      </c>
    </row>
    <row r="161" spans="1:38" x14ac:dyDescent="0.3">
      <c r="A161" t="s">
        <v>425</v>
      </c>
      <c r="B161" t="s">
        <v>426</v>
      </c>
      <c r="C161" t="s">
        <v>54</v>
      </c>
      <c r="D161" t="s">
        <v>204</v>
      </c>
      <c r="E161" t="s">
        <v>4843</v>
      </c>
      <c r="F161" t="s">
        <v>4787</v>
      </c>
      <c r="G161" t="s">
        <v>4852</v>
      </c>
      <c r="H161" t="s">
        <v>4771</v>
      </c>
      <c r="I161" t="s">
        <v>54</v>
      </c>
      <c r="J161" t="s">
        <v>710</v>
      </c>
      <c r="K161" t="s">
        <v>785</v>
      </c>
      <c r="L161" t="s">
        <v>786</v>
      </c>
      <c r="M161" s="9">
        <f>SUMIFS(#REF!,#REF!,
$A161,#REF!,
"&gt;="&amp;'Faturado mensal'!M$2,#REF!,
"&lt;"&amp;EOMONTH('Faturado mensal'!M$2,0))</f>
        <v>0</v>
      </c>
      <c r="N161" s="9">
        <f>SUMIFS(#REF!,#REF!,
$A161,#REF!,
"&gt;="&amp;'Faturado mensal'!N$2,#REF!,
"&lt;"&amp;EOMONTH('Faturado mensal'!N$2,0))</f>
        <v>196377.28999999998</v>
      </c>
      <c r="O161" s="9">
        <f>SUMIFS(#REF!,#REF!,
$A161,#REF!,
"&gt;="&amp;'Faturado mensal'!O$2,#REF!,
"&lt;"&amp;EOMONTH('Faturado mensal'!O$2,0))</f>
        <v>96580.26</v>
      </c>
      <c r="P161" s="9">
        <f>SUMIFS(#REF!,#REF!,
$A161,#REF!,
"&gt;="&amp;'Faturado mensal'!P$2,#REF!,
"&lt;"&amp;EOMONTH('Faturado mensal'!P$2,0))</f>
        <v>91712.95</v>
      </c>
      <c r="Q161" s="9">
        <f>SUMIFS(#REF!,#REF!,
$A161,#REF!,
"&gt;="&amp;'Faturado mensal'!Q$2,#REF!,
"&lt;"&amp;EOMONTH('Faturado mensal'!Q$2,0))</f>
        <v>83525.759999999995</v>
      </c>
      <c r="R161" s="9">
        <f>SUMIFS(#REF!,#REF!,
$A161,#REF!,
"&gt;="&amp;'Faturado mensal'!R$2,#REF!,
"&lt;"&amp;EOMONTH('Faturado mensal'!R$2,0))</f>
        <v>100161.03</v>
      </c>
      <c r="S161" s="9">
        <f>SUMIFS(#REF!,#REF!,
$A161,#REF!,
"&gt;="&amp;'Faturado mensal'!S$2,#REF!,
"&lt;"&amp;EOMONTH('Faturado mensal'!S$2,0))</f>
        <v>88260.46</v>
      </c>
      <c r="T161" s="9">
        <f>SUMIFS(#REF!,#REF!,
$A161,#REF!,
"&gt;="&amp;'Faturado mensal'!T$2,#REF!,
"&lt;"&amp;EOMONTH('Faturado mensal'!T$2,0))</f>
        <v>117292.65</v>
      </c>
      <c r="U161" s="9">
        <f>SUMIFS(#REF!,#REF!,
$A161,#REF!,
"&gt;="&amp;'Faturado mensal'!U$2,#REF!,
"&lt;"&amp;EOMONTH('Faturado mensal'!U$2,0))</f>
        <v>112311.9</v>
      </c>
      <c r="V161" s="9">
        <f>SUMIFS(#REF!,#REF!,
$A161,#REF!,
"&gt;="&amp;'Faturado mensal'!V$2,#REF!,
"&lt;"&amp;EOMONTH('Faturado mensal'!V$2,0))</f>
        <v>110913.13</v>
      </c>
      <c r="W161" s="9">
        <f>SUMIFS(#REF!,#REF!,
$A161,#REF!,
"&gt;="&amp;'Faturado mensal'!W$2,#REF!,
"&lt;"&amp;EOMONTH('Faturado mensal'!W$2,0))</f>
        <v>122966.27</v>
      </c>
      <c r="X161" s="9">
        <f>SUMIFS(#REF!,#REF!,
$A161,#REF!,
"&gt;="&amp;'Faturado mensal'!X$2,#REF!,
"&lt;"&amp;EOMONTH('Faturado mensal'!X$2,0))</f>
        <v>108186.47</v>
      </c>
      <c r="Y161" s="11">
        <f>SUMIFS(#REF!,#REF!,
$A161,#REF!,
"&gt;="&amp;'Faturado mensal'!M$2,#REF!,
"&lt;"&amp;EOMONTH('Faturado mensal'!M$2,12))</f>
        <v>1311706.97</v>
      </c>
      <c r="Z161" s="9">
        <f>SUMIFS(#REF!,#REF!,
$A161,#REF!,
"&gt;="&amp;'Faturado mensal'!Z$2,#REF!,
"&lt;"&amp;EOMONTH('Faturado mensal'!Z$2,0))</f>
        <v>83418.8</v>
      </c>
      <c r="AA161" s="9">
        <f>SUMIFS(#REF!,#REF!,
$A161,#REF!,
"&gt;="&amp;'Faturado mensal'!AA$2,#REF!,
"&lt;"&amp;EOMONTH('Faturado mensal'!AA$2,0))</f>
        <v>107564.26</v>
      </c>
      <c r="AB161" s="9">
        <f>SUMIFS(#REF!,#REF!,
$A161,#REF!,
"&gt;="&amp;'Faturado mensal'!AB$2,#REF!,
"&lt;"&amp;EOMONTH('Faturado mensal'!AB$2,0))</f>
        <v>96957.08</v>
      </c>
      <c r="AC161" s="9">
        <f>SUMIFS(#REF!,#REF!,
$A161,#REF!,
"&gt;="&amp;'Faturado mensal'!AC$2,#REF!,
"&lt;"&amp;EOMONTH('Faturado mensal'!AC$2,0))</f>
        <v>90538.27</v>
      </c>
      <c r="AD161" s="9">
        <f>SUMIFS(#REF!,#REF!,
$A161,#REF!,
"&gt;="&amp;'Faturado mensal'!AD$2,#REF!,
"&lt;"&amp;EOMONTH('Faturado mensal'!AD$2,0))</f>
        <v>85928</v>
      </c>
      <c r="AE161" s="9">
        <f>SUMIFS(#REF!,#REF!,
$A161,#REF!,
"&gt;="&amp;'Faturado mensal'!AE$2,#REF!,
"&lt;"&amp;EOMONTH('Faturado mensal'!AE$2,0))</f>
        <v>93869.74</v>
      </c>
      <c r="AF161" s="9">
        <f>SUMIFS(#REF!,#REF!,
$A161,#REF!,
"&gt;="&amp;'Faturado mensal'!AF$2,#REF!,
"&lt;"&amp;EOMONTH('Faturado mensal'!AF$2,0))</f>
        <v>0</v>
      </c>
      <c r="AG161" s="9">
        <f>SUMIFS(#REF!,#REF!,
$A161,#REF!,
"&gt;="&amp;'Faturado mensal'!AG$2,#REF!,
"&lt;"&amp;EOMONTH('Faturado mensal'!AG$2,0))</f>
        <v>0</v>
      </c>
      <c r="AH161" s="9">
        <f>SUMIFS(#REF!,#REF!,
$A161,#REF!,
"&gt;="&amp;'Faturado mensal'!AH$2,#REF!,
"&lt;"&amp;EOMONTH('Faturado mensal'!AH$2,0))</f>
        <v>0</v>
      </c>
      <c r="AI161" s="9">
        <f>SUMIFS(#REF!,#REF!,
$A161,#REF!,
"&gt;="&amp;'Faturado mensal'!AI$2,#REF!,
"&lt;"&amp;EOMONTH('Faturado mensal'!AI$2,0))</f>
        <v>0</v>
      </c>
      <c r="AJ161" s="9">
        <f>SUMIFS(#REF!,#REF!,
$A161,#REF!,
"&gt;="&amp;'Faturado mensal'!AJ$2,#REF!,
"&lt;"&amp;EOMONTH('Faturado mensal'!AJ$2,0))</f>
        <v>0</v>
      </c>
      <c r="AK161" s="9">
        <f>SUMIFS(#REF!,#REF!,
$A161,#REF!,
"&gt;="&amp;'Faturado mensal'!AK$2,#REF!,
"&lt;"&amp;EOMONTH('Faturado mensal'!AK$2,0))</f>
        <v>0</v>
      </c>
      <c r="AL161" s="9">
        <f>SUMIFS(#REF!,#REF!,
$A161,#REF!,
"&gt;="&amp;Z$2,#REF!,
"&lt;"&amp;EOMONTH(AK$2,0))</f>
        <v>558276.15</v>
      </c>
    </row>
    <row r="162" spans="1:38" x14ac:dyDescent="0.3">
      <c r="A162" t="s">
        <v>427</v>
      </c>
      <c r="B162" t="s">
        <v>428</v>
      </c>
      <c r="C162" t="s">
        <v>127</v>
      </c>
      <c r="D162" t="s">
        <v>209</v>
      </c>
      <c r="G162" t="s">
        <v>4852</v>
      </c>
      <c r="H162" t="s">
        <v>4772</v>
      </c>
      <c r="I162" t="s">
        <v>847</v>
      </c>
      <c r="J162" t="s">
        <v>710</v>
      </c>
      <c r="K162" t="s">
        <v>762</v>
      </c>
      <c r="L162" t="s">
        <v>763</v>
      </c>
      <c r="M162" s="9">
        <f>SUMIFS(#REF!,#REF!,
$A162,#REF!,
"&gt;="&amp;'Faturado mensal'!M$2,#REF!,
"&lt;"&amp;EOMONTH('Faturado mensal'!M$2,0))</f>
        <v>1194.56</v>
      </c>
      <c r="N162" s="9">
        <f>SUMIFS(#REF!,#REF!,
$A162,#REF!,
"&gt;="&amp;'Faturado mensal'!N$2,#REF!,
"&lt;"&amp;EOMONTH('Faturado mensal'!N$2,0))</f>
        <v>200251.93</v>
      </c>
      <c r="O162" s="9">
        <f>SUMIFS(#REF!,#REF!,
$A162,#REF!,
"&gt;="&amp;'Faturado mensal'!O$2,#REF!,
"&lt;"&amp;EOMONTH('Faturado mensal'!O$2,0))</f>
        <v>-2676.8999999999942</v>
      </c>
      <c r="P162" s="9">
        <f>SUMIFS(#REF!,#REF!,
$A162,#REF!,
"&gt;="&amp;'Faturado mensal'!P$2,#REF!,
"&lt;"&amp;EOMONTH('Faturado mensal'!P$2,0))</f>
        <v>64063.59</v>
      </c>
      <c r="Q162" s="9">
        <f>SUMIFS(#REF!,#REF!,
$A162,#REF!,
"&gt;="&amp;'Faturado mensal'!Q$2,#REF!,
"&lt;"&amp;EOMONTH('Faturado mensal'!Q$2,0))</f>
        <v>65454.15</v>
      </c>
      <c r="R162" s="9">
        <f>SUMIFS(#REF!,#REF!,
$A162,#REF!,
"&gt;="&amp;'Faturado mensal'!R$2,#REF!,
"&lt;"&amp;EOMONTH('Faturado mensal'!R$2,0))</f>
        <v>72747.98</v>
      </c>
      <c r="S162" s="9">
        <f>SUMIFS(#REF!,#REF!,
$A162,#REF!,
"&gt;="&amp;'Faturado mensal'!S$2,#REF!,
"&lt;"&amp;EOMONTH('Faturado mensal'!S$2,0))</f>
        <v>3326.01</v>
      </c>
      <c r="T162" s="9">
        <f>SUMIFS(#REF!,#REF!,
$A162,#REF!,
"&gt;="&amp;'Faturado mensal'!T$2,#REF!,
"&lt;"&amp;EOMONTH('Faturado mensal'!T$2,0))</f>
        <v>0</v>
      </c>
      <c r="U162" s="9">
        <f>SUMIFS(#REF!,#REF!,
$A162,#REF!,
"&gt;="&amp;'Faturado mensal'!U$2,#REF!,
"&lt;"&amp;EOMONTH('Faturado mensal'!U$2,0))</f>
        <v>0</v>
      </c>
      <c r="V162" s="9">
        <f>SUMIFS(#REF!,#REF!,
$A162,#REF!,
"&gt;="&amp;'Faturado mensal'!V$2,#REF!,
"&lt;"&amp;EOMONTH('Faturado mensal'!V$2,0))</f>
        <v>0</v>
      </c>
      <c r="W162" s="9">
        <f>SUMIFS(#REF!,#REF!,
$A162,#REF!,
"&gt;="&amp;'Faturado mensal'!W$2,#REF!,
"&lt;"&amp;EOMONTH('Faturado mensal'!W$2,0))</f>
        <v>0</v>
      </c>
      <c r="X162" s="9">
        <f>SUMIFS(#REF!,#REF!,
$A162,#REF!,
"&gt;="&amp;'Faturado mensal'!X$2,#REF!,
"&lt;"&amp;EOMONTH('Faturado mensal'!X$2,0))</f>
        <v>0</v>
      </c>
      <c r="Y162" s="11">
        <f>SUMIFS(#REF!,#REF!,
$A162,#REF!,
"&gt;="&amp;'Faturado mensal'!M$2,#REF!,
"&lt;"&amp;EOMONTH('Faturado mensal'!M$2,12))</f>
        <v>404361.32000000007</v>
      </c>
      <c r="Z162" s="9">
        <f>SUMIFS(#REF!,#REF!,
$A162,#REF!,
"&gt;="&amp;'Faturado mensal'!Z$2,#REF!,
"&lt;"&amp;EOMONTH('Faturado mensal'!Z$2,0))</f>
        <v>0</v>
      </c>
      <c r="AA162" s="9">
        <f>SUMIFS(#REF!,#REF!,
$A162,#REF!,
"&gt;="&amp;'Faturado mensal'!AA$2,#REF!,
"&lt;"&amp;EOMONTH('Faturado mensal'!AA$2,0))</f>
        <v>0</v>
      </c>
      <c r="AB162" s="9">
        <f>SUMIFS(#REF!,#REF!,
$A162,#REF!,
"&gt;="&amp;'Faturado mensal'!AB$2,#REF!,
"&lt;"&amp;EOMONTH('Faturado mensal'!AB$2,0))</f>
        <v>0</v>
      </c>
      <c r="AC162" s="9">
        <f>SUMIFS(#REF!,#REF!,
$A162,#REF!,
"&gt;="&amp;'Faturado mensal'!AC$2,#REF!,
"&lt;"&amp;EOMONTH('Faturado mensal'!AC$2,0))</f>
        <v>0</v>
      </c>
      <c r="AD162" s="9">
        <f>SUMIFS(#REF!,#REF!,
$A162,#REF!,
"&gt;="&amp;'Faturado mensal'!AD$2,#REF!,
"&lt;"&amp;EOMONTH('Faturado mensal'!AD$2,0))</f>
        <v>0</v>
      </c>
      <c r="AE162" s="9">
        <f>SUMIFS(#REF!,#REF!,
$A162,#REF!,
"&gt;="&amp;'Faturado mensal'!AE$2,#REF!,
"&lt;"&amp;EOMONTH('Faturado mensal'!AE$2,0))</f>
        <v>0</v>
      </c>
      <c r="AF162" s="9">
        <f>SUMIFS(#REF!,#REF!,
$A162,#REF!,
"&gt;="&amp;'Faturado mensal'!AF$2,#REF!,
"&lt;"&amp;EOMONTH('Faturado mensal'!AF$2,0))</f>
        <v>0</v>
      </c>
      <c r="AG162" s="9">
        <f>SUMIFS(#REF!,#REF!,
$A162,#REF!,
"&gt;="&amp;'Faturado mensal'!AG$2,#REF!,
"&lt;"&amp;EOMONTH('Faturado mensal'!AG$2,0))</f>
        <v>0</v>
      </c>
      <c r="AH162" s="9">
        <f>SUMIFS(#REF!,#REF!,
$A162,#REF!,
"&gt;="&amp;'Faturado mensal'!AH$2,#REF!,
"&lt;"&amp;EOMONTH('Faturado mensal'!AH$2,0))</f>
        <v>0</v>
      </c>
      <c r="AI162" s="9">
        <f>SUMIFS(#REF!,#REF!,
$A162,#REF!,
"&gt;="&amp;'Faturado mensal'!AI$2,#REF!,
"&lt;"&amp;EOMONTH('Faturado mensal'!AI$2,0))</f>
        <v>0</v>
      </c>
      <c r="AJ162" s="9">
        <f>SUMIFS(#REF!,#REF!,
$A162,#REF!,
"&gt;="&amp;'Faturado mensal'!AJ$2,#REF!,
"&lt;"&amp;EOMONTH('Faturado mensal'!AJ$2,0))</f>
        <v>0</v>
      </c>
      <c r="AK162" s="9">
        <f>SUMIFS(#REF!,#REF!,
$A162,#REF!,
"&gt;="&amp;'Faturado mensal'!AK$2,#REF!,
"&lt;"&amp;EOMONTH('Faturado mensal'!AK$2,0))</f>
        <v>0</v>
      </c>
      <c r="AL162" s="9">
        <f>SUMIFS(#REF!,#REF!,
$A162,#REF!,
"&gt;="&amp;Z$2,#REF!,
"&lt;"&amp;EOMONTH(AK$2,0))</f>
        <v>0</v>
      </c>
    </row>
    <row r="163" spans="1:38" x14ac:dyDescent="0.3">
      <c r="A163" t="s">
        <v>429</v>
      </c>
      <c r="B163" t="s">
        <v>430</v>
      </c>
      <c r="C163" t="s">
        <v>109</v>
      </c>
      <c r="D163" t="s">
        <v>209</v>
      </c>
      <c r="G163" t="s">
        <v>4845</v>
      </c>
      <c r="H163" t="s">
        <v>4771</v>
      </c>
      <c r="I163" t="s">
        <v>109</v>
      </c>
      <c r="J163" t="s">
        <v>719</v>
      </c>
      <c r="K163" t="s">
        <v>762</v>
      </c>
      <c r="L163" t="s">
        <v>763</v>
      </c>
      <c r="M163" s="9">
        <f>SUMIFS(#REF!,#REF!,
$A163,#REF!,
"&gt;="&amp;'Faturado mensal'!M$2,#REF!,
"&lt;"&amp;EOMONTH('Faturado mensal'!M$2,0))</f>
        <v>0</v>
      </c>
      <c r="N163" s="9">
        <f>SUMIFS(#REF!,#REF!,
$A163,#REF!,
"&gt;="&amp;'Faturado mensal'!N$2,#REF!,
"&lt;"&amp;EOMONTH('Faturado mensal'!N$2,0))</f>
        <v>0</v>
      </c>
      <c r="O163" s="9">
        <f>SUMIFS(#REF!,#REF!,
$A163,#REF!,
"&gt;="&amp;'Faturado mensal'!O$2,#REF!,
"&lt;"&amp;EOMONTH('Faturado mensal'!O$2,0))</f>
        <v>0</v>
      </c>
      <c r="P163" s="9">
        <f>SUMIFS(#REF!,#REF!,
$A163,#REF!,
"&gt;="&amp;'Faturado mensal'!P$2,#REF!,
"&lt;"&amp;EOMONTH('Faturado mensal'!P$2,0))</f>
        <v>0</v>
      </c>
      <c r="Q163" s="9">
        <f>SUMIFS(#REF!,#REF!,
$A163,#REF!,
"&gt;="&amp;'Faturado mensal'!Q$2,#REF!,
"&lt;"&amp;EOMONTH('Faturado mensal'!Q$2,0))</f>
        <v>0</v>
      </c>
      <c r="R163" s="9">
        <f>SUMIFS(#REF!,#REF!,
$A163,#REF!,
"&gt;="&amp;'Faturado mensal'!R$2,#REF!,
"&lt;"&amp;EOMONTH('Faturado mensal'!R$2,0))</f>
        <v>0</v>
      </c>
      <c r="S163" s="9">
        <f>SUMIFS(#REF!,#REF!,
$A163,#REF!,
"&gt;="&amp;'Faturado mensal'!S$2,#REF!,
"&lt;"&amp;EOMONTH('Faturado mensal'!S$2,0))</f>
        <v>0</v>
      </c>
      <c r="T163" s="9">
        <f>SUMIFS(#REF!,#REF!,
$A163,#REF!,
"&gt;="&amp;'Faturado mensal'!T$2,#REF!,
"&lt;"&amp;EOMONTH('Faturado mensal'!T$2,0))</f>
        <v>0</v>
      </c>
      <c r="U163" s="9">
        <f>SUMIFS(#REF!,#REF!,
$A163,#REF!,
"&gt;="&amp;'Faturado mensal'!U$2,#REF!,
"&lt;"&amp;EOMONTH('Faturado mensal'!U$2,0))</f>
        <v>0</v>
      </c>
      <c r="V163" s="9">
        <f>SUMIFS(#REF!,#REF!,
$A163,#REF!,
"&gt;="&amp;'Faturado mensal'!V$2,#REF!,
"&lt;"&amp;EOMONTH('Faturado mensal'!V$2,0))</f>
        <v>0</v>
      </c>
      <c r="W163" s="9">
        <f>SUMIFS(#REF!,#REF!,
$A163,#REF!,
"&gt;="&amp;'Faturado mensal'!W$2,#REF!,
"&lt;"&amp;EOMONTH('Faturado mensal'!W$2,0))</f>
        <v>0</v>
      </c>
      <c r="X163" s="9">
        <f>SUMIFS(#REF!,#REF!,
$A163,#REF!,
"&gt;="&amp;'Faturado mensal'!X$2,#REF!,
"&lt;"&amp;EOMONTH('Faturado mensal'!X$2,0))</f>
        <v>0</v>
      </c>
      <c r="Y163" s="11">
        <f>SUMIFS(#REF!,#REF!,
$A163,#REF!,
"&gt;="&amp;'Faturado mensal'!M$2,#REF!,
"&lt;"&amp;EOMONTH('Faturado mensal'!M$2,12))</f>
        <v>0</v>
      </c>
      <c r="Z163" s="9">
        <f>SUMIFS(#REF!,#REF!,
$A163,#REF!,
"&gt;="&amp;'Faturado mensal'!Z$2,#REF!,
"&lt;"&amp;EOMONTH('Faturado mensal'!Z$2,0))</f>
        <v>0</v>
      </c>
      <c r="AA163" s="9">
        <f>SUMIFS(#REF!,#REF!,
$A163,#REF!,
"&gt;="&amp;'Faturado mensal'!AA$2,#REF!,
"&lt;"&amp;EOMONTH('Faturado mensal'!AA$2,0))</f>
        <v>0</v>
      </c>
      <c r="AB163" s="9">
        <f>SUMIFS(#REF!,#REF!,
$A163,#REF!,
"&gt;="&amp;'Faturado mensal'!AB$2,#REF!,
"&lt;"&amp;EOMONTH('Faturado mensal'!AB$2,0))</f>
        <v>0</v>
      </c>
      <c r="AC163" s="9">
        <f>SUMIFS(#REF!,#REF!,
$A163,#REF!,
"&gt;="&amp;'Faturado mensal'!AC$2,#REF!,
"&lt;"&amp;EOMONTH('Faturado mensal'!AC$2,0))</f>
        <v>0</v>
      </c>
      <c r="AD163" s="9">
        <f>SUMIFS(#REF!,#REF!,
$A163,#REF!,
"&gt;="&amp;'Faturado mensal'!AD$2,#REF!,
"&lt;"&amp;EOMONTH('Faturado mensal'!AD$2,0))</f>
        <v>0</v>
      </c>
      <c r="AE163" s="9">
        <f>SUMIFS(#REF!,#REF!,
$A163,#REF!,
"&gt;="&amp;'Faturado mensal'!AE$2,#REF!,
"&lt;"&amp;EOMONTH('Faturado mensal'!AE$2,0))</f>
        <v>0</v>
      </c>
      <c r="AF163" s="9">
        <f>SUMIFS(#REF!,#REF!,
$A163,#REF!,
"&gt;="&amp;'Faturado mensal'!AF$2,#REF!,
"&lt;"&amp;EOMONTH('Faturado mensal'!AF$2,0))</f>
        <v>0</v>
      </c>
      <c r="AG163" s="9">
        <f>SUMIFS(#REF!,#REF!,
$A163,#REF!,
"&gt;="&amp;'Faturado mensal'!AG$2,#REF!,
"&lt;"&amp;EOMONTH('Faturado mensal'!AG$2,0))</f>
        <v>0</v>
      </c>
      <c r="AH163" s="9">
        <f>SUMIFS(#REF!,#REF!,
$A163,#REF!,
"&gt;="&amp;'Faturado mensal'!AH$2,#REF!,
"&lt;"&amp;EOMONTH('Faturado mensal'!AH$2,0))</f>
        <v>0</v>
      </c>
      <c r="AI163" s="9">
        <f>SUMIFS(#REF!,#REF!,
$A163,#REF!,
"&gt;="&amp;'Faturado mensal'!AI$2,#REF!,
"&lt;"&amp;EOMONTH('Faturado mensal'!AI$2,0))</f>
        <v>0</v>
      </c>
      <c r="AJ163" s="9">
        <f>SUMIFS(#REF!,#REF!,
$A163,#REF!,
"&gt;="&amp;'Faturado mensal'!AJ$2,#REF!,
"&lt;"&amp;EOMONTH('Faturado mensal'!AJ$2,0))</f>
        <v>0</v>
      </c>
      <c r="AK163" s="9">
        <f>SUMIFS(#REF!,#REF!,
$A163,#REF!,
"&gt;="&amp;'Faturado mensal'!AK$2,#REF!,
"&lt;"&amp;EOMONTH('Faturado mensal'!AK$2,0))</f>
        <v>0</v>
      </c>
      <c r="AL163" s="9">
        <f>SUMIFS(#REF!,#REF!,
$A163,#REF!,
"&gt;="&amp;Z$2,#REF!,
"&lt;"&amp;EOMONTH(AK$2,0))</f>
        <v>0</v>
      </c>
    </row>
    <row r="164" spans="1:38" x14ac:dyDescent="0.3">
      <c r="A164" t="s">
        <v>431</v>
      </c>
      <c r="B164" t="s">
        <v>415</v>
      </c>
      <c r="C164" t="s">
        <v>60</v>
      </c>
      <c r="D164" t="s">
        <v>204</v>
      </c>
      <c r="E164" t="s">
        <v>1037</v>
      </c>
      <c r="F164" t="s">
        <v>4807</v>
      </c>
      <c r="G164" t="s">
        <v>4852</v>
      </c>
      <c r="H164" t="s">
        <v>4771</v>
      </c>
      <c r="I164" t="s">
        <v>60</v>
      </c>
      <c r="J164" t="s">
        <v>814</v>
      </c>
      <c r="K164" t="s">
        <v>717</v>
      </c>
      <c r="L164" t="s">
        <v>718</v>
      </c>
      <c r="M164" s="9">
        <f>SUMIFS(#REF!,#REF!,
$A164,#REF!,
"&gt;="&amp;'Faturado mensal'!M$2,#REF!,
"&lt;"&amp;EOMONTH('Faturado mensal'!M$2,0))</f>
        <v>14200.79</v>
      </c>
      <c r="N164" s="9">
        <f>SUMIFS(#REF!,#REF!,
$A164,#REF!,
"&gt;="&amp;'Faturado mensal'!N$2,#REF!,
"&lt;"&amp;EOMONTH('Faturado mensal'!N$2,0))</f>
        <v>0</v>
      </c>
      <c r="O164" s="9">
        <f>SUMIFS(#REF!,#REF!,
$A164,#REF!,
"&gt;="&amp;'Faturado mensal'!O$2,#REF!,
"&lt;"&amp;EOMONTH('Faturado mensal'!O$2,0))</f>
        <v>32733.56</v>
      </c>
      <c r="P164" s="9">
        <f>SUMIFS(#REF!,#REF!,
$A164,#REF!,
"&gt;="&amp;'Faturado mensal'!P$2,#REF!,
"&lt;"&amp;EOMONTH('Faturado mensal'!P$2,0))</f>
        <v>14968.13</v>
      </c>
      <c r="Q164" s="9">
        <f>SUMIFS(#REF!,#REF!,
$A164,#REF!,
"&gt;="&amp;'Faturado mensal'!Q$2,#REF!,
"&lt;"&amp;EOMONTH('Faturado mensal'!Q$2,0))</f>
        <v>14606.09</v>
      </c>
      <c r="R164" s="9">
        <f>SUMIFS(#REF!,#REF!,
$A164,#REF!,
"&gt;="&amp;'Faturado mensal'!R$2,#REF!,
"&lt;"&amp;EOMONTH('Faturado mensal'!R$2,0))</f>
        <v>14923.47</v>
      </c>
      <c r="S164" s="9">
        <f>SUMIFS(#REF!,#REF!,
$A164,#REF!,
"&gt;="&amp;'Faturado mensal'!S$2,#REF!,
"&lt;"&amp;EOMONTH('Faturado mensal'!S$2,0))</f>
        <v>14767.35</v>
      </c>
      <c r="T164" s="9">
        <f>SUMIFS(#REF!,#REF!,
$A164,#REF!,
"&gt;="&amp;'Faturado mensal'!T$2,#REF!,
"&lt;"&amp;EOMONTH('Faturado mensal'!T$2,0))</f>
        <v>15366.95</v>
      </c>
      <c r="U164" s="9">
        <f>SUMIFS(#REF!,#REF!,
$A164,#REF!,
"&gt;="&amp;'Faturado mensal'!U$2,#REF!,
"&lt;"&amp;EOMONTH('Faturado mensal'!U$2,0))</f>
        <v>0</v>
      </c>
      <c r="V164" s="9">
        <f>SUMIFS(#REF!,#REF!,
$A164,#REF!,
"&gt;="&amp;'Faturado mensal'!V$2,#REF!,
"&lt;"&amp;EOMONTH('Faturado mensal'!V$2,0))</f>
        <v>28023.739999999998</v>
      </c>
      <c r="W164" s="9">
        <f>SUMIFS(#REF!,#REF!,
$A164,#REF!,
"&gt;="&amp;'Faturado mensal'!W$2,#REF!,
"&lt;"&amp;EOMONTH('Faturado mensal'!W$2,0))</f>
        <v>13158.04</v>
      </c>
      <c r="X164" s="9">
        <f>SUMIFS(#REF!,#REF!,
$A164,#REF!,
"&gt;="&amp;'Faturado mensal'!X$2,#REF!,
"&lt;"&amp;EOMONTH('Faturado mensal'!X$2,0))</f>
        <v>10611.99</v>
      </c>
      <c r="Y164" s="11">
        <f>SUMIFS(#REF!,#REF!,
$A164,#REF!,
"&gt;="&amp;'Faturado mensal'!M$2,#REF!,
"&lt;"&amp;EOMONTH('Faturado mensal'!M$2,12))</f>
        <v>197680.53</v>
      </c>
      <c r="Z164" s="9">
        <f>SUMIFS(#REF!,#REF!,
$A164,#REF!,
"&gt;="&amp;'Faturado mensal'!Z$2,#REF!,
"&lt;"&amp;EOMONTH('Faturado mensal'!Z$2,0))</f>
        <v>10129.799999999999</v>
      </c>
      <c r="AA164" s="9">
        <f>SUMIFS(#REF!,#REF!,
$A164,#REF!,
"&gt;="&amp;'Faturado mensal'!AA$2,#REF!,
"&lt;"&amp;EOMONTH('Faturado mensal'!AA$2,0))</f>
        <v>10798</v>
      </c>
      <c r="AB164" s="9">
        <f>SUMIFS(#REF!,#REF!,
$A164,#REF!,
"&gt;="&amp;'Faturado mensal'!AB$2,#REF!,
"&lt;"&amp;EOMONTH('Faturado mensal'!AB$2,0))</f>
        <v>0</v>
      </c>
      <c r="AC164" s="9">
        <f>SUMIFS(#REF!,#REF!,
$A164,#REF!,
"&gt;="&amp;'Faturado mensal'!AC$2,#REF!,
"&lt;"&amp;EOMONTH('Faturado mensal'!AC$2,0))</f>
        <v>25575.62</v>
      </c>
      <c r="AD164" s="9">
        <f>SUMIFS(#REF!,#REF!,
$A164,#REF!,
"&gt;="&amp;'Faturado mensal'!AD$2,#REF!,
"&lt;"&amp;EOMONTH('Faturado mensal'!AD$2,0))</f>
        <v>13570.54</v>
      </c>
      <c r="AE164" s="9">
        <f>SUMIFS(#REF!,#REF!,
$A164,#REF!,
"&gt;="&amp;'Faturado mensal'!AE$2,#REF!,
"&lt;"&amp;EOMONTH('Faturado mensal'!AE$2,0))</f>
        <v>0</v>
      </c>
      <c r="AF164" s="9">
        <f>SUMIFS(#REF!,#REF!,
$A164,#REF!,
"&gt;="&amp;'Faturado mensal'!AF$2,#REF!,
"&lt;"&amp;EOMONTH('Faturado mensal'!AF$2,0))</f>
        <v>0</v>
      </c>
      <c r="AG164" s="9">
        <f>SUMIFS(#REF!,#REF!,
$A164,#REF!,
"&gt;="&amp;'Faturado mensal'!AG$2,#REF!,
"&lt;"&amp;EOMONTH('Faturado mensal'!AG$2,0))</f>
        <v>0</v>
      </c>
      <c r="AH164" s="9">
        <f>SUMIFS(#REF!,#REF!,
$A164,#REF!,
"&gt;="&amp;'Faturado mensal'!AH$2,#REF!,
"&lt;"&amp;EOMONTH('Faturado mensal'!AH$2,0))</f>
        <v>0</v>
      </c>
      <c r="AI164" s="9">
        <f>SUMIFS(#REF!,#REF!,
$A164,#REF!,
"&gt;="&amp;'Faturado mensal'!AI$2,#REF!,
"&lt;"&amp;EOMONTH('Faturado mensal'!AI$2,0))</f>
        <v>0</v>
      </c>
      <c r="AJ164" s="9">
        <f>SUMIFS(#REF!,#REF!,
$A164,#REF!,
"&gt;="&amp;'Faturado mensal'!AJ$2,#REF!,
"&lt;"&amp;EOMONTH('Faturado mensal'!AJ$2,0))</f>
        <v>0</v>
      </c>
      <c r="AK164" s="9">
        <f>SUMIFS(#REF!,#REF!,
$A164,#REF!,
"&gt;="&amp;'Faturado mensal'!AK$2,#REF!,
"&lt;"&amp;EOMONTH('Faturado mensal'!AK$2,0))</f>
        <v>0</v>
      </c>
      <c r="AL164" s="9">
        <f>SUMIFS(#REF!,#REF!,
$A164,#REF!,
"&gt;="&amp;Z$2,#REF!,
"&lt;"&amp;EOMONTH(AK$2,0))</f>
        <v>60073.96</v>
      </c>
    </row>
    <row r="165" spans="1:38" x14ac:dyDescent="0.3">
      <c r="A165" t="s">
        <v>432</v>
      </c>
      <c r="B165" t="s">
        <v>433</v>
      </c>
      <c r="C165" t="s">
        <v>168</v>
      </c>
      <c r="D165" t="s">
        <v>204</v>
      </c>
      <c r="E165" t="s">
        <v>4833</v>
      </c>
      <c r="F165" t="s">
        <v>4802</v>
      </c>
      <c r="G165" t="s">
        <v>4852</v>
      </c>
      <c r="H165" t="s">
        <v>4771</v>
      </c>
      <c r="I165" t="s">
        <v>168</v>
      </c>
      <c r="J165" t="s">
        <v>710</v>
      </c>
      <c r="K165" t="s">
        <v>762</v>
      </c>
      <c r="L165" t="s">
        <v>763</v>
      </c>
      <c r="M165" s="9">
        <f>SUMIFS(#REF!,#REF!,
$A165,#REF!,
"&gt;="&amp;'Faturado mensal'!M$2,#REF!,
"&lt;"&amp;EOMONTH('Faturado mensal'!M$2,0))</f>
        <v>4805.3199999999988</v>
      </c>
      <c r="N165" s="9">
        <f>SUMIFS(#REF!,#REF!,
$A165,#REF!,
"&gt;="&amp;'Faturado mensal'!N$2,#REF!,
"&lt;"&amp;EOMONTH('Faturado mensal'!N$2,0))</f>
        <v>5081.1499999999996</v>
      </c>
      <c r="O165" s="9">
        <f>SUMIFS(#REF!,#REF!,
$A165,#REF!,
"&gt;="&amp;'Faturado mensal'!O$2,#REF!,
"&lt;"&amp;EOMONTH('Faturado mensal'!O$2,0))</f>
        <v>7545.3299999999981</v>
      </c>
      <c r="P165" s="9">
        <f>SUMIFS(#REF!,#REF!,
$A165,#REF!,
"&gt;="&amp;'Faturado mensal'!P$2,#REF!,
"&lt;"&amp;EOMONTH('Faturado mensal'!P$2,0))</f>
        <v>4735.87</v>
      </c>
      <c r="Q165" s="9">
        <f>SUMIFS(#REF!,#REF!,
$A165,#REF!,
"&gt;="&amp;'Faturado mensal'!Q$2,#REF!,
"&lt;"&amp;EOMONTH('Faturado mensal'!Q$2,0))</f>
        <v>5974.1</v>
      </c>
      <c r="R165" s="9">
        <f>SUMIFS(#REF!,#REF!,
$A165,#REF!,
"&gt;="&amp;'Faturado mensal'!R$2,#REF!,
"&lt;"&amp;EOMONTH('Faturado mensal'!R$2,0))</f>
        <v>6192.57</v>
      </c>
      <c r="S165" s="9">
        <f>SUMIFS(#REF!,#REF!,
$A165,#REF!,
"&gt;="&amp;'Faturado mensal'!S$2,#REF!,
"&lt;"&amp;EOMONTH('Faturado mensal'!S$2,0))</f>
        <v>6002.25</v>
      </c>
      <c r="T165" s="9">
        <f>SUMIFS(#REF!,#REF!,
$A165,#REF!,
"&gt;="&amp;'Faturado mensal'!T$2,#REF!,
"&lt;"&amp;EOMONTH('Faturado mensal'!T$2,0))</f>
        <v>6379.9499999999989</v>
      </c>
      <c r="U165" s="9">
        <f>SUMIFS(#REF!,#REF!,
$A165,#REF!,
"&gt;="&amp;'Faturado mensal'!U$2,#REF!,
"&lt;"&amp;EOMONTH('Faturado mensal'!U$2,0))</f>
        <v>6440.41</v>
      </c>
      <c r="V165" s="9">
        <f>SUMIFS(#REF!,#REF!,
$A165,#REF!,
"&gt;="&amp;'Faturado mensal'!V$2,#REF!,
"&lt;"&amp;EOMONTH('Faturado mensal'!V$2,0))</f>
        <v>6581.9599999999991</v>
      </c>
      <c r="W165" s="9">
        <f>SUMIFS(#REF!,#REF!,
$A165,#REF!,
"&gt;="&amp;'Faturado mensal'!W$2,#REF!,
"&lt;"&amp;EOMONTH('Faturado mensal'!W$2,0))</f>
        <v>4676.7299999999996</v>
      </c>
      <c r="X165" s="9">
        <f>SUMIFS(#REF!,#REF!,
$A165,#REF!,
"&gt;="&amp;'Faturado mensal'!X$2,#REF!,
"&lt;"&amp;EOMONTH('Faturado mensal'!X$2,0))</f>
        <v>8771.41</v>
      </c>
      <c r="Y165" s="11">
        <f>SUMIFS(#REF!,#REF!,
$A165,#REF!,
"&gt;="&amp;'Faturado mensal'!M$2,#REF!,
"&lt;"&amp;EOMONTH('Faturado mensal'!M$2,12))</f>
        <v>81614.630000000034</v>
      </c>
      <c r="Z165" s="9">
        <f>SUMIFS(#REF!,#REF!,
$A165,#REF!,
"&gt;="&amp;'Faturado mensal'!Z$2,#REF!,
"&lt;"&amp;EOMONTH('Faturado mensal'!Z$2,0))</f>
        <v>7127.8899999999994</v>
      </c>
      <c r="AA165" s="9">
        <f>SUMIFS(#REF!,#REF!,
$A165,#REF!,
"&gt;="&amp;'Faturado mensal'!AA$2,#REF!,
"&lt;"&amp;EOMONTH('Faturado mensal'!AA$2,0))</f>
        <v>6312.6100000000006</v>
      </c>
      <c r="AB165" s="9">
        <f>SUMIFS(#REF!,#REF!,
$A165,#REF!,
"&gt;="&amp;'Faturado mensal'!AB$2,#REF!,
"&lt;"&amp;EOMONTH('Faturado mensal'!AB$2,0))</f>
        <v>6201.9499999999989</v>
      </c>
      <c r="AC165" s="9">
        <f>SUMIFS(#REF!,#REF!,
$A165,#REF!,
"&gt;="&amp;'Faturado mensal'!AC$2,#REF!,
"&lt;"&amp;EOMONTH('Faturado mensal'!AC$2,0))</f>
        <v>6853.9599999999991</v>
      </c>
      <c r="AD165" s="9">
        <f>SUMIFS(#REF!,#REF!,
$A165,#REF!,
"&gt;="&amp;'Faturado mensal'!AD$2,#REF!,
"&lt;"&amp;EOMONTH('Faturado mensal'!AD$2,0))</f>
        <v>6691.34</v>
      </c>
      <c r="AE165" s="9">
        <f>SUMIFS(#REF!,#REF!,
$A165,#REF!,
"&gt;="&amp;'Faturado mensal'!AE$2,#REF!,
"&lt;"&amp;EOMONTH('Faturado mensal'!AE$2,0))</f>
        <v>5987.06</v>
      </c>
      <c r="AF165" s="9">
        <f>SUMIFS(#REF!,#REF!,
$A165,#REF!,
"&gt;="&amp;'Faturado mensal'!AF$2,#REF!,
"&lt;"&amp;EOMONTH('Faturado mensal'!AF$2,0))</f>
        <v>0</v>
      </c>
      <c r="AG165" s="9">
        <f>SUMIFS(#REF!,#REF!,
$A165,#REF!,
"&gt;="&amp;'Faturado mensal'!AG$2,#REF!,
"&lt;"&amp;EOMONTH('Faturado mensal'!AG$2,0))</f>
        <v>0</v>
      </c>
      <c r="AH165" s="9">
        <f>SUMIFS(#REF!,#REF!,
$A165,#REF!,
"&gt;="&amp;'Faturado mensal'!AH$2,#REF!,
"&lt;"&amp;EOMONTH('Faturado mensal'!AH$2,0))</f>
        <v>0</v>
      </c>
      <c r="AI165" s="9">
        <f>SUMIFS(#REF!,#REF!,
$A165,#REF!,
"&gt;="&amp;'Faturado mensal'!AI$2,#REF!,
"&lt;"&amp;EOMONTH('Faturado mensal'!AI$2,0))</f>
        <v>0</v>
      </c>
      <c r="AJ165" s="9">
        <f>SUMIFS(#REF!,#REF!,
$A165,#REF!,
"&gt;="&amp;'Faturado mensal'!AJ$2,#REF!,
"&lt;"&amp;EOMONTH('Faturado mensal'!AJ$2,0))</f>
        <v>0</v>
      </c>
      <c r="AK165" s="9">
        <f>SUMIFS(#REF!,#REF!,
$A165,#REF!,
"&gt;="&amp;'Faturado mensal'!AK$2,#REF!,
"&lt;"&amp;EOMONTH('Faturado mensal'!AK$2,0))</f>
        <v>0</v>
      </c>
      <c r="AL165" s="9">
        <f>SUMIFS(#REF!,#REF!,
$A165,#REF!,
"&gt;="&amp;Z$2,#REF!,
"&lt;"&amp;EOMONTH(AK$2,0))</f>
        <v>39174.81</v>
      </c>
    </row>
    <row r="166" spans="1:38" x14ac:dyDescent="0.3">
      <c r="A166" t="s">
        <v>434</v>
      </c>
      <c r="B166" t="s">
        <v>435</v>
      </c>
      <c r="C166" t="s">
        <v>30</v>
      </c>
      <c r="D166" t="s">
        <v>204</v>
      </c>
      <c r="E166" t="s">
        <v>1036</v>
      </c>
      <c r="F166" t="s">
        <v>4787</v>
      </c>
      <c r="G166" t="s">
        <v>4852</v>
      </c>
      <c r="H166" t="s">
        <v>4771</v>
      </c>
      <c r="I166" t="s">
        <v>30</v>
      </c>
      <c r="J166" t="s">
        <v>998</v>
      </c>
      <c r="K166" t="s">
        <v>785</v>
      </c>
      <c r="L166" t="s">
        <v>786</v>
      </c>
      <c r="M166" s="9">
        <f>SUMIFS(#REF!,#REF!,
$A166,#REF!,
"&gt;="&amp;'Faturado mensal'!M$2,#REF!,
"&lt;"&amp;EOMONTH('Faturado mensal'!M$2,0))</f>
        <v>353378.74</v>
      </c>
      <c r="N166" s="9">
        <f>SUMIFS(#REF!,#REF!,
$A166,#REF!,
"&gt;="&amp;'Faturado mensal'!N$2,#REF!,
"&lt;"&amp;EOMONTH('Faturado mensal'!N$2,0))</f>
        <v>395030.32</v>
      </c>
      <c r="O166" s="9">
        <f>SUMIFS(#REF!,#REF!,
$A166,#REF!,
"&gt;="&amp;'Faturado mensal'!O$2,#REF!,
"&lt;"&amp;EOMONTH('Faturado mensal'!O$2,0))</f>
        <v>377448.23000000004</v>
      </c>
      <c r="P166" s="9">
        <f>SUMIFS(#REF!,#REF!,
$A166,#REF!,
"&gt;="&amp;'Faturado mensal'!P$2,#REF!,
"&lt;"&amp;EOMONTH('Faturado mensal'!P$2,0))</f>
        <v>373509.23</v>
      </c>
      <c r="Q166" s="9">
        <f>SUMIFS(#REF!,#REF!,
$A166,#REF!,
"&gt;="&amp;'Faturado mensal'!Q$2,#REF!,
"&lt;"&amp;EOMONTH('Faturado mensal'!Q$2,0))</f>
        <v>362646.76</v>
      </c>
      <c r="R166" s="9">
        <f>SUMIFS(#REF!,#REF!,
$A166,#REF!,
"&gt;="&amp;'Faturado mensal'!R$2,#REF!,
"&lt;"&amp;EOMONTH('Faturado mensal'!R$2,0))</f>
        <v>431424.95</v>
      </c>
      <c r="S166" s="9">
        <f>SUMIFS(#REF!,#REF!,
$A166,#REF!,
"&gt;="&amp;'Faturado mensal'!S$2,#REF!,
"&lt;"&amp;EOMONTH('Faturado mensal'!S$2,0))</f>
        <v>391286.58</v>
      </c>
      <c r="T166" s="9">
        <f>SUMIFS(#REF!,#REF!,
$A166,#REF!,
"&gt;="&amp;'Faturado mensal'!T$2,#REF!,
"&lt;"&amp;EOMONTH('Faturado mensal'!T$2,0))</f>
        <v>433308.00999999995</v>
      </c>
      <c r="U166" s="9">
        <f>SUMIFS(#REF!,#REF!,
$A166,#REF!,
"&gt;="&amp;'Faturado mensal'!U$2,#REF!,
"&lt;"&amp;EOMONTH('Faturado mensal'!U$2,0))</f>
        <v>410794.74</v>
      </c>
      <c r="V166" s="9">
        <f>SUMIFS(#REF!,#REF!,
$A166,#REF!,
"&gt;="&amp;'Faturado mensal'!V$2,#REF!,
"&lt;"&amp;EOMONTH('Faturado mensal'!V$2,0))</f>
        <v>406577.54</v>
      </c>
      <c r="W166" s="9">
        <f>SUMIFS(#REF!,#REF!,
$A166,#REF!,
"&gt;="&amp;'Faturado mensal'!W$2,#REF!,
"&lt;"&amp;EOMONTH('Faturado mensal'!W$2,0))</f>
        <v>424890.02999999997</v>
      </c>
      <c r="X166" s="9">
        <f>SUMIFS(#REF!,#REF!,
$A166,#REF!,
"&gt;="&amp;'Faturado mensal'!X$2,#REF!,
"&lt;"&amp;EOMONTH('Faturado mensal'!X$2,0))</f>
        <v>373449.52</v>
      </c>
      <c r="Y166" s="11">
        <f>SUMIFS(#REF!,#REF!,
$A166,#REF!,
"&gt;="&amp;'Faturado mensal'!M$2,#REF!,
"&lt;"&amp;EOMONTH('Faturado mensal'!M$2,12))</f>
        <v>5012107.03</v>
      </c>
      <c r="Z166" s="9">
        <f>SUMIFS(#REF!,#REF!,
$A166,#REF!,
"&gt;="&amp;'Faturado mensal'!Z$2,#REF!,
"&lt;"&amp;EOMONTH('Faturado mensal'!Z$2,0))</f>
        <v>278362.38</v>
      </c>
      <c r="AA166" s="9">
        <f>SUMIFS(#REF!,#REF!,
$A166,#REF!,
"&gt;="&amp;'Faturado mensal'!AA$2,#REF!,
"&lt;"&amp;EOMONTH('Faturado mensal'!AA$2,0))</f>
        <v>352602.07</v>
      </c>
      <c r="AB166" s="9">
        <f>SUMIFS(#REF!,#REF!,
$A166,#REF!,
"&gt;="&amp;'Faturado mensal'!AB$2,#REF!,
"&lt;"&amp;EOMONTH('Faturado mensal'!AB$2,0))</f>
        <v>408592.4</v>
      </c>
      <c r="AC166" s="9">
        <f>SUMIFS(#REF!,#REF!,
$A166,#REF!,
"&gt;="&amp;'Faturado mensal'!AC$2,#REF!,
"&lt;"&amp;EOMONTH('Faturado mensal'!AC$2,0))</f>
        <v>468955.18999999994</v>
      </c>
      <c r="AD166" s="9">
        <f>SUMIFS(#REF!,#REF!,
$A166,#REF!,
"&gt;="&amp;'Faturado mensal'!AD$2,#REF!,
"&lt;"&amp;EOMONTH('Faturado mensal'!AD$2,0))</f>
        <v>388982.65</v>
      </c>
      <c r="AE166" s="9">
        <f>SUMIFS(#REF!,#REF!,
$A166,#REF!,
"&gt;="&amp;'Faturado mensal'!AE$2,#REF!,
"&lt;"&amp;EOMONTH('Faturado mensal'!AE$2,0))</f>
        <v>132129.78</v>
      </c>
      <c r="AF166" s="9">
        <f>SUMIFS(#REF!,#REF!,
$A166,#REF!,
"&gt;="&amp;'Faturado mensal'!AF$2,#REF!,
"&lt;"&amp;EOMONTH('Faturado mensal'!AF$2,0))</f>
        <v>0</v>
      </c>
      <c r="AG166" s="9">
        <f>SUMIFS(#REF!,#REF!,
$A166,#REF!,
"&gt;="&amp;'Faturado mensal'!AG$2,#REF!,
"&lt;"&amp;EOMONTH('Faturado mensal'!AG$2,0))</f>
        <v>0</v>
      </c>
      <c r="AH166" s="9">
        <f>SUMIFS(#REF!,#REF!,
$A166,#REF!,
"&gt;="&amp;'Faturado mensal'!AH$2,#REF!,
"&lt;"&amp;EOMONTH('Faturado mensal'!AH$2,0))</f>
        <v>0</v>
      </c>
      <c r="AI166" s="9">
        <f>SUMIFS(#REF!,#REF!,
$A166,#REF!,
"&gt;="&amp;'Faturado mensal'!AI$2,#REF!,
"&lt;"&amp;EOMONTH('Faturado mensal'!AI$2,0))</f>
        <v>0</v>
      </c>
      <c r="AJ166" s="9">
        <f>SUMIFS(#REF!,#REF!,
$A166,#REF!,
"&gt;="&amp;'Faturado mensal'!AJ$2,#REF!,
"&lt;"&amp;EOMONTH('Faturado mensal'!AJ$2,0))</f>
        <v>0</v>
      </c>
      <c r="AK166" s="9">
        <f>SUMIFS(#REF!,#REF!,
$A166,#REF!,
"&gt;="&amp;'Faturado mensal'!AK$2,#REF!,
"&lt;"&amp;EOMONTH('Faturado mensal'!AK$2,0))</f>
        <v>0</v>
      </c>
      <c r="AL166" s="9">
        <f>SUMIFS(#REF!,#REF!,
$A166,#REF!,
"&gt;="&amp;Z$2,#REF!,
"&lt;"&amp;EOMONTH(AK$2,0))</f>
        <v>2029624.4699999997</v>
      </c>
    </row>
    <row r="167" spans="1:38" x14ac:dyDescent="0.3">
      <c r="A167" t="s">
        <v>436</v>
      </c>
      <c r="B167" t="s">
        <v>437</v>
      </c>
      <c r="C167" t="s">
        <v>150</v>
      </c>
      <c r="D167" t="s">
        <v>204</v>
      </c>
      <c r="E167" t="s">
        <v>1037</v>
      </c>
      <c r="F167" t="s">
        <v>4788</v>
      </c>
      <c r="G167" t="s">
        <v>4852</v>
      </c>
      <c r="H167" t="s">
        <v>4771</v>
      </c>
      <c r="I167" t="s">
        <v>848</v>
      </c>
      <c r="J167" t="s">
        <v>719</v>
      </c>
      <c r="K167" t="s">
        <v>762</v>
      </c>
      <c r="L167" t="s">
        <v>763</v>
      </c>
      <c r="M167" s="9">
        <f>SUMIFS(#REF!,#REF!,
$A167,#REF!,
"&gt;="&amp;'Faturado mensal'!M$2,#REF!,
"&lt;"&amp;EOMONTH('Faturado mensal'!M$2,0))</f>
        <v>0</v>
      </c>
      <c r="N167" s="9">
        <f>SUMIFS(#REF!,#REF!,
$A167,#REF!,
"&gt;="&amp;'Faturado mensal'!N$2,#REF!,
"&lt;"&amp;EOMONTH('Faturado mensal'!N$2,0))</f>
        <v>2008</v>
      </c>
      <c r="O167" s="9">
        <f>SUMIFS(#REF!,#REF!,
$A167,#REF!,
"&gt;="&amp;'Faturado mensal'!O$2,#REF!,
"&lt;"&amp;EOMONTH('Faturado mensal'!O$2,0))</f>
        <v>840</v>
      </c>
      <c r="P167" s="9">
        <f>SUMIFS(#REF!,#REF!,
$A167,#REF!,
"&gt;="&amp;'Faturado mensal'!P$2,#REF!,
"&lt;"&amp;EOMONTH('Faturado mensal'!P$2,0))</f>
        <v>0</v>
      </c>
      <c r="Q167" s="9">
        <f>SUMIFS(#REF!,#REF!,
$A167,#REF!,
"&gt;="&amp;'Faturado mensal'!Q$2,#REF!,
"&lt;"&amp;EOMONTH('Faturado mensal'!Q$2,0))</f>
        <v>840</v>
      </c>
      <c r="R167" s="9">
        <f>SUMIFS(#REF!,#REF!,
$A167,#REF!,
"&gt;="&amp;'Faturado mensal'!R$2,#REF!,
"&lt;"&amp;EOMONTH('Faturado mensal'!R$2,0))</f>
        <v>1680</v>
      </c>
      <c r="S167" s="9">
        <f>SUMIFS(#REF!,#REF!,
$A167,#REF!,
"&gt;="&amp;'Faturado mensal'!S$2,#REF!,
"&lt;"&amp;EOMONTH('Faturado mensal'!S$2,0))</f>
        <v>840</v>
      </c>
      <c r="T167" s="9">
        <f>SUMIFS(#REF!,#REF!,
$A167,#REF!,
"&gt;="&amp;'Faturado mensal'!T$2,#REF!,
"&lt;"&amp;EOMONTH('Faturado mensal'!T$2,0))</f>
        <v>840</v>
      </c>
      <c r="U167" s="9">
        <f>SUMIFS(#REF!,#REF!,
$A167,#REF!,
"&gt;="&amp;'Faturado mensal'!U$2,#REF!,
"&lt;"&amp;EOMONTH('Faturado mensal'!U$2,0))</f>
        <v>840</v>
      </c>
      <c r="V167" s="9">
        <f>SUMIFS(#REF!,#REF!,
$A167,#REF!,
"&gt;="&amp;'Faturado mensal'!V$2,#REF!,
"&lt;"&amp;EOMONTH('Faturado mensal'!V$2,0))</f>
        <v>934</v>
      </c>
      <c r="W167" s="9">
        <f>SUMIFS(#REF!,#REF!,
$A167,#REF!,
"&gt;="&amp;'Faturado mensal'!W$2,#REF!,
"&lt;"&amp;EOMONTH('Faturado mensal'!W$2,0))</f>
        <v>876</v>
      </c>
      <c r="X167" s="9">
        <f>SUMIFS(#REF!,#REF!,
$A167,#REF!,
"&gt;="&amp;'Faturado mensal'!X$2,#REF!,
"&lt;"&amp;EOMONTH('Faturado mensal'!X$2,0))</f>
        <v>760</v>
      </c>
      <c r="Y167" s="11">
        <f>SUMIFS(#REF!,#REF!,
$A167,#REF!,
"&gt;="&amp;'Faturado mensal'!M$2,#REF!,
"&lt;"&amp;EOMONTH('Faturado mensal'!M$2,12))</f>
        <v>11218</v>
      </c>
      <c r="Z167" s="9">
        <f>SUMIFS(#REF!,#REF!,
$A167,#REF!,
"&gt;="&amp;'Faturado mensal'!Z$2,#REF!,
"&lt;"&amp;EOMONTH('Faturado mensal'!Z$2,0))</f>
        <v>760</v>
      </c>
      <c r="AA167" s="9">
        <f>SUMIFS(#REF!,#REF!,
$A167,#REF!,
"&gt;="&amp;'Faturado mensal'!AA$2,#REF!,
"&lt;"&amp;EOMONTH('Faturado mensal'!AA$2,0))</f>
        <v>673</v>
      </c>
      <c r="AB167" s="9">
        <f>SUMIFS(#REF!,#REF!,
$A167,#REF!,
"&gt;="&amp;'Faturado mensal'!AB$2,#REF!,
"&lt;"&amp;EOMONTH('Faturado mensal'!AB$2,0))</f>
        <v>818</v>
      </c>
      <c r="AC167" s="9">
        <f>SUMIFS(#REF!,#REF!,
$A167,#REF!,
"&gt;="&amp;'Faturado mensal'!AC$2,#REF!,
"&lt;"&amp;EOMONTH('Faturado mensal'!AC$2,0))</f>
        <v>818</v>
      </c>
      <c r="AD167" s="9">
        <f>SUMIFS(#REF!,#REF!,
$A167,#REF!,
"&gt;="&amp;'Faturado mensal'!AD$2,#REF!,
"&lt;"&amp;EOMONTH('Faturado mensal'!AD$2,0))</f>
        <v>789</v>
      </c>
      <c r="AE167" s="9">
        <f>SUMIFS(#REF!,#REF!,
$A167,#REF!,
"&gt;="&amp;'Faturado mensal'!AE$2,#REF!,
"&lt;"&amp;EOMONTH('Faturado mensal'!AE$2,0))</f>
        <v>789</v>
      </c>
      <c r="AF167" s="9">
        <f>SUMIFS(#REF!,#REF!,
$A167,#REF!,
"&gt;="&amp;'Faturado mensal'!AF$2,#REF!,
"&lt;"&amp;EOMONTH('Faturado mensal'!AF$2,0))</f>
        <v>0</v>
      </c>
      <c r="AG167" s="9">
        <f>SUMIFS(#REF!,#REF!,
$A167,#REF!,
"&gt;="&amp;'Faturado mensal'!AG$2,#REF!,
"&lt;"&amp;EOMONTH('Faturado mensal'!AG$2,0))</f>
        <v>0</v>
      </c>
      <c r="AH167" s="9">
        <f>SUMIFS(#REF!,#REF!,
$A167,#REF!,
"&gt;="&amp;'Faturado mensal'!AH$2,#REF!,
"&lt;"&amp;EOMONTH('Faturado mensal'!AH$2,0))</f>
        <v>0</v>
      </c>
      <c r="AI167" s="9">
        <f>SUMIFS(#REF!,#REF!,
$A167,#REF!,
"&gt;="&amp;'Faturado mensal'!AI$2,#REF!,
"&lt;"&amp;EOMONTH('Faturado mensal'!AI$2,0))</f>
        <v>0</v>
      </c>
      <c r="AJ167" s="9">
        <f>SUMIFS(#REF!,#REF!,
$A167,#REF!,
"&gt;="&amp;'Faturado mensal'!AJ$2,#REF!,
"&lt;"&amp;EOMONTH('Faturado mensal'!AJ$2,0))</f>
        <v>0</v>
      </c>
      <c r="AK167" s="9">
        <f>SUMIFS(#REF!,#REF!,
$A167,#REF!,
"&gt;="&amp;'Faturado mensal'!AK$2,#REF!,
"&lt;"&amp;EOMONTH('Faturado mensal'!AK$2,0))</f>
        <v>0</v>
      </c>
      <c r="AL167" s="9">
        <f>SUMIFS(#REF!,#REF!,
$A167,#REF!,
"&gt;="&amp;Z$2,#REF!,
"&lt;"&amp;EOMONTH(AK$2,0))</f>
        <v>4647</v>
      </c>
    </row>
    <row r="168" spans="1:38" x14ac:dyDescent="0.3">
      <c r="A168" t="s">
        <v>438</v>
      </c>
      <c r="B168" t="s">
        <v>439</v>
      </c>
      <c r="C168" t="s">
        <v>156</v>
      </c>
      <c r="D168" t="s">
        <v>204</v>
      </c>
      <c r="E168" t="s">
        <v>1037</v>
      </c>
      <c r="F168" t="s">
        <v>4789</v>
      </c>
      <c r="G168" t="s">
        <v>4852</v>
      </c>
      <c r="H168" t="s">
        <v>4771</v>
      </c>
      <c r="I168" t="s">
        <v>156</v>
      </c>
      <c r="J168" t="s">
        <v>710</v>
      </c>
      <c r="K168" t="s">
        <v>762</v>
      </c>
      <c r="L168" t="s">
        <v>763</v>
      </c>
      <c r="M168" s="9">
        <f>SUMIFS(#REF!,#REF!,
$A168,#REF!,
"&gt;="&amp;'Faturado mensal'!M$2,#REF!,
"&lt;"&amp;EOMONTH('Faturado mensal'!M$2,0))</f>
        <v>16216.71</v>
      </c>
      <c r="N168" s="9">
        <f>SUMIFS(#REF!,#REF!,
$A168,#REF!,
"&gt;="&amp;'Faturado mensal'!N$2,#REF!,
"&lt;"&amp;EOMONTH('Faturado mensal'!N$2,0))</f>
        <v>28758.23</v>
      </c>
      <c r="O168" s="9">
        <f>SUMIFS(#REF!,#REF!,
$A168,#REF!,
"&gt;="&amp;'Faturado mensal'!O$2,#REF!,
"&lt;"&amp;EOMONTH('Faturado mensal'!O$2,0))</f>
        <v>21012.97</v>
      </c>
      <c r="P168" s="9">
        <f>SUMIFS(#REF!,#REF!,
$A168,#REF!,
"&gt;="&amp;'Faturado mensal'!P$2,#REF!,
"&lt;"&amp;EOMONTH('Faturado mensal'!P$2,0))</f>
        <v>25714.49</v>
      </c>
      <c r="Q168" s="9">
        <f>SUMIFS(#REF!,#REF!,
$A168,#REF!,
"&gt;="&amp;'Faturado mensal'!Q$2,#REF!,
"&lt;"&amp;EOMONTH('Faturado mensal'!Q$2,0))</f>
        <v>23717.05</v>
      </c>
      <c r="R168" s="9">
        <f>SUMIFS(#REF!,#REF!,
$A168,#REF!,
"&gt;="&amp;'Faturado mensal'!R$2,#REF!,
"&lt;"&amp;EOMONTH('Faturado mensal'!R$2,0))</f>
        <v>23487.279999999999</v>
      </c>
      <c r="S168" s="9">
        <f>SUMIFS(#REF!,#REF!,
$A168,#REF!,
"&gt;="&amp;'Faturado mensal'!S$2,#REF!,
"&lt;"&amp;EOMONTH('Faturado mensal'!S$2,0))</f>
        <v>23360.880000000001</v>
      </c>
      <c r="T168" s="9">
        <f>SUMIFS(#REF!,#REF!,
$A168,#REF!,
"&gt;="&amp;'Faturado mensal'!T$2,#REF!,
"&lt;"&amp;EOMONTH('Faturado mensal'!T$2,0))</f>
        <v>23485.11</v>
      </c>
      <c r="U168" s="9">
        <f>SUMIFS(#REF!,#REF!,
$A168,#REF!,
"&gt;="&amp;'Faturado mensal'!U$2,#REF!,
"&lt;"&amp;EOMONTH('Faturado mensal'!U$2,0))</f>
        <v>23556.73</v>
      </c>
      <c r="V168" s="9">
        <f>SUMIFS(#REF!,#REF!,
$A168,#REF!,
"&gt;="&amp;'Faturado mensal'!V$2,#REF!,
"&lt;"&amp;EOMONTH('Faturado mensal'!V$2,0))</f>
        <v>22078.880000000001</v>
      </c>
      <c r="W168" s="9">
        <f>SUMIFS(#REF!,#REF!,
$A168,#REF!,
"&gt;="&amp;'Faturado mensal'!W$2,#REF!,
"&lt;"&amp;EOMONTH('Faturado mensal'!W$2,0))</f>
        <v>20843.41</v>
      </c>
      <c r="X168" s="9">
        <f>SUMIFS(#REF!,#REF!,
$A168,#REF!,
"&gt;="&amp;'Faturado mensal'!X$2,#REF!,
"&lt;"&amp;EOMONTH('Faturado mensal'!X$2,0))</f>
        <v>20845.43</v>
      </c>
      <c r="Y168" s="11">
        <f>SUMIFS(#REF!,#REF!,
$A168,#REF!,
"&gt;="&amp;'Faturado mensal'!M$2,#REF!,
"&lt;"&amp;EOMONTH('Faturado mensal'!M$2,12))</f>
        <v>295068.85000000003</v>
      </c>
      <c r="Z168" s="9">
        <f>SUMIFS(#REF!,#REF!,
$A168,#REF!,
"&gt;="&amp;'Faturado mensal'!Z$2,#REF!,
"&lt;"&amp;EOMONTH('Faturado mensal'!Z$2,0))</f>
        <v>21991.68</v>
      </c>
      <c r="AA168" s="9">
        <f>SUMIFS(#REF!,#REF!,
$A168,#REF!,
"&gt;="&amp;'Faturado mensal'!AA$2,#REF!,
"&lt;"&amp;EOMONTH('Faturado mensal'!AA$2,0))</f>
        <v>22382.07</v>
      </c>
      <c r="AB168" s="9">
        <f>SUMIFS(#REF!,#REF!,
$A168,#REF!,
"&gt;="&amp;'Faturado mensal'!AB$2,#REF!,
"&lt;"&amp;EOMONTH('Faturado mensal'!AB$2,0))</f>
        <v>17001.419999999998</v>
      </c>
      <c r="AC168" s="9">
        <f>SUMIFS(#REF!,#REF!,
$A168,#REF!,
"&gt;="&amp;'Faturado mensal'!AC$2,#REF!,
"&lt;"&amp;EOMONTH('Faturado mensal'!AC$2,0))</f>
        <v>13812.28</v>
      </c>
      <c r="AD168" s="9">
        <f>SUMIFS(#REF!,#REF!,
$A168,#REF!,
"&gt;="&amp;'Faturado mensal'!AD$2,#REF!,
"&lt;"&amp;EOMONTH('Faturado mensal'!AD$2,0))</f>
        <v>7336.21</v>
      </c>
      <c r="AE168" s="9">
        <f>SUMIFS(#REF!,#REF!,
$A168,#REF!,
"&gt;="&amp;'Faturado mensal'!AE$2,#REF!,
"&lt;"&amp;EOMONTH('Faturado mensal'!AE$2,0))</f>
        <v>0</v>
      </c>
      <c r="AF168" s="9">
        <f>SUMIFS(#REF!,#REF!,
$A168,#REF!,
"&gt;="&amp;'Faturado mensal'!AF$2,#REF!,
"&lt;"&amp;EOMONTH('Faturado mensal'!AF$2,0))</f>
        <v>0</v>
      </c>
      <c r="AG168" s="9">
        <f>SUMIFS(#REF!,#REF!,
$A168,#REF!,
"&gt;="&amp;'Faturado mensal'!AG$2,#REF!,
"&lt;"&amp;EOMONTH('Faturado mensal'!AG$2,0))</f>
        <v>0</v>
      </c>
      <c r="AH168" s="9">
        <f>SUMIFS(#REF!,#REF!,
$A168,#REF!,
"&gt;="&amp;'Faturado mensal'!AH$2,#REF!,
"&lt;"&amp;EOMONTH('Faturado mensal'!AH$2,0))</f>
        <v>0</v>
      </c>
      <c r="AI168" s="9">
        <f>SUMIFS(#REF!,#REF!,
$A168,#REF!,
"&gt;="&amp;'Faturado mensal'!AI$2,#REF!,
"&lt;"&amp;EOMONTH('Faturado mensal'!AI$2,0))</f>
        <v>0</v>
      </c>
      <c r="AJ168" s="9">
        <f>SUMIFS(#REF!,#REF!,
$A168,#REF!,
"&gt;="&amp;'Faturado mensal'!AJ$2,#REF!,
"&lt;"&amp;EOMONTH('Faturado mensal'!AJ$2,0))</f>
        <v>0</v>
      </c>
      <c r="AK168" s="9">
        <f>SUMIFS(#REF!,#REF!,
$A168,#REF!,
"&gt;="&amp;'Faturado mensal'!AK$2,#REF!,
"&lt;"&amp;EOMONTH('Faturado mensal'!AK$2,0))</f>
        <v>0</v>
      </c>
      <c r="AL168" s="9">
        <f>SUMIFS(#REF!,#REF!,
$A168,#REF!,
"&gt;="&amp;Z$2,#REF!,
"&lt;"&amp;EOMONTH(AK$2,0))</f>
        <v>82523.66</v>
      </c>
    </row>
    <row r="169" spans="1:38" x14ac:dyDescent="0.3">
      <c r="A169" t="s">
        <v>440</v>
      </c>
      <c r="B169" t="s">
        <v>441</v>
      </c>
      <c r="C169" t="s">
        <v>38</v>
      </c>
      <c r="D169" t="s">
        <v>204</v>
      </c>
      <c r="E169" t="s">
        <v>4833</v>
      </c>
      <c r="F169" t="s">
        <v>4786</v>
      </c>
      <c r="G169" t="s">
        <v>4852</v>
      </c>
      <c r="H169" t="s">
        <v>4773</v>
      </c>
      <c r="I169" t="s">
        <v>38</v>
      </c>
      <c r="J169" t="s">
        <v>710</v>
      </c>
      <c r="K169" t="s">
        <v>762</v>
      </c>
      <c r="L169" t="s">
        <v>763</v>
      </c>
      <c r="M169" s="9">
        <f>SUMIFS(#REF!,#REF!,
$A169,#REF!,
"&gt;="&amp;'Faturado mensal'!M$2,#REF!,
"&lt;"&amp;EOMONTH('Faturado mensal'!M$2,0))</f>
        <v>7705.83</v>
      </c>
      <c r="N169" s="9">
        <f>SUMIFS(#REF!,#REF!,
$A169,#REF!,
"&gt;="&amp;'Faturado mensal'!N$2,#REF!,
"&lt;"&amp;EOMONTH('Faturado mensal'!N$2,0))</f>
        <v>7705.83</v>
      </c>
      <c r="O169" s="9">
        <f>SUMIFS(#REF!,#REF!,
$A169,#REF!,
"&gt;="&amp;'Faturado mensal'!O$2,#REF!,
"&lt;"&amp;EOMONTH('Faturado mensal'!O$2,0))</f>
        <v>10254.44</v>
      </c>
      <c r="P169" s="9">
        <f>SUMIFS(#REF!,#REF!,
$A169,#REF!,
"&gt;="&amp;'Faturado mensal'!P$2,#REF!,
"&lt;"&amp;EOMONTH('Faturado mensal'!P$2,0))</f>
        <v>10035</v>
      </c>
      <c r="Q169" s="9">
        <f>SUMIFS(#REF!,#REF!,
$A169,#REF!,
"&gt;="&amp;'Faturado mensal'!Q$2,#REF!,
"&lt;"&amp;EOMONTH('Faturado mensal'!Q$2,0))</f>
        <v>10035</v>
      </c>
      <c r="R169" s="9">
        <f>SUMIFS(#REF!,#REF!,
$A169,#REF!,
"&gt;="&amp;'Faturado mensal'!R$2,#REF!,
"&lt;"&amp;EOMONTH('Faturado mensal'!R$2,0))</f>
        <v>10035</v>
      </c>
      <c r="S169" s="9">
        <f>SUMIFS(#REF!,#REF!,
$A169,#REF!,
"&gt;="&amp;'Faturado mensal'!S$2,#REF!,
"&lt;"&amp;EOMONTH('Faturado mensal'!S$2,0))</f>
        <v>10035</v>
      </c>
      <c r="T169" s="9">
        <f>SUMIFS(#REF!,#REF!,
$A169,#REF!,
"&gt;="&amp;'Faturado mensal'!T$2,#REF!,
"&lt;"&amp;EOMONTH('Faturado mensal'!T$2,0))</f>
        <v>12315</v>
      </c>
      <c r="U169" s="9">
        <f>SUMIFS(#REF!,#REF!,
$A169,#REF!,
"&gt;="&amp;'Faturado mensal'!U$2,#REF!,
"&lt;"&amp;EOMONTH('Faturado mensal'!U$2,0))</f>
        <v>11315</v>
      </c>
      <c r="V169" s="9">
        <f>SUMIFS(#REF!,#REF!,
$A169,#REF!,
"&gt;="&amp;'Faturado mensal'!V$2,#REF!,
"&lt;"&amp;EOMONTH('Faturado mensal'!V$2,0))</f>
        <v>11315</v>
      </c>
      <c r="W169" s="9">
        <f>SUMIFS(#REF!,#REF!,
$A169,#REF!,
"&gt;="&amp;'Faturado mensal'!W$2,#REF!,
"&lt;"&amp;EOMONTH('Faturado mensal'!W$2,0))</f>
        <v>11315</v>
      </c>
      <c r="X169" s="9">
        <f>SUMIFS(#REF!,#REF!,
$A169,#REF!,
"&gt;="&amp;'Faturado mensal'!X$2,#REF!,
"&lt;"&amp;EOMONTH('Faturado mensal'!X$2,0))</f>
        <v>11315</v>
      </c>
      <c r="Y169" s="11">
        <f>SUMIFS(#REF!,#REF!,
$A169,#REF!,
"&gt;="&amp;'Faturado mensal'!M$2,#REF!,
"&lt;"&amp;EOMONTH('Faturado mensal'!M$2,12))</f>
        <v>134696.1</v>
      </c>
      <c r="Z169" s="9">
        <f>SUMIFS(#REF!,#REF!,
$A169,#REF!,
"&gt;="&amp;'Faturado mensal'!Z$2,#REF!,
"&lt;"&amp;EOMONTH('Faturado mensal'!Z$2,0))</f>
        <v>11315</v>
      </c>
      <c r="AA169" s="9">
        <f>SUMIFS(#REF!,#REF!,
$A169,#REF!,
"&gt;="&amp;'Faturado mensal'!AA$2,#REF!,
"&lt;"&amp;EOMONTH('Faturado mensal'!AA$2,0))</f>
        <v>11315</v>
      </c>
      <c r="AB169" s="9">
        <f>SUMIFS(#REF!,#REF!,
$A169,#REF!,
"&gt;="&amp;'Faturado mensal'!AB$2,#REF!,
"&lt;"&amp;EOMONTH('Faturado mensal'!AB$2,0))</f>
        <v>11315</v>
      </c>
      <c r="AC169" s="9">
        <f>SUMIFS(#REF!,#REF!,
$A169,#REF!,
"&gt;="&amp;'Faturado mensal'!AC$2,#REF!,
"&lt;"&amp;EOMONTH('Faturado mensal'!AC$2,0))</f>
        <v>11315</v>
      </c>
      <c r="AD169" s="9">
        <f>SUMIFS(#REF!,#REF!,
$A169,#REF!,
"&gt;="&amp;'Faturado mensal'!AD$2,#REF!,
"&lt;"&amp;EOMONTH('Faturado mensal'!AD$2,0))</f>
        <v>11315</v>
      </c>
      <c r="AE169" s="9">
        <f>SUMIFS(#REF!,#REF!,
$A169,#REF!,
"&gt;="&amp;'Faturado mensal'!AE$2,#REF!,
"&lt;"&amp;EOMONTH('Faturado mensal'!AE$2,0))</f>
        <v>11339.96</v>
      </c>
      <c r="AF169" s="9">
        <f>SUMIFS(#REF!,#REF!,
$A169,#REF!,
"&gt;="&amp;'Faturado mensal'!AF$2,#REF!,
"&lt;"&amp;EOMONTH('Faturado mensal'!AF$2,0))</f>
        <v>0</v>
      </c>
      <c r="AG169" s="9">
        <f>SUMIFS(#REF!,#REF!,
$A169,#REF!,
"&gt;="&amp;'Faturado mensal'!AG$2,#REF!,
"&lt;"&amp;EOMONTH('Faturado mensal'!AG$2,0))</f>
        <v>0</v>
      </c>
      <c r="AH169" s="9">
        <f>SUMIFS(#REF!,#REF!,
$A169,#REF!,
"&gt;="&amp;'Faturado mensal'!AH$2,#REF!,
"&lt;"&amp;EOMONTH('Faturado mensal'!AH$2,0))</f>
        <v>0</v>
      </c>
      <c r="AI169" s="9">
        <f>SUMIFS(#REF!,#REF!,
$A169,#REF!,
"&gt;="&amp;'Faturado mensal'!AI$2,#REF!,
"&lt;"&amp;EOMONTH('Faturado mensal'!AI$2,0))</f>
        <v>0</v>
      </c>
      <c r="AJ169" s="9">
        <f>SUMIFS(#REF!,#REF!,
$A169,#REF!,
"&gt;="&amp;'Faturado mensal'!AJ$2,#REF!,
"&lt;"&amp;EOMONTH('Faturado mensal'!AJ$2,0))</f>
        <v>0</v>
      </c>
      <c r="AK169" s="9">
        <f>SUMIFS(#REF!,#REF!,
$A169,#REF!,
"&gt;="&amp;'Faturado mensal'!AK$2,#REF!,
"&lt;"&amp;EOMONTH('Faturado mensal'!AK$2,0))</f>
        <v>0</v>
      </c>
      <c r="AL169" s="9">
        <f>SUMIFS(#REF!,#REF!,
$A169,#REF!,
"&gt;="&amp;Z$2,#REF!,
"&lt;"&amp;EOMONTH(AK$2,0))</f>
        <v>67914.959999999992</v>
      </c>
    </row>
    <row r="170" spans="1:38" x14ac:dyDescent="0.3">
      <c r="A170" t="s">
        <v>442</v>
      </c>
      <c r="B170" t="s">
        <v>376</v>
      </c>
      <c r="C170" t="s">
        <v>35</v>
      </c>
      <c r="D170" t="s">
        <v>209</v>
      </c>
      <c r="G170" t="s">
        <v>4852</v>
      </c>
      <c r="H170" t="s">
        <v>4771</v>
      </c>
      <c r="I170" t="s">
        <v>35</v>
      </c>
      <c r="J170" t="s">
        <v>710</v>
      </c>
      <c r="K170" t="s">
        <v>762</v>
      </c>
      <c r="L170" t="s">
        <v>763</v>
      </c>
      <c r="M170" s="9">
        <f>SUMIFS(#REF!,#REF!,
$A170,#REF!,
"&gt;="&amp;'Faturado mensal'!M$2,#REF!,
"&lt;"&amp;EOMONTH('Faturado mensal'!M$2,0))</f>
        <v>97975</v>
      </c>
      <c r="N170" s="9">
        <f>SUMIFS(#REF!,#REF!,
$A170,#REF!,
"&gt;="&amp;'Faturado mensal'!N$2,#REF!,
"&lt;"&amp;EOMONTH('Faturado mensal'!N$2,0))</f>
        <v>100457.59999999999</v>
      </c>
      <c r="O170" s="9">
        <f>SUMIFS(#REF!,#REF!,
$A170,#REF!,
"&gt;="&amp;'Faturado mensal'!O$2,#REF!,
"&lt;"&amp;EOMONTH('Faturado mensal'!O$2,0))</f>
        <v>102114.5</v>
      </c>
      <c r="P170" s="9">
        <f>SUMIFS(#REF!,#REF!,
$A170,#REF!,
"&gt;="&amp;'Faturado mensal'!P$2,#REF!,
"&lt;"&amp;EOMONTH('Faturado mensal'!P$2,0))</f>
        <v>4946.6499999999996</v>
      </c>
      <c r="Q170" s="9">
        <f>SUMIFS(#REF!,#REF!,
$A170,#REF!,
"&gt;="&amp;'Faturado mensal'!Q$2,#REF!,
"&lt;"&amp;EOMONTH('Faturado mensal'!Q$2,0))</f>
        <v>201472.16</v>
      </c>
      <c r="R170" s="9">
        <f>SUMIFS(#REF!,#REF!,
$A170,#REF!,
"&gt;="&amp;'Faturado mensal'!R$2,#REF!,
"&lt;"&amp;EOMONTH('Faturado mensal'!R$2,0))</f>
        <v>105797.5</v>
      </c>
      <c r="S170" s="9">
        <f>SUMIFS(#REF!,#REF!,
$A170,#REF!,
"&gt;="&amp;'Faturado mensal'!S$2,#REF!,
"&lt;"&amp;EOMONTH('Faturado mensal'!S$2,0))</f>
        <v>105512.5</v>
      </c>
      <c r="T170" s="9">
        <f>SUMIFS(#REF!,#REF!,
$A170,#REF!,
"&gt;="&amp;'Faturado mensal'!T$2,#REF!,
"&lt;"&amp;EOMONTH('Faturado mensal'!T$2,0))</f>
        <v>106276.98000000001</v>
      </c>
      <c r="U170" s="9">
        <f>SUMIFS(#REF!,#REF!,
$A170,#REF!,
"&gt;="&amp;'Faturado mensal'!U$2,#REF!,
"&lt;"&amp;EOMONTH('Faturado mensal'!U$2,0))</f>
        <v>104554.98000000001</v>
      </c>
      <c r="V170" s="9">
        <f>SUMIFS(#REF!,#REF!,
$A170,#REF!,
"&gt;="&amp;'Faturado mensal'!V$2,#REF!,
"&lt;"&amp;EOMONTH('Faturado mensal'!V$2,0))</f>
        <v>5015</v>
      </c>
      <c r="W170" s="9">
        <f>SUMIFS(#REF!,#REF!,
$A170,#REF!,
"&gt;="&amp;'Faturado mensal'!W$2,#REF!,
"&lt;"&amp;EOMONTH('Faturado mensal'!W$2,0))</f>
        <v>0</v>
      </c>
      <c r="X170" s="9">
        <f>SUMIFS(#REF!,#REF!,
$A170,#REF!,
"&gt;="&amp;'Faturado mensal'!X$2,#REF!,
"&lt;"&amp;EOMONTH('Faturado mensal'!X$2,0))</f>
        <v>0</v>
      </c>
      <c r="Y170" s="11">
        <f>SUMIFS(#REF!,#REF!,
$A170,#REF!,
"&gt;="&amp;'Faturado mensal'!M$2,#REF!,
"&lt;"&amp;EOMONTH('Faturado mensal'!M$2,12))</f>
        <v>934369.52000000014</v>
      </c>
      <c r="Z170" s="9">
        <f>SUMIFS(#REF!,#REF!,
$A170,#REF!,
"&gt;="&amp;'Faturado mensal'!Z$2,#REF!,
"&lt;"&amp;EOMONTH('Faturado mensal'!Z$2,0))</f>
        <v>0</v>
      </c>
      <c r="AA170" s="9">
        <f>SUMIFS(#REF!,#REF!,
$A170,#REF!,
"&gt;="&amp;'Faturado mensal'!AA$2,#REF!,
"&lt;"&amp;EOMONTH('Faturado mensal'!AA$2,0))</f>
        <v>0</v>
      </c>
      <c r="AB170" s="9">
        <f>SUMIFS(#REF!,#REF!,
$A170,#REF!,
"&gt;="&amp;'Faturado mensal'!AB$2,#REF!,
"&lt;"&amp;EOMONTH('Faturado mensal'!AB$2,0))</f>
        <v>0</v>
      </c>
      <c r="AC170" s="9">
        <f>SUMIFS(#REF!,#REF!,
$A170,#REF!,
"&gt;="&amp;'Faturado mensal'!AC$2,#REF!,
"&lt;"&amp;EOMONTH('Faturado mensal'!AC$2,0))</f>
        <v>0</v>
      </c>
      <c r="AD170" s="9">
        <f>SUMIFS(#REF!,#REF!,
$A170,#REF!,
"&gt;="&amp;'Faturado mensal'!AD$2,#REF!,
"&lt;"&amp;EOMONTH('Faturado mensal'!AD$2,0))</f>
        <v>0</v>
      </c>
      <c r="AE170" s="9">
        <f>SUMIFS(#REF!,#REF!,
$A170,#REF!,
"&gt;="&amp;'Faturado mensal'!AE$2,#REF!,
"&lt;"&amp;EOMONTH('Faturado mensal'!AE$2,0))</f>
        <v>0</v>
      </c>
      <c r="AF170" s="9">
        <f>SUMIFS(#REF!,#REF!,
$A170,#REF!,
"&gt;="&amp;'Faturado mensal'!AF$2,#REF!,
"&lt;"&amp;EOMONTH('Faturado mensal'!AF$2,0))</f>
        <v>0</v>
      </c>
      <c r="AG170" s="9">
        <f>SUMIFS(#REF!,#REF!,
$A170,#REF!,
"&gt;="&amp;'Faturado mensal'!AG$2,#REF!,
"&lt;"&amp;EOMONTH('Faturado mensal'!AG$2,0))</f>
        <v>0</v>
      </c>
      <c r="AH170" s="9">
        <f>SUMIFS(#REF!,#REF!,
$A170,#REF!,
"&gt;="&amp;'Faturado mensal'!AH$2,#REF!,
"&lt;"&amp;EOMONTH('Faturado mensal'!AH$2,0))</f>
        <v>0</v>
      </c>
      <c r="AI170" s="9">
        <f>SUMIFS(#REF!,#REF!,
$A170,#REF!,
"&gt;="&amp;'Faturado mensal'!AI$2,#REF!,
"&lt;"&amp;EOMONTH('Faturado mensal'!AI$2,0))</f>
        <v>0</v>
      </c>
      <c r="AJ170" s="9">
        <f>SUMIFS(#REF!,#REF!,
$A170,#REF!,
"&gt;="&amp;'Faturado mensal'!AJ$2,#REF!,
"&lt;"&amp;EOMONTH('Faturado mensal'!AJ$2,0))</f>
        <v>0</v>
      </c>
      <c r="AK170" s="9">
        <f>SUMIFS(#REF!,#REF!,
$A170,#REF!,
"&gt;="&amp;'Faturado mensal'!AK$2,#REF!,
"&lt;"&amp;EOMONTH('Faturado mensal'!AK$2,0))</f>
        <v>0</v>
      </c>
      <c r="AL170" s="9">
        <f>SUMIFS(#REF!,#REF!,
$A170,#REF!,
"&gt;="&amp;Z$2,#REF!,
"&lt;"&amp;EOMONTH(AK$2,0))</f>
        <v>0</v>
      </c>
    </row>
    <row r="171" spans="1:38" x14ac:dyDescent="0.3">
      <c r="A171" t="s">
        <v>443</v>
      </c>
      <c r="B171" t="s">
        <v>444</v>
      </c>
      <c r="C171" t="s">
        <v>21</v>
      </c>
      <c r="D171" t="s">
        <v>209</v>
      </c>
      <c r="E171" t="s">
        <v>1037</v>
      </c>
      <c r="F171" t="s">
        <v>4808</v>
      </c>
      <c r="G171" t="s">
        <v>4852</v>
      </c>
      <c r="H171" t="s">
        <v>4772</v>
      </c>
      <c r="I171" t="s">
        <v>21</v>
      </c>
      <c r="J171" t="s">
        <v>710</v>
      </c>
      <c r="K171" t="s">
        <v>762</v>
      </c>
      <c r="L171" t="s">
        <v>763</v>
      </c>
      <c r="M171" s="9">
        <f>SUMIFS(#REF!,#REF!,
$A171,#REF!,
"&gt;="&amp;'Faturado mensal'!M$2,#REF!,
"&lt;"&amp;EOMONTH('Faturado mensal'!M$2,0))</f>
        <v>320</v>
      </c>
      <c r="N171" s="9">
        <f>SUMIFS(#REF!,#REF!,
$A171,#REF!,
"&gt;="&amp;'Faturado mensal'!N$2,#REF!,
"&lt;"&amp;EOMONTH('Faturado mensal'!N$2,0))</f>
        <v>360</v>
      </c>
      <c r="O171" s="9">
        <f>SUMIFS(#REF!,#REF!,
$A171,#REF!,
"&gt;="&amp;'Faturado mensal'!O$2,#REF!,
"&lt;"&amp;EOMONTH('Faturado mensal'!O$2,0))</f>
        <v>320</v>
      </c>
      <c r="P171" s="9">
        <f>SUMIFS(#REF!,#REF!,
$A171,#REF!,
"&gt;="&amp;'Faturado mensal'!P$2,#REF!,
"&lt;"&amp;EOMONTH('Faturado mensal'!P$2,0))</f>
        <v>160</v>
      </c>
      <c r="Q171" s="9">
        <f>SUMIFS(#REF!,#REF!,
$A171,#REF!,
"&gt;="&amp;'Faturado mensal'!Q$2,#REF!,
"&lt;"&amp;EOMONTH('Faturado mensal'!Q$2,0))</f>
        <v>120</v>
      </c>
      <c r="R171" s="9">
        <f>SUMIFS(#REF!,#REF!,
$A171,#REF!,
"&gt;="&amp;'Faturado mensal'!R$2,#REF!,
"&lt;"&amp;EOMONTH('Faturado mensal'!R$2,0))</f>
        <v>760</v>
      </c>
      <c r="S171" s="9">
        <f>SUMIFS(#REF!,#REF!,
$A171,#REF!,
"&gt;="&amp;'Faturado mensal'!S$2,#REF!,
"&lt;"&amp;EOMONTH('Faturado mensal'!S$2,0))</f>
        <v>520</v>
      </c>
      <c r="T171" s="9">
        <f>SUMIFS(#REF!,#REF!,
$A171,#REF!,
"&gt;="&amp;'Faturado mensal'!T$2,#REF!,
"&lt;"&amp;EOMONTH('Faturado mensal'!T$2,0))</f>
        <v>160</v>
      </c>
      <c r="U171" s="9">
        <f>SUMIFS(#REF!,#REF!,
$A171,#REF!,
"&gt;="&amp;'Faturado mensal'!U$2,#REF!,
"&lt;"&amp;EOMONTH('Faturado mensal'!U$2,0))</f>
        <v>320</v>
      </c>
      <c r="V171" s="9">
        <f>SUMIFS(#REF!,#REF!,
$A171,#REF!,
"&gt;="&amp;'Faturado mensal'!V$2,#REF!,
"&lt;"&amp;EOMONTH('Faturado mensal'!V$2,0))</f>
        <v>280</v>
      </c>
      <c r="W171" s="9">
        <f>SUMIFS(#REF!,#REF!,
$A171,#REF!,
"&gt;="&amp;'Faturado mensal'!W$2,#REF!,
"&lt;"&amp;EOMONTH('Faturado mensal'!W$2,0))</f>
        <v>120</v>
      </c>
      <c r="X171" s="9">
        <f>SUMIFS(#REF!,#REF!,
$A171,#REF!,
"&gt;="&amp;'Faturado mensal'!X$2,#REF!,
"&lt;"&amp;EOMONTH('Faturado mensal'!X$2,0))</f>
        <v>120</v>
      </c>
      <c r="Y171" s="11">
        <f>SUMIFS(#REF!,#REF!,
$A171,#REF!,
"&gt;="&amp;'Faturado mensal'!M$2,#REF!,
"&lt;"&amp;EOMONTH('Faturado mensal'!M$2,12))</f>
        <v>3560</v>
      </c>
      <c r="Z171" s="9">
        <f>SUMIFS(#REF!,#REF!,
$A171,#REF!,
"&gt;="&amp;'Faturado mensal'!Z$2,#REF!,
"&lt;"&amp;EOMONTH('Faturado mensal'!Z$2,0))</f>
        <v>0</v>
      </c>
      <c r="AA171" s="9">
        <f>SUMIFS(#REF!,#REF!,
$A171,#REF!,
"&gt;="&amp;'Faturado mensal'!AA$2,#REF!,
"&lt;"&amp;EOMONTH('Faturado mensal'!AA$2,0))</f>
        <v>160</v>
      </c>
      <c r="AB171" s="9">
        <f>SUMIFS(#REF!,#REF!,
$A171,#REF!,
"&gt;="&amp;'Faturado mensal'!AB$2,#REF!,
"&lt;"&amp;EOMONTH('Faturado mensal'!AB$2,0))</f>
        <v>200</v>
      </c>
      <c r="AC171" s="9">
        <f>SUMIFS(#REF!,#REF!,
$A171,#REF!,
"&gt;="&amp;'Faturado mensal'!AC$2,#REF!,
"&lt;"&amp;EOMONTH('Faturado mensal'!AC$2,0))</f>
        <v>400</v>
      </c>
      <c r="AD171" s="9">
        <f>SUMIFS(#REF!,#REF!,
$A171,#REF!,
"&gt;="&amp;'Faturado mensal'!AD$2,#REF!,
"&lt;"&amp;EOMONTH('Faturado mensal'!AD$2,0))</f>
        <v>480</v>
      </c>
      <c r="AE171" s="9">
        <f>SUMIFS(#REF!,#REF!,
$A171,#REF!,
"&gt;="&amp;'Faturado mensal'!AE$2,#REF!,
"&lt;"&amp;EOMONTH('Faturado mensal'!AE$2,0))</f>
        <v>160</v>
      </c>
      <c r="AF171" s="9">
        <f>SUMIFS(#REF!,#REF!,
$A171,#REF!,
"&gt;="&amp;'Faturado mensal'!AF$2,#REF!,
"&lt;"&amp;EOMONTH('Faturado mensal'!AF$2,0))</f>
        <v>0</v>
      </c>
      <c r="AG171" s="9">
        <f>SUMIFS(#REF!,#REF!,
$A171,#REF!,
"&gt;="&amp;'Faturado mensal'!AG$2,#REF!,
"&lt;"&amp;EOMONTH('Faturado mensal'!AG$2,0))</f>
        <v>0</v>
      </c>
      <c r="AH171" s="9">
        <f>SUMIFS(#REF!,#REF!,
$A171,#REF!,
"&gt;="&amp;'Faturado mensal'!AH$2,#REF!,
"&lt;"&amp;EOMONTH('Faturado mensal'!AH$2,0))</f>
        <v>0</v>
      </c>
      <c r="AI171" s="9">
        <f>SUMIFS(#REF!,#REF!,
$A171,#REF!,
"&gt;="&amp;'Faturado mensal'!AI$2,#REF!,
"&lt;"&amp;EOMONTH('Faturado mensal'!AI$2,0))</f>
        <v>0</v>
      </c>
      <c r="AJ171" s="9">
        <f>SUMIFS(#REF!,#REF!,
$A171,#REF!,
"&gt;="&amp;'Faturado mensal'!AJ$2,#REF!,
"&lt;"&amp;EOMONTH('Faturado mensal'!AJ$2,0))</f>
        <v>0</v>
      </c>
      <c r="AK171" s="9">
        <f>SUMIFS(#REF!,#REF!,
$A171,#REF!,
"&gt;="&amp;'Faturado mensal'!AK$2,#REF!,
"&lt;"&amp;EOMONTH('Faturado mensal'!AK$2,0))</f>
        <v>0</v>
      </c>
      <c r="AL171" s="9">
        <f>SUMIFS(#REF!,#REF!,
$A171,#REF!,
"&gt;="&amp;Z$2,#REF!,
"&lt;"&amp;EOMONTH(AK$2,0))</f>
        <v>1400</v>
      </c>
    </row>
    <row r="172" spans="1:38" x14ac:dyDescent="0.3">
      <c r="A172" t="s">
        <v>446</v>
      </c>
      <c r="B172" t="s">
        <v>447</v>
      </c>
      <c r="C172" t="s">
        <v>57</v>
      </c>
      <c r="D172" t="s">
        <v>204</v>
      </c>
      <c r="E172" t="s">
        <v>4843</v>
      </c>
      <c r="F172" t="s">
        <v>4776</v>
      </c>
      <c r="G172" t="s">
        <v>4852</v>
      </c>
      <c r="H172" t="s">
        <v>4774</v>
      </c>
      <c r="I172" t="s">
        <v>57</v>
      </c>
      <c r="J172" t="s">
        <v>710</v>
      </c>
      <c r="K172" t="s">
        <v>762</v>
      </c>
      <c r="L172" t="s">
        <v>763</v>
      </c>
      <c r="M172" s="9">
        <f>SUMIFS(#REF!,#REF!,
$A172,#REF!,
"&gt;="&amp;'Faturado mensal'!M$2,#REF!,
"&lt;"&amp;EOMONTH('Faturado mensal'!M$2,0))</f>
        <v>753.16</v>
      </c>
      <c r="N172" s="9">
        <f>SUMIFS(#REF!,#REF!,
$A172,#REF!,
"&gt;="&amp;'Faturado mensal'!N$2,#REF!,
"&lt;"&amp;EOMONTH('Faturado mensal'!N$2,0))</f>
        <v>753.16</v>
      </c>
      <c r="O172" s="9">
        <f>SUMIFS(#REF!,#REF!,
$A172,#REF!,
"&gt;="&amp;'Faturado mensal'!O$2,#REF!,
"&lt;"&amp;EOMONTH('Faturado mensal'!O$2,0))</f>
        <v>753.16</v>
      </c>
      <c r="P172" s="9">
        <f>SUMIFS(#REF!,#REF!,
$A172,#REF!,
"&gt;="&amp;'Faturado mensal'!P$2,#REF!,
"&lt;"&amp;EOMONTH('Faturado mensal'!P$2,0))</f>
        <v>753.16</v>
      </c>
      <c r="Q172" s="9">
        <f>SUMIFS(#REF!,#REF!,
$A172,#REF!,
"&gt;="&amp;'Faturado mensal'!Q$2,#REF!,
"&lt;"&amp;EOMONTH('Faturado mensal'!Q$2,0))</f>
        <v>0</v>
      </c>
      <c r="R172" s="9">
        <f>SUMIFS(#REF!,#REF!,
$A172,#REF!,
"&gt;="&amp;'Faturado mensal'!R$2,#REF!,
"&lt;"&amp;EOMONTH('Faturado mensal'!R$2,0))</f>
        <v>753.16</v>
      </c>
      <c r="S172" s="9">
        <f>SUMIFS(#REF!,#REF!,
$A172,#REF!,
"&gt;="&amp;'Faturado mensal'!S$2,#REF!,
"&lt;"&amp;EOMONTH('Faturado mensal'!S$2,0))</f>
        <v>793.23</v>
      </c>
      <c r="T172" s="9">
        <f>SUMIFS(#REF!,#REF!,
$A172,#REF!,
"&gt;="&amp;'Faturado mensal'!T$2,#REF!,
"&lt;"&amp;EOMONTH('Faturado mensal'!T$2,0))</f>
        <v>793.23</v>
      </c>
      <c r="U172" s="9">
        <f>SUMIFS(#REF!,#REF!,
$A172,#REF!,
"&gt;="&amp;'Faturado mensal'!U$2,#REF!,
"&lt;"&amp;EOMONTH('Faturado mensal'!U$2,0))</f>
        <v>793.23</v>
      </c>
      <c r="V172" s="9">
        <f>SUMIFS(#REF!,#REF!,
$A172,#REF!,
"&gt;="&amp;'Faturado mensal'!V$2,#REF!,
"&lt;"&amp;EOMONTH('Faturado mensal'!V$2,0))</f>
        <v>793.23</v>
      </c>
      <c r="W172" s="9">
        <f>SUMIFS(#REF!,#REF!,
$A172,#REF!,
"&gt;="&amp;'Faturado mensal'!W$2,#REF!,
"&lt;"&amp;EOMONTH('Faturado mensal'!W$2,0))</f>
        <v>793.23</v>
      </c>
      <c r="X172" s="9">
        <f>SUMIFS(#REF!,#REF!,
$A172,#REF!,
"&gt;="&amp;'Faturado mensal'!X$2,#REF!,
"&lt;"&amp;EOMONTH('Faturado mensal'!X$2,0))</f>
        <v>793.23</v>
      </c>
      <c r="Y172" s="11">
        <f>SUMIFS(#REF!,#REF!,
$A172,#REF!,
"&gt;="&amp;'Faturado mensal'!M$2,#REF!,
"&lt;"&amp;EOMONTH('Faturado mensal'!M$2,12))</f>
        <v>10071.569999999998</v>
      </c>
      <c r="Z172" s="9">
        <f>SUMIFS(#REF!,#REF!,
$A172,#REF!,
"&gt;="&amp;'Faturado mensal'!Z$2,#REF!,
"&lt;"&amp;EOMONTH('Faturado mensal'!Z$2,0))</f>
        <v>793.23</v>
      </c>
      <c r="AA172" s="9">
        <f>SUMIFS(#REF!,#REF!,
$A172,#REF!,
"&gt;="&amp;'Faturado mensal'!AA$2,#REF!,
"&lt;"&amp;EOMONTH('Faturado mensal'!AA$2,0))</f>
        <v>793.23</v>
      </c>
      <c r="AB172" s="9">
        <f>SUMIFS(#REF!,#REF!,
$A172,#REF!,
"&gt;="&amp;'Faturado mensal'!AB$2,#REF!,
"&lt;"&amp;EOMONTH('Faturado mensal'!AB$2,0))</f>
        <v>793.23</v>
      </c>
      <c r="AC172" s="9">
        <f>SUMIFS(#REF!,#REF!,
$A172,#REF!,
"&gt;="&amp;'Faturado mensal'!AC$2,#REF!,
"&lt;"&amp;EOMONTH('Faturado mensal'!AC$2,0))</f>
        <v>0</v>
      </c>
      <c r="AD172" s="9">
        <f>SUMIFS(#REF!,#REF!,
$A172,#REF!,
"&gt;="&amp;'Faturado mensal'!AD$2,#REF!,
"&lt;"&amp;EOMONTH('Faturado mensal'!AD$2,0))</f>
        <v>793.23</v>
      </c>
      <c r="AE172" s="9">
        <f>SUMIFS(#REF!,#REF!,
$A172,#REF!,
"&gt;="&amp;'Faturado mensal'!AE$2,#REF!,
"&lt;"&amp;EOMONTH('Faturado mensal'!AE$2,0))</f>
        <v>793.23</v>
      </c>
      <c r="AF172" s="9">
        <f>SUMIFS(#REF!,#REF!,
$A172,#REF!,
"&gt;="&amp;'Faturado mensal'!AF$2,#REF!,
"&lt;"&amp;EOMONTH('Faturado mensal'!AF$2,0))</f>
        <v>0</v>
      </c>
      <c r="AG172" s="9">
        <f>SUMIFS(#REF!,#REF!,
$A172,#REF!,
"&gt;="&amp;'Faturado mensal'!AG$2,#REF!,
"&lt;"&amp;EOMONTH('Faturado mensal'!AG$2,0))</f>
        <v>0</v>
      </c>
      <c r="AH172" s="9">
        <f>SUMIFS(#REF!,#REF!,
$A172,#REF!,
"&gt;="&amp;'Faturado mensal'!AH$2,#REF!,
"&lt;"&amp;EOMONTH('Faturado mensal'!AH$2,0))</f>
        <v>0</v>
      </c>
      <c r="AI172" s="9">
        <f>SUMIFS(#REF!,#REF!,
$A172,#REF!,
"&gt;="&amp;'Faturado mensal'!AI$2,#REF!,
"&lt;"&amp;EOMONTH('Faturado mensal'!AI$2,0))</f>
        <v>0</v>
      </c>
      <c r="AJ172" s="9">
        <f>SUMIFS(#REF!,#REF!,
$A172,#REF!,
"&gt;="&amp;'Faturado mensal'!AJ$2,#REF!,
"&lt;"&amp;EOMONTH('Faturado mensal'!AJ$2,0))</f>
        <v>0</v>
      </c>
      <c r="AK172" s="9">
        <f>SUMIFS(#REF!,#REF!,
$A172,#REF!,
"&gt;="&amp;'Faturado mensal'!AK$2,#REF!,
"&lt;"&amp;EOMONTH('Faturado mensal'!AK$2,0))</f>
        <v>0</v>
      </c>
      <c r="AL172" s="9">
        <f>SUMIFS(#REF!,#REF!,
$A172,#REF!,
"&gt;="&amp;Z$2,#REF!,
"&lt;"&amp;EOMONTH(AK$2,0))</f>
        <v>4759.38</v>
      </c>
    </row>
    <row r="173" spans="1:38" x14ac:dyDescent="0.3">
      <c r="A173" t="s">
        <v>448</v>
      </c>
      <c r="B173" t="s">
        <v>449</v>
      </c>
      <c r="C173" t="s">
        <v>20</v>
      </c>
      <c r="D173" t="s">
        <v>204</v>
      </c>
      <c r="E173" t="s">
        <v>4841</v>
      </c>
      <c r="F173" t="s">
        <v>4776</v>
      </c>
      <c r="G173" t="s">
        <v>4852</v>
      </c>
      <c r="H173" t="s">
        <v>4771</v>
      </c>
      <c r="I173" t="s">
        <v>20</v>
      </c>
      <c r="J173" t="s">
        <v>710</v>
      </c>
      <c r="K173" t="s">
        <v>717</v>
      </c>
      <c r="L173" t="s">
        <v>718</v>
      </c>
      <c r="M173" s="9">
        <f>SUMIFS(#REF!,#REF!,
$A173,#REF!,
"&gt;="&amp;'Faturado mensal'!M$2,#REF!,
"&lt;"&amp;EOMONTH('Faturado mensal'!M$2,0))</f>
        <v>7774.54</v>
      </c>
      <c r="N173" s="9">
        <f>SUMIFS(#REF!,#REF!,
$A173,#REF!,
"&gt;="&amp;'Faturado mensal'!N$2,#REF!,
"&lt;"&amp;EOMONTH('Faturado mensal'!N$2,0))</f>
        <v>7686.86</v>
      </c>
      <c r="O173" s="9">
        <f>SUMIFS(#REF!,#REF!,
$A173,#REF!,
"&gt;="&amp;'Faturado mensal'!O$2,#REF!,
"&lt;"&amp;EOMONTH('Faturado mensal'!O$2,0))</f>
        <v>8029.3</v>
      </c>
      <c r="P173" s="9">
        <f>SUMIFS(#REF!,#REF!,
$A173,#REF!,
"&gt;="&amp;'Faturado mensal'!P$2,#REF!,
"&lt;"&amp;EOMONTH('Faturado mensal'!P$2,0))</f>
        <v>7492.83</v>
      </c>
      <c r="Q173" s="9">
        <f>SUMIFS(#REF!,#REF!,
$A173,#REF!,
"&gt;="&amp;'Faturado mensal'!Q$2,#REF!,
"&lt;"&amp;EOMONTH('Faturado mensal'!Q$2,0))</f>
        <v>8128.52</v>
      </c>
      <c r="R173" s="9">
        <f>SUMIFS(#REF!,#REF!,
$A173,#REF!,
"&gt;="&amp;'Faturado mensal'!R$2,#REF!,
"&lt;"&amp;EOMONTH('Faturado mensal'!R$2,0))</f>
        <v>0</v>
      </c>
      <c r="S173" s="9">
        <f>SUMIFS(#REF!,#REF!,
$A173,#REF!,
"&gt;="&amp;'Faturado mensal'!S$2,#REF!,
"&lt;"&amp;EOMONTH('Faturado mensal'!S$2,0))</f>
        <v>8284.58</v>
      </c>
      <c r="T173" s="9">
        <f>SUMIFS(#REF!,#REF!,
$A173,#REF!,
"&gt;="&amp;'Faturado mensal'!T$2,#REF!,
"&lt;"&amp;EOMONTH('Faturado mensal'!T$2,0))</f>
        <v>0</v>
      </c>
      <c r="U173" s="9">
        <f>SUMIFS(#REF!,#REF!,
$A173,#REF!,
"&gt;="&amp;'Faturado mensal'!U$2,#REF!,
"&lt;"&amp;EOMONTH('Faturado mensal'!U$2,0))</f>
        <v>8338.2800000000007</v>
      </c>
      <c r="V173" s="9">
        <f>SUMIFS(#REF!,#REF!,
$A173,#REF!,
"&gt;="&amp;'Faturado mensal'!V$2,#REF!,
"&lt;"&amp;EOMONTH('Faturado mensal'!V$2,0))</f>
        <v>8625.69</v>
      </c>
      <c r="W173" s="9">
        <f>SUMIFS(#REF!,#REF!,
$A173,#REF!,
"&gt;="&amp;'Faturado mensal'!W$2,#REF!,
"&lt;"&amp;EOMONTH('Faturado mensal'!W$2,0))</f>
        <v>8097.63</v>
      </c>
      <c r="X173" s="9">
        <f>SUMIFS(#REF!,#REF!,
$A173,#REF!,
"&gt;="&amp;'Faturado mensal'!X$2,#REF!,
"&lt;"&amp;EOMONTH('Faturado mensal'!X$2,0))</f>
        <v>8182.1</v>
      </c>
      <c r="Y173" s="11">
        <f>SUMIFS(#REF!,#REF!,
$A173,#REF!,
"&gt;="&amp;'Faturado mensal'!M$2,#REF!,
"&lt;"&amp;EOMONTH('Faturado mensal'!M$2,12))</f>
        <v>105859.66000000002</v>
      </c>
      <c r="Z173" s="9">
        <f>SUMIFS(#REF!,#REF!,
$A173,#REF!,
"&gt;="&amp;'Faturado mensal'!Z$2,#REF!,
"&lt;"&amp;EOMONTH('Faturado mensal'!Z$2,0))</f>
        <v>17611.22</v>
      </c>
      <c r="AA173" s="9">
        <f>SUMIFS(#REF!,#REF!,
$A173,#REF!,
"&gt;="&amp;'Faturado mensal'!AA$2,#REF!,
"&lt;"&amp;EOMONTH('Faturado mensal'!AA$2,0))</f>
        <v>8319.86</v>
      </c>
      <c r="AB173" s="9">
        <f>SUMIFS(#REF!,#REF!,
$A173,#REF!,
"&gt;="&amp;'Faturado mensal'!AB$2,#REF!,
"&lt;"&amp;EOMONTH('Faturado mensal'!AB$2,0))</f>
        <v>0</v>
      </c>
      <c r="AC173" s="9">
        <f>SUMIFS(#REF!,#REF!,
$A173,#REF!,
"&gt;="&amp;'Faturado mensal'!AC$2,#REF!,
"&lt;"&amp;EOMONTH('Faturado mensal'!AC$2,0))</f>
        <v>16228.939999999999</v>
      </c>
      <c r="AD173" s="9">
        <f>SUMIFS(#REF!,#REF!,
$A173,#REF!,
"&gt;="&amp;'Faturado mensal'!AD$2,#REF!,
"&lt;"&amp;EOMONTH('Faturado mensal'!AD$2,0))</f>
        <v>8203.84</v>
      </c>
      <c r="AE173" s="9">
        <f>SUMIFS(#REF!,#REF!,
$A173,#REF!,
"&gt;="&amp;'Faturado mensal'!AE$2,#REF!,
"&lt;"&amp;EOMONTH('Faturado mensal'!AE$2,0))</f>
        <v>7953.35</v>
      </c>
      <c r="AF173" s="9">
        <f>SUMIFS(#REF!,#REF!,
$A173,#REF!,
"&gt;="&amp;'Faturado mensal'!AF$2,#REF!,
"&lt;"&amp;EOMONTH('Faturado mensal'!AF$2,0))</f>
        <v>0</v>
      </c>
      <c r="AG173" s="9">
        <f>SUMIFS(#REF!,#REF!,
$A173,#REF!,
"&gt;="&amp;'Faturado mensal'!AG$2,#REF!,
"&lt;"&amp;EOMONTH('Faturado mensal'!AG$2,0))</f>
        <v>0</v>
      </c>
      <c r="AH173" s="9">
        <f>SUMIFS(#REF!,#REF!,
$A173,#REF!,
"&gt;="&amp;'Faturado mensal'!AH$2,#REF!,
"&lt;"&amp;EOMONTH('Faturado mensal'!AH$2,0))</f>
        <v>0</v>
      </c>
      <c r="AI173" s="9">
        <f>SUMIFS(#REF!,#REF!,
$A173,#REF!,
"&gt;="&amp;'Faturado mensal'!AI$2,#REF!,
"&lt;"&amp;EOMONTH('Faturado mensal'!AI$2,0))</f>
        <v>0</v>
      </c>
      <c r="AJ173" s="9">
        <f>SUMIFS(#REF!,#REF!,
$A173,#REF!,
"&gt;="&amp;'Faturado mensal'!AJ$2,#REF!,
"&lt;"&amp;EOMONTH('Faturado mensal'!AJ$2,0))</f>
        <v>0</v>
      </c>
      <c r="AK173" s="9">
        <f>SUMIFS(#REF!,#REF!,
$A173,#REF!,
"&gt;="&amp;'Faturado mensal'!AK$2,#REF!,
"&lt;"&amp;EOMONTH('Faturado mensal'!AK$2,0))</f>
        <v>0</v>
      </c>
      <c r="AL173" s="9">
        <f>SUMIFS(#REF!,#REF!,
$A173,#REF!,
"&gt;="&amp;Z$2,#REF!,
"&lt;"&amp;EOMONTH(AK$2,0))</f>
        <v>58317.21</v>
      </c>
    </row>
    <row r="174" spans="1:38" x14ac:dyDescent="0.3">
      <c r="A174" t="s">
        <v>450</v>
      </c>
      <c r="B174" t="s">
        <v>452</v>
      </c>
      <c r="C174" t="s">
        <v>171</v>
      </c>
      <c r="D174" t="s">
        <v>209</v>
      </c>
      <c r="G174" t="s">
        <v>4852</v>
      </c>
      <c r="H174" t="s">
        <v>4771</v>
      </c>
      <c r="I174" t="s">
        <v>171</v>
      </c>
      <c r="J174" t="s">
        <v>710</v>
      </c>
      <c r="K174" t="s">
        <v>717</v>
      </c>
      <c r="L174" t="s">
        <v>718</v>
      </c>
      <c r="M174" s="9">
        <f>SUMIFS(#REF!,#REF!,
$A174,#REF!,
"&gt;="&amp;'Faturado mensal'!M$2,#REF!,
"&lt;"&amp;EOMONTH('Faturado mensal'!M$2,0))</f>
        <v>4858.79</v>
      </c>
      <c r="N174" s="9">
        <f>SUMIFS(#REF!,#REF!,
$A174,#REF!,
"&gt;="&amp;'Faturado mensal'!N$2,#REF!,
"&lt;"&amp;EOMONTH('Faturado mensal'!N$2,0))</f>
        <v>4914.3999999999996</v>
      </c>
      <c r="O174" s="9">
        <f>SUMIFS(#REF!,#REF!,
$A174,#REF!,
"&gt;="&amp;'Faturado mensal'!O$2,#REF!,
"&lt;"&amp;EOMONTH('Faturado mensal'!O$2,0))</f>
        <v>4982.99</v>
      </c>
      <c r="P174" s="9">
        <f>SUMIFS(#REF!,#REF!,
$A174,#REF!,
"&gt;="&amp;'Faturado mensal'!P$2,#REF!,
"&lt;"&amp;EOMONTH('Faturado mensal'!P$2,0))</f>
        <v>5624.32</v>
      </c>
      <c r="Q174" s="9">
        <f>SUMIFS(#REF!,#REF!,
$A174,#REF!,
"&gt;="&amp;'Faturado mensal'!Q$2,#REF!,
"&lt;"&amp;EOMONTH('Faturado mensal'!Q$2,0))</f>
        <v>5486.6900000000005</v>
      </c>
      <c r="R174" s="9">
        <f>SUMIFS(#REF!,#REF!,
$A174,#REF!,
"&gt;="&amp;'Faturado mensal'!R$2,#REF!,
"&lt;"&amp;EOMONTH('Faturado mensal'!R$2,0))</f>
        <v>5457.08</v>
      </c>
      <c r="S174" s="9">
        <f>SUMIFS(#REF!,#REF!,
$A174,#REF!,
"&gt;="&amp;'Faturado mensal'!S$2,#REF!,
"&lt;"&amp;EOMONTH('Faturado mensal'!S$2,0))</f>
        <v>5602.46</v>
      </c>
      <c r="T174" s="9">
        <f>SUMIFS(#REF!,#REF!,
$A174,#REF!,
"&gt;="&amp;'Faturado mensal'!T$2,#REF!,
"&lt;"&amp;EOMONTH('Faturado mensal'!T$2,0))</f>
        <v>5708.43</v>
      </c>
      <c r="U174" s="9">
        <f>SUMIFS(#REF!,#REF!,
$A174,#REF!,
"&gt;="&amp;'Faturado mensal'!U$2,#REF!,
"&lt;"&amp;EOMONTH('Faturado mensal'!U$2,0))</f>
        <v>5743.97</v>
      </c>
      <c r="V174" s="9">
        <f>SUMIFS(#REF!,#REF!,
$A174,#REF!,
"&gt;="&amp;'Faturado mensal'!V$2,#REF!,
"&lt;"&amp;EOMONTH('Faturado mensal'!V$2,0))</f>
        <v>0</v>
      </c>
      <c r="W174" s="9">
        <f>SUMIFS(#REF!,#REF!,
$A174,#REF!,
"&gt;="&amp;'Faturado mensal'!W$2,#REF!,
"&lt;"&amp;EOMONTH('Faturado mensal'!W$2,0))</f>
        <v>0</v>
      </c>
      <c r="X174" s="9">
        <f>SUMIFS(#REF!,#REF!,
$A174,#REF!,
"&gt;="&amp;'Faturado mensal'!X$2,#REF!,
"&lt;"&amp;EOMONTH('Faturado mensal'!X$2,0))</f>
        <v>0</v>
      </c>
      <c r="Y174" s="11">
        <f>SUMIFS(#REF!,#REF!,
$A174,#REF!,
"&gt;="&amp;'Faturado mensal'!M$2,#REF!,
"&lt;"&amp;EOMONTH('Faturado mensal'!M$2,12))</f>
        <v>48379.129999999983</v>
      </c>
      <c r="Z174" s="9">
        <f>SUMIFS(#REF!,#REF!,
$A174,#REF!,
"&gt;="&amp;'Faturado mensal'!Z$2,#REF!,
"&lt;"&amp;EOMONTH('Faturado mensal'!Z$2,0))</f>
        <v>0</v>
      </c>
      <c r="AA174" s="9">
        <f>SUMIFS(#REF!,#REF!,
$A174,#REF!,
"&gt;="&amp;'Faturado mensal'!AA$2,#REF!,
"&lt;"&amp;EOMONTH('Faturado mensal'!AA$2,0))</f>
        <v>0</v>
      </c>
      <c r="AB174" s="9">
        <f>SUMIFS(#REF!,#REF!,
$A174,#REF!,
"&gt;="&amp;'Faturado mensal'!AB$2,#REF!,
"&lt;"&amp;EOMONTH('Faturado mensal'!AB$2,0))</f>
        <v>0</v>
      </c>
      <c r="AC174" s="9">
        <f>SUMIFS(#REF!,#REF!,
$A174,#REF!,
"&gt;="&amp;'Faturado mensal'!AC$2,#REF!,
"&lt;"&amp;EOMONTH('Faturado mensal'!AC$2,0))</f>
        <v>0</v>
      </c>
      <c r="AD174" s="9">
        <f>SUMIFS(#REF!,#REF!,
$A174,#REF!,
"&gt;="&amp;'Faturado mensal'!AD$2,#REF!,
"&lt;"&amp;EOMONTH('Faturado mensal'!AD$2,0))</f>
        <v>0</v>
      </c>
      <c r="AE174" s="9">
        <f>SUMIFS(#REF!,#REF!,
$A174,#REF!,
"&gt;="&amp;'Faturado mensal'!AE$2,#REF!,
"&lt;"&amp;EOMONTH('Faturado mensal'!AE$2,0))</f>
        <v>0</v>
      </c>
      <c r="AF174" s="9">
        <f>SUMIFS(#REF!,#REF!,
$A174,#REF!,
"&gt;="&amp;'Faturado mensal'!AF$2,#REF!,
"&lt;"&amp;EOMONTH('Faturado mensal'!AF$2,0))</f>
        <v>0</v>
      </c>
      <c r="AG174" s="9">
        <f>SUMIFS(#REF!,#REF!,
$A174,#REF!,
"&gt;="&amp;'Faturado mensal'!AG$2,#REF!,
"&lt;"&amp;EOMONTH('Faturado mensal'!AG$2,0))</f>
        <v>0</v>
      </c>
      <c r="AH174" s="9">
        <f>SUMIFS(#REF!,#REF!,
$A174,#REF!,
"&gt;="&amp;'Faturado mensal'!AH$2,#REF!,
"&lt;"&amp;EOMONTH('Faturado mensal'!AH$2,0))</f>
        <v>0</v>
      </c>
      <c r="AI174" s="9">
        <f>SUMIFS(#REF!,#REF!,
$A174,#REF!,
"&gt;="&amp;'Faturado mensal'!AI$2,#REF!,
"&lt;"&amp;EOMONTH('Faturado mensal'!AI$2,0))</f>
        <v>0</v>
      </c>
      <c r="AJ174" s="9">
        <f>SUMIFS(#REF!,#REF!,
$A174,#REF!,
"&gt;="&amp;'Faturado mensal'!AJ$2,#REF!,
"&lt;"&amp;EOMONTH('Faturado mensal'!AJ$2,0))</f>
        <v>0</v>
      </c>
      <c r="AK174" s="9">
        <f>SUMIFS(#REF!,#REF!,
$A174,#REF!,
"&gt;="&amp;'Faturado mensal'!AK$2,#REF!,
"&lt;"&amp;EOMONTH('Faturado mensal'!AK$2,0))</f>
        <v>0</v>
      </c>
      <c r="AL174" s="9">
        <f>SUMIFS(#REF!,#REF!,
$A174,#REF!,
"&gt;="&amp;Z$2,#REF!,
"&lt;"&amp;EOMONTH(AK$2,0))</f>
        <v>0</v>
      </c>
    </row>
    <row r="175" spans="1:38" x14ac:dyDescent="0.3">
      <c r="A175" t="s">
        <v>849</v>
      </c>
      <c r="B175" t="s">
        <v>452</v>
      </c>
      <c r="C175" t="s">
        <v>171</v>
      </c>
      <c r="D175" t="s">
        <v>209</v>
      </c>
      <c r="G175" t="s">
        <v>4852</v>
      </c>
      <c r="H175" t="s">
        <v>4771</v>
      </c>
      <c r="I175" t="s">
        <v>171</v>
      </c>
      <c r="J175" t="s">
        <v>710</v>
      </c>
      <c r="K175" t="s">
        <v>768</v>
      </c>
      <c r="L175" t="s">
        <v>769</v>
      </c>
      <c r="M175" s="9">
        <f>SUMIFS(#REF!,#REF!,
$A175,#REF!,
"&gt;="&amp;'Faturado mensal'!M$2,#REF!,
"&lt;"&amp;EOMONTH('Faturado mensal'!M$2,0))</f>
        <v>0</v>
      </c>
      <c r="N175" s="9">
        <f>SUMIFS(#REF!,#REF!,
$A175,#REF!,
"&gt;="&amp;'Faturado mensal'!N$2,#REF!,
"&lt;"&amp;EOMONTH('Faturado mensal'!N$2,0))</f>
        <v>0</v>
      </c>
      <c r="O175" s="9">
        <f>SUMIFS(#REF!,#REF!,
$A175,#REF!,
"&gt;="&amp;'Faturado mensal'!O$2,#REF!,
"&lt;"&amp;EOMONTH('Faturado mensal'!O$2,0))</f>
        <v>0</v>
      </c>
      <c r="P175" s="9">
        <f>SUMIFS(#REF!,#REF!,
$A175,#REF!,
"&gt;="&amp;'Faturado mensal'!P$2,#REF!,
"&lt;"&amp;EOMONTH('Faturado mensal'!P$2,0))</f>
        <v>0</v>
      </c>
      <c r="Q175" s="9">
        <f>SUMIFS(#REF!,#REF!,
$A175,#REF!,
"&gt;="&amp;'Faturado mensal'!Q$2,#REF!,
"&lt;"&amp;EOMONTH('Faturado mensal'!Q$2,0))</f>
        <v>0</v>
      </c>
      <c r="R175" s="9">
        <f>SUMIFS(#REF!,#REF!,
$A175,#REF!,
"&gt;="&amp;'Faturado mensal'!R$2,#REF!,
"&lt;"&amp;EOMONTH('Faturado mensal'!R$2,0))</f>
        <v>0</v>
      </c>
      <c r="S175" s="9">
        <f>SUMIFS(#REF!,#REF!,
$A175,#REF!,
"&gt;="&amp;'Faturado mensal'!S$2,#REF!,
"&lt;"&amp;EOMONTH('Faturado mensal'!S$2,0))</f>
        <v>0</v>
      </c>
      <c r="T175" s="9">
        <f>SUMIFS(#REF!,#REF!,
$A175,#REF!,
"&gt;="&amp;'Faturado mensal'!T$2,#REF!,
"&lt;"&amp;EOMONTH('Faturado mensal'!T$2,0))</f>
        <v>0</v>
      </c>
      <c r="U175" s="9">
        <f>SUMIFS(#REF!,#REF!,
$A175,#REF!,
"&gt;="&amp;'Faturado mensal'!U$2,#REF!,
"&lt;"&amp;EOMONTH('Faturado mensal'!U$2,0))</f>
        <v>0</v>
      </c>
      <c r="V175" s="9">
        <f>SUMIFS(#REF!,#REF!,
$A175,#REF!,
"&gt;="&amp;'Faturado mensal'!V$2,#REF!,
"&lt;"&amp;EOMONTH('Faturado mensal'!V$2,0))</f>
        <v>0</v>
      </c>
      <c r="W175" s="9">
        <f>SUMIFS(#REF!,#REF!,
$A175,#REF!,
"&gt;="&amp;'Faturado mensal'!W$2,#REF!,
"&lt;"&amp;EOMONTH('Faturado mensal'!W$2,0))</f>
        <v>0</v>
      </c>
      <c r="X175" s="9">
        <f>SUMIFS(#REF!,#REF!,
$A175,#REF!,
"&gt;="&amp;'Faturado mensal'!X$2,#REF!,
"&lt;"&amp;EOMONTH('Faturado mensal'!X$2,0))</f>
        <v>0</v>
      </c>
      <c r="Y175" s="11">
        <f>SUMIFS(#REF!,#REF!,
$A175,#REF!,
"&gt;="&amp;'Faturado mensal'!M$2,#REF!,
"&lt;"&amp;EOMONTH('Faturado mensal'!M$2,12))</f>
        <v>0</v>
      </c>
      <c r="Z175" s="9">
        <f>SUMIFS(#REF!,#REF!,
$A175,#REF!,
"&gt;="&amp;'Faturado mensal'!Z$2,#REF!,
"&lt;"&amp;EOMONTH('Faturado mensal'!Z$2,0))</f>
        <v>0</v>
      </c>
      <c r="AA175" s="9">
        <f>SUMIFS(#REF!,#REF!,
$A175,#REF!,
"&gt;="&amp;'Faturado mensal'!AA$2,#REF!,
"&lt;"&amp;EOMONTH('Faturado mensal'!AA$2,0))</f>
        <v>0</v>
      </c>
      <c r="AB175" s="9">
        <f>SUMIFS(#REF!,#REF!,
$A175,#REF!,
"&gt;="&amp;'Faturado mensal'!AB$2,#REF!,
"&lt;"&amp;EOMONTH('Faturado mensal'!AB$2,0))</f>
        <v>0</v>
      </c>
      <c r="AC175" s="9">
        <f>SUMIFS(#REF!,#REF!,
$A175,#REF!,
"&gt;="&amp;'Faturado mensal'!AC$2,#REF!,
"&lt;"&amp;EOMONTH('Faturado mensal'!AC$2,0))</f>
        <v>0</v>
      </c>
      <c r="AD175" s="9">
        <f>SUMIFS(#REF!,#REF!,
$A175,#REF!,
"&gt;="&amp;'Faturado mensal'!AD$2,#REF!,
"&lt;"&amp;EOMONTH('Faturado mensal'!AD$2,0))</f>
        <v>0</v>
      </c>
      <c r="AE175" s="9">
        <f>SUMIFS(#REF!,#REF!,
$A175,#REF!,
"&gt;="&amp;'Faturado mensal'!AE$2,#REF!,
"&lt;"&amp;EOMONTH('Faturado mensal'!AE$2,0))</f>
        <v>0</v>
      </c>
      <c r="AF175" s="9">
        <f>SUMIFS(#REF!,#REF!,
$A175,#REF!,
"&gt;="&amp;'Faturado mensal'!AF$2,#REF!,
"&lt;"&amp;EOMONTH('Faturado mensal'!AF$2,0))</f>
        <v>0</v>
      </c>
      <c r="AG175" s="9">
        <f>SUMIFS(#REF!,#REF!,
$A175,#REF!,
"&gt;="&amp;'Faturado mensal'!AG$2,#REF!,
"&lt;"&amp;EOMONTH('Faturado mensal'!AG$2,0))</f>
        <v>0</v>
      </c>
      <c r="AH175" s="9">
        <f>SUMIFS(#REF!,#REF!,
$A175,#REF!,
"&gt;="&amp;'Faturado mensal'!AH$2,#REF!,
"&lt;"&amp;EOMONTH('Faturado mensal'!AH$2,0))</f>
        <v>0</v>
      </c>
      <c r="AI175" s="9">
        <f>SUMIFS(#REF!,#REF!,
$A175,#REF!,
"&gt;="&amp;'Faturado mensal'!AI$2,#REF!,
"&lt;"&amp;EOMONTH('Faturado mensal'!AI$2,0))</f>
        <v>0</v>
      </c>
      <c r="AJ175" s="9">
        <f>SUMIFS(#REF!,#REF!,
$A175,#REF!,
"&gt;="&amp;'Faturado mensal'!AJ$2,#REF!,
"&lt;"&amp;EOMONTH('Faturado mensal'!AJ$2,0))</f>
        <v>0</v>
      </c>
      <c r="AK175" s="9">
        <f>SUMIFS(#REF!,#REF!,
$A175,#REF!,
"&gt;="&amp;'Faturado mensal'!AK$2,#REF!,
"&lt;"&amp;EOMONTH('Faturado mensal'!AK$2,0))</f>
        <v>0</v>
      </c>
      <c r="AL175" s="9">
        <f>SUMIFS(#REF!,#REF!,
$A175,#REF!,
"&gt;="&amp;Z$2,#REF!,
"&lt;"&amp;EOMONTH(AK$2,0))</f>
        <v>0</v>
      </c>
    </row>
    <row r="176" spans="1:38" x14ac:dyDescent="0.3">
      <c r="A176" t="s">
        <v>453</v>
      </c>
      <c r="B176" t="s">
        <v>454</v>
      </c>
      <c r="C176" t="s">
        <v>162</v>
      </c>
      <c r="D176" t="s">
        <v>209</v>
      </c>
      <c r="G176" t="s">
        <v>4852</v>
      </c>
      <c r="H176" t="s">
        <v>4772</v>
      </c>
      <c r="I176" t="s">
        <v>162</v>
      </c>
      <c r="J176" t="s">
        <v>710</v>
      </c>
      <c r="K176" t="s">
        <v>762</v>
      </c>
      <c r="L176" t="s">
        <v>763</v>
      </c>
      <c r="M176" s="9">
        <f>SUMIFS(#REF!,#REF!,
$A176,#REF!,
"&gt;="&amp;'Faturado mensal'!M$2,#REF!,
"&lt;"&amp;EOMONTH('Faturado mensal'!M$2,0))</f>
        <v>0</v>
      </c>
      <c r="N176" s="9">
        <f>SUMIFS(#REF!,#REF!,
$A176,#REF!,
"&gt;="&amp;'Faturado mensal'!N$2,#REF!,
"&lt;"&amp;EOMONTH('Faturado mensal'!N$2,0))</f>
        <v>0</v>
      </c>
      <c r="O176" s="9">
        <f>SUMIFS(#REF!,#REF!,
$A176,#REF!,
"&gt;="&amp;'Faturado mensal'!O$2,#REF!,
"&lt;"&amp;EOMONTH('Faturado mensal'!O$2,0))</f>
        <v>0</v>
      </c>
      <c r="P176" s="9">
        <f>SUMIFS(#REF!,#REF!,
$A176,#REF!,
"&gt;="&amp;'Faturado mensal'!P$2,#REF!,
"&lt;"&amp;EOMONTH('Faturado mensal'!P$2,0))</f>
        <v>0</v>
      </c>
      <c r="Q176" s="9">
        <f>SUMIFS(#REF!,#REF!,
$A176,#REF!,
"&gt;="&amp;'Faturado mensal'!Q$2,#REF!,
"&lt;"&amp;EOMONTH('Faturado mensal'!Q$2,0))</f>
        <v>0</v>
      </c>
      <c r="R176" s="9">
        <f>SUMIFS(#REF!,#REF!,
$A176,#REF!,
"&gt;="&amp;'Faturado mensal'!R$2,#REF!,
"&lt;"&amp;EOMONTH('Faturado mensal'!R$2,0))</f>
        <v>0</v>
      </c>
      <c r="S176" s="9">
        <f>SUMIFS(#REF!,#REF!,
$A176,#REF!,
"&gt;="&amp;'Faturado mensal'!S$2,#REF!,
"&lt;"&amp;EOMONTH('Faturado mensal'!S$2,0))</f>
        <v>0</v>
      </c>
      <c r="T176" s="9">
        <f>SUMIFS(#REF!,#REF!,
$A176,#REF!,
"&gt;="&amp;'Faturado mensal'!T$2,#REF!,
"&lt;"&amp;EOMONTH('Faturado mensal'!T$2,0))</f>
        <v>0</v>
      </c>
      <c r="U176" s="9">
        <f>SUMIFS(#REF!,#REF!,
$A176,#REF!,
"&gt;="&amp;'Faturado mensal'!U$2,#REF!,
"&lt;"&amp;EOMONTH('Faturado mensal'!U$2,0))</f>
        <v>0</v>
      </c>
      <c r="V176" s="9">
        <f>SUMIFS(#REF!,#REF!,
$A176,#REF!,
"&gt;="&amp;'Faturado mensal'!V$2,#REF!,
"&lt;"&amp;EOMONTH('Faturado mensal'!V$2,0))</f>
        <v>0</v>
      </c>
      <c r="W176" s="9">
        <f>SUMIFS(#REF!,#REF!,
$A176,#REF!,
"&gt;="&amp;'Faturado mensal'!W$2,#REF!,
"&lt;"&amp;EOMONTH('Faturado mensal'!W$2,0))</f>
        <v>0</v>
      </c>
      <c r="X176" s="9">
        <f>SUMIFS(#REF!,#REF!,
$A176,#REF!,
"&gt;="&amp;'Faturado mensal'!X$2,#REF!,
"&lt;"&amp;EOMONTH('Faturado mensal'!X$2,0))</f>
        <v>0</v>
      </c>
      <c r="Y176" s="11">
        <f>SUMIFS(#REF!,#REF!,
$A176,#REF!,
"&gt;="&amp;'Faturado mensal'!M$2,#REF!,
"&lt;"&amp;EOMONTH('Faturado mensal'!M$2,12))</f>
        <v>0</v>
      </c>
      <c r="Z176" s="9">
        <f>SUMIFS(#REF!,#REF!,
$A176,#REF!,
"&gt;="&amp;'Faturado mensal'!Z$2,#REF!,
"&lt;"&amp;EOMONTH('Faturado mensal'!Z$2,0))</f>
        <v>0</v>
      </c>
      <c r="AA176" s="9">
        <f>SUMIFS(#REF!,#REF!,
$A176,#REF!,
"&gt;="&amp;'Faturado mensal'!AA$2,#REF!,
"&lt;"&amp;EOMONTH('Faturado mensal'!AA$2,0))</f>
        <v>0</v>
      </c>
      <c r="AB176" s="9">
        <f>SUMIFS(#REF!,#REF!,
$A176,#REF!,
"&gt;="&amp;'Faturado mensal'!AB$2,#REF!,
"&lt;"&amp;EOMONTH('Faturado mensal'!AB$2,0))</f>
        <v>0</v>
      </c>
      <c r="AC176" s="9">
        <f>SUMIFS(#REF!,#REF!,
$A176,#REF!,
"&gt;="&amp;'Faturado mensal'!AC$2,#REF!,
"&lt;"&amp;EOMONTH('Faturado mensal'!AC$2,0))</f>
        <v>0</v>
      </c>
      <c r="AD176" s="9">
        <f>SUMIFS(#REF!,#REF!,
$A176,#REF!,
"&gt;="&amp;'Faturado mensal'!AD$2,#REF!,
"&lt;"&amp;EOMONTH('Faturado mensal'!AD$2,0))</f>
        <v>0</v>
      </c>
      <c r="AE176" s="9">
        <f>SUMIFS(#REF!,#REF!,
$A176,#REF!,
"&gt;="&amp;'Faturado mensal'!AE$2,#REF!,
"&lt;"&amp;EOMONTH('Faturado mensal'!AE$2,0))</f>
        <v>0</v>
      </c>
      <c r="AF176" s="9">
        <f>SUMIFS(#REF!,#REF!,
$A176,#REF!,
"&gt;="&amp;'Faturado mensal'!AF$2,#REF!,
"&lt;"&amp;EOMONTH('Faturado mensal'!AF$2,0))</f>
        <v>0</v>
      </c>
      <c r="AG176" s="9">
        <f>SUMIFS(#REF!,#REF!,
$A176,#REF!,
"&gt;="&amp;'Faturado mensal'!AG$2,#REF!,
"&lt;"&amp;EOMONTH('Faturado mensal'!AG$2,0))</f>
        <v>0</v>
      </c>
      <c r="AH176" s="9">
        <f>SUMIFS(#REF!,#REF!,
$A176,#REF!,
"&gt;="&amp;'Faturado mensal'!AH$2,#REF!,
"&lt;"&amp;EOMONTH('Faturado mensal'!AH$2,0))</f>
        <v>0</v>
      </c>
      <c r="AI176" s="9">
        <f>SUMIFS(#REF!,#REF!,
$A176,#REF!,
"&gt;="&amp;'Faturado mensal'!AI$2,#REF!,
"&lt;"&amp;EOMONTH('Faturado mensal'!AI$2,0))</f>
        <v>0</v>
      </c>
      <c r="AJ176" s="9">
        <f>SUMIFS(#REF!,#REF!,
$A176,#REF!,
"&gt;="&amp;'Faturado mensal'!AJ$2,#REF!,
"&lt;"&amp;EOMONTH('Faturado mensal'!AJ$2,0))</f>
        <v>0</v>
      </c>
      <c r="AK176" s="9">
        <f>SUMIFS(#REF!,#REF!,
$A176,#REF!,
"&gt;="&amp;'Faturado mensal'!AK$2,#REF!,
"&lt;"&amp;EOMONTH('Faturado mensal'!AK$2,0))</f>
        <v>0</v>
      </c>
      <c r="AL176" s="9">
        <f>SUMIFS(#REF!,#REF!,
$A176,#REF!,
"&gt;="&amp;Z$2,#REF!,
"&lt;"&amp;EOMONTH(AK$2,0))</f>
        <v>0</v>
      </c>
    </row>
    <row r="177" spans="1:38" x14ac:dyDescent="0.3">
      <c r="A177" t="s">
        <v>455</v>
      </c>
      <c r="B177" t="s">
        <v>456</v>
      </c>
      <c r="C177" t="s">
        <v>71</v>
      </c>
      <c r="D177" t="s">
        <v>204</v>
      </c>
      <c r="E177" t="s">
        <v>1042</v>
      </c>
      <c r="F177" t="s">
        <v>1006</v>
      </c>
      <c r="G177" t="s">
        <v>4852</v>
      </c>
      <c r="H177" t="s">
        <v>4771</v>
      </c>
      <c r="I177" t="s">
        <v>71</v>
      </c>
      <c r="J177" t="s">
        <v>710</v>
      </c>
      <c r="K177" t="s">
        <v>762</v>
      </c>
      <c r="L177" t="s">
        <v>763</v>
      </c>
      <c r="M177" s="9">
        <f>SUMIFS(#REF!,#REF!,
$A177,#REF!,
"&gt;="&amp;'Faturado mensal'!M$2,#REF!,
"&lt;"&amp;EOMONTH('Faturado mensal'!M$2,0))</f>
        <v>13771.8</v>
      </c>
      <c r="N177" s="9">
        <f>SUMIFS(#REF!,#REF!,
$A177,#REF!,
"&gt;="&amp;'Faturado mensal'!N$2,#REF!,
"&lt;"&amp;EOMONTH('Faturado mensal'!N$2,0))</f>
        <v>6885.9</v>
      </c>
      <c r="O177" s="9">
        <f>SUMIFS(#REF!,#REF!,
$A177,#REF!,
"&gt;="&amp;'Faturado mensal'!O$2,#REF!,
"&lt;"&amp;EOMONTH('Faturado mensal'!O$2,0))</f>
        <v>0</v>
      </c>
      <c r="P177" s="9">
        <f>SUMIFS(#REF!,#REF!,
$A177,#REF!,
"&gt;="&amp;'Faturado mensal'!P$2,#REF!,
"&lt;"&amp;EOMONTH('Faturado mensal'!P$2,0))</f>
        <v>6885.9</v>
      </c>
      <c r="Q177" s="9">
        <f>SUMIFS(#REF!,#REF!,
$A177,#REF!,
"&gt;="&amp;'Faturado mensal'!Q$2,#REF!,
"&lt;"&amp;EOMONTH('Faturado mensal'!Q$2,0))</f>
        <v>6885.9</v>
      </c>
      <c r="R177" s="9">
        <f>SUMIFS(#REF!,#REF!,
$A177,#REF!,
"&gt;="&amp;'Faturado mensal'!R$2,#REF!,
"&lt;"&amp;EOMONTH('Faturado mensal'!R$2,0))</f>
        <v>6885.9</v>
      </c>
      <c r="S177" s="9">
        <f>SUMIFS(#REF!,#REF!,
$A177,#REF!,
"&gt;="&amp;'Faturado mensal'!S$2,#REF!,
"&lt;"&amp;EOMONTH('Faturado mensal'!S$2,0))</f>
        <v>6885.9</v>
      </c>
      <c r="T177" s="9">
        <f>SUMIFS(#REF!,#REF!,
$A177,#REF!,
"&gt;="&amp;'Faturado mensal'!T$2,#REF!,
"&lt;"&amp;EOMONTH('Faturado mensal'!T$2,0))</f>
        <v>0</v>
      </c>
      <c r="U177" s="9">
        <f>SUMIFS(#REF!,#REF!,
$A177,#REF!,
"&gt;="&amp;'Faturado mensal'!U$2,#REF!,
"&lt;"&amp;EOMONTH('Faturado mensal'!U$2,0))</f>
        <v>6885.9</v>
      </c>
      <c r="V177" s="9">
        <f>SUMIFS(#REF!,#REF!,
$A177,#REF!,
"&gt;="&amp;'Faturado mensal'!V$2,#REF!,
"&lt;"&amp;EOMONTH('Faturado mensal'!V$2,0))</f>
        <v>6885.9</v>
      </c>
      <c r="W177" s="9">
        <f>SUMIFS(#REF!,#REF!,
$A177,#REF!,
"&gt;="&amp;'Faturado mensal'!W$2,#REF!,
"&lt;"&amp;EOMONTH('Faturado mensal'!W$2,0))</f>
        <v>6885.9</v>
      </c>
      <c r="X177" s="9">
        <f>SUMIFS(#REF!,#REF!,
$A177,#REF!,
"&gt;="&amp;'Faturado mensal'!X$2,#REF!,
"&lt;"&amp;EOMONTH('Faturado mensal'!X$2,0))</f>
        <v>6885.9</v>
      </c>
      <c r="Y177" s="11">
        <f>SUMIFS(#REF!,#REF!,
$A177,#REF!,
"&gt;="&amp;'Faturado mensal'!M$2,#REF!,
"&lt;"&amp;EOMONTH('Faturado mensal'!M$2,12))</f>
        <v>82630.799999999988</v>
      </c>
      <c r="Z177" s="9">
        <f>SUMIFS(#REF!,#REF!,
$A177,#REF!,
"&gt;="&amp;'Faturado mensal'!Z$2,#REF!,
"&lt;"&amp;EOMONTH('Faturado mensal'!Z$2,0))</f>
        <v>6885.9</v>
      </c>
      <c r="AA177" s="9">
        <f>SUMIFS(#REF!,#REF!,
$A177,#REF!,
"&gt;="&amp;'Faturado mensal'!AA$2,#REF!,
"&lt;"&amp;EOMONTH('Faturado mensal'!AA$2,0))</f>
        <v>0</v>
      </c>
      <c r="AB177" s="9">
        <f>SUMIFS(#REF!,#REF!,
$A177,#REF!,
"&gt;="&amp;'Faturado mensal'!AB$2,#REF!,
"&lt;"&amp;EOMONTH('Faturado mensal'!AB$2,0))</f>
        <v>6885.9</v>
      </c>
      <c r="AC177" s="9">
        <f>SUMIFS(#REF!,#REF!,
$A177,#REF!,
"&gt;="&amp;'Faturado mensal'!AC$2,#REF!,
"&lt;"&amp;EOMONTH('Faturado mensal'!AC$2,0))</f>
        <v>0</v>
      </c>
      <c r="AD177" s="9">
        <f>SUMIFS(#REF!,#REF!,
$A177,#REF!,
"&gt;="&amp;'Faturado mensal'!AD$2,#REF!,
"&lt;"&amp;EOMONTH('Faturado mensal'!AD$2,0))</f>
        <v>6885.9</v>
      </c>
      <c r="AE177" s="9">
        <f>SUMIFS(#REF!,#REF!,
$A177,#REF!,
"&gt;="&amp;'Faturado mensal'!AE$2,#REF!,
"&lt;"&amp;EOMONTH('Faturado mensal'!AE$2,0))</f>
        <v>6885.9</v>
      </c>
      <c r="AF177" s="9">
        <f>SUMIFS(#REF!,#REF!,
$A177,#REF!,
"&gt;="&amp;'Faturado mensal'!AF$2,#REF!,
"&lt;"&amp;EOMONTH('Faturado mensal'!AF$2,0))</f>
        <v>0</v>
      </c>
      <c r="AG177" s="9">
        <f>SUMIFS(#REF!,#REF!,
$A177,#REF!,
"&gt;="&amp;'Faturado mensal'!AG$2,#REF!,
"&lt;"&amp;EOMONTH('Faturado mensal'!AG$2,0))</f>
        <v>0</v>
      </c>
      <c r="AH177" s="9">
        <f>SUMIFS(#REF!,#REF!,
$A177,#REF!,
"&gt;="&amp;'Faturado mensal'!AH$2,#REF!,
"&lt;"&amp;EOMONTH('Faturado mensal'!AH$2,0))</f>
        <v>0</v>
      </c>
      <c r="AI177" s="9">
        <f>SUMIFS(#REF!,#REF!,
$A177,#REF!,
"&gt;="&amp;'Faturado mensal'!AI$2,#REF!,
"&lt;"&amp;EOMONTH('Faturado mensal'!AI$2,0))</f>
        <v>0</v>
      </c>
      <c r="AJ177" s="9">
        <f>SUMIFS(#REF!,#REF!,
$A177,#REF!,
"&gt;="&amp;'Faturado mensal'!AJ$2,#REF!,
"&lt;"&amp;EOMONTH('Faturado mensal'!AJ$2,0))</f>
        <v>0</v>
      </c>
      <c r="AK177" s="9">
        <f>SUMIFS(#REF!,#REF!,
$A177,#REF!,
"&gt;="&amp;'Faturado mensal'!AK$2,#REF!,
"&lt;"&amp;EOMONTH('Faturado mensal'!AK$2,0))</f>
        <v>0</v>
      </c>
      <c r="AL177" s="9">
        <f>SUMIFS(#REF!,#REF!,
$A177,#REF!,
"&gt;="&amp;Z$2,#REF!,
"&lt;"&amp;EOMONTH(AK$2,0))</f>
        <v>27543.599999999999</v>
      </c>
    </row>
    <row r="178" spans="1:38" x14ac:dyDescent="0.3">
      <c r="A178" t="s">
        <v>457</v>
      </c>
      <c r="B178" t="s">
        <v>415</v>
      </c>
      <c r="C178" t="s">
        <v>60</v>
      </c>
      <c r="D178" t="s">
        <v>204</v>
      </c>
      <c r="E178" t="s">
        <v>1037</v>
      </c>
      <c r="F178" t="s">
        <v>4807</v>
      </c>
      <c r="G178" t="s">
        <v>4852</v>
      </c>
      <c r="H178" t="s">
        <v>4771</v>
      </c>
      <c r="I178" t="s">
        <v>60</v>
      </c>
      <c r="J178" t="s">
        <v>814</v>
      </c>
      <c r="K178" t="s">
        <v>762</v>
      </c>
      <c r="L178" t="s">
        <v>763</v>
      </c>
      <c r="M178" s="9">
        <f>SUMIFS(#REF!,#REF!,
$A178,#REF!,
"&gt;="&amp;'Faturado mensal'!M$2,#REF!,
"&lt;"&amp;EOMONTH('Faturado mensal'!M$2,0))</f>
        <v>4404.5600000000004</v>
      </c>
      <c r="N178" s="9">
        <f>SUMIFS(#REF!,#REF!,
$A178,#REF!,
"&gt;="&amp;'Faturado mensal'!N$2,#REF!,
"&lt;"&amp;EOMONTH('Faturado mensal'!N$2,0))</f>
        <v>18650.600000000002</v>
      </c>
      <c r="O178" s="9">
        <f>SUMIFS(#REF!,#REF!,
$A178,#REF!,
"&gt;="&amp;'Faturado mensal'!O$2,#REF!,
"&lt;"&amp;EOMONTH('Faturado mensal'!O$2,0))</f>
        <v>7926.8600000000006</v>
      </c>
      <c r="P178" s="9">
        <f>SUMIFS(#REF!,#REF!,
$A178,#REF!,
"&gt;="&amp;'Faturado mensal'!P$2,#REF!,
"&lt;"&amp;EOMONTH('Faturado mensal'!P$2,0))</f>
        <v>0</v>
      </c>
      <c r="Q178" s="9">
        <f>SUMIFS(#REF!,#REF!,
$A178,#REF!,
"&gt;="&amp;'Faturado mensal'!Q$2,#REF!,
"&lt;"&amp;EOMONTH('Faturado mensal'!Q$2,0))</f>
        <v>8229.67</v>
      </c>
      <c r="R178" s="9">
        <f>SUMIFS(#REF!,#REF!,
$A178,#REF!,
"&gt;="&amp;'Faturado mensal'!R$2,#REF!,
"&lt;"&amp;EOMONTH('Faturado mensal'!R$2,0))</f>
        <v>4226.96</v>
      </c>
      <c r="S178" s="9">
        <f>SUMIFS(#REF!,#REF!,
$A178,#REF!,
"&gt;="&amp;'Faturado mensal'!S$2,#REF!,
"&lt;"&amp;EOMONTH('Faturado mensal'!S$2,0))</f>
        <v>7297.01</v>
      </c>
      <c r="T178" s="9">
        <f>SUMIFS(#REF!,#REF!,
$A178,#REF!,
"&gt;="&amp;'Faturado mensal'!T$2,#REF!,
"&lt;"&amp;EOMONTH('Faturado mensal'!T$2,0))</f>
        <v>3761.13</v>
      </c>
      <c r="U178" s="9">
        <f>SUMIFS(#REF!,#REF!,
$A178,#REF!,
"&gt;="&amp;'Faturado mensal'!U$2,#REF!,
"&lt;"&amp;EOMONTH('Faturado mensal'!U$2,0))</f>
        <v>0</v>
      </c>
      <c r="V178" s="9">
        <f>SUMIFS(#REF!,#REF!,
$A178,#REF!,
"&gt;="&amp;'Faturado mensal'!V$2,#REF!,
"&lt;"&amp;EOMONTH('Faturado mensal'!V$2,0))</f>
        <v>6260.23</v>
      </c>
      <c r="W178" s="9">
        <f>SUMIFS(#REF!,#REF!,
$A178,#REF!,
"&gt;="&amp;'Faturado mensal'!W$2,#REF!,
"&lt;"&amp;EOMONTH('Faturado mensal'!W$2,0))</f>
        <v>2904.1699999999996</v>
      </c>
      <c r="X178" s="9">
        <f>SUMIFS(#REF!,#REF!,
$A178,#REF!,
"&gt;="&amp;'Faturado mensal'!X$2,#REF!,
"&lt;"&amp;EOMONTH('Faturado mensal'!X$2,0))</f>
        <v>9804.4599999999991</v>
      </c>
      <c r="Y178" s="11">
        <f>SUMIFS(#REF!,#REF!,
$A178,#REF!,
"&gt;="&amp;'Faturado mensal'!M$2,#REF!,
"&lt;"&amp;EOMONTH('Faturado mensal'!M$2,12))</f>
        <v>79997.999999999971</v>
      </c>
      <c r="Z178" s="9">
        <f>SUMIFS(#REF!,#REF!,
$A178,#REF!,
"&gt;="&amp;'Faturado mensal'!Z$2,#REF!,
"&lt;"&amp;EOMONTH('Faturado mensal'!Z$2,0))</f>
        <v>2745.65</v>
      </c>
      <c r="AA178" s="9">
        <f>SUMIFS(#REF!,#REF!,
$A178,#REF!,
"&gt;="&amp;'Faturado mensal'!AA$2,#REF!,
"&lt;"&amp;EOMONTH('Faturado mensal'!AA$2,0))</f>
        <v>2959.52</v>
      </c>
      <c r="AB178" s="9">
        <f>SUMIFS(#REF!,#REF!,
$A178,#REF!,
"&gt;="&amp;'Faturado mensal'!AB$2,#REF!,
"&lt;"&amp;EOMONTH('Faturado mensal'!AB$2,0))</f>
        <v>0</v>
      </c>
      <c r="AC178" s="9">
        <f>SUMIFS(#REF!,#REF!,
$A178,#REF!,
"&gt;="&amp;'Faturado mensal'!AC$2,#REF!,
"&lt;"&amp;EOMONTH('Faturado mensal'!AC$2,0))</f>
        <v>3156.65</v>
      </c>
      <c r="AD178" s="9">
        <f>SUMIFS(#REF!,#REF!,
$A178,#REF!,
"&gt;="&amp;'Faturado mensal'!AD$2,#REF!,
"&lt;"&amp;EOMONTH('Faturado mensal'!AD$2,0))</f>
        <v>2568.64</v>
      </c>
      <c r="AE178" s="9">
        <f>SUMIFS(#REF!,#REF!,
$A178,#REF!,
"&gt;="&amp;'Faturado mensal'!AE$2,#REF!,
"&lt;"&amp;EOMONTH('Faturado mensal'!AE$2,0))</f>
        <v>0</v>
      </c>
      <c r="AF178" s="9">
        <f>SUMIFS(#REF!,#REF!,
$A178,#REF!,
"&gt;="&amp;'Faturado mensal'!AF$2,#REF!,
"&lt;"&amp;EOMONTH('Faturado mensal'!AF$2,0))</f>
        <v>0</v>
      </c>
      <c r="AG178" s="9">
        <f>SUMIFS(#REF!,#REF!,
$A178,#REF!,
"&gt;="&amp;'Faturado mensal'!AG$2,#REF!,
"&lt;"&amp;EOMONTH('Faturado mensal'!AG$2,0))</f>
        <v>0</v>
      </c>
      <c r="AH178" s="9">
        <f>SUMIFS(#REF!,#REF!,
$A178,#REF!,
"&gt;="&amp;'Faturado mensal'!AH$2,#REF!,
"&lt;"&amp;EOMONTH('Faturado mensal'!AH$2,0))</f>
        <v>0</v>
      </c>
      <c r="AI178" s="9">
        <f>SUMIFS(#REF!,#REF!,
$A178,#REF!,
"&gt;="&amp;'Faturado mensal'!AI$2,#REF!,
"&lt;"&amp;EOMONTH('Faturado mensal'!AI$2,0))</f>
        <v>0</v>
      </c>
      <c r="AJ178" s="9">
        <f>SUMIFS(#REF!,#REF!,
$A178,#REF!,
"&gt;="&amp;'Faturado mensal'!AJ$2,#REF!,
"&lt;"&amp;EOMONTH('Faturado mensal'!AJ$2,0))</f>
        <v>0</v>
      </c>
      <c r="AK178" s="9">
        <f>SUMIFS(#REF!,#REF!,
$A178,#REF!,
"&gt;="&amp;'Faturado mensal'!AK$2,#REF!,
"&lt;"&amp;EOMONTH('Faturado mensal'!AK$2,0))</f>
        <v>0</v>
      </c>
      <c r="AL178" s="9">
        <f>SUMIFS(#REF!,#REF!,
$A178,#REF!,
"&gt;="&amp;Z$2,#REF!,
"&lt;"&amp;EOMONTH(AK$2,0))</f>
        <v>11430.46</v>
      </c>
    </row>
    <row r="179" spans="1:38" x14ac:dyDescent="0.3">
      <c r="A179" t="s">
        <v>458</v>
      </c>
      <c r="B179" t="s">
        <v>459</v>
      </c>
      <c r="C179" t="s">
        <v>160</v>
      </c>
      <c r="D179" t="s">
        <v>209</v>
      </c>
      <c r="G179" t="s">
        <v>4852</v>
      </c>
      <c r="H179" t="s">
        <v>4772</v>
      </c>
      <c r="I179" t="s">
        <v>160</v>
      </c>
      <c r="J179" t="s">
        <v>710</v>
      </c>
      <c r="K179" t="s">
        <v>762</v>
      </c>
      <c r="L179" t="s">
        <v>763</v>
      </c>
      <c r="M179" s="9">
        <f>SUMIFS(#REF!,#REF!,
$A179,#REF!,
"&gt;="&amp;'Faturado mensal'!M$2,#REF!,
"&lt;"&amp;EOMONTH('Faturado mensal'!M$2,0))</f>
        <v>33199.800000000003</v>
      </c>
      <c r="N179" s="9">
        <f>SUMIFS(#REF!,#REF!,
$A179,#REF!,
"&gt;="&amp;'Faturado mensal'!N$2,#REF!,
"&lt;"&amp;EOMONTH('Faturado mensal'!N$2,0))</f>
        <v>68844.19</v>
      </c>
      <c r="O179" s="9">
        <f>SUMIFS(#REF!,#REF!,
$A179,#REF!,
"&gt;="&amp;'Faturado mensal'!O$2,#REF!,
"&lt;"&amp;EOMONTH('Faturado mensal'!O$2,0))</f>
        <v>34947.75</v>
      </c>
      <c r="P179" s="9">
        <f>SUMIFS(#REF!,#REF!,
$A179,#REF!,
"&gt;="&amp;'Faturado mensal'!P$2,#REF!,
"&lt;"&amp;EOMONTH('Faturado mensal'!P$2,0))</f>
        <v>35168.97</v>
      </c>
      <c r="Q179" s="9">
        <f>SUMIFS(#REF!,#REF!,
$A179,#REF!,
"&gt;="&amp;'Faturado mensal'!Q$2,#REF!,
"&lt;"&amp;EOMONTH('Faturado mensal'!Q$2,0))</f>
        <v>34692.17</v>
      </c>
      <c r="R179" s="9">
        <f>SUMIFS(#REF!,#REF!,
$A179,#REF!,
"&gt;="&amp;'Faturado mensal'!R$2,#REF!,
"&lt;"&amp;EOMONTH('Faturado mensal'!R$2,0))</f>
        <v>0</v>
      </c>
      <c r="S179" s="9">
        <f>SUMIFS(#REF!,#REF!,
$A179,#REF!,
"&gt;="&amp;'Faturado mensal'!S$2,#REF!,
"&lt;"&amp;EOMONTH('Faturado mensal'!S$2,0))</f>
        <v>35213.71</v>
      </c>
      <c r="T179" s="9">
        <f>SUMIFS(#REF!,#REF!,
$A179,#REF!,
"&gt;="&amp;'Faturado mensal'!T$2,#REF!,
"&lt;"&amp;EOMONTH('Faturado mensal'!T$2,0))</f>
        <v>36118.76</v>
      </c>
      <c r="U179" s="9">
        <f>SUMIFS(#REF!,#REF!,
$A179,#REF!,
"&gt;="&amp;'Faturado mensal'!U$2,#REF!,
"&lt;"&amp;EOMONTH('Faturado mensal'!U$2,0))</f>
        <v>0</v>
      </c>
      <c r="V179" s="9">
        <f>SUMIFS(#REF!,#REF!,
$A179,#REF!,
"&gt;="&amp;'Faturado mensal'!V$2,#REF!,
"&lt;"&amp;EOMONTH('Faturado mensal'!V$2,0))</f>
        <v>0</v>
      </c>
      <c r="W179" s="9">
        <f>SUMIFS(#REF!,#REF!,
$A179,#REF!,
"&gt;="&amp;'Faturado mensal'!W$2,#REF!,
"&lt;"&amp;EOMONTH('Faturado mensal'!W$2,0))</f>
        <v>0</v>
      </c>
      <c r="X179" s="9">
        <f>SUMIFS(#REF!,#REF!,
$A179,#REF!,
"&gt;="&amp;'Faturado mensal'!X$2,#REF!,
"&lt;"&amp;EOMONTH('Faturado mensal'!X$2,0))</f>
        <v>0</v>
      </c>
      <c r="Y179" s="11">
        <f>SUMIFS(#REF!,#REF!,
$A179,#REF!,
"&gt;="&amp;'Faturado mensal'!M$2,#REF!,
"&lt;"&amp;EOMONTH('Faturado mensal'!M$2,12))</f>
        <v>278185.34999999998</v>
      </c>
      <c r="Z179" s="9">
        <f>SUMIFS(#REF!,#REF!,
$A179,#REF!,
"&gt;="&amp;'Faturado mensal'!Z$2,#REF!,
"&lt;"&amp;EOMONTH('Faturado mensal'!Z$2,0))</f>
        <v>0</v>
      </c>
      <c r="AA179" s="9">
        <f>SUMIFS(#REF!,#REF!,
$A179,#REF!,
"&gt;="&amp;'Faturado mensal'!AA$2,#REF!,
"&lt;"&amp;EOMONTH('Faturado mensal'!AA$2,0))</f>
        <v>0</v>
      </c>
      <c r="AB179" s="9">
        <f>SUMIFS(#REF!,#REF!,
$A179,#REF!,
"&gt;="&amp;'Faturado mensal'!AB$2,#REF!,
"&lt;"&amp;EOMONTH('Faturado mensal'!AB$2,0))</f>
        <v>0</v>
      </c>
      <c r="AC179" s="9">
        <f>SUMIFS(#REF!,#REF!,
$A179,#REF!,
"&gt;="&amp;'Faturado mensal'!AC$2,#REF!,
"&lt;"&amp;EOMONTH('Faturado mensal'!AC$2,0))</f>
        <v>0</v>
      </c>
      <c r="AD179" s="9">
        <f>SUMIFS(#REF!,#REF!,
$A179,#REF!,
"&gt;="&amp;'Faturado mensal'!AD$2,#REF!,
"&lt;"&amp;EOMONTH('Faturado mensal'!AD$2,0))</f>
        <v>0</v>
      </c>
      <c r="AE179" s="9">
        <f>SUMIFS(#REF!,#REF!,
$A179,#REF!,
"&gt;="&amp;'Faturado mensal'!AE$2,#REF!,
"&lt;"&amp;EOMONTH('Faturado mensal'!AE$2,0))</f>
        <v>0</v>
      </c>
      <c r="AF179" s="9">
        <f>SUMIFS(#REF!,#REF!,
$A179,#REF!,
"&gt;="&amp;'Faturado mensal'!AF$2,#REF!,
"&lt;"&amp;EOMONTH('Faturado mensal'!AF$2,0))</f>
        <v>0</v>
      </c>
      <c r="AG179" s="9">
        <f>SUMIFS(#REF!,#REF!,
$A179,#REF!,
"&gt;="&amp;'Faturado mensal'!AG$2,#REF!,
"&lt;"&amp;EOMONTH('Faturado mensal'!AG$2,0))</f>
        <v>0</v>
      </c>
      <c r="AH179" s="9">
        <f>SUMIFS(#REF!,#REF!,
$A179,#REF!,
"&gt;="&amp;'Faturado mensal'!AH$2,#REF!,
"&lt;"&amp;EOMONTH('Faturado mensal'!AH$2,0))</f>
        <v>0</v>
      </c>
      <c r="AI179" s="9">
        <f>SUMIFS(#REF!,#REF!,
$A179,#REF!,
"&gt;="&amp;'Faturado mensal'!AI$2,#REF!,
"&lt;"&amp;EOMONTH('Faturado mensal'!AI$2,0))</f>
        <v>0</v>
      </c>
      <c r="AJ179" s="9">
        <f>SUMIFS(#REF!,#REF!,
$A179,#REF!,
"&gt;="&amp;'Faturado mensal'!AJ$2,#REF!,
"&lt;"&amp;EOMONTH('Faturado mensal'!AJ$2,0))</f>
        <v>0</v>
      </c>
      <c r="AK179" s="9">
        <f>SUMIFS(#REF!,#REF!,
$A179,#REF!,
"&gt;="&amp;'Faturado mensal'!AK$2,#REF!,
"&lt;"&amp;EOMONTH('Faturado mensal'!AK$2,0))</f>
        <v>0</v>
      </c>
      <c r="AL179" s="9">
        <f>SUMIFS(#REF!,#REF!,
$A179,#REF!,
"&gt;="&amp;Z$2,#REF!,
"&lt;"&amp;EOMONTH(AK$2,0))</f>
        <v>0</v>
      </c>
    </row>
    <row r="180" spans="1:38" x14ac:dyDescent="0.3">
      <c r="A180" t="s">
        <v>460</v>
      </c>
      <c r="B180" t="s">
        <v>333</v>
      </c>
      <c r="C180" t="s">
        <v>29</v>
      </c>
      <c r="D180" t="s">
        <v>204</v>
      </c>
      <c r="E180" t="s">
        <v>4843</v>
      </c>
      <c r="F180" t="s">
        <v>4776</v>
      </c>
      <c r="G180" t="s">
        <v>4852</v>
      </c>
      <c r="H180" t="s">
        <v>4771</v>
      </c>
      <c r="I180" t="s">
        <v>29</v>
      </c>
      <c r="J180" t="s">
        <v>710</v>
      </c>
      <c r="K180" t="s">
        <v>785</v>
      </c>
      <c r="L180" t="s">
        <v>786</v>
      </c>
      <c r="M180" s="9">
        <f>SUMIFS(#REF!,#REF!,
$A180,#REF!,
"&gt;="&amp;'Faturado mensal'!M$2,#REF!,
"&lt;"&amp;EOMONTH('Faturado mensal'!M$2,0))</f>
        <v>137.99</v>
      </c>
      <c r="N180" s="9">
        <f>SUMIFS(#REF!,#REF!,
$A180,#REF!,
"&gt;="&amp;'Faturado mensal'!N$2,#REF!,
"&lt;"&amp;EOMONTH('Faturado mensal'!N$2,0))</f>
        <v>138.44</v>
      </c>
      <c r="O180" s="9">
        <f>SUMIFS(#REF!,#REF!,
$A180,#REF!,
"&gt;="&amp;'Faturado mensal'!O$2,#REF!,
"&lt;"&amp;EOMONTH('Faturado mensal'!O$2,0))</f>
        <v>138.93</v>
      </c>
      <c r="P180" s="9">
        <f>SUMIFS(#REF!,#REF!,
$A180,#REF!,
"&gt;="&amp;'Faturado mensal'!P$2,#REF!,
"&lt;"&amp;EOMONTH('Faturado mensal'!P$2,0))</f>
        <v>139.16999999999999</v>
      </c>
      <c r="Q180" s="9">
        <f>SUMIFS(#REF!,#REF!,
$A180,#REF!,
"&gt;="&amp;'Faturado mensal'!Q$2,#REF!,
"&lt;"&amp;EOMONTH('Faturado mensal'!Q$2,0))</f>
        <v>138.5</v>
      </c>
      <c r="R180" s="9">
        <f>SUMIFS(#REF!,#REF!,
$A180,#REF!,
"&gt;="&amp;'Faturado mensal'!R$2,#REF!,
"&lt;"&amp;EOMONTH('Faturado mensal'!R$2,0))</f>
        <v>137.62</v>
      </c>
      <c r="S180" s="9">
        <f>SUMIFS(#REF!,#REF!,
$A180,#REF!,
"&gt;="&amp;'Faturado mensal'!S$2,#REF!,
"&lt;"&amp;EOMONTH('Faturado mensal'!S$2,0))</f>
        <v>137.31</v>
      </c>
      <c r="T180" s="9">
        <f>SUMIFS(#REF!,#REF!,
$A180,#REF!,
"&gt;="&amp;'Faturado mensal'!T$2,#REF!,
"&lt;"&amp;EOMONTH('Faturado mensal'!T$2,0))</f>
        <v>137.02000000000001</v>
      </c>
      <c r="U180" s="9">
        <f>SUMIFS(#REF!,#REF!,
$A180,#REF!,
"&gt;="&amp;'Faturado mensal'!U$2,#REF!,
"&lt;"&amp;EOMONTH('Faturado mensal'!U$2,0))</f>
        <v>136.94999999999999</v>
      </c>
      <c r="V180" s="9">
        <f>SUMIFS(#REF!,#REF!,
$A180,#REF!,
"&gt;="&amp;'Faturado mensal'!V$2,#REF!,
"&lt;"&amp;EOMONTH('Faturado mensal'!V$2,0))</f>
        <v>136.46</v>
      </c>
      <c r="W180" s="9">
        <f>SUMIFS(#REF!,#REF!,
$A180,#REF!,
"&gt;="&amp;'Faturado mensal'!W$2,#REF!,
"&lt;"&amp;EOMONTH('Faturado mensal'!W$2,0))</f>
        <v>66.22</v>
      </c>
      <c r="X180" s="9">
        <f>SUMIFS(#REF!,#REF!,
$A180,#REF!,
"&gt;="&amp;'Faturado mensal'!X$2,#REF!,
"&lt;"&amp;EOMONTH('Faturado mensal'!X$2,0))</f>
        <v>65.989999999999995</v>
      </c>
      <c r="Y180" s="11">
        <f>SUMIFS(#REF!,#REF!,
$A180,#REF!,
"&gt;="&amp;'Faturado mensal'!M$2,#REF!,
"&lt;"&amp;EOMONTH('Faturado mensal'!M$2,12))</f>
        <v>1657.7700000000002</v>
      </c>
      <c r="Z180" s="9">
        <f>SUMIFS(#REF!,#REF!,
$A180,#REF!,
"&gt;="&amp;'Faturado mensal'!Z$2,#REF!,
"&lt;"&amp;EOMONTH('Faturado mensal'!Z$2,0))</f>
        <v>147.16999999999999</v>
      </c>
      <c r="AA180" s="9">
        <f>SUMIFS(#REF!,#REF!,
$A180,#REF!,
"&gt;="&amp;'Faturado mensal'!AA$2,#REF!,
"&lt;"&amp;EOMONTH('Faturado mensal'!AA$2,0))</f>
        <v>710.41</v>
      </c>
      <c r="AB180" s="9">
        <f>SUMIFS(#REF!,#REF!,
$A180,#REF!,
"&gt;="&amp;'Faturado mensal'!AB$2,#REF!,
"&lt;"&amp;EOMONTH('Faturado mensal'!AB$2,0))</f>
        <v>710.19</v>
      </c>
      <c r="AC180" s="9">
        <f>SUMIFS(#REF!,#REF!,
$A180,#REF!,
"&gt;="&amp;'Faturado mensal'!AC$2,#REF!,
"&lt;"&amp;EOMONTH('Faturado mensal'!AC$2,0))</f>
        <v>709.89</v>
      </c>
      <c r="AD180" s="9">
        <f>SUMIFS(#REF!,#REF!,
$A180,#REF!,
"&gt;="&amp;'Faturado mensal'!AD$2,#REF!,
"&lt;"&amp;EOMONTH('Faturado mensal'!AD$2,0))</f>
        <v>709.47</v>
      </c>
      <c r="AE180" s="9">
        <f>SUMIFS(#REF!,#REF!,
$A180,#REF!,
"&gt;="&amp;'Faturado mensal'!AE$2,#REF!,
"&lt;"&amp;EOMONTH('Faturado mensal'!AE$2,0))</f>
        <v>709.19</v>
      </c>
      <c r="AF180" s="9">
        <f>SUMIFS(#REF!,#REF!,
$A180,#REF!,
"&gt;="&amp;'Faturado mensal'!AF$2,#REF!,
"&lt;"&amp;EOMONTH('Faturado mensal'!AF$2,0))</f>
        <v>0</v>
      </c>
      <c r="AG180" s="9">
        <f>SUMIFS(#REF!,#REF!,
$A180,#REF!,
"&gt;="&amp;'Faturado mensal'!AG$2,#REF!,
"&lt;"&amp;EOMONTH('Faturado mensal'!AG$2,0))</f>
        <v>0</v>
      </c>
      <c r="AH180" s="9">
        <f>SUMIFS(#REF!,#REF!,
$A180,#REF!,
"&gt;="&amp;'Faturado mensal'!AH$2,#REF!,
"&lt;"&amp;EOMONTH('Faturado mensal'!AH$2,0))</f>
        <v>0</v>
      </c>
      <c r="AI180" s="9">
        <f>SUMIFS(#REF!,#REF!,
$A180,#REF!,
"&gt;="&amp;'Faturado mensal'!AI$2,#REF!,
"&lt;"&amp;EOMONTH('Faturado mensal'!AI$2,0))</f>
        <v>0</v>
      </c>
      <c r="AJ180" s="9">
        <f>SUMIFS(#REF!,#REF!,
$A180,#REF!,
"&gt;="&amp;'Faturado mensal'!AJ$2,#REF!,
"&lt;"&amp;EOMONTH('Faturado mensal'!AJ$2,0))</f>
        <v>0</v>
      </c>
      <c r="AK180" s="9">
        <f>SUMIFS(#REF!,#REF!,
$A180,#REF!,
"&gt;="&amp;'Faturado mensal'!AK$2,#REF!,
"&lt;"&amp;EOMONTH('Faturado mensal'!AK$2,0))</f>
        <v>0</v>
      </c>
      <c r="AL180" s="9">
        <f>SUMIFS(#REF!,#REF!,
$A180,#REF!,
"&gt;="&amp;Z$2,#REF!,
"&lt;"&amp;EOMONTH(AK$2,0))</f>
        <v>3696.32</v>
      </c>
    </row>
    <row r="181" spans="1:38" x14ac:dyDescent="0.3">
      <c r="A181" t="s">
        <v>461</v>
      </c>
      <c r="B181" t="s">
        <v>417</v>
      </c>
      <c r="C181" t="s">
        <v>185</v>
      </c>
      <c r="D181" t="s">
        <v>204</v>
      </c>
      <c r="E181" t="s">
        <v>1037</v>
      </c>
      <c r="F181" t="s">
        <v>4780</v>
      </c>
      <c r="G181" t="s">
        <v>4854</v>
      </c>
      <c r="H181" t="s">
        <v>4771</v>
      </c>
      <c r="I181" t="s">
        <v>185</v>
      </c>
      <c r="J181" t="s">
        <v>710</v>
      </c>
      <c r="K181" t="s">
        <v>762</v>
      </c>
      <c r="L181" t="s">
        <v>763</v>
      </c>
      <c r="M181" s="9">
        <f>SUMIFS(#REF!,#REF!,
$A181,#REF!,
"&gt;="&amp;'Faturado mensal'!M$2,#REF!,
"&lt;"&amp;EOMONTH('Faturado mensal'!M$2,0))</f>
        <v>21629.71</v>
      </c>
      <c r="N181" s="9">
        <f>SUMIFS(#REF!,#REF!,
$A181,#REF!,
"&gt;="&amp;'Faturado mensal'!N$2,#REF!,
"&lt;"&amp;EOMONTH('Faturado mensal'!N$2,0))</f>
        <v>19176.810000000001</v>
      </c>
      <c r="O181" s="9">
        <f>SUMIFS(#REF!,#REF!,
$A181,#REF!,
"&gt;="&amp;'Faturado mensal'!O$2,#REF!,
"&lt;"&amp;EOMONTH('Faturado mensal'!O$2,0))</f>
        <v>21522.93</v>
      </c>
      <c r="P181" s="9">
        <f>SUMIFS(#REF!,#REF!,
$A181,#REF!,
"&gt;="&amp;'Faturado mensal'!P$2,#REF!,
"&lt;"&amp;EOMONTH('Faturado mensal'!P$2,0))</f>
        <v>21920.52</v>
      </c>
      <c r="Q181" s="9">
        <f>SUMIFS(#REF!,#REF!,
$A181,#REF!,
"&gt;="&amp;'Faturado mensal'!Q$2,#REF!,
"&lt;"&amp;EOMONTH('Faturado mensal'!Q$2,0))</f>
        <v>0</v>
      </c>
      <c r="R181" s="9">
        <f>SUMIFS(#REF!,#REF!,
$A181,#REF!,
"&gt;="&amp;'Faturado mensal'!R$2,#REF!,
"&lt;"&amp;EOMONTH('Faturado mensal'!R$2,0))</f>
        <v>43583.259999999995</v>
      </c>
      <c r="S181" s="9">
        <f>SUMIFS(#REF!,#REF!,
$A181,#REF!,
"&gt;="&amp;'Faturado mensal'!S$2,#REF!,
"&lt;"&amp;EOMONTH('Faturado mensal'!S$2,0))</f>
        <v>29204.35</v>
      </c>
      <c r="T181" s="9">
        <f>SUMIFS(#REF!,#REF!,
$A181,#REF!,
"&gt;="&amp;'Faturado mensal'!T$2,#REF!,
"&lt;"&amp;EOMONTH('Faturado mensal'!T$2,0))</f>
        <v>24051.29</v>
      </c>
      <c r="U181" s="9">
        <f>SUMIFS(#REF!,#REF!,
$A181,#REF!,
"&gt;="&amp;'Faturado mensal'!U$2,#REF!,
"&lt;"&amp;EOMONTH('Faturado mensal'!U$2,0))</f>
        <v>30936.13</v>
      </c>
      <c r="V181" s="9">
        <f>SUMIFS(#REF!,#REF!,
$A181,#REF!,
"&gt;="&amp;'Faturado mensal'!V$2,#REF!,
"&lt;"&amp;EOMONTH('Faturado mensal'!V$2,0))</f>
        <v>62408.25</v>
      </c>
      <c r="W181" s="9">
        <f>SUMIFS(#REF!,#REF!,
$A181,#REF!,
"&gt;="&amp;'Faturado mensal'!W$2,#REF!,
"&lt;"&amp;EOMONTH('Faturado mensal'!W$2,0))</f>
        <v>0</v>
      </c>
      <c r="X181" s="9">
        <f>SUMIFS(#REF!,#REF!,
$A181,#REF!,
"&gt;="&amp;'Faturado mensal'!X$2,#REF!,
"&lt;"&amp;EOMONTH('Faturado mensal'!X$2,0))</f>
        <v>22721.53</v>
      </c>
      <c r="Y181" s="11">
        <f>SUMIFS(#REF!,#REF!,
$A181,#REF!,
"&gt;="&amp;'Faturado mensal'!M$2,#REF!,
"&lt;"&amp;EOMONTH('Faturado mensal'!M$2,12))</f>
        <v>330278.91000000003</v>
      </c>
      <c r="Z181" s="9">
        <f>SUMIFS(#REF!,#REF!,
$A181,#REF!,
"&gt;="&amp;'Faturado mensal'!Z$2,#REF!,
"&lt;"&amp;EOMONTH('Faturado mensal'!Z$2,0))</f>
        <v>29218.91</v>
      </c>
      <c r="AA181" s="9">
        <f>SUMIFS(#REF!,#REF!,
$A181,#REF!,
"&gt;="&amp;'Faturado mensal'!AA$2,#REF!,
"&lt;"&amp;EOMONTH('Faturado mensal'!AA$2,0))</f>
        <v>31683.31</v>
      </c>
      <c r="AB181" s="9">
        <f>SUMIFS(#REF!,#REF!,
$A181,#REF!,
"&gt;="&amp;'Faturado mensal'!AB$2,#REF!,
"&lt;"&amp;EOMONTH('Faturado mensal'!AB$2,0))</f>
        <v>36993.81</v>
      </c>
      <c r="AC181" s="9">
        <f>SUMIFS(#REF!,#REF!,
$A181,#REF!,
"&gt;="&amp;'Faturado mensal'!AC$2,#REF!,
"&lt;"&amp;EOMONTH('Faturado mensal'!AC$2,0))</f>
        <v>38965.269999999997</v>
      </c>
      <c r="AD181" s="9">
        <f>SUMIFS(#REF!,#REF!,
$A181,#REF!,
"&gt;="&amp;'Faturado mensal'!AD$2,#REF!,
"&lt;"&amp;EOMONTH('Faturado mensal'!AD$2,0))</f>
        <v>6697.19</v>
      </c>
      <c r="AE181" s="9">
        <f>SUMIFS(#REF!,#REF!,
$A181,#REF!,
"&gt;="&amp;'Faturado mensal'!AE$2,#REF!,
"&lt;"&amp;EOMONTH('Faturado mensal'!AE$2,0))</f>
        <v>40887.75</v>
      </c>
      <c r="AF181" s="9">
        <f>SUMIFS(#REF!,#REF!,
$A181,#REF!,
"&gt;="&amp;'Faturado mensal'!AF$2,#REF!,
"&lt;"&amp;EOMONTH('Faturado mensal'!AF$2,0))</f>
        <v>0</v>
      </c>
      <c r="AG181" s="9">
        <f>SUMIFS(#REF!,#REF!,
$A181,#REF!,
"&gt;="&amp;'Faturado mensal'!AG$2,#REF!,
"&lt;"&amp;EOMONTH('Faturado mensal'!AG$2,0))</f>
        <v>0</v>
      </c>
      <c r="AH181" s="9">
        <f>SUMIFS(#REF!,#REF!,
$A181,#REF!,
"&gt;="&amp;'Faturado mensal'!AH$2,#REF!,
"&lt;"&amp;EOMONTH('Faturado mensal'!AH$2,0))</f>
        <v>0</v>
      </c>
      <c r="AI181" s="9">
        <f>SUMIFS(#REF!,#REF!,
$A181,#REF!,
"&gt;="&amp;'Faturado mensal'!AI$2,#REF!,
"&lt;"&amp;EOMONTH('Faturado mensal'!AI$2,0))</f>
        <v>0</v>
      </c>
      <c r="AJ181" s="9">
        <f>SUMIFS(#REF!,#REF!,
$A181,#REF!,
"&gt;="&amp;'Faturado mensal'!AJ$2,#REF!,
"&lt;"&amp;EOMONTH('Faturado mensal'!AJ$2,0))</f>
        <v>0</v>
      </c>
      <c r="AK181" s="9">
        <f>SUMIFS(#REF!,#REF!,
$A181,#REF!,
"&gt;="&amp;'Faturado mensal'!AK$2,#REF!,
"&lt;"&amp;EOMONTH('Faturado mensal'!AK$2,0))</f>
        <v>0</v>
      </c>
      <c r="AL181" s="9">
        <f>SUMIFS(#REF!,#REF!,
$A181,#REF!,
"&gt;="&amp;Z$2,#REF!,
"&lt;"&amp;EOMONTH(AK$2,0))</f>
        <v>184446.24</v>
      </c>
    </row>
    <row r="182" spans="1:38" x14ac:dyDescent="0.3">
      <c r="A182" t="s">
        <v>462</v>
      </c>
      <c r="B182" t="s">
        <v>463</v>
      </c>
      <c r="C182" t="s">
        <v>147</v>
      </c>
      <c r="D182" t="s">
        <v>204</v>
      </c>
      <c r="E182" t="s">
        <v>4848</v>
      </c>
      <c r="F182" t="s">
        <v>4776</v>
      </c>
      <c r="G182" t="s">
        <v>4852</v>
      </c>
      <c r="H182" t="s">
        <v>4771</v>
      </c>
      <c r="I182" t="s">
        <v>147</v>
      </c>
      <c r="J182" t="s">
        <v>719</v>
      </c>
      <c r="K182" t="s">
        <v>717</v>
      </c>
      <c r="L182" t="s">
        <v>718</v>
      </c>
      <c r="M182" s="9">
        <f>SUMIFS(#REF!,#REF!,
$A182,#REF!,
"&gt;="&amp;'Faturado mensal'!M$2,#REF!,
"&lt;"&amp;EOMONTH('Faturado mensal'!M$2,0))</f>
        <v>1141.17</v>
      </c>
      <c r="N182" s="9">
        <f>SUMIFS(#REF!,#REF!,
$A182,#REF!,
"&gt;="&amp;'Faturado mensal'!N$2,#REF!,
"&lt;"&amp;EOMONTH('Faturado mensal'!N$2,0))</f>
        <v>0</v>
      </c>
      <c r="O182" s="9">
        <f>SUMIFS(#REF!,#REF!,
$A182,#REF!,
"&gt;="&amp;'Faturado mensal'!O$2,#REF!,
"&lt;"&amp;EOMONTH('Faturado mensal'!O$2,0))</f>
        <v>0</v>
      </c>
      <c r="P182" s="9">
        <f>SUMIFS(#REF!,#REF!,
$A182,#REF!,
"&gt;="&amp;'Faturado mensal'!P$2,#REF!,
"&lt;"&amp;EOMONTH('Faturado mensal'!P$2,0))</f>
        <v>0</v>
      </c>
      <c r="Q182" s="9">
        <f>SUMIFS(#REF!,#REF!,
$A182,#REF!,
"&gt;="&amp;'Faturado mensal'!Q$2,#REF!,
"&lt;"&amp;EOMONTH('Faturado mensal'!Q$2,0))</f>
        <v>1082.6300000000001</v>
      </c>
      <c r="R182" s="9">
        <f>SUMIFS(#REF!,#REF!,
$A182,#REF!,
"&gt;="&amp;'Faturado mensal'!R$2,#REF!,
"&lt;"&amp;EOMONTH('Faturado mensal'!R$2,0))</f>
        <v>1082.6300000000001</v>
      </c>
      <c r="S182" s="9">
        <f>SUMIFS(#REF!,#REF!,
$A182,#REF!,
"&gt;="&amp;'Faturado mensal'!S$2,#REF!,
"&lt;"&amp;EOMONTH('Faturado mensal'!S$2,0))</f>
        <v>1082.6300000000001</v>
      </c>
      <c r="T182" s="9">
        <f>SUMIFS(#REF!,#REF!,
$A182,#REF!,
"&gt;="&amp;'Faturado mensal'!T$2,#REF!,
"&lt;"&amp;EOMONTH('Faturado mensal'!T$2,0))</f>
        <v>1783.01</v>
      </c>
      <c r="U182" s="9">
        <f>SUMIFS(#REF!,#REF!,
$A182,#REF!,
"&gt;="&amp;'Faturado mensal'!U$2,#REF!,
"&lt;"&amp;EOMONTH('Faturado mensal'!U$2,0))</f>
        <v>0</v>
      </c>
      <c r="V182" s="9">
        <f>SUMIFS(#REF!,#REF!,
$A182,#REF!,
"&gt;="&amp;'Faturado mensal'!V$2,#REF!,
"&lt;"&amp;EOMONTH('Faturado mensal'!V$2,0))</f>
        <v>1082.6300000000001</v>
      </c>
      <c r="W182" s="9">
        <f>SUMIFS(#REF!,#REF!,
$A182,#REF!,
"&gt;="&amp;'Faturado mensal'!W$2,#REF!,
"&lt;"&amp;EOMONTH('Faturado mensal'!W$2,0))</f>
        <v>0</v>
      </c>
      <c r="X182" s="9">
        <f>SUMIFS(#REF!,#REF!,
$A182,#REF!,
"&gt;="&amp;'Faturado mensal'!X$2,#REF!,
"&lt;"&amp;EOMONTH('Faturado mensal'!X$2,0))</f>
        <v>2165.2600000000002</v>
      </c>
      <c r="Y182" s="11">
        <f>SUMIFS(#REF!,#REF!,
$A182,#REF!,
"&gt;="&amp;'Faturado mensal'!M$2,#REF!,
"&lt;"&amp;EOMONTH('Faturado mensal'!M$2,12))</f>
        <v>15941.710000000003</v>
      </c>
      <c r="Z182" s="9">
        <f>SUMIFS(#REF!,#REF!,
$A182,#REF!,
"&gt;="&amp;'Faturado mensal'!Z$2,#REF!,
"&lt;"&amp;EOMONTH('Faturado mensal'!Z$2,0))</f>
        <v>1082.6300000000001</v>
      </c>
      <c r="AA182" s="9">
        <f>SUMIFS(#REF!,#REF!,
$A182,#REF!,
"&gt;="&amp;'Faturado mensal'!AA$2,#REF!,
"&lt;"&amp;EOMONTH('Faturado mensal'!AA$2,0))</f>
        <v>1216.83</v>
      </c>
      <c r="AB182" s="9">
        <f>SUMIFS(#REF!,#REF!,
$A182,#REF!,
"&gt;="&amp;'Faturado mensal'!AB$2,#REF!,
"&lt;"&amp;EOMONTH('Faturado mensal'!AB$2,0))</f>
        <v>0</v>
      </c>
      <c r="AC182" s="9">
        <f>SUMIFS(#REF!,#REF!,
$A182,#REF!,
"&gt;="&amp;'Faturado mensal'!AC$2,#REF!,
"&lt;"&amp;EOMONTH('Faturado mensal'!AC$2,0))</f>
        <v>1212.44</v>
      </c>
      <c r="AD182" s="9">
        <f>SUMIFS(#REF!,#REF!,
$A182,#REF!,
"&gt;="&amp;'Faturado mensal'!AD$2,#REF!,
"&lt;"&amp;EOMONTH('Faturado mensal'!AD$2,0))</f>
        <v>1215.06</v>
      </c>
      <c r="AE182" s="9">
        <f>SUMIFS(#REF!,#REF!,
$A182,#REF!,
"&gt;="&amp;'Faturado mensal'!AE$2,#REF!,
"&lt;"&amp;EOMONTH('Faturado mensal'!AE$2,0))</f>
        <v>0</v>
      </c>
      <c r="AF182" s="9">
        <f>SUMIFS(#REF!,#REF!,
$A182,#REF!,
"&gt;="&amp;'Faturado mensal'!AF$2,#REF!,
"&lt;"&amp;EOMONTH('Faturado mensal'!AF$2,0))</f>
        <v>0</v>
      </c>
      <c r="AG182" s="9">
        <f>SUMIFS(#REF!,#REF!,
$A182,#REF!,
"&gt;="&amp;'Faturado mensal'!AG$2,#REF!,
"&lt;"&amp;EOMONTH('Faturado mensal'!AG$2,0))</f>
        <v>0</v>
      </c>
      <c r="AH182" s="9">
        <f>SUMIFS(#REF!,#REF!,
$A182,#REF!,
"&gt;="&amp;'Faturado mensal'!AH$2,#REF!,
"&lt;"&amp;EOMONTH('Faturado mensal'!AH$2,0))</f>
        <v>0</v>
      </c>
      <c r="AI182" s="9">
        <f>SUMIFS(#REF!,#REF!,
$A182,#REF!,
"&gt;="&amp;'Faturado mensal'!AI$2,#REF!,
"&lt;"&amp;EOMONTH('Faturado mensal'!AI$2,0))</f>
        <v>0</v>
      </c>
      <c r="AJ182" s="9">
        <f>SUMIFS(#REF!,#REF!,
$A182,#REF!,
"&gt;="&amp;'Faturado mensal'!AJ$2,#REF!,
"&lt;"&amp;EOMONTH('Faturado mensal'!AJ$2,0))</f>
        <v>0</v>
      </c>
      <c r="AK182" s="9">
        <f>SUMIFS(#REF!,#REF!,
$A182,#REF!,
"&gt;="&amp;'Faturado mensal'!AK$2,#REF!,
"&lt;"&amp;EOMONTH('Faturado mensal'!AK$2,0))</f>
        <v>0</v>
      </c>
      <c r="AL182" s="9">
        <f>SUMIFS(#REF!,#REF!,
$A182,#REF!,
"&gt;="&amp;Z$2,#REF!,
"&lt;"&amp;EOMONTH(AK$2,0))</f>
        <v>5939.4</v>
      </c>
    </row>
    <row r="183" spans="1:38" x14ac:dyDescent="0.3">
      <c r="A183" t="s">
        <v>464</v>
      </c>
      <c r="B183" t="s">
        <v>465</v>
      </c>
      <c r="C183" t="s">
        <v>172</v>
      </c>
      <c r="D183" t="s">
        <v>209</v>
      </c>
      <c r="I183" t="s">
        <v>747</v>
      </c>
      <c r="J183" t="s">
        <v>710</v>
      </c>
      <c r="K183" t="s">
        <v>762</v>
      </c>
      <c r="L183" t="s">
        <v>763</v>
      </c>
      <c r="M183" s="9">
        <f>SUMIFS(#REF!,#REF!,
$A183,#REF!,
"&gt;="&amp;'Faturado mensal'!M$2,#REF!,
"&lt;"&amp;EOMONTH('Faturado mensal'!M$2,0))</f>
        <v>0</v>
      </c>
      <c r="N183" s="9">
        <f>SUMIFS(#REF!,#REF!,
$A183,#REF!,
"&gt;="&amp;'Faturado mensal'!N$2,#REF!,
"&lt;"&amp;EOMONTH('Faturado mensal'!N$2,0))</f>
        <v>0</v>
      </c>
      <c r="O183" s="9">
        <f>SUMIFS(#REF!,#REF!,
$A183,#REF!,
"&gt;="&amp;'Faturado mensal'!O$2,#REF!,
"&lt;"&amp;EOMONTH('Faturado mensal'!O$2,0))</f>
        <v>0</v>
      </c>
      <c r="P183" s="9">
        <f>SUMIFS(#REF!,#REF!,
$A183,#REF!,
"&gt;="&amp;'Faturado mensal'!P$2,#REF!,
"&lt;"&amp;EOMONTH('Faturado mensal'!P$2,0))</f>
        <v>0</v>
      </c>
      <c r="Q183" s="9">
        <f>SUMIFS(#REF!,#REF!,
$A183,#REF!,
"&gt;="&amp;'Faturado mensal'!Q$2,#REF!,
"&lt;"&amp;EOMONTH('Faturado mensal'!Q$2,0))</f>
        <v>0</v>
      </c>
      <c r="R183" s="9">
        <f>SUMIFS(#REF!,#REF!,
$A183,#REF!,
"&gt;="&amp;'Faturado mensal'!R$2,#REF!,
"&lt;"&amp;EOMONTH('Faturado mensal'!R$2,0))</f>
        <v>0</v>
      </c>
      <c r="S183" s="9">
        <f>SUMIFS(#REF!,#REF!,
$A183,#REF!,
"&gt;="&amp;'Faturado mensal'!S$2,#REF!,
"&lt;"&amp;EOMONTH('Faturado mensal'!S$2,0))</f>
        <v>0</v>
      </c>
      <c r="T183" s="9">
        <f>SUMIFS(#REF!,#REF!,
$A183,#REF!,
"&gt;="&amp;'Faturado mensal'!T$2,#REF!,
"&lt;"&amp;EOMONTH('Faturado mensal'!T$2,0))</f>
        <v>0</v>
      </c>
      <c r="U183" s="9">
        <f>SUMIFS(#REF!,#REF!,
$A183,#REF!,
"&gt;="&amp;'Faturado mensal'!U$2,#REF!,
"&lt;"&amp;EOMONTH('Faturado mensal'!U$2,0))</f>
        <v>0</v>
      </c>
      <c r="V183" s="9">
        <f>SUMIFS(#REF!,#REF!,
$A183,#REF!,
"&gt;="&amp;'Faturado mensal'!V$2,#REF!,
"&lt;"&amp;EOMONTH('Faturado mensal'!V$2,0))</f>
        <v>0</v>
      </c>
      <c r="W183" s="9">
        <f>SUMIFS(#REF!,#REF!,
$A183,#REF!,
"&gt;="&amp;'Faturado mensal'!W$2,#REF!,
"&lt;"&amp;EOMONTH('Faturado mensal'!W$2,0))</f>
        <v>0</v>
      </c>
      <c r="X183" s="9">
        <f>SUMIFS(#REF!,#REF!,
$A183,#REF!,
"&gt;="&amp;'Faturado mensal'!X$2,#REF!,
"&lt;"&amp;EOMONTH('Faturado mensal'!X$2,0))</f>
        <v>0</v>
      </c>
      <c r="Y183" s="11">
        <f>SUMIFS(#REF!,#REF!,
$A183,#REF!,
"&gt;="&amp;'Faturado mensal'!M$2,#REF!,
"&lt;"&amp;EOMONTH('Faturado mensal'!M$2,12))</f>
        <v>0</v>
      </c>
      <c r="Z183" s="9">
        <f>SUMIFS(#REF!,#REF!,
$A183,#REF!,
"&gt;="&amp;'Faturado mensal'!Z$2,#REF!,
"&lt;"&amp;EOMONTH('Faturado mensal'!Z$2,0))</f>
        <v>0</v>
      </c>
      <c r="AA183" s="9">
        <f>SUMIFS(#REF!,#REF!,
$A183,#REF!,
"&gt;="&amp;'Faturado mensal'!AA$2,#REF!,
"&lt;"&amp;EOMONTH('Faturado mensal'!AA$2,0))</f>
        <v>0</v>
      </c>
      <c r="AB183" s="9">
        <f>SUMIFS(#REF!,#REF!,
$A183,#REF!,
"&gt;="&amp;'Faturado mensal'!AB$2,#REF!,
"&lt;"&amp;EOMONTH('Faturado mensal'!AB$2,0))</f>
        <v>0</v>
      </c>
      <c r="AC183" s="9">
        <f>SUMIFS(#REF!,#REF!,
$A183,#REF!,
"&gt;="&amp;'Faturado mensal'!AC$2,#REF!,
"&lt;"&amp;EOMONTH('Faturado mensal'!AC$2,0))</f>
        <v>0</v>
      </c>
      <c r="AD183" s="9">
        <f>SUMIFS(#REF!,#REF!,
$A183,#REF!,
"&gt;="&amp;'Faturado mensal'!AD$2,#REF!,
"&lt;"&amp;EOMONTH('Faturado mensal'!AD$2,0))</f>
        <v>0</v>
      </c>
      <c r="AE183" s="9">
        <f>SUMIFS(#REF!,#REF!,
$A183,#REF!,
"&gt;="&amp;'Faturado mensal'!AE$2,#REF!,
"&lt;"&amp;EOMONTH('Faturado mensal'!AE$2,0))</f>
        <v>0</v>
      </c>
      <c r="AF183" s="9">
        <f>SUMIFS(#REF!,#REF!,
$A183,#REF!,
"&gt;="&amp;'Faturado mensal'!AF$2,#REF!,
"&lt;"&amp;EOMONTH('Faturado mensal'!AF$2,0))</f>
        <v>0</v>
      </c>
      <c r="AG183" s="9">
        <f>SUMIFS(#REF!,#REF!,
$A183,#REF!,
"&gt;="&amp;'Faturado mensal'!AG$2,#REF!,
"&lt;"&amp;EOMONTH('Faturado mensal'!AG$2,0))</f>
        <v>0</v>
      </c>
      <c r="AH183" s="9">
        <f>SUMIFS(#REF!,#REF!,
$A183,#REF!,
"&gt;="&amp;'Faturado mensal'!AH$2,#REF!,
"&lt;"&amp;EOMONTH('Faturado mensal'!AH$2,0))</f>
        <v>0</v>
      </c>
      <c r="AI183" s="9">
        <f>SUMIFS(#REF!,#REF!,
$A183,#REF!,
"&gt;="&amp;'Faturado mensal'!AI$2,#REF!,
"&lt;"&amp;EOMONTH('Faturado mensal'!AI$2,0))</f>
        <v>0</v>
      </c>
      <c r="AJ183" s="9">
        <f>SUMIFS(#REF!,#REF!,
$A183,#REF!,
"&gt;="&amp;'Faturado mensal'!AJ$2,#REF!,
"&lt;"&amp;EOMONTH('Faturado mensal'!AJ$2,0))</f>
        <v>0</v>
      </c>
      <c r="AK183" s="9">
        <f>SUMIFS(#REF!,#REF!,
$A183,#REF!,
"&gt;="&amp;'Faturado mensal'!AK$2,#REF!,
"&lt;"&amp;EOMONTH('Faturado mensal'!AK$2,0))</f>
        <v>0</v>
      </c>
      <c r="AL183" s="9">
        <f>SUMIFS(#REF!,#REF!,
$A183,#REF!,
"&gt;="&amp;Z$2,#REF!,
"&lt;"&amp;EOMONTH(AK$2,0))</f>
        <v>0</v>
      </c>
    </row>
    <row r="184" spans="1:38" x14ac:dyDescent="0.3">
      <c r="A184" t="s">
        <v>466</v>
      </c>
      <c r="B184" t="s">
        <v>467</v>
      </c>
      <c r="C184" t="s">
        <v>175</v>
      </c>
      <c r="D184" t="s">
        <v>204</v>
      </c>
      <c r="E184" t="s">
        <v>4845</v>
      </c>
      <c r="F184" t="s">
        <v>4776</v>
      </c>
      <c r="G184" t="s">
        <v>4845</v>
      </c>
      <c r="H184" t="s">
        <v>4773</v>
      </c>
      <c r="I184" t="s">
        <v>851</v>
      </c>
      <c r="J184" t="s">
        <v>710</v>
      </c>
      <c r="K184" t="s">
        <v>762</v>
      </c>
      <c r="L184" t="s">
        <v>763</v>
      </c>
      <c r="M184" s="9">
        <f>SUMIFS(#REF!,#REF!,
$A184,#REF!,
"&gt;="&amp;'Faturado mensal'!M$2,#REF!,
"&lt;"&amp;EOMONTH('Faturado mensal'!M$2,0))</f>
        <v>10771.59</v>
      </c>
      <c r="N184" s="9">
        <f>SUMIFS(#REF!,#REF!,
$A184,#REF!,
"&gt;="&amp;'Faturado mensal'!N$2,#REF!,
"&lt;"&amp;EOMONTH('Faturado mensal'!N$2,0))</f>
        <v>10771.59</v>
      </c>
      <c r="O184" s="9">
        <f>SUMIFS(#REF!,#REF!,
$A184,#REF!,
"&gt;="&amp;'Faturado mensal'!O$2,#REF!,
"&lt;"&amp;EOMONTH('Faturado mensal'!O$2,0))</f>
        <v>10771.59</v>
      </c>
      <c r="P184" s="9">
        <f>SUMIFS(#REF!,#REF!,
$A184,#REF!,
"&gt;="&amp;'Faturado mensal'!P$2,#REF!,
"&lt;"&amp;EOMONTH('Faturado mensal'!P$2,0))</f>
        <v>10771.59</v>
      </c>
      <c r="Q184" s="9">
        <f>SUMIFS(#REF!,#REF!,
$A184,#REF!,
"&gt;="&amp;'Faturado mensal'!Q$2,#REF!,
"&lt;"&amp;EOMONTH('Faturado mensal'!Q$2,0))</f>
        <v>10771.59</v>
      </c>
      <c r="R184" s="9">
        <f>SUMIFS(#REF!,#REF!,
$A184,#REF!,
"&gt;="&amp;'Faturado mensal'!R$2,#REF!,
"&lt;"&amp;EOMONTH('Faturado mensal'!R$2,0))</f>
        <v>10771.59</v>
      </c>
      <c r="S184" s="9">
        <f>SUMIFS(#REF!,#REF!,
$A184,#REF!,
"&gt;="&amp;'Faturado mensal'!S$2,#REF!,
"&lt;"&amp;EOMONTH('Faturado mensal'!S$2,0))</f>
        <v>10771.59</v>
      </c>
      <c r="T184" s="9">
        <f>SUMIFS(#REF!,#REF!,
$A184,#REF!,
"&gt;="&amp;'Faturado mensal'!T$2,#REF!,
"&lt;"&amp;EOMONTH('Faturado mensal'!T$2,0))</f>
        <v>10771.59</v>
      </c>
      <c r="U184" s="9">
        <f>SUMIFS(#REF!,#REF!,
$A184,#REF!,
"&gt;="&amp;'Faturado mensal'!U$2,#REF!,
"&lt;"&amp;EOMONTH('Faturado mensal'!U$2,0))</f>
        <v>0</v>
      </c>
      <c r="V184" s="9">
        <f>SUMIFS(#REF!,#REF!,
$A184,#REF!,
"&gt;="&amp;'Faturado mensal'!V$2,#REF!,
"&lt;"&amp;EOMONTH('Faturado mensal'!V$2,0))</f>
        <v>33135.96</v>
      </c>
      <c r="W184" s="9">
        <f>SUMIFS(#REF!,#REF!,
$A184,#REF!,
"&gt;="&amp;'Faturado mensal'!W$2,#REF!,
"&lt;"&amp;EOMONTH('Faturado mensal'!W$2,0))</f>
        <v>16567.98</v>
      </c>
      <c r="X184" s="9">
        <f>SUMIFS(#REF!,#REF!,
$A184,#REF!,
"&gt;="&amp;'Faturado mensal'!X$2,#REF!,
"&lt;"&amp;EOMONTH('Faturado mensal'!X$2,0))</f>
        <v>16567.98</v>
      </c>
      <c r="Y184" s="11">
        <f>SUMIFS(#REF!,#REF!,
$A184,#REF!,
"&gt;="&amp;'Faturado mensal'!M$2,#REF!,
"&lt;"&amp;EOMONTH('Faturado mensal'!M$2,12))</f>
        <v>169012.62</v>
      </c>
      <c r="Z184" s="9">
        <f>SUMIFS(#REF!,#REF!,
$A184,#REF!,
"&gt;="&amp;'Faturado mensal'!Z$2,#REF!,
"&lt;"&amp;EOMONTH('Faturado mensal'!Z$2,0))</f>
        <v>16567.98</v>
      </c>
      <c r="AA184" s="9">
        <f>SUMIFS(#REF!,#REF!,
$A184,#REF!,
"&gt;="&amp;'Faturado mensal'!AA$2,#REF!,
"&lt;"&amp;EOMONTH('Faturado mensal'!AA$2,0))</f>
        <v>16567.98</v>
      </c>
      <c r="AB184" s="9">
        <f>SUMIFS(#REF!,#REF!,
$A184,#REF!,
"&gt;="&amp;'Faturado mensal'!AB$2,#REF!,
"&lt;"&amp;EOMONTH('Faturado mensal'!AB$2,0))</f>
        <v>16567.98</v>
      </c>
      <c r="AC184" s="9">
        <f>SUMIFS(#REF!,#REF!,
$A184,#REF!,
"&gt;="&amp;'Faturado mensal'!AC$2,#REF!,
"&lt;"&amp;EOMONTH('Faturado mensal'!AC$2,0))</f>
        <v>16567.98</v>
      </c>
      <c r="AD184" s="9">
        <f>SUMIFS(#REF!,#REF!,
$A184,#REF!,
"&gt;="&amp;'Faturado mensal'!AD$2,#REF!,
"&lt;"&amp;EOMONTH('Faturado mensal'!AD$2,0))</f>
        <v>16567.98</v>
      </c>
      <c r="AE184" s="9">
        <f>SUMIFS(#REF!,#REF!,
$A184,#REF!,
"&gt;="&amp;'Faturado mensal'!AE$2,#REF!,
"&lt;"&amp;EOMONTH('Faturado mensal'!AE$2,0))</f>
        <v>16567.98</v>
      </c>
      <c r="AF184" s="9">
        <f>SUMIFS(#REF!,#REF!,
$A184,#REF!,
"&gt;="&amp;'Faturado mensal'!AF$2,#REF!,
"&lt;"&amp;EOMONTH('Faturado mensal'!AF$2,0))</f>
        <v>0</v>
      </c>
      <c r="AG184" s="9">
        <f>SUMIFS(#REF!,#REF!,
$A184,#REF!,
"&gt;="&amp;'Faturado mensal'!AG$2,#REF!,
"&lt;"&amp;EOMONTH('Faturado mensal'!AG$2,0))</f>
        <v>0</v>
      </c>
      <c r="AH184" s="9">
        <f>SUMIFS(#REF!,#REF!,
$A184,#REF!,
"&gt;="&amp;'Faturado mensal'!AH$2,#REF!,
"&lt;"&amp;EOMONTH('Faturado mensal'!AH$2,0))</f>
        <v>0</v>
      </c>
      <c r="AI184" s="9">
        <f>SUMIFS(#REF!,#REF!,
$A184,#REF!,
"&gt;="&amp;'Faturado mensal'!AI$2,#REF!,
"&lt;"&amp;EOMONTH('Faturado mensal'!AI$2,0))</f>
        <v>0</v>
      </c>
      <c r="AJ184" s="9">
        <f>SUMIFS(#REF!,#REF!,
$A184,#REF!,
"&gt;="&amp;'Faturado mensal'!AJ$2,#REF!,
"&lt;"&amp;EOMONTH('Faturado mensal'!AJ$2,0))</f>
        <v>0</v>
      </c>
      <c r="AK184" s="9">
        <f>SUMIFS(#REF!,#REF!,
$A184,#REF!,
"&gt;="&amp;'Faturado mensal'!AK$2,#REF!,
"&lt;"&amp;EOMONTH('Faturado mensal'!AK$2,0))</f>
        <v>0</v>
      </c>
      <c r="AL184" s="9">
        <f>SUMIFS(#REF!,#REF!,
$A184,#REF!,
"&gt;="&amp;Z$2,#REF!,
"&lt;"&amp;EOMONTH(AK$2,0))</f>
        <v>99407.87999999999</v>
      </c>
    </row>
    <row r="185" spans="1:38" x14ac:dyDescent="0.3">
      <c r="A185" t="s">
        <v>468</v>
      </c>
      <c r="B185" t="s">
        <v>469</v>
      </c>
      <c r="C185" t="s">
        <v>124</v>
      </c>
      <c r="D185" t="s">
        <v>204</v>
      </c>
      <c r="E185" t="s">
        <v>4845</v>
      </c>
      <c r="F185" t="s">
        <v>4776</v>
      </c>
      <c r="G185" t="s">
        <v>4845</v>
      </c>
      <c r="H185" t="s">
        <v>4771</v>
      </c>
      <c r="I185" t="s">
        <v>852</v>
      </c>
      <c r="J185" t="s">
        <v>719</v>
      </c>
      <c r="K185" t="s">
        <v>762</v>
      </c>
      <c r="L185" t="s">
        <v>763</v>
      </c>
      <c r="M185" s="9">
        <f>SUMIFS(#REF!,#REF!,
$A185,#REF!,
"&gt;="&amp;'Faturado mensal'!M$2,#REF!,
"&lt;"&amp;EOMONTH('Faturado mensal'!M$2,0))</f>
        <v>858</v>
      </c>
      <c r="N185" s="9">
        <f>SUMIFS(#REF!,#REF!,
$A185,#REF!,
"&gt;="&amp;'Faturado mensal'!N$2,#REF!,
"&lt;"&amp;EOMONTH('Faturado mensal'!N$2,0))</f>
        <v>388.5</v>
      </c>
      <c r="O185" s="9">
        <f>SUMIFS(#REF!,#REF!,
$A185,#REF!,
"&gt;="&amp;'Faturado mensal'!O$2,#REF!,
"&lt;"&amp;EOMONTH('Faturado mensal'!O$2,0))</f>
        <v>320</v>
      </c>
      <c r="P185" s="9">
        <f>SUMIFS(#REF!,#REF!,
$A185,#REF!,
"&gt;="&amp;'Faturado mensal'!P$2,#REF!,
"&lt;"&amp;EOMONTH('Faturado mensal'!P$2,0))</f>
        <v>240</v>
      </c>
      <c r="Q185" s="9">
        <f>SUMIFS(#REF!,#REF!,
$A185,#REF!,
"&gt;="&amp;'Faturado mensal'!Q$2,#REF!,
"&lt;"&amp;EOMONTH('Faturado mensal'!Q$2,0))</f>
        <v>440</v>
      </c>
      <c r="R185" s="9">
        <f>SUMIFS(#REF!,#REF!,
$A185,#REF!,
"&gt;="&amp;'Faturado mensal'!R$2,#REF!,
"&lt;"&amp;EOMONTH('Faturado mensal'!R$2,0))</f>
        <v>0</v>
      </c>
      <c r="S185" s="9">
        <f>SUMIFS(#REF!,#REF!,
$A185,#REF!,
"&gt;="&amp;'Faturado mensal'!S$2,#REF!,
"&lt;"&amp;EOMONTH('Faturado mensal'!S$2,0))</f>
        <v>1198.4000000000001</v>
      </c>
      <c r="T185" s="9">
        <f>SUMIFS(#REF!,#REF!,
$A185,#REF!,
"&gt;="&amp;'Faturado mensal'!T$2,#REF!,
"&lt;"&amp;EOMONTH('Faturado mensal'!T$2,0))</f>
        <v>1148</v>
      </c>
      <c r="U185" s="9">
        <f>SUMIFS(#REF!,#REF!,
$A185,#REF!,
"&gt;="&amp;'Faturado mensal'!U$2,#REF!,
"&lt;"&amp;EOMONTH('Faturado mensal'!U$2,0))</f>
        <v>0</v>
      </c>
      <c r="V185" s="9">
        <f>SUMIFS(#REF!,#REF!,
$A185,#REF!,
"&gt;="&amp;'Faturado mensal'!V$2,#REF!,
"&lt;"&amp;EOMONTH('Faturado mensal'!V$2,0))</f>
        <v>6296</v>
      </c>
      <c r="W185" s="9">
        <f>SUMIFS(#REF!,#REF!,
$A185,#REF!,
"&gt;="&amp;'Faturado mensal'!W$2,#REF!,
"&lt;"&amp;EOMONTH('Faturado mensal'!W$2,0))</f>
        <v>0</v>
      </c>
      <c r="X185" s="9">
        <f>SUMIFS(#REF!,#REF!,
$A185,#REF!,
"&gt;="&amp;'Faturado mensal'!X$2,#REF!,
"&lt;"&amp;EOMONTH('Faturado mensal'!X$2,0))</f>
        <v>1290</v>
      </c>
      <c r="Y185" s="11">
        <f>SUMIFS(#REF!,#REF!,
$A185,#REF!,
"&gt;="&amp;'Faturado mensal'!M$2,#REF!,
"&lt;"&amp;EOMONTH('Faturado mensal'!M$2,12))</f>
        <v>13454.9</v>
      </c>
      <c r="Z185" s="9">
        <f>SUMIFS(#REF!,#REF!,
$A185,#REF!,
"&gt;="&amp;'Faturado mensal'!Z$2,#REF!,
"&lt;"&amp;EOMONTH('Faturado mensal'!Z$2,0))</f>
        <v>1276</v>
      </c>
      <c r="AA185" s="9">
        <f>SUMIFS(#REF!,#REF!,
$A185,#REF!,
"&gt;="&amp;'Faturado mensal'!AA$2,#REF!,
"&lt;"&amp;EOMONTH('Faturado mensal'!AA$2,0))</f>
        <v>2255</v>
      </c>
      <c r="AB185" s="9">
        <f>SUMIFS(#REF!,#REF!,
$A185,#REF!,
"&gt;="&amp;'Faturado mensal'!AB$2,#REF!,
"&lt;"&amp;EOMONTH('Faturado mensal'!AB$2,0))</f>
        <v>484</v>
      </c>
      <c r="AC185" s="9">
        <f>SUMIFS(#REF!,#REF!,
$A185,#REF!,
"&gt;="&amp;'Faturado mensal'!AC$2,#REF!,
"&lt;"&amp;EOMONTH('Faturado mensal'!AC$2,0))</f>
        <v>1751</v>
      </c>
      <c r="AD185" s="9">
        <f>SUMIFS(#REF!,#REF!,
$A185,#REF!,
"&gt;="&amp;'Faturado mensal'!AD$2,#REF!,
"&lt;"&amp;EOMONTH('Faturado mensal'!AD$2,0))</f>
        <v>0</v>
      </c>
      <c r="AE185" s="9">
        <f>SUMIFS(#REF!,#REF!,
$A185,#REF!,
"&gt;="&amp;'Faturado mensal'!AE$2,#REF!,
"&lt;"&amp;EOMONTH('Faturado mensal'!AE$2,0))</f>
        <v>1839</v>
      </c>
      <c r="AF185" s="9">
        <f>SUMIFS(#REF!,#REF!,
$A185,#REF!,
"&gt;="&amp;'Faturado mensal'!AF$2,#REF!,
"&lt;"&amp;EOMONTH('Faturado mensal'!AF$2,0))</f>
        <v>0</v>
      </c>
      <c r="AG185" s="9">
        <f>SUMIFS(#REF!,#REF!,
$A185,#REF!,
"&gt;="&amp;'Faturado mensal'!AG$2,#REF!,
"&lt;"&amp;EOMONTH('Faturado mensal'!AG$2,0))</f>
        <v>0</v>
      </c>
      <c r="AH185" s="9">
        <f>SUMIFS(#REF!,#REF!,
$A185,#REF!,
"&gt;="&amp;'Faturado mensal'!AH$2,#REF!,
"&lt;"&amp;EOMONTH('Faturado mensal'!AH$2,0))</f>
        <v>0</v>
      </c>
      <c r="AI185" s="9">
        <f>SUMIFS(#REF!,#REF!,
$A185,#REF!,
"&gt;="&amp;'Faturado mensal'!AI$2,#REF!,
"&lt;"&amp;EOMONTH('Faturado mensal'!AI$2,0))</f>
        <v>0</v>
      </c>
      <c r="AJ185" s="9">
        <f>SUMIFS(#REF!,#REF!,
$A185,#REF!,
"&gt;="&amp;'Faturado mensal'!AJ$2,#REF!,
"&lt;"&amp;EOMONTH('Faturado mensal'!AJ$2,0))</f>
        <v>0</v>
      </c>
      <c r="AK185" s="9">
        <f>SUMIFS(#REF!,#REF!,
$A185,#REF!,
"&gt;="&amp;'Faturado mensal'!AK$2,#REF!,
"&lt;"&amp;EOMONTH('Faturado mensal'!AK$2,0))</f>
        <v>0</v>
      </c>
      <c r="AL185" s="9">
        <f>SUMIFS(#REF!,#REF!,
$A185,#REF!,
"&gt;="&amp;Z$2,#REF!,
"&lt;"&amp;EOMONTH(AK$2,0))</f>
        <v>7605</v>
      </c>
    </row>
    <row r="186" spans="1:38" x14ac:dyDescent="0.3">
      <c r="A186" t="s">
        <v>853</v>
      </c>
      <c r="B186" t="s">
        <v>854</v>
      </c>
      <c r="C186" t="s">
        <v>855</v>
      </c>
      <c r="D186" t="s">
        <v>209</v>
      </c>
      <c r="G186" t="s">
        <v>4845</v>
      </c>
      <c r="H186" t="s">
        <v>4771</v>
      </c>
      <c r="I186" t="s">
        <v>855</v>
      </c>
      <c r="J186" t="s">
        <v>710</v>
      </c>
      <c r="K186" t="s">
        <v>839</v>
      </c>
      <c r="L186" t="s">
        <v>840</v>
      </c>
      <c r="M186" s="9">
        <f>SUMIFS(#REF!,#REF!,
$A186,#REF!,
"&gt;="&amp;'Faturado mensal'!M$2,#REF!,
"&lt;"&amp;EOMONTH('Faturado mensal'!M$2,0))</f>
        <v>0</v>
      </c>
      <c r="N186" s="9">
        <f>SUMIFS(#REF!,#REF!,
$A186,#REF!,
"&gt;="&amp;'Faturado mensal'!N$2,#REF!,
"&lt;"&amp;EOMONTH('Faturado mensal'!N$2,0))</f>
        <v>0</v>
      </c>
      <c r="O186" s="9">
        <f>SUMIFS(#REF!,#REF!,
$A186,#REF!,
"&gt;="&amp;'Faturado mensal'!O$2,#REF!,
"&lt;"&amp;EOMONTH('Faturado mensal'!O$2,0))</f>
        <v>0</v>
      </c>
      <c r="P186" s="9">
        <f>SUMIFS(#REF!,#REF!,
$A186,#REF!,
"&gt;="&amp;'Faturado mensal'!P$2,#REF!,
"&lt;"&amp;EOMONTH('Faturado mensal'!P$2,0))</f>
        <v>0</v>
      </c>
      <c r="Q186" s="9">
        <f>SUMIFS(#REF!,#REF!,
$A186,#REF!,
"&gt;="&amp;'Faturado mensal'!Q$2,#REF!,
"&lt;"&amp;EOMONTH('Faturado mensal'!Q$2,0))</f>
        <v>0</v>
      </c>
      <c r="R186" s="9">
        <f>SUMIFS(#REF!,#REF!,
$A186,#REF!,
"&gt;="&amp;'Faturado mensal'!R$2,#REF!,
"&lt;"&amp;EOMONTH('Faturado mensal'!R$2,0))</f>
        <v>0</v>
      </c>
      <c r="S186" s="9">
        <f>SUMIFS(#REF!,#REF!,
$A186,#REF!,
"&gt;="&amp;'Faturado mensal'!S$2,#REF!,
"&lt;"&amp;EOMONTH('Faturado mensal'!S$2,0))</f>
        <v>0</v>
      </c>
      <c r="T186" s="9">
        <f>SUMIFS(#REF!,#REF!,
$A186,#REF!,
"&gt;="&amp;'Faturado mensal'!T$2,#REF!,
"&lt;"&amp;EOMONTH('Faturado mensal'!T$2,0))</f>
        <v>0</v>
      </c>
      <c r="U186" s="9">
        <f>SUMIFS(#REF!,#REF!,
$A186,#REF!,
"&gt;="&amp;'Faturado mensal'!U$2,#REF!,
"&lt;"&amp;EOMONTH('Faturado mensal'!U$2,0))</f>
        <v>0</v>
      </c>
      <c r="V186" s="9">
        <f>SUMIFS(#REF!,#REF!,
$A186,#REF!,
"&gt;="&amp;'Faturado mensal'!V$2,#REF!,
"&lt;"&amp;EOMONTH('Faturado mensal'!V$2,0))</f>
        <v>0</v>
      </c>
      <c r="W186" s="9">
        <f>SUMIFS(#REF!,#REF!,
$A186,#REF!,
"&gt;="&amp;'Faturado mensal'!W$2,#REF!,
"&lt;"&amp;EOMONTH('Faturado mensal'!W$2,0))</f>
        <v>0</v>
      </c>
      <c r="X186" s="9">
        <f>SUMIFS(#REF!,#REF!,
$A186,#REF!,
"&gt;="&amp;'Faturado mensal'!X$2,#REF!,
"&lt;"&amp;EOMONTH('Faturado mensal'!X$2,0))</f>
        <v>0</v>
      </c>
      <c r="Y186" s="11">
        <f>SUMIFS(#REF!,#REF!,
$A186,#REF!,
"&gt;="&amp;'Faturado mensal'!M$2,#REF!,
"&lt;"&amp;EOMONTH('Faturado mensal'!M$2,12))</f>
        <v>0</v>
      </c>
      <c r="Z186" s="9">
        <f>SUMIFS(#REF!,#REF!,
$A186,#REF!,
"&gt;="&amp;'Faturado mensal'!Z$2,#REF!,
"&lt;"&amp;EOMONTH('Faturado mensal'!Z$2,0))</f>
        <v>0</v>
      </c>
      <c r="AA186" s="9">
        <f>SUMIFS(#REF!,#REF!,
$A186,#REF!,
"&gt;="&amp;'Faturado mensal'!AA$2,#REF!,
"&lt;"&amp;EOMONTH('Faturado mensal'!AA$2,0))</f>
        <v>0</v>
      </c>
      <c r="AB186" s="9">
        <f>SUMIFS(#REF!,#REF!,
$A186,#REF!,
"&gt;="&amp;'Faturado mensal'!AB$2,#REF!,
"&lt;"&amp;EOMONTH('Faturado mensal'!AB$2,0))</f>
        <v>0</v>
      </c>
      <c r="AC186" s="9">
        <f>SUMIFS(#REF!,#REF!,
$A186,#REF!,
"&gt;="&amp;'Faturado mensal'!AC$2,#REF!,
"&lt;"&amp;EOMONTH('Faturado mensal'!AC$2,0))</f>
        <v>0</v>
      </c>
      <c r="AD186" s="9">
        <f>SUMIFS(#REF!,#REF!,
$A186,#REF!,
"&gt;="&amp;'Faturado mensal'!AD$2,#REF!,
"&lt;"&amp;EOMONTH('Faturado mensal'!AD$2,0))</f>
        <v>0</v>
      </c>
      <c r="AE186" s="9">
        <f>SUMIFS(#REF!,#REF!,
$A186,#REF!,
"&gt;="&amp;'Faturado mensal'!AE$2,#REF!,
"&lt;"&amp;EOMONTH('Faturado mensal'!AE$2,0))</f>
        <v>0</v>
      </c>
      <c r="AF186" s="9">
        <f>SUMIFS(#REF!,#REF!,
$A186,#REF!,
"&gt;="&amp;'Faturado mensal'!AF$2,#REF!,
"&lt;"&amp;EOMONTH('Faturado mensal'!AF$2,0))</f>
        <v>0</v>
      </c>
      <c r="AG186" s="9">
        <f>SUMIFS(#REF!,#REF!,
$A186,#REF!,
"&gt;="&amp;'Faturado mensal'!AG$2,#REF!,
"&lt;"&amp;EOMONTH('Faturado mensal'!AG$2,0))</f>
        <v>0</v>
      </c>
      <c r="AH186" s="9">
        <f>SUMIFS(#REF!,#REF!,
$A186,#REF!,
"&gt;="&amp;'Faturado mensal'!AH$2,#REF!,
"&lt;"&amp;EOMONTH('Faturado mensal'!AH$2,0))</f>
        <v>0</v>
      </c>
      <c r="AI186" s="9">
        <f>SUMIFS(#REF!,#REF!,
$A186,#REF!,
"&gt;="&amp;'Faturado mensal'!AI$2,#REF!,
"&lt;"&amp;EOMONTH('Faturado mensal'!AI$2,0))</f>
        <v>0</v>
      </c>
      <c r="AJ186" s="9">
        <f>SUMIFS(#REF!,#REF!,
$A186,#REF!,
"&gt;="&amp;'Faturado mensal'!AJ$2,#REF!,
"&lt;"&amp;EOMONTH('Faturado mensal'!AJ$2,0))</f>
        <v>0</v>
      </c>
      <c r="AK186" s="9">
        <f>SUMIFS(#REF!,#REF!,
$A186,#REF!,
"&gt;="&amp;'Faturado mensal'!AK$2,#REF!,
"&lt;"&amp;EOMONTH('Faturado mensal'!AK$2,0))</f>
        <v>0</v>
      </c>
      <c r="AL186" s="9">
        <f>SUMIFS(#REF!,#REF!,
$A186,#REF!,
"&gt;="&amp;Z$2,#REF!,
"&lt;"&amp;EOMONTH(AK$2,0))</f>
        <v>0</v>
      </c>
    </row>
    <row r="187" spans="1:38" x14ac:dyDescent="0.3">
      <c r="A187" t="s">
        <v>470</v>
      </c>
      <c r="B187" t="s">
        <v>454</v>
      </c>
      <c r="C187" t="s">
        <v>162</v>
      </c>
      <c r="D187" t="s">
        <v>209</v>
      </c>
      <c r="G187" t="s">
        <v>4852</v>
      </c>
      <c r="H187" t="s">
        <v>4772</v>
      </c>
      <c r="I187" t="s">
        <v>162</v>
      </c>
      <c r="J187" t="s">
        <v>710</v>
      </c>
      <c r="K187" t="s">
        <v>768</v>
      </c>
      <c r="L187" t="s">
        <v>769</v>
      </c>
      <c r="M187" s="9">
        <f>SUMIFS(#REF!,#REF!,
$A187,#REF!,
"&gt;="&amp;'Faturado mensal'!M$2,#REF!,
"&lt;"&amp;EOMONTH('Faturado mensal'!M$2,0))</f>
        <v>0</v>
      </c>
      <c r="N187" s="9">
        <f>SUMIFS(#REF!,#REF!,
$A187,#REF!,
"&gt;="&amp;'Faturado mensal'!N$2,#REF!,
"&lt;"&amp;EOMONTH('Faturado mensal'!N$2,0))</f>
        <v>0</v>
      </c>
      <c r="O187" s="9">
        <f>SUMIFS(#REF!,#REF!,
$A187,#REF!,
"&gt;="&amp;'Faturado mensal'!O$2,#REF!,
"&lt;"&amp;EOMONTH('Faturado mensal'!O$2,0))</f>
        <v>0</v>
      </c>
      <c r="P187" s="9">
        <f>SUMIFS(#REF!,#REF!,
$A187,#REF!,
"&gt;="&amp;'Faturado mensal'!P$2,#REF!,
"&lt;"&amp;EOMONTH('Faturado mensal'!P$2,0))</f>
        <v>0</v>
      </c>
      <c r="Q187" s="9">
        <f>SUMIFS(#REF!,#REF!,
$A187,#REF!,
"&gt;="&amp;'Faturado mensal'!Q$2,#REF!,
"&lt;"&amp;EOMONTH('Faturado mensal'!Q$2,0))</f>
        <v>0</v>
      </c>
      <c r="R187" s="9">
        <f>SUMIFS(#REF!,#REF!,
$A187,#REF!,
"&gt;="&amp;'Faturado mensal'!R$2,#REF!,
"&lt;"&amp;EOMONTH('Faturado mensal'!R$2,0))</f>
        <v>0</v>
      </c>
      <c r="S187" s="9">
        <f>SUMIFS(#REF!,#REF!,
$A187,#REF!,
"&gt;="&amp;'Faturado mensal'!S$2,#REF!,
"&lt;"&amp;EOMONTH('Faturado mensal'!S$2,0))</f>
        <v>0</v>
      </c>
      <c r="T187" s="9">
        <f>SUMIFS(#REF!,#REF!,
$A187,#REF!,
"&gt;="&amp;'Faturado mensal'!T$2,#REF!,
"&lt;"&amp;EOMONTH('Faturado mensal'!T$2,0))</f>
        <v>0</v>
      </c>
      <c r="U187" s="9">
        <f>SUMIFS(#REF!,#REF!,
$A187,#REF!,
"&gt;="&amp;'Faturado mensal'!U$2,#REF!,
"&lt;"&amp;EOMONTH('Faturado mensal'!U$2,0))</f>
        <v>0</v>
      </c>
      <c r="V187" s="9">
        <f>SUMIFS(#REF!,#REF!,
$A187,#REF!,
"&gt;="&amp;'Faturado mensal'!V$2,#REF!,
"&lt;"&amp;EOMONTH('Faturado mensal'!V$2,0))</f>
        <v>0</v>
      </c>
      <c r="W187" s="9">
        <f>SUMIFS(#REF!,#REF!,
$A187,#REF!,
"&gt;="&amp;'Faturado mensal'!W$2,#REF!,
"&lt;"&amp;EOMONTH('Faturado mensal'!W$2,0))</f>
        <v>0</v>
      </c>
      <c r="X187" s="9">
        <f>SUMIFS(#REF!,#REF!,
$A187,#REF!,
"&gt;="&amp;'Faturado mensal'!X$2,#REF!,
"&lt;"&amp;EOMONTH('Faturado mensal'!X$2,0))</f>
        <v>0</v>
      </c>
      <c r="Y187" s="11">
        <f>SUMIFS(#REF!,#REF!,
$A187,#REF!,
"&gt;="&amp;'Faturado mensal'!M$2,#REF!,
"&lt;"&amp;EOMONTH('Faturado mensal'!M$2,12))</f>
        <v>0</v>
      </c>
      <c r="Z187" s="9">
        <f>SUMIFS(#REF!,#REF!,
$A187,#REF!,
"&gt;="&amp;'Faturado mensal'!Z$2,#REF!,
"&lt;"&amp;EOMONTH('Faturado mensal'!Z$2,0))</f>
        <v>0</v>
      </c>
      <c r="AA187" s="9">
        <f>SUMIFS(#REF!,#REF!,
$A187,#REF!,
"&gt;="&amp;'Faturado mensal'!AA$2,#REF!,
"&lt;"&amp;EOMONTH('Faturado mensal'!AA$2,0))</f>
        <v>0</v>
      </c>
      <c r="AB187" s="9">
        <f>SUMIFS(#REF!,#REF!,
$A187,#REF!,
"&gt;="&amp;'Faturado mensal'!AB$2,#REF!,
"&lt;"&amp;EOMONTH('Faturado mensal'!AB$2,0))</f>
        <v>0</v>
      </c>
      <c r="AC187" s="9">
        <f>SUMIFS(#REF!,#REF!,
$A187,#REF!,
"&gt;="&amp;'Faturado mensal'!AC$2,#REF!,
"&lt;"&amp;EOMONTH('Faturado mensal'!AC$2,0))</f>
        <v>0</v>
      </c>
      <c r="AD187" s="9">
        <f>SUMIFS(#REF!,#REF!,
$A187,#REF!,
"&gt;="&amp;'Faturado mensal'!AD$2,#REF!,
"&lt;"&amp;EOMONTH('Faturado mensal'!AD$2,0))</f>
        <v>0</v>
      </c>
      <c r="AE187" s="9">
        <f>SUMIFS(#REF!,#REF!,
$A187,#REF!,
"&gt;="&amp;'Faturado mensal'!AE$2,#REF!,
"&lt;"&amp;EOMONTH('Faturado mensal'!AE$2,0))</f>
        <v>0</v>
      </c>
      <c r="AF187" s="9">
        <f>SUMIFS(#REF!,#REF!,
$A187,#REF!,
"&gt;="&amp;'Faturado mensal'!AF$2,#REF!,
"&lt;"&amp;EOMONTH('Faturado mensal'!AF$2,0))</f>
        <v>0</v>
      </c>
      <c r="AG187" s="9">
        <f>SUMIFS(#REF!,#REF!,
$A187,#REF!,
"&gt;="&amp;'Faturado mensal'!AG$2,#REF!,
"&lt;"&amp;EOMONTH('Faturado mensal'!AG$2,0))</f>
        <v>0</v>
      </c>
      <c r="AH187" s="9">
        <f>SUMIFS(#REF!,#REF!,
$A187,#REF!,
"&gt;="&amp;'Faturado mensal'!AH$2,#REF!,
"&lt;"&amp;EOMONTH('Faturado mensal'!AH$2,0))</f>
        <v>0</v>
      </c>
      <c r="AI187" s="9">
        <f>SUMIFS(#REF!,#REF!,
$A187,#REF!,
"&gt;="&amp;'Faturado mensal'!AI$2,#REF!,
"&lt;"&amp;EOMONTH('Faturado mensal'!AI$2,0))</f>
        <v>0</v>
      </c>
      <c r="AJ187" s="9">
        <f>SUMIFS(#REF!,#REF!,
$A187,#REF!,
"&gt;="&amp;'Faturado mensal'!AJ$2,#REF!,
"&lt;"&amp;EOMONTH('Faturado mensal'!AJ$2,0))</f>
        <v>0</v>
      </c>
      <c r="AK187" s="9">
        <f>SUMIFS(#REF!,#REF!,
$A187,#REF!,
"&gt;="&amp;'Faturado mensal'!AK$2,#REF!,
"&lt;"&amp;EOMONTH('Faturado mensal'!AK$2,0))</f>
        <v>0</v>
      </c>
      <c r="AL187" s="9">
        <f>SUMIFS(#REF!,#REF!,
$A187,#REF!,
"&gt;="&amp;Z$2,#REF!,
"&lt;"&amp;EOMONTH(AK$2,0))</f>
        <v>0</v>
      </c>
    </row>
    <row r="188" spans="1:38" x14ac:dyDescent="0.3">
      <c r="A188" t="s">
        <v>471</v>
      </c>
      <c r="B188" t="s">
        <v>472</v>
      </c>
      <c r="C188" t="s">
        <v>48</v>
      </c>
      <c r="D188" t="s">
        <v>204</v>
      </c>
      <c r="E188" t="s">
        <v>4845</v>
      </c>
      <c r="F188" t="s">
        <v>4776</v>
      </c>
      <c r="G188" t="s">
        <v>4845</v>
      </c>
      <c r="H188" t="s">
        <v>4773</v>
      </c>
      <c r="I188" t="s">
        <v>856</v>
      </c>
      <c r="J188" t="s">
        <v>710</v>
      </c>
      <c r="K188" t="s">
        <v>762</v>
      </c>
      <c r="L188" t="s">
        <v>763</v>
      </c>
      <c r="M188" s="9">
        <f>SUMIFS(#REF!,#REF!,
$A188,#REF!,
"&gt;="&amp;'Faturado mensal'!M$2,#REF!,
"&lt;"&amp;EOMONTH('Faturado mensal'!M$2,0))</f>
        <v>574.17000000000007</v>
      </c>
      <c r="N188" s="9">
        <f>SUMIFS(#REF!,#REF!,
$A188,#REF!,
"&gt;="&amp;'Faturado mensal'!N$2,#REF!,
"&lt;"&amp;EOMONTH('Faturado mensal'!N$2,0))</f>
        <v>574.17000000000007</v>
      </c>
      <c r="O188" s="9">
        <f>SUMIFS(#REF!,#REF!,
$A188,#REF!,
"&gt;="&amp;'Faturado mensal'!O$2,#REF!,
"&lt;"&amp;EOMONTH('Faturado mensal'!O$2,0))</f>
        <v>574.17000000000007</v>
      </c>
      <c r="P188" s="9">
        <f>SUMIFS(#REF!,#REF!,
$A188,#REF!,
"&gt;="&amp;'Faturado mensal'!P$2,#REF!,
"&lt;"&amp;EOMONTH('Faturado mensal'!P$2,0))</f>
        <v>574.17000000000007</v>
      </c>
      <c r="Q188" s="9">
        <f>SUMIFS(#REF!,#REF!,
$A188,#REF!,
"&gt;="&amp;'Faturado mensal'!Q$2,#REF!,
"&lt;"&amp;EOMONTH('Faturado mensal'!Q$2,0))</f>
        <v>574.17000000000007</v>
      </c>
      <c r="R188" s="9">
        <f>SUMIFS(#REF!,#REF!,
$A188,#REF!,
"&gt;="&amp;'Faturado mensal'!R$2,#REF!,
"&lt;"&amp;EOMONTH('Faturado mensal'!R$2,0))</f>
        <v>574.17000000000007</v>
      </c>
      <c r="S188" s="9">
        <f>SUMIFS(#REF!,#REF!,
$A188,#REF!,
"&gt;="&amp;'Faturado mensal'!S$2,#REF!,
"&lt;"&amp;EOMONTH('Faturado mensal'!S$2,0))</f>
        <v>574.17000000000007</v>
      </c>
      <c r="T188" s="9">
        <f>SUMIFS(#REF!,#REF!,
$A188,#REF!,
"&gt;="&amp;'Faturado mensal'!T$2,#REF!,
"&lt;"&amp;EOMONTH('Faturado mensal'!T$2,0))</f>
        <v>574.17000000000007</v>
      </c>
      <c r="U188" s="9">
        <f>SUMIFS(#REF!,#REF!,
$A188,#REF!,
"&gt;="&amp;'Faturado mensal'!U$2,#REF!,
"&lt;"&amp;EOMONTH('Faturado mensal'!U$2,0))</f>
        <v>591.58999999999992</v>
      </c>
      <c r="V188" s="9">
        <f>SUMIFS(#REF!,#REF!,
$A188,#REF!,
"&gt;="&amp;'Faturado mensal'!V$2,#REF!,
"&lt;"&amp;EOMONTH('Faturado mensal'!V$2,0))</f>
        <v>591.58999999999992</v>
      </c>
      <c r="W188" s="9">
        <f>SUMIFS(#REF!,#REF!,
$A188,#REF!,
"&gt;="&amp;'Faturado mensal'!W$2,#REF!,
"&lt;"&amp;EOMONTH('Faturado mensal'!W$2,0))</f>
        <v>591.58999999999992</v>
      </c>
      <c r="X188" s="9">
        <f>SUMIFS(#REF!,#REF!,
$A188,#REF!,
"&gt;="&amp;'Faturado mensal'!X$2,#REF!,
"&lt;"&amp;EOMONTH('Faturado mensal'!X$2,0))</f>
        <v>0</v>
      </c>
      <c r="Y188" s="11">
        <f>SUMIFS(#REF!,#REF!,
$A188,#REF!,
"&gt;="&amp;'Faturado mensal'!M$2,#REF!,
"&lt;"&amp;EOMONTH('Faturado mensal'!M$2,12))</f>
        <v>7551.3099999999986</v>
      </c>
      <c r="Z188" s="9">
        <f>SUMIFS(#REF!,#REF!,
$A188,#REF!,
"&gt;="&amp;'Faturado mensal'!Z$2,#REF!,
"&lt;"&amp;EOMONTH('Faturado mensal'!Z$2,0))</f>
        <v>1183.1799999999998</v>
      </c>
      <c r="AA188" s="9">
        <f>SUMIFS(#REF!,#REF!,
$A188,#REF!,
"&gt;="&amp;'Faturado mensal'!AA$2,#REF!,
"&lt;"&amp;EOMONTH('Faturado mensal'!AA$2,0))</f>
        <v>591.58999999999992</v>
      </c>
      <c r="AB188" s="9">
        <f>SUMIFS(#REF!,#REF!,
$A188,#REF!,
"&gt;="&amp;'Faturado mensal'!AB$2,#REF!,
"&lt;"&amp;EOMONTH('Faturado mensal'!AB$2,0))</f>
        <v>591.58999999999992</v>
      </c>
      <c r="AC188" s="9">
        <f>SUMIFS(#REF!,#REF!,
$A188,#REF!,
"&gt;="&amp;'Faturado mensal'!AC$2,#REF!,
"&lt;"&amp;EOMONTH('Faturado mensal'!AC$2,0))</f>
        <v>591.58999999999992</v>
      </c>
      <c r="AD188" s="9">
        <f>SUMIFS(#REF!,#REF!,
$A188,#REF!,
"&gt;="&amp;'Faturado mensal'!AD$2,#REF!,
"&lt;"&amp;EOMONTH('Faturado mensal'!AD$2,0))</f>
        <v>591.58999999999992</v>
      </c>
      <c r="AE188" s="9">
        <f>SUMIFS(#REF!,#REF!,
$A188,#REF!,
"&gt;="&amp;'Faturado mensal'!AE$2,#REF!,
"&lt;"&amp;EOMONTH('Faturado mensal'!AE$2,0))</f>
        <v>591.58999999999992</v>
      </c>
      <c r="AF188" s="9">
        <f>SUMIFS(#REF!,#REF!,
$A188,#REF!,
"&gt;="&amp;'Faturado mensal'!AF$2,#REF!,
"&lt;"&amp;EOMONTH('Faturado mensal'!AF$2,0))</f>
        <v>0</v>
      </c>
      <c r="AG188" s="9">
        <f>SUMIFS(#REF!,#REF!,
$A188,#REF!,
"&gt;="&amp;'Faturado mensal'!AG$2,#REF!,
"&lt;"&amp;EOMONTH('Faturado mensal'!AG$2,0))</f>
        <v>0</v>
      </c>
      <c r="AH188" s="9">
        <f>SUMIFS(#REF!,#REF!,
$A188,#REF!,
"&gt;="&amp;'Faturado mensal'!AH$2,#REF!,
"&lt;"&amp;EOMONTH('Faturado mensal'!AH$2,0))</f>
        <v>0</v>
      </c>
      <c r="AI188" s="9">
        <f>SUMIFS(#REF!,#REF!,
$A188,#REF!,
"&gt;="&amp;'Faturado mensal'!AI$2,#REF!,
"&lt;"&amp;EOMONTH('Faturado mensal'!AI$2,0))</f>
        <v>0</v>
      </c>
      <c r="AJ188" s="9">
        <f>SUMIFS(#REF!,#REF!,
$A188,#REF!,
"&gt;="&amp;'Faturado mensal'!AJ$2,#REF!,
"&lt;"&amp;EOMONTH('Faturado mensal'!AJ$2,0))</f>
        <v>0</v>
      </c>
      <c r="AK188" s="9">
        <f>SUMIFS(#REF!,#REF!,
$A188,#REF!,
"&gt;="&amp;'Faturado mensal'!AK$2,#REF!,
"&lt;"&amp;EOMONTH('Faturado mensal'!AK$2,0))</f>
        <v>0</v>
      </c>
      <c r="AL188" s="9">
        <f>SUMIFS(#REF!,#REF!,
$A188,#REF!,
"&gt;="&amp;Z$2,#REF!,
"&lt;"&amp;EOMONTH(AK$2,0))</f>
        <v>4141.13</v>
      </c>
    </row>
    <row r="189" spans="1:38" x14ac:dyDescent="0.3">
      <c r="A189" t="s">
        <v>473</v>
      </c>
      <c r="B189" t="s">
        <v>474</v>
      </c>
      <c r="C189" t="s">
        <v>100</v>
      </c>
      <c r="D189" t="s">
        <v>209</v>
      </c>
      <c r="G189" t="s">
        <v>4852</v>
      </c>
      <c r="H189" t="s">
        <v>4772</v>
      </c>
      <c r="I189" t="s">
        <v>100</v>
      </c>
      <c r="J189" t="s">
        <v>719</v>
      </c>
      <c r="K189" t="s">
        <v>762</v>
      </c>
      <c r="L189" t="s">
        <v>763</v>
      </c>
      <c r="M189" s="9">
        <f>SUMIFS(#REF!,#REF!,
$A189,#REF!,
"&gt;="&amp;'Faturado mensal'!M$2,#REF!,
"&lt;"&amp;EOMONTH('Faturado mensal'!M$2,0))</f>
        <v>54564.59</v>
      </c>
      <c r="N189" s="9">
        <f>SUMIFS(#REF!,#REF!,
$A189,#REF!,
"&gt;="&amp;'Faturado mensal'!N$2,#REF!,
"&lt;"&amp;EOMONTH('Faturado mensal'!N$2,0))</f>
        <v>35310.220000000008</v>
      </c>
      <c r="O189" s="9">
        <f>SUMIFS(#REF!,#REF!,
$A189,#REF!,
"&gt;="&amp;'Faturado mensal'!O$2,#REF!,
"&lt;"&amp;EOMONTH('Faturado mensal'!O$2,0))</f>
        <v>75984.180000000008</v>
      </c>
      <c r="P189" s="9">
        <f>SUMIFS(#REF!,#REF!,
$A189,#REF!,
"&gt;="&amp;'Faturado mensal'!P$2,#REF!,
"&lt;"&amp;EOMONTH('Faturado mensal'!P$2,0))</f>
        <v>0</v>
      </c>
      <c r="Q189" s="9">
        <f>SUMIFS(#REF!,#REF!,
$A189,#REF!,
"&gt;="&amp;'Faturado mensal'!Q$2,#REF!,
"&lt;"&amp;EOMONTH('Faturado mensal'!Q$2,0))</f>
        <v>0</v>
      </c>
      <c r="R189" s="9">
        <f>SUMIFS(#REF!,#REF!,
$A189,#REF!,
"&gt;="&amp;'Faturado mensal'!R$2,#REF!,
"&lt;"&amp;EOMONTH('Faturado mensal'!R$2,0))</f>
        <v>0</v>
      </c>
      <c r="S189" s="9">
        <f>SUMIFS(#REF!,#REF!,
$A189,#REF!,
"&gt;="&amp;'Faturado mensal'!S$2,#REF!,
"&lt;"&amp;EOMONTH('Faturado mensal'!S$2,0))</f>
        <v>0</v>
      </c>
      <c r="T189" s="9">
        <f>SUMIFS(#REF!,#REF!,
$A189,#REF!,
"&gt;="&amp;'Faturado mensal'!T$2,#REF!,
"&lt;"&amp;EOMONTH('Faturado mensal'!T$2,0))</f>
        <v>0</v>
      </c>
      <c r="U189" s="9">
        <f>SUMIFS(#REF!,#REF!,
$A189,#REF!,
"&gt;="&amp;'Faturado mensal'!U$2,#REF!,
"&lt;"&amp;EOMONTH('Faturado mensal'!U$2,0))</f>
        <v>0</v>
      </c>
      <c r="V189" s="9">
        <f>SUMIFS(#REF!,#REF!,
$A189,#REF!,
"&gt;="&amp;'Faturado mensal'!V$2,#REF!,
"&lt;"&amp;EOMONTH('Faturado mensal'!V$2,0))</f>
        <v>0</v>
      </c>
      <c r="W189" s="9">
        <f>SUMIFS(#REF!,#REF!,
$A189,#REF!,
"&gt;="&amp;'Faturado mensal'!W$2,#REF!,
"&lt;"&amp;EOMONTH('Faturado mensal'!W$2,0))</f>
        <v>0</v>
      </c>
      <c r="X189" s="9">
        <f>SUMIFS(#REF!,#REF!,
$A189,#REF!,
"&gt;="&amp;'Faturado mensal'!X$2,#REF!,
"&lt;"&amp;EOMONTH('Faturado mensal'!X$2,0))</f>
        <v>0</v>
      </c>
      <c r="Y189" s="11">
        <f>SUMIFS(#REF!,#REF!,
$A189,#REF!,
"&gt;="&amp;'Faturado mensal'!M$2,#REF!,
"&lt;"&amp;EOMONTH('Faturado mensal'!M$2,12))</f>
        <v>165858.98999999996</v>
      </c>
      <c r="Z189" s="9">
        <f>SUMIFS(#REF!,#REF!,
$A189,#REF!,
"&gt;="&amp;'Faturado mensal'!Z$2,#REF!,
"&lt;"&amp;EOMONTH('Faturado mensal'!Z$2,0))</f>
        <v>0</v>
      </c>
      <c r="AA189" s="9">
        <f>SUMIFS(#REF!,#REF!,
$A189,#REF!,
"&gt;="&amp;'Faturado mensal'!AA$2,#REF!,
"&lt;"&amp;EOMONTH('Faturado mensal'!AA$2,0))</f>
        <v>0</v>
      </c>
      <c r="AB189" s="9">
        <f>SUMIFS(#REF!,#REF!,
$A189,#REF!,
"&gt;="&amp;'Faturado mensal'!AB$2,#REF!,
"&lt;"&amp;EOMONTH('Faturado mensal'!AB$2,0))</f>
        <v>0</v>
      </c>
      <c r="AC189" s="9">
        <f>SUMIFS(#REF!,#REF!,
$A189,#REF!,
"&gt;="&amp;'Faturado mensal'!AC$2,#REF!,
"&lt;"&amp;EOMONTH('Faturado mensal'!AC$2,0))</f>
        <v>0</v>
      </c>
      <c r="AD189" s="9">
        <f>SUMIFS(#REF!,#REF!,
$A189,#REF!,
"&gt;="&amp;'Faturado mensal'!AD$2,#REF!,
"&lt;"&amp;EOMONTH('Faturado mensal'!AD$2,0))</f>
        <v>0</v>
      </c>
      <c r="AE189" s="9">
        <f>SUMIFS(#REF!,#REF!,
$A189,#REF!,
"&gt;="&amp;'Faturado mensal'!AE$2,#REF!,
"&lt;"&amp;EOMONTH('Faturado mensal'!AE$2,0))</f>
        <v>0</v>
      </c>
      <c r="AF189" s="9">
        <f>SUMIFS(#REF!,#REF!,
$A189,#REF!,
"&gt;="&amp;'Faturado mensal'!AF$2,#REF!,
"&lt;"&amp;EOMONTH('Faturado mensal'!AF$2,0))</f>
        <v>0</v>
      </c>
      <c r="AG189" s="9">
        <f>SUMIFS(#REF!,#REF!,
$A189,#REF!,
"&gt;="&amp;'Faturado mensal'!AG$2,#REF!,
"&lt;"&amp;EOMONTH('Faturado mensal'!AG$2,0))</f>
        <v>0</v>
      </c>
      <c r="AH189" s="9">
        <f>SUMIFS(#REF!,#REF!,
$A189,#REF!,
"&gt;="&amp;'Faturado mensal'!AH$2,#REF!,
"&lt;"&amp;EOMONTH('Faturado mensal'!AH$2,0))</f>
        <v>0</v>
      </c>
      <c r="AI189" s="9">
        <f>SUMIFS(#REF!,#REF!,
$A189,#REF!,
"&gt;="&amp;'Faturado mensal'!AI$2,#REF!,
"&lt;"&amp;EOMONTH('Faturado mensal'!AI$2,0))</f>
        <v>0</v>
      </c>
      <c r="AJ189" s="9">
        <f>SUMIFS(#REF!,#REF!,
$A189,#REF!,
"&gt;="&amp;'Faturado mensal'!AJ$2,#REF!,
"&lt;"&amp;EOMONTH('Faturado mensal'!AJ$2,0))</f>
        <v>0</v>
      </c>
      <c r="AK189" s="9">
        <f>SUMIFS(#REF!,#REF!,
$A189,#REF!,
"&gt;="&amp;'Faturado mensal'!AK$2,#REF!,
"&lt;"&amp;EOMONTH('Faturado mensal'!AK$2,0))</f>
        <v>0</v>
      </c>
      <c r="AL189" s="9">
        <f>SUMIFS(#REF!,#REF!,
$A189,#REF!,
"&gt;="&amp;Z$2,#REF!,
"&lt;"&amp;EOMONTH(AK$2,0))</f>
        <v>0</v>
      </c>
    </row>
    <row r="190" spans="1:38" x14ac:dyDescent="0.3">
      <c r="A190" t="s">
        <v>475</v>
      </c>
      <c r="B190" t="s">
        <v>476</v>
      </c>
      <c r="C190" t="s">
        <v>195</v>
      </c>
      <c r="D190" t="s">
        <v>204</v>
      </c>
      <c r="E190" t="s">
        <v>1042</v>
      </c>
      <c r="F190" t="s">
        <v>1006</v>
      </c>
      <c r="G190" t="s">
        <v>4845</v>
      </c>
      <c r="H190" t="s">
        <v>4771</v>
      </c>
      <c r="I190" t="s">
        <v>195</v>
      </c>
      <c r="J190" t="s">
        <v>710</v>
      </c>
      <c r="K190" t="s">
        <v>839</v>
      </c>
      <c r="L190" t="s">
        <v>840</v>
      </c>
      <c r="M190" s="9">
        <f>SUMIFS(#REF!,#REF!,
$A190,#REF!,
"&gt;="&amp;'Faturado mensal'!M$2,#REF!,
"&lt;"&amp;EOMONTH('Faturado mensal'!M$2,0))</f>
        <v>39330</v>
      </c>
      <c r="N190" s="9">
        <f>SUMIFS(#REF!,#REF!,
$A190,#REF!,
"&gt;="&amp;'Faturado mensal'!N$2,#REF!,
"&lt;"&amp;EOMONTH('Faturado mensal'!N$2,0))</f>
        <v>39330</v>
      </c>
      <c r="O190" s="9">
        <f>SUMIFS(#REF!,#REF!,
$A190,#REF!,
"&gt;="&amp;'Faturado mensal'!O$2,#REF!,
"&lt;"&amp;EOMONTH('Faturado mensal'!O$2,0))</f>
        <v>39330</v>
      </c>
      <c r="P190" s="9">
        <f>SUMIFS(#REF!,#REF!,
$A190,#REF!,
"&gt;="&amp;'Faturado mensal'!P$2,#REF!,
"&lt;"&amp;EOMONTH('Faturado mensal'!P$2,0))</f>
        <v>39330</v>
      </c>
      <c r="Q190" s="9">
        <f>SUMIFS(#REF!,#REF!,
$A190,#REF!,
"&gt;="&amp;'Faturado mensal'!Q$2,#REF!,
"&lt;"&amp;EOMONTH('Faturado mensal'!Q$2,0))</f>
        <v>39330</v>
      </c>
      <c r="R190" s="9">
        <f>SUMIFS(#REF!,#REF!,
$A190,#REF!,
"&gt;="&amp;'Faturado mensal'!R$2,#REF!,
"&lt;"&amp;EOMONTH('Faturado mensal'!R$2,0))</f>
        <v>39330</v>
      </c>
      <c r="S190" s="9">
        <f>SUMIFS(#REF!,#REF!,
$A190,#REF!,
"&gt;="&amp;'Faturado mensal'!S$2,#REF!,
"&lt;"&amp;EOMONTH('Faturado mensal'!S$2,0))</f>
        <v>39330</v>
      </c>
      <c r="T190" s="9">
        <f>SUMIFS(#REF!,#REF!,
$A190,#REF!,
"&gt;="&amp;'Faturado mensal'!T$2,#REF!,
"&lt;"&amp;EOMONTH('Faturado mensal'!T$2,0))</f>
        <v>39330</v>
      </c>
      <c r="U190" s="9">
        <f>SUMIFS(#REF!,#REF!,
$A190,#REF!,
"&gt;="&amp;'Faturado mensal'!U$2,#REF!,
"&lt;"&amp;EOMONTH('Faturado mensal'!U$2,0))</f>
        <v>39330</v>
      </c>
      <c r="V190" s="9">
        <f>SUMIFS(#REF!,#REF!,
$A190,#REF!,
"&gt;="&amp;'Faturado mensal'!V$2,#REF!,
"&lt;"&amp;EOMONTH('Faturado mensal'!V$2,0))</f>
        <v>39330</v>
      </c>
      <c r="W190" s="9">
        <f>SUMIFS(#REF!,#REF!,
$A190,#REF!,
"&gt;="&amp;'Faturado mensal'!W$2,#REF!,
"&lt;"&amp;EOMONTH('Faturado mensal'!W$2,0))</f>
        <v>39330</v>
      </c>
      <c r="X190" s="9">
        <f>SUMIFS(#REF!,#REF!,
$A190,#REF!,
"&gt;="&amp;'Faturado mensal'!X$2,#REF!,
"&lt;"&amp;EOMONTH('Faturado mensal'!X$2,0))</f>
        <v>39330</v>
      </c>
      <c r="Y190" s="11">
        <f>SUMIFS(#REF!,#REF!,
$A190,#REF!,
"&gt;="&amp;'Faturado mensal'!M$2,#REF!,
"&lt;"&amp;EOMONTH('Faturado mensal'!M$2,12))</f>
        <v>511290</v>
      </c>
      <c r="Z190" s="9">
        <f>SUMIFS(#REF!,#REF!,
$A190,#REF!,
"&gt;="&amp;'Faturado mensal'!Z$2,#REF!,
"&lt;"&amp;EOMONTH('Faturado mensal'!Z$2,0))</f>
        <v>39330</v>
      </c>
      <c r="AA190" s="9">
        <f>SUMIFS(#REF!,#REF!,
$A190,#REF!,
"&gt;="&amp;'Faturado mensal'!AA$2,#REF!,
"&lt;"&amp;EOMONTH('Faturado mensal'!AA$2,0))</f>
        <v>39330</v>
      </c>
      <c r="AB190" s="9">
        <f>SUMIFS(#REF!,#REF!,
$A190,#REF!,
"&gt;="&amp;'Faturado mensal'!AB$2,#REF!,
"&lt;"&amp;EOMONTH('Faturado mensal'!AB$2,0))</f>
        <v>39330</v>
      </c>
      <c r="AC190" s="9">
        <f>SUMIFS(#REF!,#REF!,
$A190,#REF!,
"&gt;="&amp;'Faturado mensal'!AC$2,#REF!,
"&lt;"&amp;EOMONTH('Faturado mensal'!AC$2,0))</f>
        <v>39330</v>
      </c>
      <c r="AD190" s="9">
        <f>SUMIFS(#REF!,#REF!,
$A190,#REF!,
"&gt;="&amp;'Faturado mensal'!AD$2,#REF!,
"&lt;"&amp;EOMONTH('Faturado mensal'!AD$2,0))</f>
        <v>39330</v>
      </c>
      <c r="AE190" s="9">
        <f>SUMIFS(#REF!,#REF!,
$A190,#REF!,
"&gt;="&amp;'Faturado mensal'!AE$2,#REF!,
"&lt;"&amp;EOMONTH('Faturado mensal'!AE$2,0))</f>
        <v>39330</v>
      </c>
      <c r="AF190" s="9">
        <f>SUMIFS(#REF!,#REF!,
$A190,#REF!,
"&gt;="&amp;'Faturado mensal'!AF$2,#REF!,
"&lt;"&amp;EOMONTH('Faturado mensal'!AF$2,0))</f>
        <v>0</v>
      </c>
      <c r="AG190" s="9">
        <f>SUMIFS(#REF!,#REF!,
$A190,#REF!,
"&gt;="&amp;'Faturado mensal'!AG$2,#REF!,
"&lt;"&amp;EOMONTH('Faturado mensal'!AG$2,0))</f>
        <v>0</v>
      </c>
      <c r="AH190" s="9">
        <f>SUMIFS(#REF!,#REF!,
$A190,#REF!,
"&gt;="&amp;'Faturado mensal'!AH$2,#REF!,
"&lt;"&amp;EOMONTH('Faturado mensal'!AH$2,0))</f>
        <v>0</v>
      </c>
      <c r="AI190" s="9">
        <f>SUMIFS(#REF!,#REF!,
$A190,#REF!,
"&gt;="&amp;'Faturado mensal'!AI$2,#REF!,
"&lt;"&amp;EOMONTH('Faturado mensal'!AI$2,0))</f>
        <v>0</v>
      </c>
      <c r="AJ190" s="9">
        <f>SUMIFS(#REF!,#REF!,
$A190,#REF!,
"&gt;="&amp;'Faturado mensal'!AJ$2,#REF!,
"&lt;"&amp;EOMONTH('Faturado mensal'!AJ$2,0))</f>
        <v>0</v>
      </c>
      <c r="AK190" s="9">
        <f>SUMIFS(#REF!,#REF!,
$A190,#REF!,
"&gt;="&amp;'Faturado mensal'!AK$2,#REF!,
"&lt;"&amp;EOMONTH('Faturado mensal'!AK$2,0))</f>
        <v>0</v>
      </c>
      <c r="AL190" s="9">
        <f>SUMIFS(#REF!,#REF!,
$A190,#REF!,
"&gt;="&amp;Z$2,#REF!,
"&lt;"&amp;EOMONTH(AK$2,0))</f>
        <v>235980</v>
      </c>
    </row>
    <row r="191" spans="1:38" x14ac:dyDescent="0.3">
      <c r="A191" t="s">
        <v>477</v>
      </c>
      <c r="B191" t="s">
        <v>454</v>
      </c>
      <c r="C191" t="s">
        <v>162</v>
      </c>
      <c r="D191" t="s">
        <v>209</v>
      </c>
      <c r="G191" t="s">
        <v>4852</v>
      </c>
      <c r="H191" t="s">
        <v>4772</v>
      </c>
      <c r="I191" t="s">
        <v>162</v>
      </c>
      <c r="J191" t="s">
        <v>710</v>
      </c>
      <c r="K191" t="s">
        <v>717</v>
      </c>
      <c r="L191" t="s">
        <v>718</v>
      </c>
      <c r="M191" s="9">
        <f>SUMIFS(#REF!,#REF!,
$A191,#REF!,
"&gt;="&amp;'Faturado mensal'!M$2,#REF!,
"&lt;"&amp;EOMONTH('Faturado mensal'!M$2,0))</f>
        <v>0</v>
      </c>
      <c r="N191" s="9">
        <f>SUMIFS(#REF!,#REF!,
$A191,#REF!,
"&gt;="&amp;'Faturado mensal'!N$2,#REF!,
"&lt;"&amp;EOMONTH('Faturado mensal'!N$2,0))</f>
        <v>0</v>
      </c>
      <c r="O191" s="9">
        <f>SUMIFS(#REF!,#REF!,
$A191,#REF!,
"&gt;="&amp;'Faturado mensal'!O$2,#REF!,
"&lt;"&amp;EOMONTH('Faturado mensal'!O$2,0))</f>
        <v>0</v>
      </c>
      <c r="P191" s="9">
        <f>SUMIFS(#REF!,#REF!,
$A191,#REF!,
"&gt;="&amp;'Faturado mensal'!P$2,#REF!,
"&lt;"&amp;EOMONTH('Faturado mensal'!P$2,0))</f>
        <v>0</v>
      </c>
      <c r="Q191" s="9">
        <f>SUMIFS(#REF!,#REF!,
$A191,#REF!,
"&gt;="&amp;'Faturado mensal'!Q$2,#REF!,
"&lt;"&amp;EOMONTH('Faturado mensal'!Q$2,0))</f>
        <v>0</v>
      </c>
      <c r="R191" s="9">
        <f>SUMIFS(#REF!,#REF!,
$A191,#REF!,
"&gt;="&amp;'Faturado mensal'!R$2,#REF!,
"&lt;"&amp;EOMONTH('Faturado mensal'!R$2,0))</f>
        <v>0</v>
      </c>
      <c r="S191" s="9">
        <f>SUMIFS(#REF!,#REF!,
$A191,#REF!,
"&gt;="&amp;'Faturado mensal'!S$2,#REF!,
"&lt;"&amp;EOMONTH('Faturado mensal'!S$2,0))</f>
        <v>0</v>
      </c>
      <c r="T191" s="9">
        <f>SUMIFS(#REF!,#REF!,
$A191,#REF!,
"&gt;="&amp;'Faturado mensal'!T$2,#REF!,
"&lt;"&amp;EOMONTH('Faturado mensal'!T$2,0))</f>
        <v>0</v>
      </c>
      <c r="U191" s="9">
        <f>SUMIFS(#REF!,#REF!,
$A191,#REF!,
"&gt;="&amp;'Faturado mensal'!U$2,#REF!,
"&lt;"&amp;EOMONTH('Faturado mensal'!U$2,0))</f>
        <v>0</v>
      </c>
      <c r="V191" s="9">
        <f>SUMIFS(#REF!,#REF!,
$A191,#REF!,
"&gt;="&amp;'Faturado mensal'!V$2,#REF!,
"&lt;"&amp;EOMONTH('Faturado mensal'!V$2,0))</f>
        <v>0</v>
      </c>
      <c r="W191" s="9">
        <f>SUMIFS(#REF!,#REF!,
$A191,#REF!,
"&gt;="&amp;'Faturado mensal'!W$2,#REF!,
"&lt;"&amp;EOMONTH('Faturado mensal'!W$2,0))</f>
        <v>0</v>
      </c>
      <c r="X191" s="9">
        <f>SUMIFS(#REF!,#REF!,
$A191,#REF!,
"&gt;="&amp;'Faturado mensal'!X$2,#REF!,
"&lt;"&amp;EOMONTH('Faturado mensal'!X$2,0))</f>
        <v>0</v>
      </c>
      <c r="Y191" s="11">
        <f>SUMIFS(#REF!,#REF!,
$A191,#REF!,
"&gt;="&amp;'Faturado mensal'!M$2,#REF!,
"&lt;"&amp;EOMONTH('Faturado mensal'!M$2,12))</f>
        <v>0</v>
      </c>
      <c r="Z191" s="9">
        <f>SUMIFS(#REF!,#REF!,
$A191,#REF!,
"&gt;="&amp;'Faturado mensal'!Z$2,#REF!,
"&lt;"&amp;EOMONTH('Faturado mensal'!Z$2,0))</f>
        <v>0</v>
      </c>
      <c r="AA191" s="9">
        <f>SUMIFS(#REF!,#REF!,
$A191,#REF!,
"&gt;="&amp;'Faturado mensal'!AA$2,#REF!,
"&lt;"&amp;EOMONTH('Faturado mensal'!AA$2,0))</f>
        <v>0</v>
      </c>
      <c r="AB191" s="9">
        <f>SUMIFS(#REF!,#REF!,
$A191,#REF!,
"&gt;="&amp;'Faturado mensal'!AB$2,#REF!,
"&lt;"&amp;EOMONTH('Faturado mensal'!AB$2,0))</f>
        <v>0</v>
      </c>
      <c r="AC191" s="9">
        <f>SUMIFS(#REF!,#REF!,
$A191,#REF!,
"&gt;="&amp;'Faturado mensal'!AC$2,#REF!,
"&lt;"&amp;EOMONTH('Faturado mensal'!AC$2,0))</f>
        <v>0</v>
      </c>
      <c r="AD191" s="9">
        <f>SUMIFS(#REF!,#REF!,
$A191,#REF!,
"&gt;="&amp;'Faturado mensal'!AD$2,#REF!,
"&lt;"&amp;EOMONTH('Faturado mensal'!AD$2,0))</f>
        <v>0</v>
      </c>
      <c r="AE191" s="9">
        <f>SUMIFS(#REF!,#REF!,
$A191,#REF!,
"&gt;="&amp;'Faturado mensal'!AE$2,#REF!,
"&lt;"&amp;EOMONTH('Faturado mensal'!AE$2,0))</f>
        <v>0</v>
      </c>
      <c r="AF191" s="9">
        <f>SUMIFS(#REF!,#REF!,
$A191,#REF!,
"&gt;="&amp;'Faturado mensal'!AF$2,#REF!,
"&lt;"&amp;EOMONTH('Faturado mensal'!AF$2,0))</f>
        <v>0</v>
      </c>
      <c r="AG191" s="9">
        <f>SUMIFS(#REF!,#REF!,
$A191,#REF!,
"&gt;="&amp;'Faturado mensal'!AG$2,#REF!,
"&lt;"&amp;EOMONTH('Faturado mensal'!AG$2,0))</f>
        <v>0</v>
      </c>
      <c r="AH191" s="9">
        <f>SUMIFS(#REF!,#REF!,
$A191,#REF!,
"&gt;="&amp;'Faturado mensal'!AH$2,#REF!,
"&lt;"&amp;EOMONTH('Faturado mensal'!AH$2,0))</f>
        <v>0</v>
      </c>
      <c r="AI191" s="9">
        <f>SUMIFS(#REF!,#REF!,
$A191,#REF!,
"&gt;="&amp;'Faturado mensal'!AI$2,#REF!,
"&lt;"&amp;EOMONTH('Faturado mensal'!AI$2,0))</f>
        <v>0</v>
      </c>
      <c r="AJ191" s="9">
        <f>SUMIFS(#REF!,#REF!,
$A191,#REF!,
"&gt;="&amp;'Faturado mensal'!AJ$2,#REF!,
"&lt;"&amp;EOMONTH('Faturado mensal'!AJ$2,0))</f>
        <v>0</v>
      </c>
      <c r="AK191" s="9">
        <f>SUMIFS(#REF!,#REF!,
$A191,#REF!,
"&gt;="&amp;'Faturado mensal'!AK$2,#REF!,
"&lt;"&amp;EOMONTH('Faturado mensal'!AK$2,0))</f>
        <v>0</v>
      </c>
      <c r="AL191" s="9">
        <f>SUMIFS(#REF!,#REF!,
$A191,#REF!,
"&gt;="&amp;Z$2,#REF!,
"&lt;"&amp;EOMONTH(AK$2,0))</f>
        <v>0</v>
      </c>
    </row>
    <row r="192" spans="1:38" x14ac:dyDescent="0.3">
      <c r="A192" t="s">
        <v>478</v>
      </c>
      <c r="B192" t="s">
        <v>479</v>
      </c>
      <c r="C192" t="s">
        <v>99</v>
      </c>
      <c r="D192" t="s">
        <v>204</v>
      </c>
      <c r="E192" t="s">
        <v>1037</v>
      </c>
      <c r="F192" t="s">
        <v>4790</v>
      </c>
      <c r="G192" t="s">
        <v>4852</v>
      </c>
      <c r="H192" t="s">
        <v>4772</v>
      </c>
      <c r="I192" t="s">
        <v>857</v>
      </c>
      <c r="J192" t="s">
        <v>710</v>
      </c>
      <c r="K192" t="s">
        <v>717</v>
      </c>
      <c r="L192" t="s">
        <v>718</v>
      </c>
      <c r="M192" s="9">
        <f>SUMIFS(#REF!,#REF!,
$A192,#REF!,
"&gt;="&amp;'Faturado mensal'!M$2,#REF!,
"&lt;"&amp;EOMONTH('Faturado mensal'!M$2,0))</f>
        <v>98353.590000000011</v>
      </c>
      <c r="N192" s="9">
        <f>SUMIFS(#REF!,#REF!,
$A192,#REF!,
"&gt;="&amp;'Faturado mensal'!N$2,#REF!,
"&lt;"&amp;EOMONTH('Faturado mensal'!N$2,0))</f>
        <v>60855.6</v>
      </c>
      <c r="O192" s="9">
        <f>SUMIFS(#REF!,#REF!,
$A192,#REF!,
"&gt;="&amp;'Faturado mensal'!O$2,#REF!,
"&lt;"&amp;EOMONTH('Faturado mensal'!O$2,0))</f>
        <v>191066.99</v>
      </c>
      <c r="P192" s="9">
        <f>SUMIFS(#REF!,#REF!,
$A192,#REF!,
"&gt;="&amp;'Faturado mensal'!P$2,#REF!,
"&lt;"&amp;EOMONTH('Faturado mensal'!P$2,0))</f>
        <v>68400.03</v>
      </c>
      <c r="Q192" s="9">
        <f>SUMIFS(#REF!,#REF!,
$A192,#REF!,
"&gt;="&amp;'Faturado mensal'!Q$2,#REF!,
"&lt;"&amp;EOMONTH('Faturado mensal'!Q$2,0))</f>
        <v>220272.59000000003</v>
      </c>
      <c r="R192" s="9">
        <f>SUMIFS(#REF!,#REF!,
$A192,#REF!,
"&gt;="&amp;'Faturado mensal'!R$2,#REF!,
"&lt;"&amp;EOMONTH('Faturado mensal'!R$2,0))</f>
        <v>142661.79</v>
      </c>
      <c r="S192" s="9">
        <f>SUMIFS(#REF!,#REF!,
$A192,#REF!,
"&gt;="&amp;'Faturado mensal'!S$2,#REF!,
"&lt;"&amp;EOMONTH('Faturado mensal'!S$2,0))</f>
        <v>144008.31000000003</v>
      </c>
      <c r="T192" s="9">
        <f>SUMIFS(#REF!,#REF!,
$A192,#REF!,
"&gt;="&amp;'Faturado mensal'!T$2,#REF!,
"&lt;"&amp;EOMONTH('Faturado mensal'!T$2,0))</f>
        <v>133370.29</v>
      </c>
      <c r="U192" s="9">
        <f>SUMIFS(#REF!,#REF!,
$A192,#REF!,
"&gt;="&amp;'Faturado mensal'!U$2,#REF!,
"&lt;"&amp;EOMONTH('Faturado mensal'!U$2,0))</f>
        <v>145504.90000000002</v>
      </c>
      <c r="V192" s="9">
        <f>SUMIFS(#REF!,#REF!,
$A192,#REF!,
"&gt;="&amp;'Faturado mensal'!V$2,#REF!,
"&lt;"&amp;EOMONTH('Faturado mensal'!V$2,0))</f>
        <v>137979.13</v>
      </c>
      <c r="W192" s="9">
        <f>SUMIFS(#REF!,#REF!,
$A192,#REF!,
"&gt;="&amp;'Faturado mensal'!W$2,#REF!,
"&lt;"&amp;EOMONTH('Faturado mensal'!W$2,0))</f>
        <v>131407.85999999999</v>
      </c>
      <c r="X192" s="9">
        <f>SUMIFS(#REF!,#REF!,
$A192,#REF!,
"&gt;="&amp;'Faturado mensal'!X$2,#REF!,
"&lt;"&amp;EOMONTH('Faturado mensal'!X$2,0))</f>
        <v>126425.89999999998</v>
      </c>
      <c r="Y192" s="11">
        <f>SUMIFS(#REF!,#REF!,
$A192,#REF!,
"&gt;="&amp;'Faturado mensal'!M$2,#REF!,
"&lt;"&amp;EOMONTH('Faturado mensal'!M$2,12))</f>
        <v>1673584.1199999992</v>
      </c>
      <c r="Z192" s="9">
        <f>SUMIFS(#REF!,#REF!,
$A192,#REF!,
"&gt;="&amp;'Faturado mensal'!Z$2,#REF!,
"&lt;"&amp;EOMONTH('Faturado mensal'!Z$2,0))</f>
        <v>73277.14</v>
      </c>
      <c r="AA192" s="9">
        <f>SUMIFS(#REF!,#REF!,
$A192,#REF!,
"&gt;="&amp;'Faturado mensal'!AA$2,#REF!,
"&lt;"&amp;EOMONTH('Faturado mensal'!AA$2,0))</f>
        <v>143478.47999999998</v>
      </c>
      <c r="AB192" s="9">
        <f>SUMIFS(#REF!,#REF!,
$A192,#REF!,
"&gt;="&amp;'Faturado mensal'!AB$2,#REF!,
"&lt;"&amp;EOMONTH('Faturado mensal'!AB$2,0))</f>
        <v>120579.5</v>
      </c>
      <c r="AC192" s="9">
        <f>SUMIFS(#REF!,#REF!,
$A192,#REF!,
"&gt;="&amp;'Faturado mensal'!AC$2,#REF!,
"&lt;"&amp;EOMONTH('Faturado mensal'!AC$2,0))</f>
        <v>146614.66999999998</v>
      </c>
      <c r="AD192" s="9">
        <f>SUMIFS(#REF!,#REF!,
$A192,#REF!,
"&gt;="&amp;'Faturado mensal'!AD$2,#REF!,
"&lt;"&amp;EOMONTH('Faturado mensal'!AD$2,0))</f>
        <v>126266.05</v>
      </c>
      <c r="AE192" s="9">
        <f>SUMIFS(#REF!,#REF!,
$A192,#REF!,
"&gt;="&amp;'Faturado mensal'!AE$2,#REF!,
"&lt;"&amp;EOMONTH('Faturado mensal'!AE$2,0))</f>
        <v>76716.3</v>
      </c>
      <c r="AF192" s="9">
        <f>SUMIFS(#REF!,#REF!,
$A192,#REF!,
"&gt;="&amp;'Faturado mensal'!AF$2,#REF!,
"&lt;"&amp;EOMONTH('Faturado mensal'!AF$2,0))</f>
        <v>0</v>
      </c>
      <c r="AG192" s="9">
        <f>SUMIFS(#REF!,#REF!,
$A192,#REF!,
"&gt;="&amp;'Faturado mensal'!AG$2,#REF!,
"&lt;"&amp;EOMONTH('Faturado mensal'!AG$2,0))</f>
        <v>0</v>
      </c>
      <c r="AH192" s="9">
        <f>SUMIFS(#REF!,#REF!,
$A192,#REF!,
"&gt;="&amp;'Faturado mensal'!AH$2,#REF!,
"&lt;"&amp;EOMONTH('Faturado mensal'!AH$2,0))</f>
        <v>0</v>
      </c>
      <c r="AI192" s="9">
        <f>SUMIFS(#REF!,#REF!,
$A192,#REF!,
"&gt;="&amp;'Faturado mensal'!AI$2,#REF!,
"&lt;"&amp;EOMONTH('Faturado mensal'!AI$2,0))</f>
        <v>0</v>
      </c>
      <c r="AJ192" s="9">
        <f>SUMIFS(#REF!,#REF!,
$A192,#REF!,
"&gt;="&amp;'Faturado mensal'!AJ$2,#REF!,
"&lt;"&amp;EOMONTH('Faturado mensal'!AJ$2,0))</f>
        <v>0</v>
      </c>
      <c r="AK192" s="9">
        <f>SUMIFS(#REF!,#REF!,
$A192,#REF!,
"&gt;="&amp;'Faturado mensal'!AK$2,#REF!,
"&lt;"&amp;EOMONTH('Faturado mensal'!AK$2,0))</f>
        <v>0</v>
      </c>
      <c r="AL192" s="9">
        <f>SUMIFS(#REF!,#REF!,
$A192,#REF!,
"&gt;="&amp;Z$2,#REF!,
"&lt;"&amp;EOMONTH(AK$2,0))</f>
        <v>686932.14</v>
      </c>
    </row>
    <row r="193" spans="1:38" x14ac:dyDescent="0.3">
      <c r="A193" t="s">
        <v>480</v>
      </c>
      <c r="B193" t="s">
        <v>481</v>
      </c>
      <c r="C193" t="s">
        <v>169</v>
      </c>
      <c r="D193" t="s">
        <v>204</v>
      </c>
      <c r="E193" t="s">
        <v>4833</v>
      </c>
      <c r="F193" t="s">
        <v>4802</v>
      </c>
      <c r="G193" t="s">
        <v>4852</v>
      </c>
      <c r="H193" t="s">
        <v>4771</v>
      </c>
      <c r="I193" t="s">
        <v>169</v>
      </c>
      <c r="J193" t="s">
        <v>710</v>
      </c>
      <c r="K193" t="s">
        <v>762</v>
      </c>
      <c r="L193" t="s">
        <v>763</v>
      </c>
      <c r="M193" s="9">
        <f>SUMIFS(#REF!,#REF!,
$A193,#REF!,
"&gt;="&amp;'Faturado mensal'!M$2,#REF!,
"&lt;"&amp;EOMONTH('Faturado mensal'!M$2,0))</f>
        <v>0</v>
      </c>
      <c r="N193" s="9">
        <f>SUMIFS(#REF!,#REF!,
$A193,#REF!,
"&gt;="&amp;'Faturado mensal'!N$2,#REF!,
"&lt;"&amp;EOMONTH('Faturado mensal'!N$2,0))</f>
        <v>0</v>
      </c>
      <c r="O193" s="9">
        <f>SUMIFS(#REF!,#REF!,
$A193,#REF!,
"&gt;="&amp;'Faturado mensal'!O$2,#REF!,
"&lt;"&amp;EOMONTH('Faturado mensal'!O$2,0))</f>
        <v>0</v>
      </c>
      <c r="P193" s="9">
        <f>SUMIFS(#REF!,#REF!,
$A193,#REF!,
"&gt;="&amp;'Faturado mensal'!P$2,#REF!,
"&lt;"&amp;EOMONTH('Faturado mensal'!P$2,0))</f>
        <v>0</v>
      </c>
      <c r="Q193" s="9">
        <f>SUMIFS(#REF!,#REF!,
$A193,#REF!,
"&gt;="&amp;'Faturado mensal'!Q$2,#REF!,
"&lt;"&amp;EOMONTH('Faturado mensal'!Q$2,0))</f>
        <v>0</v>
      </c>
      <c r="R193" s="9">
        <f>SUMIFS(#REF!,#REF!,
$A193,#REF!,
"&gt;="&amp;'Faturado mensal'!R$2,#REF!,
"&lt;"&amp;EOMONTH('Faturado mensal'!R$2,0))</f>
        <v>0</v>
      </c>
      <c r="S193" s="9">
        <f>SUMIFS(#REF!,#REF!,
$A193,#REF!,
"&gt;="&amp;'Faturado mensal'!S$2,#REF!,
"&lt;"&amp;EOMONTH('Faturado mensal'!S$2,0))</f>
        <v>0</v>
      </c>
      <c r="T193" s="9">
        <f>SUMIFS(#REF!,#REF!,
$A193,#REF!,
"&gt;="&amp;'Faturado mensal'!T$2,#REF!,
"&lt;"&amp;EOMONTH('Faturado mensal'!T$2,0))</f>
        <v>0</v>
      </c>
      <c r="U193" s="9">
        <f>SUMIFS(#REF!,#REF!,
$A193,#REF!,
"&gt;="&amp;'Faturado mensal'!U$2,#REF!,
"&lt;"&amp;EOMONTH('Faturado mensal'!U$2,0))</f>
        <v>0</v>
      </c>
      <c r="V193" s="9">
        <f>SUMIFS(#REF!,#REF!,
$A193,#REF!,
"&gt;="&amp;'Faturado mensal'!V$2,#REF!,
"&lt;"&amp;EOMONTH('Faturado mensal'!V$2,0))</f>
        <v>0</v>
      </c>
      <c r="W193" s="9">
        <f>SUMIFS(#REF!,#REF!,
$A193,#REF!,
"&gt;="&amp;'Faturado mensal'!W$2,#REF!,
"&lt;"&amp;EOMONTH('Faturado mensal'!W$2,0))</f>
        <v>0</v>
      </c>
      <c r="X193" s="9">
        <f>SUMIFS(#REF!,#REF!,
$A193,#REF!,
"&gt;="&amp;'Faturado mensal'!X$2,#REF!,
"&lt;"&amp;EOMONTH('Faturado mensal'!X$2,0))</f>
        <v>0</v>
      </c>
      <c r="Y193" s="11">
        <f>SUMIFS(#REF!,#REF!,
$A193,#REF!,
"&gt;="&amp;'Faturado mensal'!M$2,#REF!,
"&lt;"&amp;EOMONTH('Faturado mensal'!M$2,12))</f>
        <v>0</v>
      </c>
      <c r="Z193" s="9">
        <f>SUMIFS(#REF!,#REF!,
$A193,#REF!,
"&gt;="&amp;'Faturado mensal'!Z$2,#REF!,
"&lt;"&amp;EOMONTH('Faturado mensal'!Z$2,0))</f>
        <v>0</v>
      </c>
      <c r="AA193" s="9">
        <f>SUMIFS(#REF!,#REF!,
$A193,#REF!,
"&gt;="&amp;'Faturado mensal'!AA$2,#REF!,
"&lt;"&amp;EOMONTH('Faturado mensal'!AA$2,0))</f>
        <v>0</v>
      </c>
      <c r="AB193" s="9">
        <f>SUMIFS(#REF!,#REF!,
$A193,#REF!,
"&gt;="&amp;'Faturado mensal'!AB$2,#REF!,
"&lt;"&amp;EOMONTH('Faturado mensal'!AB$2,0))</f>
        <v>0</v>
      </c>
      <c r="AC193" s="9">
        <f>SUMIFS(#REF!,#REF!,
$A193,#REF!,
"&gt;="&amp;'Faturado mensal'!AC$2,#REF!,
"&lt;"&amp;EOMONTH('Faturado mensal'!AC$2,0))</f>
        <v>0</v>
      </c>
      <c r="AD193" s="9">
        <f>SUMIFS(#REF!,#REF!,
$A193,#REF!,
"&gt;="&amp;'Faturado mensal'!AD$2,#REF!,
"&lt;"&amp;EOMONTH('Faturado mensal'!AD$2,0))</f>
        <v>0</v>
      </c>
      <c r="AE193" s="9">
        <f>SUMIFS(#REF!,#REF!,
$A193,#REF!,
"&gt;="&amp;'Faturado mensal'!AE$2,#REF!,
"&lt;"&amp;EOMONTH('Faturado mensal'!AE$2,0))</f>
        <v>0</v>
      </c>
      <c r="AF193" s="9">
        <f>SUMIFS(#REF!,#REF!,
$A193,#REF!,
"&gt;="&amp;'Faturado mensal'!AF$2,#REF!,
"&lt;"&amp;EOMONTH('Faturado mensal'!AF$2,0))</f>
        <v>0</v>
      </c>
      <c r="AG193" s="9">
        <f>SUMIFS(#REF!,#REF!,
$A193,#REF!,
"&gt;="&amp;'Faturado mensal'!AG$2,#REF!,
"&lt;"&amp;EOMONTH('Faturado mensal'!AG$2,0))</f>
        <v>0</v>
      </c>
      <c r="AH193" s="9">
        <f>SUMIFS(#REF!,#REF!,
$A193,#REF!,
"&gt;="&amp;'Faturado mensal'!AH$2,#REF!,
"&lt;"&amp;EOMONTH('Faturado mensal'!AH$2,0))</f>
        <v>0</v>
      </c>
      <c r="AI193" s="9">
        <f>SUMIFS(#REF!,#REF!,
$A193,#REF!,
"&gt;="&amp;'Faturado mensal'!AI$2,#REF!,
"&lt;"&amp;EOMONTH('Faturado mensal'!AI$2,0))</f>
        <v>0</v>
      </c>
      <c r="AJ193" s="9">
        <f>SUMIFS(#REF!,#REF!,
$A193,#REF!,
"&gt;="&amp;'Faturado mensal'!AJ$2,#REF!,
"&lt;"&amp;EOMONTH('Faturado mensal'!AJ$2,0))</f>
        <v>0</v>
      </c>
      <c r="AK193" s="9">
        <f>SUMIFS(#REF!,#REF!,
$A193,#REF!,
"&gt;="&amp;'Faturado mensal'!AK$2,#REF!,
"&lt;"&amp;EOMONTH('Faturado mensal'!AK$2,0))</f>
        <v>0</v>
      </c>
      <c r="AL193" s="9">
        <f>SUMIFS(#REF!,#REF!,
$A193,#REF!,
"&gt;="&amp;Z$2,#REF!,
"&lt;"&amp;EOMONTH(AK$2,0))</f>
        <v>0</v>
      </c>
    </row>
    <row r="194" spans="1:38" x14ac:dyDescent="0.3">
      <c r="A194" t="s">
        <v>482</v>
      </c>
      <c r="B194" t="s">
        <v>397</v>
      </c>
      <c r="C194" t="s">
        <v>161</v>
      </c>
      <c r="D194" t="s">
        <v>209</v>
      </c>
      <c r="G194" t="s">
        <v>4852</v>
      </c>
      <c r="H194" t="s">
        <v>4772</v>
      </c>
      <c r="I194" t="s">
        <v>161</v>
      </c>
      <c r="J194" t="s">
        <v>710</v>
      </c>
      <c r="K194" t="s">
        <v>762</v>
      </c>
      <c r="L194" t="s">
        <v>763</v>
      </c>
      <c r="M194" s="9">
        <f>SUMIFS(#REF!,#REF!,
$A194,#REF!,
"&gt;="&amp;'Faturado mensal'!M$2,#REF!,
"&lt;"&amp;EOMONTH('Faturado mensal'!M$2,0))</f>
        <v>234.27</v>
      </c>
      <c r="N194" s="9">
        <f>SUMIFS(#REF!,#REF!,
$A194,#REF!,
"&gt;="&amp;'Faturado mensal'!N$2,#REF!,
"&lt;"&amp;EOMONTH('Faturado mensal'!N$2,0))</f>
        <v>0</v>
      </c>
      <c r="O194" s="9">
        <f>SUMIFS(#REF!,#REF!,
$A194,#REF!,
"&gt;="&amp;'Faturado mensal'!O$2,#REF!,
"&lt;"&amp;EOMONTH('Faturado mensal'!O$2,0))</f>
        <v>0</v>
      </c>
      <c r="P194" s="9">
        <f>SUMIFS(#REF!,#REF!,
$A194,#REF!,
"&gt;="&amp;'Faturado mensal'!P$2,#REF!,
"&lt;"&amp;EOMONTH('Faturado mensal'!P$2,0))</f>
        <v>532.86</v>
      </c>
      <c r="Q194" s="9">
        <f>SUMIFS(#REF!,#REF!,
$A194,#REF!,
"&gt;="&amp;'Faturado mensal'!Q$2,#REF!,
"&lt;"&amp;EOMONTH('Faturado mensal'!Q$2,0))</f>
        <v>0</v>
      </c>
      <c r="R194" s="9">
        <f>SUMIFS(#REF!,#REF!,
$A194,#REF!,
"&gt;="&amp;'Faturado mensal'!R$2,#REF!,
"&lt;"&amp;EOMONTH('Faturado mensal'!R$2,0))</f>
        <v>0</v>
      </c>
      <c r="S194" s="9">
        <f>SUMIFS(#REF!,#REF!,
$A194,#REF!,
"&gt;="&amp;'Faturado mensal'!S$2,#REF!,
"&lt;"&amp;EOMONTH('Faturado mensal'!S$2,0))</f>
        <v>0</v>
      </c>
      <c r="T194" s="9">
        <f>SUMIFS(#REF!,#REF!,
$A194,#REF!,
"&gt;="&amp;'Faturado mensal'!T$2,#REF!,
"&lt;"&amp;EOMONTH('Faturado mensal'!T$2,0))</f>
        <v>0</v>
      </c>
      <c r="U194" s="9">
        <f>SUMIFS(#REF!,#REF!,
$A194,#REF!,
"&gt;="&amp;'Faturado mensal'!U$2,#REF!,
"&lt;"&amp;EOMONTH('Faturado mensal'!U$2,0))</f>
        <v>0</v>
      </c>
      <c r="V194" s="9">
        <f>SUMIFS(#REF!,#REF!,
$A194,#REF!,
"&gt;="&amp;'Faturado mensal'!V$2,#REF!,
"&lt;"&amp;EOMONTH('Faturado mensal'!V$2,0))</f>
        <v>0</v>
      </c>
      <c r="W194" s="9">
        <f>SUMIFS(#REF!,#REF!,
$A194,#REF!,
"&gt;="&amp;'Faturado mensal'!W$2,#REF!,
"&lt;"&amp;EOMONTH('Faturado mensal'!W$2,0))</f>
        <v>0</v>
      </c>
      <c r="X194" s="9">
        <f>SUMIFS(#REF!,#REF!,
$A194,#REF!,
"&gt;="&amp;'Faturado mensal'!X$2,#REF!,
"&lt;"&amp;EOMONTH('Faturado mensal'!X$2,0))</f>
        <v>0</v>
      </c>
      <c r="Y194" s="11">
        <f>SUMIFS(#REF!,#REF!,
$A194,#REF!,
"&gt;="&amp;'Faturado mensal'!M$2,#REF!,
"&lt;"&amp;EOMONTH('Faturado mensal'!M$2,12))</f>
        <v>4521.07</v>
      </c>
      <c r="Z194" s="9">
        <f>SUMIFS(#REF!,#REF!,
$A194,#REF!,
"&gt;="&amp;'Faturado mensal'!Z$2,#REF!,
"&lt;"&amp;EOMONTH('Faturado mensal'!Z$2,0))</f>
        <v>0</v>
      </c>
      <c r="AA194" s="9">
        <f>SUMIFS(#REF!,#REF!,
$A194,#REF!,
"&gt;="&amp;'Faturado mensal'!AA$2,#REF!,
"&lt;"&amp;EOMONTH('Faturado mensal'!AA$2,0))</f>
        <v>0</v>
      </c>
      <c r="AB194" s="9">
        <f>SUMIFS(#REF!,#REF!,
$A194,#REF!,
"&gt;="&amp;'Faturado mensal'!AB$2,#REF!,
"&lt;"&amp;EOMONTH('Faturado mensal'!AB$2,0))</f>
        <v>0</v>
      </c>
      <c r="AC194" s="9">
        <f>SUMIFS(#REF!,#REF!,
$A194,#REF!,
"&gt;="&amp;'Faturado mensal'!AC$2,#REF!,
"&lt;"&amp;EOMONTH('Faturado mensal'!AC$2,0))</f>
        <v>0</v>
      </c>
      <c r="AD194" s="9">
        <f>SUMIFS(#REF!,#REF!,
$A194,#REF!,
"&gt;="&amp;'Faturado mensal'!AD$2,#REF!,
"&lt;"&amp;EOMONTH('Faturado mensal'!AD$2,0))</f>
        <v>0</v>
      </c>
      <c r="AE194" s="9">
        <f>SUMIFS(#REF!,#REF!,
$A194,#REF!,
"&gt;="&amp;'Faturado mensal'!AE$2,#REF!,
"&lt;"&amp;EOMONTH('Faturado mensal'!AE$2,0))</f>
        <v>0</v>
      </c>
      <c r="AF194" s="9">
        <f>SUMIFS(#REF!,#REF!,
$A194,#REF!,
"&gt;="&amp;'Faturado mensal'!AF$2,#REF!,
"&lt;"&amp;EOMONTH('Faturado mensal'!AF$2,0))</f>
        <v>0</v>
      </c>
      <c r="AG194" s="9">
        <f>SUMIFS(#REF!,#REF!,
$A194,#REF!,
"&gt;="&amp;'Faturado mensal'!AG$2,#REF!,
"&lt;"&amp;EOMONTH('Faturado mensal'!AG$2,0))</f>
        <v>0</v>
      </c>
      <c r="AH194" s="9">
        <f>SUMIFS(#REF!,#REF!,
$A194,#REF!,
"&gt;="&amp;'Faturado mensal'!AH$2,#REF!,
"&lt;"&amp;EOMONTH('Faturado mensal'!AH$2,0))</f>
        <v>0</v>
      </c>
      <c r="AI194" s="9">
        <f>SUMIFS(#REF!,#REF!,
$A194,#REF!,
"&gt;="&amp;'Faturado mensal'!AI$2,#REF!,
"&lt;"&amp;EOMONTH('Faturado mensal'!AI$2,0))</f>
        <v>0</v>
      </c>
      <c r="AJ194" s="9">
        <f>SUMIFS(#REF!,#REF!,
$A194,#REF!,
"&gt;="&amp;'Faturado mensal'!AJ$2,#REF!,
"&lt;"&amp;EOMONTH('Faturado mensal'!AJ$2,0))</f>
        <v>0</v>
      </c>
      <c r="AK194" s="9">
        <f>SUMIFS(#REF!,#REF!,
$A194,#REF!,
"&gt;="&amp;'Faturado mensal'!AK$2,#REF!,
"&lt;"&amp;EOMONTH('Faturado mensal'!AK$2,0))</f>
        <v>0</v>
      </c>
      <c r="AL194" s="9">
        <f>SUMIFS(#REF!,#REF!,
$A194,#REF!,
"&gt;="&amp;Z$2,#REF!,
"&lt;"&amp;EOMONTH(AK$2,0))</f>
        <v>0</v>
      </c>
    </row>
    <row r="195" spans="1:38" x14ac:dyDescent="0.3">
      <c r="A195" t="s">
        <v>483</v>
      </c>
      <c r="B195" t="s">
        <v>484</v>
      </c>
      <c r="C195" t="s">
        <v>140</v>
      </c>
      <c r="D195" t="s">
        <v>204</v>
      </c>
      <c r="E195" t="s">
        <v>4833</v>
      </c>
      <c r="F195" t="s">
        <v>4776</v>
      </c>
      <c r="G195" t="s">
        <v>4852</v>
      </c>
      <c r="H195" t="s">
        <v>4773</v>
      </c>
      <c r="I195" t="s">
        <v>140</v>
      </c>
      <c r="J195" t="s">
        <v>710</v>
      </c>
      <c r="K195" t="s">
        <v>762</v>
      </c>
      <c r="L195" t="s">
        <v>763</v>
      </c>
      <c r="M195" s="9">
        <f>SUMIFS(#REF!,#REF!,
$A195,#REF!,
"&gt;="&amp;'Faturado mensal'!M$2,#REF!,
"&lt;"&amp;EOMONTH('Faturado mensal'!M$2,0))</f>
        <v>31200.400000000001</v>
      </c>
      <c r="N195" s="9">
        <f>SUMIFS(#REF!,#REF!,
$A195,#REF!,
"&gt;="&amp;'Faturado mensal'!N$2,#REF!,
"&lt;"&amp;EOMONTH('Faturado mensal'!N$2,0))</f>
        <v>30410</v>
      </c>
      <c r="O195" s="9">
        <f>SUMIFS(#REF!,#REF!,
$A195,#REF!,
"&gt;="&amp;'Faturado mensal'!O$2,#REF!,
"&lt;"&amp;EOMONTH('Faturado mensal'!O$2,0))</f>
        <v>30410</v>
      </c>
      <c r="P195" s="9">
        <f>SUMIFS(#REF!,#REF!,
$A195,#REF!,
"&gt;="&amp;'Faturado mensal'!P$2,#REF!,
"&lt;"&amp;EOMONTH('Faturado mensal'!P$2,0))</f>
        <v>30410</v>
      </c>
      <c r="Q195" s="9">
        <f>SUMIFS(#REF!,#REF!,
$A195,#REF!,
"&gt;="&amp;'Faturado mensal'!Q$2,#REF!,
"&lt;"&amp;EOMONTH('Faturado mensal'!Q$2,0))</f>
        <v>37360</v>
      </c>
      <c r="R195" s="9">
        <f>SUMIFS(#REF!,#REF!,
$A195,#REF!,
"&gt;="&amp;'Faturado mensal'!R$2,#REF!,
"&lt;"&amp;EOMONTH('Faturado mensal'!R$2,0))</f>
        <v>49060</v>
      </c>
      <c r="S195" s="9">
        <f>SUMIFS(#REF!,#REF!,
$A195,#REF!,
"&gt;="&amp;'Faturado mensal'!S$2,#REF!,
"&lt;"&amp;EOMONTH('Faturado mensal'!S$2,0))</f>
        <v>49120</v>
      </c>
      <c r="T195" s="9">
        <f>SUMIFS(#REF!,#REF!,
$A195,#REF!,
"&gt;="&amp;'Faturado mensal'!T$2,#REF!,
"&lt;"&amp;EOMONTH('Faturado mensal'!T$2,0))</f>
        <v>49120</v>
      </c>
      <c r="U195" s="9">
        <f>SUMIFS(#REF!,#REF!,
$A195,#REF!,
"&gt;="&amp;'Faturado mensal'!U$2,#REF!,
"&lt;"&amp;EOMONTH('Faturado mensal'!U$2,0))</f>
        <v>49120</v>
      </c>
      <c r="V195" s="9">
        <f>SUMIFS(#REF!,#REF!,
$A195,#REF!,
"&gt;="&amp;'Faturado mensal'!V$2,#REF!,
"&lt;"&amp;EOMONTH('Faturado mensal'!V$2,0))</f>
        <v>49120</v>
      </c>
      <c r="W195" s="9">
        <f>SUMIFS(#REF!,#REF!,
$A195,#REF!,
"&gt;="&amp;'Faturado mensal'!W$2,#REF!,
"&lt;"&amp;EOMONTH('Faturado mensal'!W$2,0))</f>
        <v>49120</v>
      </c>
      <c r="X195" s="9">
        <f>SUMIFS(#REF!,#REF!,
$A195,#REF!,
"&gt;="&amp;'Faturado mensal'!X$2,#REF!,
"&lt;"&amp;EOMONTH('Faturado mensal'!X$2,0))</f>
        <v>49120</v>
      </c>
      <c r="Y195" s="11">
        <f>SUMIFS(#REF!,#REF!,
$A195,#REF!,
"&gt;="&amp;'Faturado mensal'!M$2,#REF!,
"&lt;"&amp;EOMONTH('Faturado mensal'!M$2,12))</f>
        <v>552690.4</v>
      </c>
      <c r="Z195" s="9">
        <f>SUMIFS(#REF!,#REF!,
$A195,#REF!,
"&gt;="&amp;'Faturado mensal'!Z$2,#REF!,
"&lt;"&amp;EOMONTH('Faturado mensal'!Z$2,0))</f>
        <v>49120</v>
      </c>
      <c r="AA195" s="9">
        <f>SUMIFS(#REF!,#REF!,
$A195,#REF!,
"&gt;="&amp;'Faturado mensal'!AA$2,#REF!,
"&lt;"&amp;EOMONTH('Faturado mensal'!AA$2,0))</f>
        <v>49120</v>
      </c>
      <c r="AB195" s="9">
        <f>SUMIFS(#REF!,#REF!,
$A195,#REF!,
"&gt;="&amp;'Faturado mensal'!AB$2,#REF!,
"&lt;"&amp;EOMONTH('Faturado mensal'!AB$2,0))</f>
        <v>49120</v>
      </c>
      <c r="AC195" s="9">
        <f>SUMIFS(#REF!,#REF!,
$A195,#REF!,
"&gt;="&amp;'Faturado mensal'!AC$2,#REF!,
"&lt;"&amp;EOMONTH('Faturado mensal'!AC$2,0))</f>
        <v>49120</v>
      </c>
      <c r="AD195" s="9">
        <f>SUMIFS(#REF!,#REF!,
$A195,#REF!,
"&gt;="&amp;'Faturado mensal'!AD$2,#REF!,
"&lt;"&amp;EOMONTH('Faturado mensal'!AD$2,0))</f>
        <v>49120</v>
      </c>
      <c r="AE195" s="9">
        <f>SUMIFS(#REF!,#REF!,
$A195,#REF!,
"&gt;="&amp;'Faturado mensal'!AE$2,#REF!,
"&lt;"&amp;EOMONTH('Faturado mensal'!AE$2,0))</f>
        <v>38565</v>
      </c>
      <c r="AF195" s="9">
        <f>SUMIFS(#REF!,#REF!,
$A195,#REF!,
"&gt;="&amp;'Faturado mensal'!AF$2,#REF!,
"&lt;"&amp;EOMONTH('Faturado mensal'!AF$2,0))</f>
        <v>0</v>
      </c>
      <c r="AG195" s="9">
        <f>SUMIFS(#REF!,#REF!,
$A195,#REF!,
"&gt;="&amp;'Faturado mensal'!AG$2,#REF!,
"&lt;"&amp;EOMONTH('Faturado mensal'!AG$2,0))</f>
        <v>0</v>
      </c>
      <c r="AH195" s="9">
        <f>SUMIFS(#REF!,#REF!,
$A195,#REF!,
"&gt;="&amp;'Faturado mensal'!AH$2,#REF!,
"&lt;"&amp;EOMONTH('Faturado mensal'!AH$2,0))</f>
        <v>0</v>
      </c>
      <c r="AI195" s="9">
        <f>SUMIFS(#REF!,#REF!,
$A195,#REF!,
"&gt;="&amp;'Faturado mensal'!AI$2,#REF!,
"&lt;"&amp;EOMONTH('Faturado mensal'!AI$2,0))</f>
        <v>0</v>
      </c>
      <c r="AJ195" s="9">
        <f>SUMIFS(#REF!,#REF!,
$A195,#REF!,
"&gt;="&amp;'Faturado mensal'!AJ$2,#REF!,
"&lt;"&amp;EOMONTH('Faturado mensal'!AJ$2,0))</f>
        <v>0</v>
      </c>
      <c r="AK195" s="9">
        <f>SUMIFS(#REF!,#REF!,
$A195,#REF!,
"&gt;="&amp;'Faturado mensal'!AK$2,#REF!,
"&lt;"&amp;EOMONTH('Faturado mensal'!AK$2,0))</f>
        <v>0</v>
      </c>
      <c r="AL195" s="9">
        <f>SUMIFS(#REF!,#REF!,
$A195,#REF!,
"&gt;="&amp;Z$2,#REF!,
"&lt;"&amp;EOMONTH(AK$2,0))</f>
        <v>284165</v>
      </c>
    </row>
    <row r="196" spans="1:38" x14ac:dyDescent="0.3">
      <c r="A196" t="s">
        <v>485</v>
      </c>
      <c r="B196" t="s">
        <v>439</v>
      </c>
      <c r="C196" t="s">
        <v>156</v>
      </c>
      <c r="D196" t="s">
        <v>204</v>
      </c>
      <c r="E196" t="s">
        <v>1037</v>
      </c>
      <c r="F196" t="s">
        <v>4776</v>
      </c>
      <c r="G196" t="s">
        <v>4852</v>
      </c>
      <c r="H196" t="s">
        <v>4771</v>
      </c>
      <c r="I196" t="s">
        <v>156</v>
      </c>
      <c r="J196" t="s">
        <v>710</v>
      </c>
      <c r="K196" t="s">
        <v>839</v>
      </c>
      <c r="L196" t="s">
        <v>840</v>
      </c>
      <c r="M196" s="9">
        <f>SUMIFS(#REF!,#REF!,
$A196,#REF!,
"&gt;="&amp;'Faturado mensal'!M$2,#REF!,
"&lt;"&amp;EOMONTH('Faturado mensal'!M$2,0))</f>
        <v>5048.3599999999997</v>
      </c>
      <c r="N196" s="9">
        <f>SUMIFS(#REF!,#REF!,
$A196,#REF!,
"&gt;="&amp;'Faturado mensal'!N$2,#REF!,
"&lt;"&amp;EOMONTH('Faturado mensal'!N$2,0))</f>
        <v>2545.7800000000002</v>
      </c>
      <c r="O196" s="9">
        <f>SUMIFS(#REF!,#REF!,
$A196,#REF!,
"&gt;="&amp;'Faturado mensal'!O$2,#REF!,
"&lt;"&amp;EOMONTH('Faturado mensal'!O$2,0))</f>
        <v>5174.3599999999997</v>
      </c>
      <c r="P196" s="9">
        <f>SUMIFS(#REF!,#REF!,
$A196,#REF!,
"&gt;="&amp;'Faturado mensal'!P$2,#REF!,
"&lt;"&amp;EOMONTH('Faturado mensal'!P$2,0))</f>
        <v>5188.3599999999997</v>
      </c>
      <c r="Q196" s="9">
        <f>SUMIFS(#REF!,#REF!,
$A196,#REF!,
"&gt;="&amp;'Faturado mensal'!Q$2,#REF!,
"&lt;"&amp;EOMONTH('Faturado mensal'!Q$2,0))</f>
        <v>5620.62</v>
      </c>
      <c r="R196" s="9">
        <f>SUMIFS(#REF!,#REF!,
$A196,#REF!,
"&gt;="&amp;'Faturado mensal'!R$2,#REF!,
"&lt;"&amp;EOMONTH('Faturado mensal'!R$2,0))</f>
        <v>5230.6400000000003</v>
      </c>
      <c r="S196" s="9">
        <f>SUMIFS(#REF!,#REF!,
$A196,#REF!,
"&gt;="&amp;'Faturado mensal'!S$2,#REF!,
"&lt;"&amp;EOMONTH('Faturado mensal'!S$2,0))</f>
        <v>5653.64</v>
      </c>
      <c r="T196" s="9">
        <f>SUMIFS(#REF!,#REF!,
$A196,#REF!,
"&gt;="&amp;'Faturado mensal'!T$2,#REF!,
"&lt;"&amp;EOMONTH('Faturado mensal'!T$2,0))</f>
        <v>5230.24</v>
      </c>
      <c r="U196" s="9">
        <f>SUMIFS(#REF!,#REF!,
$A196,#REF!,
"&gt;="&amp;'Faturado mensal'!U$2,#REF!,
"&lt;"&amp;EOMONTH('Faturado mensal'!U$2,0))</f>
        <v>5258.24</v>
      </c>
      <c r="V196" s="9">
        <f>SUMIFS(#REF!,#REF!,
$A196,#REF!,
"&gt;="&amp;'Faturado mensal'!V$2,#REF!,
"&lt;"&amp;EOMONTH('Faturado mensal'!V$2,0))</f>
        <v>5132.24</v>
      </c>
      <c r="W196" s="9">
        <f>SUMIFS(#REF!,#REF!,
$A196,#REF!,
"&gt;="&amp;'Faturado mensal'!W$2,#REF!,
"&lt;"&amp;EOMONTH('Faturado mensal'!W$2,0))</f>
        <v>5202.24</v>
      </c>
      <c r="X196" s="9">
        <f>SUMIFS(#REF!,#REF!,
$A196,#REF!,
"&gt;="&amp;'Faturado mensal'!X$2,#REF!,
"&lt;"&amp;EOMONTH('Faturado mensal'!X$2,0))</f>
        <v>5202.24</v>
      </c>
      <c r="Y196" s="11">
        <f>SUMIFS(#REF!,#REF!,
$A196,#REF!,
"&gt;="&amp;'Faturado mensal'!M$2,#REF!,
"&lt;"&amp;EOMONTH('Faturado mensal'!M$2,12))</f>
        <v>65999.259999999995</v>
      </c>
      <c r="Z196" s="9">
        <f>SUMIFS(#REF!,#REF!,
$A196,#REF!,
"&gt;="&amp;'Faturado mensal'!Z$2,#REF!,
"&lt;"&amp;EOMONTH('Faturado mensal'!Z$2,0))</f>
        <v>5512.3</v>
      </c>
      <c r="AA196" s="9">
        <f>SUMIFS(#REF!,#REF!,
$A196,#REF!,
"&gt;="&amp;'Faturado mensal'!AA$2,#REF!,
"&lt;"&amp;EOMONTH('Faturado mensal'!AA$2,0))</f>
        <v>5587.3</v>
      </c>
      <c r="AB196" s="9">
        <f>SUMIFS(#REF!,#REF!,
$A196,#REF!,
"&gt;="&amp;'Faturado mensal'!AB$2,#REF!,
"&lt;"&amp;EOMONTH('Faturado mensal'!AB$2,0))</f>
        <v>5527.3</v>
      </c>
      <c r="AC196" s="9">
        <f>SUMIFS(#REF!,#REF!,
$A196,#REF!,
"&gt;="&amp;'Faturado mensal'!AC$2,#REF!,
"&lt;"&amp;EOMONTH('Faturado mensal'!AC$2,0))</f>
        <v>5302.3</v>
      </c>
      <c r="AD196" s="9">
        <f>SUMIFS(#REF!,#REF!,
$A196,#REF!,
"&gt;="&amp;'Faturado mensal'!AD$2,#REF!,
"&lt;"&amp;EOMONTH('Faturado mensal'!AD$2,0))</f>
        <v>4040.26</v>
      </c>
      <c r="AE196" s="9">
        <f>SUMIFS(#REF!,#REF!,
$A196,#REF!,
"&gt;="&amp;'Faturado mensal'!AE$2,#REF!,
"&lt;"&amp;EOMONTH('Faturado mensal'!AE$2,0))</f>
        <v>0</v>
      </c>
      <c r="AF196" s="9">
        <f>SUMIFS(#REF!,#REF!,
$A196,#REF!,
"&gt;="&amp;'Faturado mensal'!AF$2,#REF!,
"&lt;"&amp;EOMONTH('Faturado mensal'!AF$2,0))</f>
        <v>0</v>
      </c>
      <c r="AG196" s="9">
        <f>SUMIFS(#REF!,#REF!,
$A196,#REF!,
"&gt;="&amp;'Faturado mensal'!AG$2,#REF!,
"&lt;"&amp;EOMONTH('Faturado mensal'!AG$2,0))</f>
        <v>0</v>
      </c>
      <c r="AH196" s="9">
        <f>SUMIFS(#REF!,#REF!,
$A196,#REF!,
"&gt;="&amp;'Faturado mensal'!AH$2,#REF!,
"&lt;"&amp;EOMONTH('Faturado mensal'!AH$2,0))</f>
        <v>0</v>
      </c>
      <c r="AI196" s="9">
        <f>SUMIFS(#REF!,#REF!,
$A196,#REF!,
"&gt;="&amp;'Faturado mensal'!AI$2,#REF!,
"&lt;"&amp;EOMONTH('Faturado mensal'!AI$2,0))</f>
        <v>0</v>
      </c>
      <c r="AJ196" s="9">
        <f>SUMIFS(#REF!,#REF!,
$A196,#REF!,
"&gt;="&amp;'Faturado mensal'!AJ$2,#REF!,
"&lt;"&amp;EOMONTH('Faturado mensal'!AJ$2,0))</f>
        <v>0</v>
      </c>
      <c r="AK196" s="9">
        <f>SUMIFS(#REF!,#REF!,
$A196,#REF!,
"&gt;="&amp;'Faturado mensal'!AK$2,#REF!,
"&lt;"&amp;EOMONTH('Faturado mensal'!AK$2,0))</f>
        <v>0</v>
      </c>
      <c r="AL196" s="9">
        <f>SUMIFS(#REF!,#REF!,
$A196,#REF!,
"&gt;="&amp;Z$2,#REF!,
"&lt;"&amp;EOMONTH(AK$2,0))</f>
        <v>25969.46</v>
      </c>
    </row>
    <row r="197" spans="1:38" x14ac:dyDescent="0.3">
      <c r="A197" t="s">
        <v>486</v>
      </c>
      <c r="B197" t="s">
        <v>376</v>
      </c>
      <c r="C197" t="s">
        <v>35</v>
      </c>
      <c r="D197" t="s">
        <v>209</v>
      </c>
      <c r="G197" t="s">
        <v>4852</v>
      </c>
      <c r="H197" t="s">
        <v>4771</v>
      </c>
      <c r="I197" t="s">
        <v>35</v>
      </c>
      <c r="J197" t="s">
        <v>710</v>
      </c>
      <c r="K197" t="s">
        <v>768</v>
      </c>
      <c r="L197" t="s">
        <v>769</v>
      </c>
      <c r="M197" s="9">
        <f>SUMIFS(#REF!,#REF!,
$A197,#REF!,
"&gt;="&amp;'Faturado mensal'!M$2,#REF!,
"&lt;"&amp;EOMONTH('Faturado mensal'!M$2,0))</f>
        <v>40946.65</v>
      </c>
      <c r="N197" s="9">
        <f>SUMIFS(#REF!,#REF!,
$A197,#REF!,
"&gt;="&amp;'Faturado mensal'!N$2,#REF!,
"&lt;"&amp;EOMONTH('Faturado mensal'!N$2,0))</f>
        <v>40227</v>
      </c>
      <c r="O197" s="9">
        <f>SUMIFS(#REF!,#REF!,
$A197,#REF!,
"&gt;="&amp;'Faturado mensal'!O$2,#REF!,
"&lt;"&amp;EOMONTH('Faturado mensal'!O$2,0))</f>
        <v>40700</v>
      </c>
      <c r="P197" s="9">
        <f>SUMIFS(#REF!,#REF!,
$A197,#REF!,
"&gt;="&amp;'Faturado mensal'!P$2,#REF!,
"&lt;"&amp;EOMONTH('Faturado mensal'!P$2,0))</f>
        <v>0</v>
      </c>
      <c r="Q197" s="9">
        <f>SUMIFS(#REF!,#REF!,
$A197,#REF!,
"&gt;="&amp;'Faturado mensal'!Q$2,#REF!,
"&lt;"&amp;EOMONTH('Faturado mensal'!Q$2,0))</f>
        <v>40227</v>
      </c>
      <c r="R197" s="9">
        <f>SUMIFS(#REF!,#REF!,
$A197,#REF!,
"&gt;="&amp;'Faturado mensal'!R$2,#REF!,
"&lt;"&amp;EOMONTH('Faturado mensal'!R$2,0))</f>
        <v>41441.480000000003</v>
      </c>
      <c r="S197" s="9">
        <f>SUMIFS(#REF!,#REF!,
$A197,#REF!,
"&gt;="&amp;'Faturado mensal'!S$2,#REF!,
"&lt;"&amp;EOMONTH('Faturado mensal'!S$2,0))</f>
        <v>40463.5</v>
      </c>
      <c r="T197" s="9">
        <f>SUMIFS(#REF!,#REF!,
$A197,#REF!,
"&gt;="&amp;'Faturado mensal'!T$2,#REF!,
"&lt;"&amp;EOMONTH('Faturado mensal'!T$2,0))</f>
        <v>42828.5</v>
      </c>
      <c r="U197" s="9">
        <f>SUMIFS(#REF!,#REF!,
$A197,#REF!,
"&gt;="&amp;'Faturado mensal'!U$2,#REF!,
"&lt;"&amp;EOMONTH('Faturado mensal'!U$2,0))</f>
        <v>43538</v>
      </c>
      <c r="V197" s="9">
        <f>SUMIFS(#REF!,#REF!,
$A197,#REF!,
"&gt;="&amp;'Faturado mensal'!V$2,#REF!,
"&lt;"&amp;EOMONTH('Faturado mensal'!V$2,0))</f>
        <v>0</v>
      </c>
      <c r="W197" s="9">
        <f>SUMIFS(#REF!,#REF!,
$A197,#REF!,
"&gt;="&amp;'Faturado mensal'!W$2,#REF!,
"&lt;"&amp;EOMONTH('Faturado mensal'!W$2,0))</f>
        <v>0</v>
      </c>
      <c r="X197" s="9">
        <f>SUMIFS(#REF!,#REF!,
$A197,#REF!,
"&gt;="&amp;'Faturado mensal'!X$2,#REF!,
"&lt;"&amp;EOMONTH('Faturado mensal'!X$2,0))</f>
        <v>0</v>
      </c>
      <c r="Y197" s="11">
        <f>SUMIFS(#REF!,#REF!,
$A197,#REF!,
"&gt;="&amp;'Faturado mensal'!M$2,#REF!,
"&lt;"&amp;EOMONTH('Faturado mensal'!M$2,12))</f>
        <v>370609.28</v>
      </c>
      <c r="Z197" s="9">
        <f>SUMIFS(#REF!,#REF!,
$A197,#REF!,
"&gt;="&amp;'Faturado mensal'!Z$2,#REF!,
"&lt;"&amp;EOMONTH('Faturado mensal'!Z$2,0))</f>
        <v>0</v>
      </c>
      <c r="AA197" s="9">
        <f>SUMIFS(#REF!,#REF!,
$A197,#REF!,
"&gt;="&amp;'Faturado mensal'!AA$2,#REF!,
"&lt;"&amp;EOMONTH('Faturado mensal'!AA$2,0))</f>
        <v>0</v>
      </c>
      <c r="AB197" s="9">
        <f>SUMIFS(#REF!,#REF!,
$A197,#REF!,
"&gt;="&amp;'Faturado mensal'!AB$2,#REF!,
"&lt;"&amp;EOMONTH('Faturado mensal'!AB$2,0))</f>
        <v>0</v>
      </c>
      <c r="AC197" s="9">
        <f>SUMIFS(#REF!,#REF!,
$A197,#REF!,
"&gt;="&amp;'Faturado mensal'!AC$2,#REF!,
"&lt;"&amp;EOMONTH('Faturado mensal'!AC$2,0))</f>
        <v>0</v>
      </c>
      <c r="AD197" s="9">
        <f>SUMIFS(#REF!,#REF!,
$A197,#REF!,
"&gt;="&amp;'Faturado mensal'!AD$2,#REF!,
"&lt;"&amp;EOMONTH('Faturado mensal'!AD$2,0))</f>
        <v>0</v>
      </c>
      <c r="AE197" s="9">
        <f>SUMIFS(#REF!,#REF!,
$A197,#REF!,
"&gt;="&amp;'Faturado mensal'!AE$2,#REF!,
"&lt;"&amp;EOMONTH('Faturado mensal'!AE$2,0))</f>
        <v>0</v>
      </c>
      <c r="AF197" s="9">
        <f>SUMIFS(#REF!,#REF!,
$A197,#REF!,
"&gt;="&amp;'Faturado mensal'!AF$2,#REF!,
"&lt;"&amp;EOMONTH('Faturado mensal'!AF$2,0))</f>
        <v>0</v>
      </c>
      <c r="AG197" s="9">
        <f>SUMIFS(#REF!,#REF!,
$A197,#REF!,
"&gt;="&amp;'Faturado mensal'!AG$2,#REF!,
"&lt;"&amp;EOMONTH('Faturado mensal'!AG$2,0))</f>
        <v>0</v>
      </c>
      <c r="AH197" s="9">
        <f>SUMIFS(#REF!,#REF!,
$A197,#REF!,
"&gt;="&amp;'Faturado mensal'!AH$2,#REF!,
"&lt;"&amp;EOMONTH('Faturado mensal'!AH$2,0))</f>
        <v>0</v>
      </c>
      <c r="AI197" s="9">
        <f>SUMIFS(#REF!,#REF!,
$A197,#REF!,
"&gt;="&amp;'Faturado mensal'!AI$2,#REF!,
"&lt;"&amp;EOMONTH('Faturado mensal'!AI$2,0))</f>
        <v>0</v>
      </c>
      <c r="AJ197" s="9">
        <f>SUMIFS(#REF!,#REF!,
$A197,#REF!,
"&gt;="&amp;'Faturado mensal'!AJ$2,#REF!,
"&lt;"&amp;EOMONTH('Faturado mensal'!AJ$2,0))</f>
        <v>0</v>
      </c>
      <c r="AK197" s="9">
        <f>SUMIFS(#REF!,#REF!,
$A197,#REF!,
"&gt;="&amp;'Faturado mensal'!AK$2,#REF!,
"&lt;"&amp;EOMONTH('Faturado mensal'!AK$2,0))</f>
        <v>0</v>
      </c>
      <c r="AL197" s="9">
        <f>SUMIFS(#REF!,#REF!,
$A197,#REF!,
"&gt;="&amp;Z$2,#REF!,
"&lt;"&amp;EOMONTH(AK$2,0))</f>
        <v>0</v>
      </c>
    </row>
    <row r="198" spans="1:38" x14ac:dyDescent="0.3">
      <c r="A198" t="s">
        <v>487</v>
      </c>
      <c r="B198" t="s">
        <v>488</v>
      </c>
      <c r="C198" t="s">
        <v>178</v>
      </c>
      <c r="D198" t="s">
        <v>204</v>
      </c>
      <c r="E198" t="s">
        <v>4833</v>
      </c>
      <c r="F198" t="s">
        <v>4776</v>
      </c>
      <c r="G198" t="s">
        <v>4852</v>
      </c>
      <c r="H198" t="s">
        <v>4773</v>
      </c>
      <c r="I198" t="s">
        <v>807</v>
      </c>
      <c r="J198" t="s">
        <v>710</v>
      </c>
      <c r="K198" t="s">
        <v>717</v>
      </c>
      <c r="L198" t="s">
        <v>718</v>
      </c>
      <c r="M198" s="9">
        <f>SUMIFS(#REF!,#REF!,
$A198,#REF!,
"&gt;="&amp;'Faturado mensal'!M$2,#REF!,
"&lt;"&amp;EOMONTH('Faturado mensal'!M$2,0))</f>
        <v>0</v>
      </c>
      <c r="N198" s="9">
        <f>SUMIFS(#REF!,#REF!,
$A198,#REF!,
"&gt;="&amp;'Faturado mensal'!N$2,#REF!,
"&lt;"&amp;EOMONTH('Faturado mensal'!N$2,0))</f>
        <v>0</v>
      </c>
      <c r="O198" s="9">
        <f>SUMIFS(#REF!,#REF!,
$A198,#REF!,
"&gt;="&amp;'Faturado mensal'!O$2,#REF!,
"&lt;"&amp;EOMONTH('Faturado mensal'!O$2,0))</f>
        <v>0</v>
      </c>
      <c r="P198" s="9">
        <f>SUMIFS(#REF!,#REF!,
$A198,#REF!,
"&gt;="&amp;'Faturado mensal'!P$2,#REF!,
"&lt;"&amp;EOMONTH('Faturado mensal'!P$2,0))</f>
        <v>26623.21</v>
      </c>
      <c r="Q198" s="9">
        <f>SUMIFS(#REF!,#REF!,
$A198,#REF!,
"&gt;="&amp;'Faturado mensal'!Q$2,#REF!,
"&lt;"&amp;EOMONTH('Faturado mensal'!Q$2,0))</f>
        <v>0</v>
      </c>
      <c r="R198" s="9">
        <f>SUMIFS(#REF!,#REF!,
$A198,#REF!,
"&gt;="&amp;'Faturado mensal'!R$2,#REF!,
"&lt;"&amp;EOMONTH('Faturado mensal'!R$2,0))</f>
        <v>0</v>
      </c>
      <c r="S198" s="9">
        <f>SUMIFS(#REF!,#REF!,
$A198,#REF!,
"&gt;="&amp;'Faturado mensal'!S$2,#REF!,
"&lt;"&amp;EOMONTH('Faturado mensal'!S$2,0))</f>
        <v>0</v>
      </c>
      <c r="T198" s="9">
        <f>SUMIFS(#REF!,#REF!,
$A198,#REF!,
"&gt;="&amp;'Faturado mensal'!T$2,#REF!,
"&lt;"&amp;EOMONTH('Faturado mensal'!T$2,0))</f>
        <v>26679.31</v>
      </c>
      <c r="U198" s="9">
        <f>SUMIFS(#REF!,#REF!,
$A198,#REF!,
"&gt;="&amp;'Faturado mensal'!U$2,#REF!,
"&lt;"&amp;EOMONTH('Faturado mensal'!U$2,0))</f>
        <v>0</v>
      </c>
      <c r="V198" s="9">
        <f>SUMIFS(#REF!,#REF!,
$A198,#REF!,
"&gt;="&amp;'Faturado mensal'!V$2,#REF!,
"&lt;"&amp;EOMONTH('Faturado mensal'!V$2,0))</f>
        <v>0</v>
      </c>
      <c r="W198" s="9">
        <f>SUMIFS(#REF!,#REF!,
$A198,#REF!,
"&gt;="&amp;'Faturado mensal'!W$2,#REF!,
"&lt;"&amp;EOMONTH('Faturado mensal'!W$2,0))</f>
        <v>0</v>
      </c>
      <c r="X198" s="9">
        <f>SUMIFS(#REF!,#REF!,
$A198,#REF!,
"&gt;="&amp;'Faturado mensal'!X$2,#REF!,
"&lt;"&amp;EOMONTH('Faturado mensal'!X$2,0))</f>
        <v>27170.55</v>
      </c>
      <c r="Y198" s="11">
        <f>SUMIFS(#REF!,#REF!,
$A198,#REF!,
"&gt;="&amp;'Faturado mensal'!M$2,#REF!,
"&lt;"&amp;EOMONTH('Faturado mensal'!M$2,12))</f>
        <v>80473.070000000007</v>
      </c>
      <c r="Z198" s="9">
        <f>SUMIFS(#REF!,#REF!,
$A198,#REF!,
"&gt;="&amp;'Faturado mensal'!Z$2,#REF!,
"&lt;"&amp;EOMONTH('Faturado mensal'!Z$2,0))</f>
        <v>0</v>
      </c>
      <c r="AA198" s="9">
        <f>SUMIFS(#REF!,#REF!,
$A198,#REF!,
"&gt;="&amp;'Faturado mensal'!AA$2,#REF!,
"&lt;"&amp;EOMONTH('Faturado mensal'!AA$2,0))</f>
        <v>0</v>
      </c>
      <c r="AB198" s="9">
        <f>SUMIFS(#REF!,#REF!,
$A198,#REF!,
"&gt;="&amp;'Faturado mensal'!AB$2,#REF!,
"&lt;"&amp;EOMONTH('Faturado mensal'!AB$2,0))</f>
        <v>0</v>
      </c>
      <c r="AC198" s="9">
        <f>SUMIFS(#REF!,#REF!,
$A198,#REF!,
"&gt;="&amp;'Faturado mensal'!AC$2,#REF!,
"&lt;"&amp;EOMONTH('Faturado mensal'!AC$2,0))</f>
        <v>28178.78</v>
      </c>
      <c r="AD198" s="9">
        <f>SUMIFS(#REF!,#REF!,
$A198,#REF!,
"&gt;="&amp;'Faturado mensal'!AD$2,#REF!,
"&lt;"&amp;EOMONTH('Faturado mensal'!AD$2,0))</f>
        <v>0</v>
      </c>
      <c r="AE198" s="9">
        <f>SUMIFS(#REF!,#REF!,
$A198,#REF!,
"&gt;="&amp;'Faturado mensal'!AE$2,#REF!,
"&lt;"&amp;EOMONTH('Faturado mensal'!AE$2,0))</f>
        <v>0</v>
      </c>
      <c r="AF198" s="9">
        <f>SUMIFS(#REF!,#REF!,
$A198,#REF!,
"&gt;="&amp;'Faturado mensal'!AF$2,#REF!,
"&lt;"&amp;EOMONTH('Faturado mensal'!AF$2,0))</f>
        <v>0</v>
      </c>
      <c r="AG198" s="9">
        <f>SUMIFS(#REF!,#REF!,
$A198,#REF!,
"&gt;="&amp;'Faturado mensal'!AG$2,#REF!,
"&lt;"&amp;EOMONTH('Faturado mensal'!AG$2,0))</f>
        <v>0</v>
      </c>
      <c r="AH198" s="9">
        <f>SUMIFS(#REF!,#REF!,
$A198,#REF!,
"&gt;="&amp;'Faturado mensal'!AH$2,#REF!,
"&lt;"&amp;EOMONTH('Faturado mensal'!AH$2,0))</f>
        <v>0</v>
      </c>
      <c r="AI198" s="9">
        <f>SUMIFS(#REF!,#REF!,
$A198,#REF!,
"&gt;="&amp;'Faturado mensal'!AI$2,#REF!,
"&lt;"&amp;EOMONTH('Faturado mensal'!AI$2,0))</f>
        <v>0</v>
      </c>
      <c r="AJ198" s="9">
        <f>SUMIFS(#REF!,#REF!,
$A198,#REF!,
"&gt;="&amp;'Faturado mensal'!AJ$2,#REF!,
"&lt;"&amp;EOMONTH('Faturado mensal'!AJ$2,0))</f>
        <v>0</v>
      </c>
      <c r="AK198" s="9">
        <f>SUMIFS(#REF!,#REF!,
$A198,#REF!,
"&gt;="&amp;'Faturado mensal'!AK$2,#REF!,
"&lt;"&amp;EOMONTH('Faturado mensal'!AK$2,0))</f>
        <v>0</v>
      </c>
      <c r="AL198" s="9">
        <f>SUMIFS(#REF!,#REF!,
$A198,#REF!,
"&gt;="&amp;Z$2,#REF!,
"&lt;"&amp;EOMONTH(AK$2,0))</f>
        <v>28178.78</v>
      </c>
    </row>
    <row r="199" spans="1:38" x14ac:dyDescent="0.3">
      <c r="A199" t="s">
        <v>858</v>
      </c>
      <c r="B199" t="s">
        <v>205</v>
      </c>
      <c r="C199" t="s">
        <v>206</v>
      </c>
      <c r="D199" t="s">
        <v>204</v>
      </c>
      <c r="E199" t="s">
        <v>1037</v>
      </c>
      <c r="F199" t="s">
        <v>4776</v>
      </c>
      <c r="G199" t="s">
        <v>4852</v>
      </c>
      <c r="H199" t="s">
        <v>4772</v>
      </c>
      <c r="I199" t="s">
        <v>807</v>
      </c>
      <c r="J199" t="s">
        <v>710</v>
      </c>
      <c r="K199" t="s">
        <v>768</v>
      </c>
      <c r="L199" t="s">
        <v>769</v>
      </c>
      <c r="M199" s="9">
        <f>SUMIFS(#REF!,#REF!,
$A199,#REF!,
"&gt;="&amp;'Faturado mensal'!M$2,#REF!,
"&lt;"&amp;EOMONTH('Faturado mensal'!M$2,0))</f>
        <v>0</v>
      </c>
      <c r="N199" s="9">
        <f>SUMIFS(#REF!,#REF!,
$A199,#REF!,
"&gt;="&amp;'Faturado mensal'!N$2,#REF!,
"&lt;"&amp;EOMONTH('Faturado mensal'!N$2,0))</f>
        <v>0</v>
      </c>
      <c r="O199" s="9">
        <f>SUMIFS(#REF!,#REF!,
$A199,#REF!,
"&gt;="&amp;'Faturado mensal'!O$2,#REF!,
"&lt;"&amp;EOMONTH('Faturado mensal'!O$2,0))</f>
        <v>0</v>
      </c>
      <c r="P199" s="9">
        <f>SUMIFS(#REF!,#REF!,
$A199,#REF!,
"&gt;="&amp;'Faturado mensal'!P$2,#REF!,
"&lt;"&amp;EOMONTH('Faturado mensal'!P$2,0))</f>
        <v>0</v>
      </c>
      <c r="Q199" s="9">
        <f>SUMIFS(#REF!,#REF!,
$A199,#REF!,
"&gt;="&amp;'Faturado mensal'!Q$2,#REF!,
"&lt;"&amp;EOMONTH('Faturado mensal'!Q$2,0))</f>
        <v>0</v>
      </c>
      <c r="R199" s="9">
        <f>SUMIFS(#REF!,#REF!,
$A199,#REF!,
"&gt;="&amp;'Faturado mensal'!R$2,#REF!,
"&lt;"&amp;EOMONTH('Faturado mensal'!R$2,0))</f>
        <v>0</v>
      </c>
      <c r="S199" s="9">
        <f>SUMIFS(#REF!,#REF!,
$A199,#REF!,
"&gt;="&amp;'Faturado mensal'!S$2,#REF!,
"&lt;"&amp;EOMONTH('Faturado mensal'!S$2,0))</f>
        <v>0</v>
      </c>
      <c r="T199" s="9">
        <f>SUMIFS(#REF!,#REF!,
$A199,#REF!,
"&gt;="&amp;'Faturado mensal'!T$2,#REF!,
"&lt;"&amp;EOMONTH('Faturado mensal'!T$2,0))</f>
        <v>0</v>
      </c>
      <c r="U199" s="9">
        <f>SUMIFS(#REF!,#REF!,
$A199,#REF!,
"&gt;="&amp;'Faturado mensal'!U$2,#REF!,
"&lt;"&amp;EOMONTH('Faturado mensal'!U$2,0))</f>
        <v>0</v>
      </c>
      <c r="V199" s="9">
        <f>SUMIFS(#REF!,#REF!,
$A199,#REF!,
"&gt;="&amp;'Faturado mensal'!V$2,#REF!,
"&lt;"&amp;EOMONTH('Faturado mensal'!V$2,0))</f>
        <v>0</v>
      </c>
      <c r="W199" s="9">
        <f>SUMIFS(#REF!,#REF!,
$A199,#REF!,
"&gt;="&amp;'Faturado mensal'!W$2,#REF!,
"&lt;"&amp;EOMONTH('Faturado mensal'!W$2,0))</f>
        <v>0</v>
      </c>
      <c r="X199" s="9">
        <f>SUMIFS(#REF!,#REF!,
$A199,#REF!,
"&gt;="&amp;'Faturado mensal'!X$2,#REF!,
"&lt;"&amp;EOMONTH('Faturado mensal'!X$2,0))</f>
        <v>0</v>
      </c>
      <c r="Y199" s="11">
        <f>SUMIFS(#REF!,#REF!,
$A199,#REF!,
"&gt;="&amp;'Faturado mensal'!M$2,#REF!,
"&lt;"&amp;EOMONTH('Faturado mensal'!M$2,12))</f>
        <v>0</v>
      </c>
      <c r="Z199" s="9">
        <f>SUMIFS(#REF!,#REF!,
$A199,#REF!,
"&gt;="&amp;'Faturado mensal'!Z$2,#REF!,
"&lt;"&amp;EOMONTH('Faturado mensal'!Z$2,0))</f>
        <v>0</v>
      </c>
      <c r="AA199" s="9">
        <f>SUMIFS(#REF!,#REF!,
$A199,#REF!,
"&gt;="&amp;'Faturado mensal'!AA$2,#REF!,
"&lt;"&amp;EOMONTH('Faturado mensal'!AA$2,0))</f>
        <v>0</v>
      </c>
      <c r="AB199" s="9">
        <f>SUMIFS(#REF!,#REF!,
$A199,#REF!,
"&gt;="&amp;'Faturado mensal'!AB$2,#REF!,
"&lt;"&amp;EOMONTH('Faturado mensal'!AB$2,0))</f>
        <v>0</v>
      </c>
      <c r="AC199" s="9">
        <f>SUMIFS(#REF!,#REF!,
$A199,#REF!,
"&gt;="&amp;'Faturado mensal'!AC$2,#REF!,
"&lt;"&amp;EOMONTH('Faturado mensal'!AC$2,0))</f>
        <v>0</v>
      </c>
      <c r="AD199" s="9">
        <f>SUMIFS(#REF!,#REF!,
$A199,#REF!,
"&gt;="&amp;'Faturado mensal'!AD$2,#REF!,
"&lt;"&amp;EOMONTH('Faturado mensal'!AD$2,0))</f>
        <v>0</v>
      </c>
      <c r="AE199" s="9">
        <f>SUMIFS(#REF!,#REF!,
$A199,#REF!,
"&gt;="&amp;'Faturado mensal'!AE$2,#REF!,
"&lt;"&amp;EOMONTH('Faturado mensal'!AE$2,0))</f>
        <v>0</v>
      </c>
      <c r="AF199" s="9">
        <f>SUMIFS(#REF!,#REF!,
$A199,#REF!,
"&gt;="&amp;'Faturado mensal'!AF$2,#REF!,
"&lt;"&amp;EOMONTH('Faturado mensal'!AF$2,0))</f>
        <v>0</v>
      </c>
      <c r="AG199" s="9">
        <f>SUMIFS(#REF!,#REF!,
$A199,#REF!,
"&gt;="&amp;'Faturado mensal'!AG$2,#REF!,
"&lt;"&amp;EOMONTH('Faturado mensal'!AG$2,0))</f>
        <v>0</v>
      </c>
      <c r="AH199" s="9">
        <f>SUMIFS(#REF!,#REF!,
$A199,#REF!,
"&gt;="&amp;'Faturado mensal'!AH$2,#REF!,
"&lt;"&amp;EOMONTH('Faturado mensal'!AH$2,0))</f>
        <v>0</v>
      </c>
      <c r="AI199" s="9">
        <f>SUMIFS(#REF!,#REF!,
$A199,#REF!,
"&gt;="&amp;'Faturado mensal'!AI$2,#REF!,
"&lt;"&amp;EOMONTH('Faturado mensal'!AI$2,0))</f>
        <v>0</v>
      </c>
      <c r="AJ199" s="9">
        <f>SUMIFS(#REF!,#REF!,
$A199,#REF!,
"&gt;="&amp;'Faturado mensal'!AJ$2,#REF!,
"&lt;"&amp;EOMONTH('Faturado mensal'!AJ$2,0))</f>
        <v>0</v>
      </c>
      <c r="AK199" s="9">
        <f>SUMIFS(#REF!,#REF!,
$A199,#REF!,
"&gt;="&amp;'Faturado mensal'!AK$2,#REF!,
"&lt;"&amp;EOMONTH('Faturado mensal'!AK$2,0))</f>
        <v>0</v>
      </c>
      <c r="AL199" s="9">
        <f>SUMIFS(#REF!,#REF!,
$A199,#REF!,
"&gt;="&amp;Z$2,#REF!,
"&lt;"&amp;EOMONTH(AK$2,0))</f>
        <v>0</v>
      </c>
    </row>
    <row r="200" spans="1:38" x14ac:dyDescent="0.3">
      <c r="A200" t="s">
        <v>859</v>
      </c>
      <c r="B200" t="s">
        <v>860</v>
      </c>
      <c r="C200" t="s">
        <v>861</v>
      </c>
      <c r="D200" t="s">
        <v>209</v>
      </c>
      <c r="G200" t="s">
        <v>4845</v>
      </c>
      <c r="H200" t="s">
        <v>4772</v>
      </c>
      <c r="I200" t="s">
        <v>807</v>
      </c>
      <c r="J200" t="s">
        <v>710</v>
      </c>
      <c r="K200" t="s">
        <v>762</v>
      </c>
      <c r="L200" t="s">
        <v>763</v>
      </c>
      <c r="M200" s="9">
        <f>SUMIFS(#REF!,#REF!,
$A200,#REF!,
"&gt;="&amp;'Faturado mensal'!M$2,#REF!,
"&lt;"&amp;EOMONTH('Faturado mensal'!M$2,0))</f>
        <v>0</v>
      </c>
      <c r="N200" s="9">
        <f>SUMIFS(#REF!,#REF!,
$A200,#REF!,
"&gt;="&amp;'Faturado mensal'!N$2,#REF!,
"&lt;"&amp;EOMONTH('Faturado mensal'!N$2,0))</f>
        <v>0</v>
      </c>
      <c r="O200" s="9">
        <f>SUMIFS(#REF!,#REF!,
$A200,#REF!,
"&gt;="&amp;'Faturado mensal'!O$2,#REF!,
"&lt;"&amp;EOMONTH('Faturado mensal'!O$2,0))</f>
        <v>0</v>
      </c>
      <c r="P200" s="9">
        <f>SUMIFS(#REF!,#REF!,
$A200,#REF!,
"&gt;="&amp;'Faturado mensal'!P$2,#REF!,
"&lt;"&amp;EOMONTH('Faturado mensal'!P$2,0))</f>
        <v>0</v>
      </c>
      <c r="Q200" s="9">
        <f>SUMIFS(#REF!,#REF!,
$A200,#REF!,
"&gt;="&amp;'Faturado mensal'!Q$2,#REF!,
"&lt;"&amp;EOMONTH('Faturado mensal'!Q$2,0))</f>
        <v>0</v>
      </c>
      <c r="R200" s="9">
        <f>SUMIFS(#REF!,#REF!,
$A200,#REF!,
"&gt;="&amp;'Faturado mensal'!R$2,#REF!,
"&lt;"&amp;EOMONTH('Faturado mensal'!R$2,0))</f>
        <v>0</v>
      </c>
      <c r="S200" s="9">
        <f>SUMIFS(#REF!,#REF!,
$A200,#REF!,
"&gt;="&amp;'Faturado mensal'!S$2,#REF!,
"&lt;"&amp;EOMONTH('Faturado mensal'!S$2,0))</f>
        <v>0</v>
      </c>
      <c r="T200" s="9">
        <f>SUMIFS(#REF!,#REF!,
$A200,#REF!,
"&gt;="&amp;'Faturado mensal'!T$2,#REF!,
"&lt;"&amp;EOMONTH('Faturado mensal'!T$2,0))</f>
        <v>0</v>
      </c>
      <c r="U200" s="9">
        <f>SUMIFS(#REF!,#REF!,
$A200,#REF!,
"&gt;="&amp;'Faturado mensal'!U$2,#REF!,
"&lt;"&amp;EOMONTH('Faturado mensal'!U$2,0))</f>
        <v>0</v>
      </c>
      <c r="V200" s="9">
        <f>SUMIFS(#REF!,#REF!,
$A200,#REF!,
"&gt;="&amp;'Faturado mensal'!V$2,#REF!,
"&lt;"&amp;EOMONTH('Faturado mensal'!V$2,0))</f>
        <v>0</v>
      </c>
      <c r="W200" s="9">
        <f>SUMIFS(#REF!,#REF!,
$A200,#REF!,
"&gt;="&amp;'Faturado mensal'!W$2,#REF!,
"&lt;"&amp;EOMONTH('Faturado mensal'!W$2,0))</f>
        <v>0</v>
      </c>
      <c r="X200" s="9">
        <f>SUMIFS(#REF!,#REF!,
$A200,#REF!,
"&gt;="&amp;'Faturado mensal'!X$2,#REF!,
"&lt;"&amp;EOMONTH('Faturado mensal'!X$2,0))</f>
        <v>0</v>
      </c>
      <c r="Y200" s="11">
        <f>SUMIFS(#REF!,#REF!,
$A200,#REF!,
"&gt;="&amp;'Faturado mensal'!M$2,#REF!,
"&lt;"&amp;EOMONTH('Faturado mensal'!M$2,12))</f>
        <v>0</v>
      </c>
      <c r="Z200" s="9">
        <f>SUMIFS(#REF!,#REF!,
$A200,#REF!,
"&gt;="&amp;'Faturado mensal'!Z$2,#REF!,
"&lt;"&amp;EOMONTH('Faturado mensal'!Z$2,0))</f>
        <v>0</v>
      </c>
      <c r="AA200" s="9">
        <f>SUMIFS(#REF!,#REF!,
$A200,#REF!,
"&gt;="&amp;'Faturado mensal'!AA$2,#REF!,
"&lt;"&amp;EOMONTH('Faturado mensal'!AA$2,0))</f>
        <v>0</v>
      </c>
      <c r="AB200" s="9">
        <f>SUMIFS(#REF!,#REF!,
$A200,#REF!,
"&gt;="&amp;'Faturado mensal'!AB$2,#REF!,
"&lt;"&amp;EOMONTH('Faturado mensal'!AB$2,0))</f>
        <v>0</v>
      </c>
      <c r="AC200" s="9">
        <f>SUMIFS(#REF!,#REF!,
$A200,#REF!,
"&gt;="&amp;'Faturado mensal'!AC$2,#REF!,
"&lt;"&amp;EOMONTH('Faturado mensal'!AC$2,0))</f>
        <v>0</v>
      </c>
      <c r="AD200" s="9">
        <f>SUMIFS(#REF!,#REF!,
$A200,#REF!,
"&gt;="&amp;'Faturado mensal'!AD$2,#REF!,
"&lt;"&amp;EOMONTH('Faturado mensal'!AD$2,0))</f>
        <v>0</v>
      </c>
      <c r="AE200" s="9">
        <f>SUMIFS(#REF!,#REF!,
$A200,#REF!,
"&gt;="&amp;'Faturado mensal'!AE$2,#REF!,
"&lt;"&amp;EOMONTH('Faturado mensal'!AE$2,0))</f>
        <v>0</v>
      </c>
      <c r="AF200" s="9">
        <f>SUMIFS(#REF!,#REF!,
$A200,#REF!,
"&gt;="&amp;'Faturado mensal'!AF$2,#REF!,
"&lt;"&amp;EOMONTH('Faturado mensal'!AF$2,0))</f>
        <v>0</v>
      </c>
      <c r="AG200" s="9">
        <f>SUMIFS(#REF!,#REF!,
$A200,#REF!,
"&gt;="&amp;'Faturado mensal'!AG$2,#REF!,
"&lt;"&amp;EOMONTH('Faturado mensal'!AG$2,0))</f>
        <v>0</v>
      </c>
      <c r="AH200" s="9">
        <f>SUMIFS(#REF!,#REF!,
$A200,#REF!,
"&gt;="&amp;'Faturado mensal'!AH$2,#REF!,
"&lt;"&amp;EOMONTH('Faturado mensal'!AH$2,0))</f>
        <v>0</v>
      </c>
      <c r="AI200" s="9">
        <f>SUMIFS(#REF!,#REF!,
$A200,#REF!,
"&gt;="&amp;'Faturado mensal'!AI$2,#REF!,
"&lt;"&amp;EOMONTH('Faturado mensal'!AI$2,0))</f>
        <v>0</v>
      </c>
      <c r="AJ200" s="9">
        <f>SUMIFS(#REF!,#REF!,
$A200,#REF!,
"&gt;="&amp;'Faturado mensal'!AJ$2,#REF!,
"&lt;"&amp;EOMONTH('Faturado mensal'!AJ$2,0))</f>
        <v>0</v>
      </c>
      <c r="AK200" s="9">
        <f>SUMIFS(#REF!,#REF!,
$A200,#REF!,
"&gt;="&amp;'Faturado mensal'!AK$2,#REF!,
"&lt;"&amp;EOMONTH('Faturado mensal'!AK$2,0))</f>
        <v>0</v>
      </c>
      <c r="AL200" s="9">
        <f>SUMIFS(#REF!,#REF!,
$A200,#REF!,
"&gt;="&amp;Z$2,#REF!,
"&lt;"&amp;EOMONTH(AK$2,0))</f>
        <v>0</v>
      </c>
    </row>
    <row r="201" spans="1:38" x14ac:dyDescent="0.3">
      <c r="A201" t="s">
        <v>489</v>
      </c>
      <c r="B201" t="s">
        <v>397</v>
      </c>
      <c r="C201" t="s">
        <v>161</v>
      </c>
      <c r="D201" t="s">
        <v>209</v>
      </c>
      <c r="G201" t="s">
        <v>4852</v>
      </c>
      <c r="H201" t="s">
        <v>4772</v>
      </c>
      <c r="I201" t="s">
        <v>161</v>
      </c>
      <c r="J201" t="s">
        <v>710</v>
      </c>
      <c r="K201" t="s">
        <v>717</v>
      </c>
      <c r="L201" t="s">
        <v>718</v>
      </c>
      <c r="M201" s="9">
        <f>SUMIFS(#REF!,#REF!,
$A201,#REF!,
"&gt;="&amp;'Faturado mensal'!M$2,#REF!,
"&lt;"&amp;EOMONTH('Faturado mensal'!M$2,0))</f>
        <v>5.34</v>
      </c>
      <c r="N201" s="9">
        <f>SUMIFS(#REF!,#REF!,
$A201,#REF!,
"&gt;="&amp;'Faturado mensal'!N$2,#REF!,
"&lt;"&amp;EOMONTH('Faturado mensal'!N$2,0))</f>
        <v>0</v>
      </c>
      <c r="O201" s="9">
        <f>SUMIFS(#REF!,#REF!,
$A201,#REF!,
"&gt;="&amp;'Faturado mensal'!O$2,#REF!,
"&lt;"&amp;EOMONTH('Faturado mensal'!O$2,0))</f>
        <v>0</v>
      </c>
      <c r="P201" s="9">
        <f>SUMIFS(#REF!,#REF!,
$A201,#REF!,
"&gt;="&amp;'Faturado mensal'!P$2,#REF!,
"&lt;"&amp;EOMONTH('Faturado mensal'!P$2,0))</f>
        <v>0</v>
      </c>
      <c r="Q201" s="9">
        <f>SUMIFS(#REF!,#REF!,
$A201,#REF!,
"&gt;="&amp;'Faturado mensal'!Q$2,#REF!,
"&lt;"&amp;EOMONTH('Faturado mensal'!Q$2,0))</f>
        <v>0</v>
      </c>
      <c r="R201" s="9">
        <f>SUMIFS(#REF!,#REF!,
$A201,#REF!,
"&gt;="&amp;'Faturado mensal'!R$2,#REF!,
"&lt;"&amp;EOMONTH('Faturado mensal'!R$2,0))</f>
        <v>0</v>
      </c>
      <c r="S201" s="9">
        <f>SUMIFS(#REF!,#REF!,
$A201,#REF!,
"&gt;="&amp;'Faturado mensal'!S$2,#REF!,
"&lt;"&amp;EOMONTH('Faturado mensal'!S$2,0))</f>
        <v>0</v>
      </c>
      <c r="T201" s="9">
        <f>SUMIFS(#REF!,#REF!,
$A201,#REF!,
"&gt;="&amp;'Faturado mensal'!T$2,#REF!,
"&lt;"&amp;EOMONTH('Faturado mensal'!T$2,0))</f>
        <v>0</v>
      </c>
      <c r="U201" s="9">
        <f>SUMIFS(#REF!,#REF!,
$A201,#REF!,
"&gt;="&amp;'Faturado mensal'!U$2,#REF!,
"&lt;"&amp;EOMONTH('Faturado mensal'!U$2,0))</f>
        <v>0</v>
      </c>
      <c r="V201" s="9">
        <f>SUMIFS(#REF!,#REF!,
$A201,#REF!,
"&gt;="&amp;'Faturado mensal'!V$2,#REF!,
"&lt;"&amp;EOMONTH('Faturado mensal'!V$2,0))</f>
        <v>0</v>
      </c>
      <c r="W201" s="9">
        <f>SUMIFS(#REF!,#REF!,
$A201,#REF!,
"&gt;="&amp;'Faturado mensal'!W$2,#REF!,
"&lt;"&amp;EOMONTH('Faturado mensal'!W$2,0))</f>
        <v>0</v>
      </c>
      <c r="X201" s="9">
        <f>SUMIFS(#REF!,#REF!,
$A201,#REF!,
"&gt;="&amp;'Faturado mensal'!X$2,#REF!,
"&lt;"&amp;EOMONTH('Faturado mensal'!X$2,0))</f>
        <v>0</v>
      </c>
      <c r="Y201" s="11">
        <f>SUMIFS(#REF!,#REF!,
$A201,#REF!,
"&gt;="&amp;'Faturado mensal'!M$2,#REF!,
"&lt;"&amp;EOMONTH('Faturado mensal'!M$2,12))</f>
        <v>210.32</v>
      </c>
      <c r="Z201" s="9">
        <f>SUMIFS(#REF!,#REF!,
$A201,#REF!,
"&gt;="&amp;'Faturado mensal'!Z$2,#REF!,
"&lt;"&amp;EOMONTH('Faturado mensal'!Z$2,0))</f>
        <v>0</v>
      </c>
      <c r="AA201" s="9">
        <f>SUMIFS(#REF!,#REF!,
$A201,#REF!,
"&gt;="&amp;'Faturado mensal'!AA$2,#REF!,
"&lt;"&amp;EOMONTH('Faturado mensal'!AA$2,0))</f>
        <v>0</v>
      </c>
      <c r="AB201" s="9">
        <f>SUMIFS(#REF!,#REF!,
$A201,#REF!,
"&gt;="&amp;'Faturado mensal'!AB$2,#REF!,
"&lt;"&amp;EOMONTH('Faturado mensal'!AB$2,0))</f>
        <v>0</v>
      </c>
      <c r="AC201" s="9">
        <f>SUMIFS(#REF!,#REF!,
$A201,#REF!,
"&gt;="&amp;'Faturado mensal'!AC$2,#REF!,
"&lt;"&amp;EOMONTH('Faturado mensal'!AC$2,0))</f>
        <v>0</v>
      </c>
      <c r="AD201" s="9">
        <f>SUMIFS(#REF!,#REF!,
$A201,#REF!,
"&gt;="&amp;'Faturado mensal'!AD$2,#REF!,
"&lt;"&amp;EOMONTH('Faturado mensal'!AD$2,0))</f>
        <v>0</v>
      </c>
      <c r="AE201" s="9">
        <f>SUMIFS(#REF!,#REF!,
$A201,#REF!,
"&gt;="&amp;'Faturado mensal'!AE$2,#REF!,
"&lt;"&amp;EOMONTH('Faturado mensal'!AE$2,0))</f>
        <v>0</v>
      </c>
      <c r="AF201" s="9">
        <f>SUMIFS(#REF!,#REF!,
$A201,#REF!,
"&gt;="&amp;'Faturado mensal'!AF$2,#REF!,
"&lt;"&amp;EOMONTH('Faturado mensal'!AF$2,0))</f>
        <v>0</v>
      </c>
      <c r="AG201" s="9">
        <f>SUMIFS(#REF!,#REF!,
$A201,#REF!,
"&gt;="&amp;'Faturado mensal'!AG$2,#REF!,
"&lt;"&amp;EOMONTH('Faturado mensal'!AG$2,0))</f>
        <v>0</v>
      </c>
      <c r="AH201" s="9">
        <f>SUMIFS(#REF!,#REF!,
$A201,#REF!,
"&gt;="&amp;'Faturado mensal'!AH$2,#REF!,
"&lt;"&amp;EOMONTH('Faturado mensal'!AH$2,0))</f>
        <v>0</v>
      </c>
      <c r="AI201" s="9">
        <f>SUMIFS(#REF!,#REF!,
$A201,#REF!,
"&gt;="&amp;'Faturado mensal'!AI$2,#REF!,
"&lt;"&amp;EOMONTH('Faturado mensal'!AI$2,0))</f>
        <v>0</v>
      </c>
      <c r="AJ201" s="9">
        <f>SUMIFS(#REF!,#REF!,
$A201,#REF!,
"&gt;="&amp;'Faturado mensal'!AJ$2,#REF!,
"&lt;"&amp;EOMONTH('Faturado mensal'!AJ$2,0))</f>
        <v>0</v>
      </c>
      <c r="AK201" s="9">
        <f>SUMIFS(#REF!,#REF!,
$A201,#REF!,
"&gt;="&amp;'Faturado mensal'!AK$2,#REF!,
"&lt;"&amp;EOMONTH('Faturado mensal'!AK$2,0))</f>
        <v>0</v>
      </c>
      <c r="AL201" s="9">
        <f>SUMIFS(#REF!,#REF!,
$A201,#REF!,
"&gt;="&amp;Z$2,#REF!,
"&lt;"&amp;EOMONTH(AK$2,0))</f>
        <v>0</v>
      </c>
    </row>
    <row r="202" spans="1:38" x14ac:dyDescent="0.3">
      <c r="A202" t="s">
        <v>490</v>
      </c>
      <c r="B202" t="s">
        <v>491</v>
      </c>
      <c r="C202" t="s">
        <v>33</v>
      </c>
      <c r="D202" t="s">
        <v>204</v>
      </c>
      <c r="E202" t="s">
        <v>4845</v>
      </c>
      <c r="F202" t="s">
        <v>4776</v>
      </c>
      <c r="G202" t="s">
        <v>4845</v>
      </c>
      <c r="H202" t="s">
        <v>4771</v>
      </c>
      <c r="I202" t="s">
        <v>862</v>
      </c>
      <c r="J202" t="s">
        <v>710</v>
      </c>
      <c r="K202" t="s">
        <v>762</v>
      </c>
      <c r="L202" t="s">
        <v>763</v>
      </c>
      <c r="M202" s="9">
        <f>SUMIFS(#REF!,#REF!,
$A202,#REF!,
"&gt;="&amp;'Faturado mensal'!M$2,#REF!,
"&lt;"&amp;EOMONTH('Faturado mensal'!M$2,0))</f>
        <v>420.63</v>
      </c>
      <c r="N202" s="9">
        <f>SUMIFS(#REF!,#REF!,
$A202,#REF!,
"&gt;="&amp;'Faturado mensal'!N$2,#REF!,
"&lt;"&amp;EOMONTH('Faturado mensal'!N$2,0))</f>
        <v>7</v>
      </c>
      <c r="O202" s="9">
        <f>SUMIFS(#REF!,#REF!,
$A202,#REF!,
"&gt;="&amp;'Faturado mensal'!O$2,#REF!,
"&lt;"&amp;EOMONTH('Faturado mensal'!O$2,0))</f>
        <v>155.01</v>
      </c>
      <c r="P202" s="9">
        <f>SUMIFS(#REF!,#REF!,
$A202,#REF!,
"&gt;="&amp;'Faturado mensal'!P$2,#REF!,
"&lt;"&amp;EOMONTH('Faturado mensal'!P$2,0))</f>
        <v>0</v>
      </c>
      <c r="Q202" s="9">
        <f>SUMIFS(#REF!,#REF!,
$A202,#REF!,
"&gt;="&amp;'Faturado mensal'!Q$2,#REF!,
"&lt;"&amp;EOMONTH('Faturado mensal'!Q$2,0))</f>
        <v>1018.47</v>
      </c>
      <c r="R202" s="9">
        <f>SUMIFS(#REF!,#REF!,
$A202,#REF!,
"&gt;="&amp;'Faturado mensal'!R$2,#REF!,
"&lt;"&amp;EOMONTH('Faturado mensal'!R$2,0))</f>
        <v>300.28999999999996</v>
      </c>
      <c r="S202" s="9">
        <f>SUMIFS(#REF!,#REF!,
$A202,#REF!,
"&gt;="&amp;'Faturado mensal'!S$2,#REF!,
"&lt;"&amp;EOMONTH('Faturado mensal'!S$2,0))</f>
        <v>689.19</v>
      </c>
      <c r="T202" s="9">
        <f>SUMIFS(#REF!,#REF!,
$A202,#REF!,
"&gt;="&amp;'Faturado mensal'!T$2,#REF!,
"&lt;"&amp;EOMONTH('Faturado mensal'!T$2,0))</f>
        <v>3733</v>
      </c>
      <c r="U202" s="9">
        <f>SUMIFS(#REF!,#REF!,
$A202,#REF!,
"&gt;="&amp;'Faturado mensal'!U$2,#REF!,
"&lt;"&amp;EOMONTH('Faturado mensal'!U$2,0))</f>
        <v>516.86</v>
      </c>
      <c r="V202" s="9">
        <f>SUMIFS(#REF!,#REF!,
$A202,#REF!,
"&gt;="&amp;'Faturado mensal'!V$2,#REF!,
"&lt;"&amp;EOMONTH('Faturado mensal'!V$2,0))</f>
        <v>865.81999999999994</v>
      </c>
      <c r="W202" s="9">
        <f>SUMIFS(#REF!,#REF!,
$A202,#REF!,
"&gt;="&amp;'Faturado mensal'!W$2,#REF!,
"&lt;"&amp;EOMONTH('Faturado mensal'!W$2,0))</f>
        <v>0</v>
      </c>
      <c r="X202" s="9">
        <f>SUMIFS(#REF!,#REF!,
$A202,#REF!,
"&gt;="&amp;'Faturado mensal'!X$2,#REF!,
"&lt;"&amp;EOMONTH('Faturado mensal'!X$2,0))</f>
        <v>0</v>
      </c>
      <c r="Y202" s="11">
        <f>SUMIFS(#REF!,#REF!,
$A202,#REF!,
"&gt;="&amp;'Faturado mensal'!M$2,#REF!,
"&lt;"&amp;EOMONTH('Faturado mensal'!M$2,12))</f>
        <v>7706.2699999999995</v>
      </c>
      <c r="Z202" s="9">
        <f>SUMIFS(#REF!,#REF!,
$A202,#REF!,
"&gt;="&amp;'Faturado mensal'!Z$2,#REF!,
"&lt;"&amp;EOMONTH('Faturado mensal'!Z$2,0))</f>
        <v>0</v>
      </c>
      <c r="AA202" s="9">
        <f>SUMIFS(#REF!,#REF!,
$A202,#REF!,
"&gt;="&amp;'Faturado mensal'!AA$2,#REF!,
"&lt;"&amp;EOMONTH('Faturado mensal'!AA$2,0))</f>
        <v>0</v>
      </c>
      <c r="AB202" s="9">
        <f>SUMIFS(#REF!,#REF!,
$A202,#REF!,
"&gt;="&amp;'Faturado mensal'!AB$2,#REF!,
"&lt;"&amp;EOMONTH('Faturado mensal'!AB$2,0))</f>
        <v>0</v>
      </c>
      <c r="AC202" s="9">
        <f>SUMIFS(#REF!,#REF!,
$A202,#REF!,
"&gt;="&amp;'Faturado mensal'!AC$2,#REF!,
"&lt;"&amp;EOMONTH('Faturado mensal'!AC$2,0))</f>
        <v>0</v>
      </c>
      <c r="AD202" s="9">
        <f>SUMIFS(#REF!,#REF!,
$A202,#REF!,
"&gt;="&amp;'Faturado mensal'!AD$2,#REF!,
"&lt;"&amp;EOMONTH('Faturado mensal'!AD$2,0))</f>
        <v>0</v>
      </c>
      <c r="AE202" s="9">
        <f>SUMIFS(#REF!,#REF!,
$A202,#REF!,
"&gt;="&amp;'Faturado mensal'!AE$2,#REF!,
"&lt;"&amp;EOMONTH('Faturado mensal'!AE$2,0))</f>
        <v>0</v>
      </c>
      <c r="AF202" s="9">
        <f>SUMIFS(#REF!,#REF!,
$A202,#REF!,
"&gt;="&amp;'Faturado mensal'!AF$2,#REF!,
"&lt;"&amp;EOMONTH('Faturado mensal'!AF$2,0))</f>
        <v>0</v>
      </c>
      <c r="AG202" s="9">
        <f>SUMIFS(#REF!,#REF!,
$A202,#REF!,
"&gt;="&amp;'Faturado mensal'!AG$2,#REF!,
"&lt;"&amp;EOMONTH('Faturado mensal'!AG$2,0))</f>
        <v>0</v>
      </c>
      <c r="AH202" s="9">
        <f>SUMIFS(#REF!,#REF!,
$A202,#REF!,
"&gt;="&amp;'Faturado mensal'!AH$2,#REF!,
"&lt;"&amp;EOMONTH('Faturado mensal'!AH$2,0))</f>
        <v>0</v>
      </c>
      <c r="AI202" s="9">
        <f>SUMIFS(#REF!,#REF!,
$A202,#REF!,
"&gt;="&amp;'Faturado mensal'!AI$2,#REF!,
"&lt;"&amp;EOMONTH('Faturado mensal'!AI$2,0))</f>
        <v>0</v>
      </c>
      <c r="AJ202" s="9">
        <f>SUMIFS(#REF!,#REF!,
$A202,#REF!,
"&gt;="&amp;'Faturado mensal'!AJ$2,#REF!,
"&lt;"&amp;EOMONTH('Faturado mensal'!AJ$2,0))</f>
        <v>0</v>
      </c>
      <c r="AK202" s="9">
        <f>SUMIFS(#REF!,#REF!,
$A202,#REF!,
"&gt;="&amp;'Faturado mensal'!AK$2,#REF!,
"&lt;"&amp;EOMONTH('Faturado mensal'!AK$2,0))</f>
        <v>0</v>
      </c>
      <c r="AL202" s="9">
        <f>SUMIFS(#REF!,#REF!,
$A202,#REF!,
"&gt;="&amp;Z$2,#REF!,
"&lt;"&amp;EOMONTH(AK$2,0))</f>
        <v>0</v>
      </c>
    </row>
    <row r="203" spans="1:38" x14ac:dyDescent="0.3">
      <c r="A203" t="s">
        <v>863</v>
      </c>
      <c r="B203" t="s">
        <v>376</v>
      </c>
      <c r="C203" t="s">
        <v>35</v>
      </c>
      <c r="D203" t="s">
        <v>209</v>
      </c>
      <c r="G203" t="s">
        <v>4852</v>
      </c>
      <c r="H203" t="s">
        <v>4771</v>
      </c>
      <c r="I203" t="s">
        <v>35</v>
      </c>
      <c r="J203" t="s">
        <v>710</v>
      </c>
      <c r="K203" t="s">
        <v>768</v>
      </c>
      <c r="L203" t="s">
        <v>769</v>
      </c>
      <c r="M203" s="9">
        <f>SUMIFS(#REF!,#REF!,
$A203,#REF!,
"&gt;="&amp;'Faturado mensal'!M$2,#REF!,
"&lt;"&amp;EOMONTH('Faturado mensal'!M$2,0))</f>
        <v>0</v>
      </c>
      <c r="N203" s="9">
        <f>SUMIFS(#REF!,#REF!,
$A203,#REF!,
"&gt;="&amp;'Faturado mensal'!N$2,#REF!,
"&lt;"&amp;EOMONTH('Faturado mensal'!N$2,0))</f>
        <v>0</v>
      </c>
      <c r="O203" s="9">
        <f>SUMIFS(#REF!,#REF!,
$A203,#REF!,
"&gt;="&amp;'Faturado mensal'!O$2,#REF!,
"&lt;"&amp;EOMONTH('Faturado mensal'!O$2,0))</f>
        <v>0</v>
      </c>
      <c r="P203" s="9">
        <f>SUMIFS(#REF!,#REF!,
$A203,#REF!,
"&gt;="&amp;'Faturado mensal'!P$2,#REF!,
"&lt;"&amp;EOMONTH('Faturado mensal'!P$2,0))</f>
        <v>0</v>
      </c>
      <c r="Q203" s="9">
        <f>SUMIFS(#REF!,#REF!,
$A203,#REF!,
"&gt;="&amp;'Faturado mensal'!Q$2,#REF!,
"&lt;"&amp;EOMONTH('Faturado mensal'!Q$2,0))</f>
        <v>0</v>
      </c>
      <c r="R203" s="9">
        <f>SUMIFS(#REF!,#REF!,
$A203,#REF!,
"&gt;="&amp;'Faturado mensal'!R$2,#REF!,
"&lt;"&amp;EOMONTH('Faturado mensal'!R$2,0))</f>
        <v>0</v>
      </c>
      <c r="S203" s="9">
        <f>SUMIFS(#REF!,#REF!,
$A203,#REF!,
"&gt;="&amp;'Faturado mensal'!S$2,#REF!,
"&lt;"&amp;EOMONTH('Faturado mensal'!S$2,0))</f>
        <v>0</v>
      </c>
      <c r="T203" s="9">
        <f>SUMIFS(#REF!,#REF!,
$A203,#REF!,
"&gt;="&amp;'Faturado mensal'!T$2,#REF!,
"&lt;"&amp;EOMONTH('Faturado mensal'!T$2,0))</f>
        <v>0</v>
      </c>
      <c r="U203" s="9">
        <f>SUMIFS(#REF!,#REF!,
$A203,#REF!,
"&gt;="&amp;'Faturado mensal'!U$2,#REF!,
"&lt;"&amp;EOMONTH('Faturado mensal'!U$2,0))</f>
        <v>0</v>
      </c>
      <c r="V203" s="9">
        <f>SUMIFS(#REF!,#REF!,
$A203,#REF!,
"&gt;="&amp;'Faturado mensal'!V$2,#REF!,
"&lt;"&amp;EOMONTH('Faturado mensal'!V$2,0))</f>
        <v>0</v>
      </c>
      <c r="W203" s="9">
        <f>SUMIFS(#REF!,#REF!,
$A203,#REF!,
"&gt;="&amp;'Faturado mensal'!W$2,#REF!,
"&lt;"&amp;EOMONTH('Faturado mensal'!W$2,0))</f>
        <v>0</v>
      </c>
      <c r="X203" s="9">
        <f>SUMIFS(#REF!,#REF!,
$A203,#REF!,
"&gt;="&amp;'Faturado mensal'!X$2,#REF!,
"&lt;"&amp;EOMONTH('Faturado mensal'!X$2,0))</f>
        <v>0</v>
      </c>
      <c r="Y203" s="11">
        <f>SUMIFS(#REF!,#REF!,
$A203,#REF!,
"&gt;="&amp;'Faturado mensal'!M$2,#REF!,
"&lt;"&amp;EOMONTH('Faturado mensal'!M$2,12))</f>
        <v>0</v>
      </c>
      <c r="Z203" s="9">
        <f>SUMIFS(#REF!,#REF!,
$A203,#REF!,
"&gt;="&amp;'Faturado mensal'!Z$2,#REF!,
"&lt;"&amp;EOMONTH('Faturado mensal'!Z$2,0))</f>
        <v>0</v>
      </c>
      <c r="AA203" s="9">
        <f>SUMIFS(#REF!,#REF!,
$A203,#REF!,
"&gt;="&amp;'Faturado mensal'!AA$2,#REF!,
"&lt;"&amp;EOMONTH('Faturado mensal'!AA$2,0))</f>
        <v>0</v>
      </c>
      <c r="AB203" s="9">
        <f>SUMIFS(#REF!,#REF!,
$A203,#REF!,
"&gt;="&amp;'Faturado mensal'!AB$2,#REF!,
"&lt;"&amp;EOMONTH('Faturado mensal'!AB$2,0))</f>
        <v>0</v>
      </c>
      <c r="AC203" s="9">
        <f>SUMIFS(#REF!,#REF!,
$A203,#REF!,
"&gt;="&amp;'Faturado mensal'!AC$2,#REF!,
"&lt;"&amp;EOMONTH('Faturado mensal'!AC$2,0))</f>
        <v>0</v>
      </c>
      <c r="AD203" s="9">
        <f>SUMIFS(#REF!,#REF!,
$A203,#REF!,
"&gt;="&amp;'Faturado mensal'!AD$2,#REF!,
"&lt;"&amp;EOMONTH('Faturado mensal'!AD$2,0))</f>
        <v>0</v>
      </c>
      <c r="AE203" s="9">
        <f>SUMIFS(#REF!,#REF!,
$A203,#REF!,
"&gt;="&amp;'Faturado mensal'!AE$2,#REF!,
"&lt;"&amp;EOMONTH('Faturado mensal'!AE$2,0))</f>
        <v>0</v>
      </c>
      <c r="AF203" s="9">
        <f>SUMIFS(#REF!,#REF!,
$A203,#REF!,
"&gt;="&amp;'Faturado mensal'!AF$2,#REF!,
"&lt;"&amp;EOMONTH('Faturado mensal'!AF$2,0))</f>
        <v>0</v>
      </c>
      <c r="AG203" s="9">
        <f>SUMIFS(#REF!,#REF!,
$A203,#REF!,
"&gt;="&amp;'Faturado mensal'!AG$2,#REF!,
"&lt;"&amp;EOMONTH('Faturado mensal'!AG$2,0))</f>
        <v>0</v>
      </c>
      <c r="AH203" s="9">
        <f>SUMIFS(#REF!,#REF!,
$A203,#REF!,
"&gt;="&amp;'Faturado mensal'!AH$2,#REF!,
"&lt;"&amp;EOMONTH('Faturado mensal'!AH$2,0))</f>
        <v>0</v>
      </c>
      <c r="AI203" s="9">
        <f>SUMIFS(#REF!,#REF!,
$A203,#REF!,
"&gt;="&amp;'Faturado mensal'!AI$2,#REF!,
"&lt;"&amp;EOMONTH('Faturado mensal'!AI$2,0))</f>
        <v>0</v>
      </c>
      <c r="AJ203" s="9">
        <f>SUMIFS(#REF!,#REF!,
$A203,#REF!,
"&gt;="&amp;'Faturado mensal'!AJ$2,#REF!,
"&lt;"&amp;EOMONTH('Faturado mensal'!AJ$2,0))</f>
        <v>0</v>
      </c>
      <c r="AK203" s="9">
        <f>SUMIFS(#REF!,#REF!,
$A203,#REF!,
"&gt;="&amp;'Faturado mensal'!AK$2,#REF!,
"&lt;"&amp;EOMONTH('Faturado mensal'!AK$2,0))</f>
        <v>0</v>
      </c>
      <c r="AL203" s="9">
        <f>SUMIFS(#REF!,#REF!,
$A203,#REF!,
"&gt;="&amp;Z$2,#REF!,
"&lt;"&amp;EOMONTH(AK$2,0))</f>
        <v>0</v>
      </c>
    </row>
    <row r="204" spans="1:38" x14ac:dyDescent="0.3">
      <c r="A204" t="s">
        <v>492</v>
      </c>
      <c r="B204" t="s">
        <v>493</v>
      </c>
      <c r="C204" t="s">
        <v>197</v>
      </c>
      <c r="D204" t="s">
        <v>204</v>
      </c>
      <c r="E204" t="s">
        <v>4833</v>
      </c>
      <c r="F204" t="s">
        <v>4786</v>
      </c>
      <c r="G204" t="s">
        <v>4856</v>
      </c>
      <c r="H204" t="s">
        <v>4773</v>
      </c>
      <c r="I204" t="s">
        <v>197</v>
      </c>
      <c r="J204" t="s">
        <v>710</v>
      </c>
      <c r="K204" t="s">
        <v>768</v>
      </c>
      <c r="L204" t="s">
        <v>769</v>
      </c>
      <c r="M204" s="9">
        <f>SUMIFS(#REF!,#REF!,
$A204,#REF!,
"&gt;="&amp;'Faturado mensal'!M$2,#REF!,
"&lt;"&amp;EOMONTH('Faturado mensal'!M$2,0))</f>
        <v>1449</v>
      </c>
      <c r="N204" s="9">
        <f>SUMIFS(#REF!,#REF!,
$A204,#REF!,
"&gt;="&amp;'Faturado mensal'!N$2,#REF!,
"&lt;"&amp;EOMONTH('Faturado mensal'!N$2,0))</f>
        <v>1449</v>
      </c>
      <c r="O204" s="9">
        <f>SUMIFS(#REF!,#REF!,
$A204,#REF!,
"&gt;="&amp;'Faturado mensal'!O$2,#REF!,
"&lt;"&amp;EOMONTH('Faturado mensal'!O$2,0))</f>
        <v>1449</v>
      </c>
      <c r="P204" s="9">
        <f>SUMIFS(#REF!,#REF!,
$A204,#REF!,
"&gt;="&amp;'Faturado mensal'!P$2,#REF!,
"&lt;"&amp;EOMONTH('Faturado mensal'!P$2,0))</f>
        <v>1449</v>
      </c>
      <c r="Q204" s="9">
        <f>SUMIFS(#REF!,#REF!,
$A204,#REF!,
"&gt;="&amp;'Faturado mensal'!Q$2,#REF!,
"&lt;"&amp;EOMONTH('Faturado mensal'!Q$2,0))</f>
        <v>1449</v>
      </c>
      <c r="R204" s="9">
        <f>SUMIFS(#REF!,#REF!,
$A204,#REF!,
"&gt;="&amp;'Faturado mensal'!R$2,#REF!,
"&lt;"&amp;EOMONTH('Faturado mensal'!R$2,0))</f>
        <v>1449</v>
      </c>
      <c r="S204" s="9">
        <f>SUMIFS(#REF!,#REF!,
$A204,#REF!,
"&gt;="&amp;'Faturado mensal'!S$2,#REF!,
"&lt;"&amp;EOMONTH('Faturado mensal'!S$2,0))</f>
        <v>1449</v>
      </c>
      <c r="T204" s="9">
        <f>SUMIFS(#REF!,#REF!,
$A204,#REF!,
"&gt;="&amp;'Faturado mensal'!T$2,#REF!,
"&lt;"&amp;EOMONTH('Faturado mensal'!T$2,0))</f>
        <v>1449</v>
      </c>
      <c r="U204" s="9">
        <f>SUMIFS(#REF!,#REF!,
$A204,#REF!,
"&gt;="&amp;'Faturado mensal'!U$2,#REF!,
"&lt;"&amp;EOMONTH('Faturado mensal'!U$2,0))</f>
        <v>1449</v>
      </c>
      <c r="V204" s="9">
        <f>SUMIFS(#REF!,#REF!,
$A204,#REF!,
"&gt;="&amp;'Faturado mensal'!V$2,#REF!,
"&lt;"&amp;EOMONTH('Faturado mensal'!V$2,0))</f>
        <v>799</v>
      </c>
      <c r="W204" s="9">
        <f>SUMIFS(#REF!,#REF!,
$A204,#REF!,
"&gt;="&amp;'Faturado mensal'!W$2,#REF!,
"&lt;"&amp;EOMONTH('Faturado mensal'!W$2,0))</f>
        <v>799</v>
      </c>
      <c r="X204" s="9">
        <f>SUMIFS(#REF!,#REF!,
$A204,#REF!,
"&gt;="&amp;'Faturado mensal'!X$2,#REF!,
"&lt;"&amp;EOMONTH('Faturado mensal'!X$2,0))</f>
        <v>799</v>
      </c>
      <c r="Y204" s="11">
        <f>SUMIFS(#REF!,#REF!,
$A204,#REF!,
"&gt;="&amp;'Faturado mensal'!M$2,#REF!,
"&lt;"&amp;EOMONTH('Faturado mensal'!M$2,12))</f>
        <v>16237</v>
      </c>
      <c r="Z204" s="9">
        <f>SUMIFS(#REF!,#REF!,
$A204,#REF!,
"&gt;="&amp;'Faturado mensal'!Z$2,#REF!,
"&lt;"&amp;EOMONTH('Faturado mensal'!Z$2,0))</f>
        <v>799</v>
      </c>
      <c r="AA204" s="9">
        <f>SUMIFS(#REF!,#REF!,
$A204,#REF!,
"&gt;="&amp;'Faturado mensal'!AA$2,#REF!,
"&lt;"&amp;EOMONTH('Faturado mensal'!AA$2,0))</f>
        <v>799</v>
      </c>
      <c r="AB204" s="9">
        <f>SUMIFS(#REF!,#REF!,
$A204,#REF!,
"&gt;="&amp;'Faturado mensal'!AB$2,#REF!,
"&lt;"&amp;EOMONTH('Faturado mensal'!AB$2,0))</f>
        <v>799</v>
      </c>
      <c r="AC204" s="9">
        <f>SUMIFS(#REF!,#REF!,
$A204,#REF!,
"&gt;="&amp;'Faturado mensal'!AC$2,#REF!,
"&lt;"&amp;EOMONTH('Faturado mensal'!AC$2,0))</f>
        <v>799</v>
      </c>
      <c r="AD204" s="9">
        <f>SUMIFS(#REF!,#REF!,
$A204,#REF!,
"&gt;="&amp;'Faturado mensal'!AD$2,#REF!,
"&lt;"&amp;EOMONTH('Faturado mensal'!AD$2,0))</f>
        <v>799</v>
      </c>
      <c r="AE204" s="9">
        <f>SUMIFS(#REF!,#REF!,
$A204,#REF!,
"&gt;="&amp;'Faturado mensal'!AE$2,#REF!,
"&lt;"&amp;EOMONTH('Faturado mensal'!AE$2,0))</f>
        <v>799</v>
      </c>
      <c r="AF204" s="9">
        <f>SUMIFS(#REF!,#REF!,
$A204,#REF!,
"&gt;="&amp;'Faturado mensal'!AF$2,#REF!,
"&lt;"&amp;EOMONTH('Faturado mensal'!AF$2,0))</f>
        <v>0</v>
      </c>
      <c r="AG204" s="9">
        <f>SUMIFS(#REF!,#REF!,
$A204,#REF!,
"&gt;="&amp;'Faturado mensal'!AG$2,#REF!,
"&lt;"&amp;EOMONTH('Faturado mensal'!AG$2,0))</f>
        <v>0</v>
      </c>
      <c r="AH204" s="9">
        <f>SUMIFS(#REF!,#REF!,
$A204,#REF!,
"&gt;="&amp;'Faturado mensal'!AH$2,#REF!,
"&lt;"&amp;EOMONTH('Faturado mensal'!AH$2,0))</f>
        <v>0</v>
      </c>
      <c r="AI204" s="9">
        <f>SUMIFS(#REF!,#REF!,
$A204,#REF!,
"&gt;="&amp;'Faturado mensal'!AI$2,#REF!,
"&lt;"&amp;EOMONTH('Faturado mensal'!AI$2,0))</f>
        <v>0</v>
      </c>
      <c r="AJ204" s="9">
        <f>SUMIFS(#REF!,#REF!,
$A204,#REF!,
"&gt;="&amp;'Faturado mensal'!AJ$2,#REF!,
"&lt;"&amp;EOMONTH('Faturado mensal'!AJ$2,0))</f>
        <v>0</v>
      </c>
      <c r="AK204" s="9">
        <f>SUMIFS(#REF!,#REF!,
$A204,#REF!,
"&gt;="&amp;'Faturado mensal'!AK$2,#REF!,
"&lt;"&amp;EOMONTH('Faturado mensal'!AK$2,0))</f>
        <v>0</v>
      </c>
      <c r="AL204" s="9">
        <f>SUMIFS(#REF!,#REF!,
$A204,#REF!,
"&gt;="&amp;Z$2,#REF!,
"&lt;"&amp;EOMONTH(AK$2,0))</f>
        <v>4794</v>
      </c>
    </row>
    <row r="205" spans="1:38" x14ac:dyDescent="0.3">
      <c r="A205" t="s">
        <v>494</v>
      </c>
      <c r="B205" t="s">
        <v>495</v>
      </c>
      <c r="C205" t="s">
        <v>44</v>
      </c>
      <c r="D205" t="s">
        <v>204</v>
      </c>
      <c r="E205" t="s">
        <v>4833</v>
      </c>
      <c r="F205" t="s">
        <v>4776</v>
      </c>
      <c r="G205" t="s">
        <v>4852</v>
      </c>
      <c r="H205" t="s">
        <v>4773</v>
      </c>
      <c r="I205" t="s">
        <v>44</v>
      </c>
      <c r="J205" t="s">
        <v>710</v>
      </c>
      <c r="K205" t="s">
        <v>717</v>
      </c>
      <c r="L205" t="s">
        <v>718</v>
      </c>
      <c r="M205" s="9">
        <f>SUMIFS(#REF!,#REF!,
$A205,#REF!,
"&gt;="&amp;'Faturado mensal'!M$2,#REF!,
"&lt;"&amp;EOMONTH('Faturado mensal'!M$2,0))</f>
        <v>1709.11</v>
      </c>
      <c r="N205" s="9">
        <f>SUMIFS(#REF!,#REF!,
$A205,#REF!,
"&gt;="&amp;'Faturado mensal'!N$2,#REF!,
"&lt;"&amp;EOMONTH('Faturado mensal'!N$2,0))</f>
        <v>1499.26</v>
      </c>
      <c r="O205" s="9">
        <f>SUMIFS(#REF!,#REF!,
$A205,#REF!,
"&gt;="&amp;'Faturado mensal'!O$2,#REF!,
"&lt;"&amp;EOMONTH('Faturado mensal'!O$2,0))</f>
        <v>1432.83</v>
      </c>
      <c r="P205" s="9">
        <f>SUMIFS(#REF!,#REF!,
$A205,#REF!,
"&gt;="&amp;'Faturado mensal'!P$2,#REF!,
"&lt;"&amp;EOMONTH('Faturado mensal'!P$2,0))</f>
        <v>1660.37</v>
      </c>
      <c r="Q205" s="9">
        <f>SUMIFS(#REF!,#REF!,
$A205,#REF!,
"&gt;="&amp;'Faturado mensal'!Q$2,#REF!,
"&lt;"&amp;EOMONTH('Faturado mensal'!Q$2,0))</f>
        <v>1732.06</v>
      </c>
      <c r="R205" s="9">
        <f>SUMIFS(#REF!,#REF!,
$A205,#REF!,
"&gt;="&amp;'Faturado mensal'!R$2,#REF!,
"&lt;"&amp;EOMONTH('Faturado mensal'!R$2,0))</f>
        <v>1795.56</v>
      </c>
      <c r="S205" s="9">
        <f>SUMIFS(#REF!,#REF!,
$A205,#REF!,
"&gt;="&amp;'Faturado mensal'!S$2,#REF!,
"&lt;"&amp;EOMONTH('Faturado mensal'!S$2,0))</f>
        <v>1472.5</v>
      </c>
      <c r="T205" s="9">
        <f>SUMIFS(#REF!,#REF!,
$A205,#REF!,
"&gt;="&amp;'Faturado mensal'!T$2,#REF!,
"&lt;"&amp;EOMONTH('Faturado mensal'!T$2,0))</f>
        <v>1728.05</v>
      </c>
      <c r="U205" s="9">
        <f>SUMIFS(#REF!,#REF!,
$A205,#REF!,
"&gt;="&amp;'Faturado mensal'!U$2,#REF!,
"&lt;"&amp;EOMONTH('Faturado mensal'!U$2,0))</f>
        <v>1639.45</v>
      </c>
      <c r="V205" s="9">
        <f>SUMIFS(#REF!,#REF!,
$A205,#REF!,
"&gt;="&amp;'Faturado mensal'!V$2,#REF!,
"&lt;"&amp;EOMONTH('Faturado mensal'!V$2,0))</f>
        <v>1658.79</v>
      </c>
      <c r="W205" s="9">
        <f>SUMIFS(#REF!,#REF!,
$A205,#REF!,
"&gt;="&amp;'Faturado mensal'!W$2,#REF!,
"&lt;"&amp;EOMONTH('Faturado mensal'!W$2,0))</f>
        <v>2152.31</v>
      </c>
      <c r="X205" s="9">
        <f>SUMIFS(#REF!,#REF!,
$A205,#REF!,
"&gt;="&amp;'Faturado mensal'!X$2,#REF!,
"&lt;"&amp;EOMONTH('Faturado mensal'!X$2,0))</f>
        <v>1818.82</v>
      </c>
      <c r="Y205" s="11">
        <f>SUMIFS(#REF!,#REF!,
$A205,#REF!,
"&gt;="&amp;'Faturado mensal'!M$2,#REF!,
"&lt;"&amp;EOMONTH('Faturado mensal'!M$2,12))</f>
        <v>22329.31</v>
      </c>
      <c r="Z205" s="9">
        <f>SUMIFS(#REF!,#REF!,
$A205,#REF!,
"&gt;="&amp;'Faturado mensal'!Z$2,#REF!,
"&lt;"&amp;EOMONTH('Faturado mensal'!Z$2,0))</f>
        <v>2030.2</v>
      </c>
      <c r="AA205" s="9">
        <f>SUMIFS(#REF!,#REF!,
$A205,#REF!,
"&gt;="&amp;'Faturado mensal'!AA$2,#REF!,
"&lt;"&amp;EOMONTH('Faturado mensal'!AA$2,0))</f>
        <v>2051.31</v>
      </c>
      <c r="AB205" s="9">
        <f>SUMIFS(#REF!,#REF!,
$A205,#REF!,
"&gt;="&amp;'Faturado mensal'!AB$2,#REF!,
"&lt;"&amp;EOMONTH('Faturado mensal'!AB$2,0))</f>
        <v>1528.28</v>
      </c>
      <c r="AC205" s="9">
        <f>SUMIFS(#REF!,#REF!,
$A205,#REF!,
"&gt;="&amp;'Faturado mensal'!AC$2,#REF!,
"&lt;"&amp;EOMONTH('Faturado mensal'!AC$2,0))</f>
        <v>1604.96</v>
      </c>
      <c r="AD205" s="9">
        <f>SUMIFS(#REF!,#REF!,
$A205,#REF!,
"&gt;="&amp;'Faturado mensal'!AD$2,#REF!,
"&lt;"&amp;EOMONTH('Faturado mensal'!AD$2,0))</f>
        <v>1729.14</v>
      </c>
      <c r="AE205" s="9">
        <f>SUMIFS(#REF!,#REF!,
$A205,#REF!,
"&gt;="&amp;'Faturado mensal'!AE$2,#REF!,
"&lt;"&amp;EOMONTH('Faturado mensal'!AE$2,0))</f>
        <v>1661.73</v>
      </c>
      <c r="AF205" s="9">
        <f>SUMIFS(#REF!,#REF!,
$A205,#REF!,
"&gt;="&amp;'Faturado mensal'!AF$2,#REF!,
"&lt;"&amp;EOMONTH('Faturado mensal'!AF$2,0))</f>
        <v>0</v>
      </c>
      <c r="AG205" s="9">
        <f>SUMIFS(#REF!,#REF!,
$A205,#REF!,
"&gt;="&amp;'Faturado mensal'!AG$2,#REF!,
"&lt;"&amp;EOMONTH('Faturado mensal'!AG$2,0))</f>
        <v>0</v>
      </c>
      <c r="AH205" s="9">
        <f>SUMIFS(#REF!,#REF!,
$A205,#REF!,
"&gt;="&amp;'Faturado mensal'!AH$2,#REF!,
"&lt;"&amp;EOMONTH('Faturado mensal'!AH$2,0))</f>
        <v>0</v>
      </c>
      <c r="AI205" s="9">
        <f>SUMIFS(#REF!,#REF!,
$A205,#REF!,
"&gt;="&amp;'Faturado mensal'!AI$2,#REF!,
"&lt;"&amp;EOMONTH('Faturado mensal'!AI$2,0))</f>
        <v>0</v>
      </c>
      <c r="AJ205" s="9">
        <f>SUMIFS(#REF!,#REF!,
$A205,#REF!,
"&gt;="&amp;'Faturado mensal'!AJ$2,#REF!,
"&lt;"&amp;EOMONTH('Faturado mensal'!AJ$2,0))</f>
        <v>0</v>
      </c>
      <c r="AK205" s="9">
        <f>SUMIFS(#REF!,#REF!,
$A205,#REF!,
"&gt;="&amp;'Faturado mensal'!AK$2,#REF!,
"&lt;"&amp;EOMONTH('Faturado mensal'!AK$2,0))</f>
        <v>0</v>
      </c>
      <c r="AL205" s="9">
        <f>SUMIFS(#REF!,#REF!,
$A205,#REF!,
"&gt;="&amp;Z$2,#REF!,
"&lt;"&amp;EOMONTH(AK$2,0))</f>
        <v>10605.619999999999</v>
      </c>
    </row>
    <row r="206" spans="1:38" x14ac:dyDescent="0.3">
      <c r="A206" t="s">
        <v>864</v>
      </c>
      <c r="B206" t="s">
        <v>495</v>
      </c>
      <c r="C206" t="s">
        <v>44</v>
      </c>
      <c r="D206" t="s">
        <v>209</v>
      </c>
      <c r="E206" t="s">
        <v>4833</v>
      </c>
      <c r="F206" t="s">
        <v>4776</v>
      </c>
      <c r="G206" t="s">
        <v>4852</v>
      </c>
      <c r="H206" t="s">
        <v>4773</v>
      </c>
      <c r="I206" t="s">
        <v>44</v>
      </c>
      <c r="J206" t="s">
        <v>710</v>
      </c>
      <c r="K206" t="s">
        <v>717</v>
      </c>
      <c r="L206" t="s">
        <v>718</v>
      </c>
      <c r="M206" s="9">
        <f>SUMIFS(#REF!,#REF!,
$A206,#REF!,
"&gt;="&amp;'Faturado mensal'!M$2,#REF!,
"&lt;"&amp;EOMONTH('Faturado mensal'!M$2,0))</f>
        <v>0</v>
      </c>
      <c r="N206" s="9">
        <f>SUMIFS(#REF!,#REF!,
$A206,#REF!,
"&gt;="&amp;'Faturado mensal'!N$2,#REF!,
"&lt;"&amp;EOMONTH('Faturado mensal'!N$2,0))</f>
        <v>0</v>
      </c>
      <c r="O206" s="9">
        <f>SUMIFS(#REF!,#REF!,
$A206,#REF!,
"&gt;="&amp;'Faturado mensal'!O$2,#REF!,
"&lt;"&amp;EOMONTH('Faturado mensal'!O$2,0))</f>
        <v>0</v>
      </c>
      <c r="P206" s="9">
        <f>SUMIFS(#REF!,#REF!,
$A206,#REF!,
"&gt;="&amp;'Faturado mensal'!P$2,#REF!,
"&lt;"&amp;EOMONTH('Faturado mensal'!P$2,0))</f>
        <v>0</v>
      </c>
      <c r="Q206" s="9">
        <f>SUMIFS(#REF!,#REF!,
$A206,#REF!,
"&gt;="&amp;'Faturado mensal'!Q$2,#REF!,
"&lt;"&amp;EOMONTH('Faturado mensal'!Q$2,0))</f>
        <v>0</v>
      </c>
      <c r="R206" s="9">
        <f>SUMIFS(#REF!,#REF!,
$A206,#REF!,
"&gt;="&amp;'Faturado mensal'!R$2,#REF!,
"&lt;"&amp;EOMONTH('Faturado mensal'!R$2,0))</f>
        <v>0</v>
      </c>
      <c r="S206" s="9">
        <f>SUMIFS(#REF!,#REF!,
$A206,#REF!,
"&gt;="&amp;'Faturado mensal'!S$2,#REF!,
"&lt;"&amp;EOMONTH('Faturado mensal'!S$2,0))</f>
        <v>0</v>
      </c>
      <c r="T206" s="9">
        <f>SUMIFS(#REF!,#REF!,
$A206,#REF!,
"&gt;="&amp;'Faturado mensal'!T$2,#REF!,
"&lt;"&amp;EOMONTH('Faturado mensal'!T$2,0))</f>
        <v>0</v>
      </c>
      <c r="U206" s="9">
        <f>SUMIFS(#REF!,#REF!,
$A206,#REF!,
"&gt;="&amp;'Faturado mensal'!U$2,#REF!,
"&lt;"&amp;EOMONTH('Faturado mensal'!U$2,0))</f>
        <v>0</v>
      </c>
      <c r="V206" s="9">
        <f>SUMIFS(#REF!,#REF!,
$A206,#REF!,
"&gt;="&amp;'Faturado mensal'!V$2,#REF!,
"&lt;"&amp;EOMONTH('Faturado mensal'!V$2,0))</f>
        <v>0</v>
      </c>
      <c r="W206" s="9">
        <f>SUMIFS(#REF!,#REF!,
$A206,#REF!,
"&gt;="&amp;'Faturado mensal'!W$2,#REF!,
"&lt;"&amp;EOMONTH('Faturado mensal'!W$2,0))</f>
        <v>0</v>
      </c>
      <c r="X206" s="9">
        <f>SUMIFS(#REF!,#REF!,
$A206,#REF!,
"&gt;="&amp;'Faturado mensal'!X$2,#REF!,
"&lt;"&amp;EOMONTH('Faturado mensal'!X$2,0))</f>
        <v>0</v>
      </c>
      <c r="Y206" s="11">
        <f>SUMIFS(#REF!,#REF!,
$A206,#REF!,
"&gt;="&amp;'Faturado mensal'!M$2,#REF!,
"&lt;"&amp;EOMONTH('Faturado mensal'!M$2,12))</f>
        <v>0</v>
      </c>
      <c r="Z206" s="9">
        <f>SUMIFS(#REF!,#REF!,
$A206,#REF!,
"&gt;="&amp;'Faturado mensal'!Z$2,#REF!,
"&lt;"&amp;EOMONTH('Faturado mensal'!Z$2,0))</f>
        <v>0</v>
      </c>
      <c r="AA206" s="9">
        <f>SUMIFS(#REF!,#REF!,
$A206,#REF!,
"&gt;="&amp;'Faturado mensal'!AA$2,#REF!,
"&lt;"&amp;EOMONTH('Faturado mensal'!AA$2,0))</f>
        <v>0</v>
      </c>
      <c r="AB206" s="9">
        <f>SUMIFS(#REF!,#REF!,
$A206,#REF!,
"&gt;="&amp;'Faturado mensal'!AB$2,#REF!,
"&lt;"&amp;EOMONTH('Faturado mensal'!AB$2,0))</f>
        <v>0</v>
      </c>
      <c r="AC206" s="9">
        <f>SUMIFS(#REF!,#REF!,
$A206,#REF!,
"&gt;="&amp;'Faturado mensal'!AC$2,#REF!,
"&lt;"&amp;EOMONTH('Faturado mensal'!AC$2,0))</f>
        <v>0</v>
      </c>
      <c r="AD206" s="9">
        <f>SUMIFS(#REF!,#REF!,
$A206,#REF!,
"&gt;="&amp;'Faturado mensal'!AD$2,#REF!,
"&lt;"&amp;EOMONTH('Faturado mensal'!AD$2,0))</f>
        <v>0</v>
      </c>
      <c r="AE206" s="9">
        <f>SUMIFS(#REF!,#REF!,
$A206,#REF!,
"&gt;="&amp;'Faturado mensal'!AE$2,#REF!,
"&lt;"&amp;EOMONTH('Faturado mensal'!AE$2,0))</f>
        <v>0</v>
      </c>
      <c r="AF206" s="9">
        <f>SUMIFS(#REF!,#REF!,
$A206,#REF!,
"&gt;="&amp;'Faturado mensal'!AF$2,#REF!,
"&lt;"&amp;EOMONTH('Faturado mensal'!AF$2,0))</f>
        <v>0</v>
      </c>
      <c r="AG206" s="9">
        <f>SUMIFS(#REF!,#REF!,
$A206,#REF!,
"&gt;="&amp;'Faturado mensal'!AG$2,#REF!,
"&lt;"&amp;EOMONTH('Faturado mensal'!AG$2,0))</f>
        <v>0</v>
      </c>
      <c r="AH206" s="9">
        <f>SUMIFS(#REF!,#REF!,
$A206,#REF!,
"&gt;="&amp;'Faturado mensal'!AH$2,#REF!,
"&lt;"&amp;EOMONTH('Faturado mensal'!AH$2,0))</f>
        <v>0</v>
      </c>
      <c r="AI206" s="9">
        <f>SUMIFS(#REF!,#REF!,
$A206,#REF!,
"&gt;="&amp;'Faturado mensal'!AI$2,#REF!,
"&lt;"&amp;EOMONTH('Faturado mensal'!AI$2,0))</f>
        <v>0</v>
      </c>
      <c r="AJ206" s="9">
        <f>SUMIFS(#REF!,#REF!,
$A206,#REF!,
"&gt;="&amp;'Faturado mensal'!AJ$2,#REF!,
"&lt;"&amp;EOMONTH('Faturado mensal'!AJ$2,0))</f>
        <v>0</v>
      </c>
      <c r="AK206" s="9">
        <f>SUMIFS(#REF!,#REF!,
$A206,#REF!,
"&gt;="&amp;'Faturado mensal'!AK$2,#REF!,
"&lt;"&amp;EOMONTH('Faturado mensal'!AK$2,0))</f>
        <v>0</v>
      </c>
      <c r="AL206" s="9">
        <f>SUMIFS(#REF!,#REF!,
$A206,#REF!,
"&gt;="&amp;Z$2,#REF!,
"&lt;"&amp;EOMONTH(AK$2,0))</f>
        <v>0</v>
      </c>
    </row>
    <row r="207" spans="1:38" x14ac:dyDescent="0.3">
      <c r="A207" t="s">
        <v>865</v>
      </c>
      <c r="B207" t="s">
        <v>495</v>
      </c>
      <c r="C207" t="s">
        <v>44</v>
      </c>
      <c r="D207" t="s">
        <v>209</v>
      </c>
      <c r="E207" t="s">
        <v>4833</v>
      </c>
      <c r="F207" t="s">
        <v>4776</v>
      </c>
      <c r="G207" t="s">
        <v>4852</v>
      </c>
      <c r="H207" t="s">
        <v>4773</v>
      </c>
      <c r="I207" t="s">
        <v>44</v>
      </c>
      <c r="J207" t="s">
        <v>710</v>
      </c>
      <c r="K207" t="s">
        <v>717</v>
      </c>
      <c r="L207" t="s">
        <v>718</v>
      </c>
      <c r="M207" s="9">
        <f>SUMIFS(#REF!,#REF!,
$A207,#REF!,
"&gt;="&amp;'Faturado mensal'!M$2,#REF!,
"&lt;"&amp;EOMONTH('Faturado mensal'!M$2,0))</f>
        <v>0</v>
      </c>
      <c r="N207" s="9">
        <f>SUMIFS(#REF!,#REF!,
$A207,#REF!,
"&gt;="&amp;'Faturado mensal'!N$2,#REF!,
"&lt;"&amp;EOMONTH('Faturado mensal'!N$2,0))</f>
        <v>0</v>
      </c>
      <c r="O207" s="9">
        <f>SUMIFS(#REF!,#REF!,
$A207,#REF!,
"&gt;="&amp;'Faturado mensal'!O$2,#REF!,
"&lt;"&amp;EOMONTH('Faturado mensal'!O$2,0))</f>
        <v>0</v>
      </c>
      <c r="P207" s="9">
        <f>SUMIFS(#REF!,#REF!,
$A207,#REF!,
"&gt;="&amp;'Faturado mensal'!P$2,#REF!,
"&lt;"&amp;EOMONTH('Faturado mensal'!P$2,0))</f>
        <v>0</v>
      </c>
      <c r="Q207" s="9">
        <f>SUMIFS(#REF!,#REF!,
$A207,#REF!,
"&gt;="&amp;'Faturado mensal'!Q$2,#REF!,
"&lt;"&amp;EOMONTH('Faturado mensal'!Q$2,0))</f>
        <v>0</v>
      </c>
      <c r="R207" s="9">
        <f>SUMIFS(#REF!,#REF!,
$A207,#REF!,
"&gt;="&amp;'Faturado mensal'!R$2,#REF!,
"&lt;"&amp;EOMONTH('Faturado mensal'!R$2,0))</f>
        <v>0</v>
      </c>
      <c r="S207" s="9">
        <f>SUMIFS(#REF!,#REF!,
$A207,#REF!,
"&gt;="&amp;'Faturado mensal'!S$2,#REF!,
"&lt;"&amp;EOMONTH('Faturado mensal'!S$2,0))</f>
        <v>0</v>
      </c>
      <c r="T207" s="9">
        <f>SUMIFS(#REF!,#REF!,
$A207,#REF!,
"&gt;="&amp;'Faturado mensal'!T$2,#REF!,
"&lt;"&amp;EOMONTH('Faturado mensal'!T$2,0))</f>
        <v>0</v>
      </c>
      <c r="U207" s="9">
        <f>SUMIFS(#REF!,#REF!,
$A207,#REF!,
"&gt;="&amp;'Faturado mensal'!U$2,#REF!,
"&lt;"&amp;EOMONTH('Faturado mensal'!U$2,0))</f>
        <v>0</v>
      </c>
      <c r="V207" s="9">
        <f>SUMIFS(#REF!,#REF!,
$A207,#REF!,
"&gt;="&amp;'Faturado mensal'!V$2,#REF!,
"&lt;"&amp;EOMONTH('Faturado mensal'!V$2,0))</f>
        <v>0</v>
      </c>
      <c r="W207" s="9">
        <f>SUMIFS(#REF!,#REF!,
$A207,#REF!,
"&gt;="&amp;'Faturado mensal'!W$2,#REF!,
"&lt;"&amp;EOMONTH('Faturado mensal'!W$2,0))</f>
        <v>0</v>
      </c>
      <c r="X207" s="9">
        <f>SUMIFS(#REF!,#REF!,
$A207,#REF!,
"&gt;="&amp;'Faturado mensal'!X$2,#REF!,
"&lt;"&amp;EOMONTH('Faturado mensal'!X$2,0))</f>
        <v>0</v>
      </c>
      <c r="Y207" s="11">
        <f>SUMIFS(#REF!,#REF!,
$A207,#REF!,
"&gt;="&amp;'Faturado mensal'!M$2,#REF!,
"&lt;"&amp;EOMONTH('Faturado mensal'!M$2,12))</f>
        <v>0</v>
      </c>
      <c r="Z207" s="9">
        <f>SUMIFS(#REF!,#REF!,
$A207,#REF!,
"&gt;="&amp;'Faturado mensal'!Z$2,#REF!,
"&lt;"&amp;EOMONTH('Faturado mensal'!Z$2,0))</f>
        <v>0</v>
      </c>
      <c r="AA207" s="9">
        <f>SUMIFS(#REF!,#REF!,
$A207,#REF!,
"&gt;="&amp;'Faturado mensal'!AA$2,#REF!,
"&lt;"&amp;EOMONTH('Faturado mensal'!AA$2,0))</f>
        <v>0</v>
      </c>
      <c r="AB207" s="9">
        <f>SUMIFS(#REF!,#REF!,
$A207,#REF!,
"&gt;="&amp;'Faturado mensal'!AB$2,#REF!,
"&lt;"&amp;EOMONTH('Faturado mensal'!AB$2,0))</f>
        <v>0</v>
      </c>
      <c r="AC207" s="9">
        <f>SUMIFS(#REF!,#REF!,
$A207,#REF!,
"&gt;="&amp;'Faturado mensal'!AC$2,#REF!,
"&lt;"&amp;EOMONTH('Faturado mensal'!AC$2,0))</f>
        <v>0</v>
      </c>
      <c r="AD207" s="9">
        <f>SUMIFS(#REF!,#REF!,
$A207,#REF!,
"&gt;="&amp;'Faturado mensal'!AD$2,#REF!,
"&lt;"&amp;EOMONTH('Faturado mensal'!AD$2,0))</f>
        <v>0</v>
      </c>
      <c r="AE207" s="9">
        <f>SUMIFS(#REF!,#REF!,
$A207,#REF!,
"&gt;="&amp;'Faturado mensal'!AE$2,#REF!,
"&lt;"&amp;EOMONTH('Faturado mensal'!AE$2,0))</f>
        <v>0</v>
      </c>
      <c r="AF207" s="9">
        <f>SUMIFS(#REF!,#REF!,
$A207,#REF!,
"&gt;="&amp;'Faturado mensal'!AF$2,#REF!,
"&lt;"&amp;EOMONTH('Faturado mensal'!AF$2,0))</f>
        <v>0</v>
      </c>
      <c r="AG207" s="9">
        <f>SUMIFS(#REF!,#REF!,
$A207,#REF!,
"&gt;="&amp;'Faturado mensal'!AG$2,#REF!,
"&lt;"&amp;EOMONTH('Faturado mensal'!AG$2,0))</f>
        <v>0</v>
      </c>
      <c r="AH207" s="9">
        <f>SUMIFS(#REF!,#REF!,
$A207,#REF!,
"&gt;="&amp;'Faturado mensal'!AH$2,#REF!,
"&lt;"&amp;EOMONTH('Faturado mensal'!AH$2,0))</f>
        <v>0</v>
      </c>
      <c r="AI207" s="9">
        <f>SUMIFS(#REF!,#REF!,
$A207,#REF!,
"&gt;="&amp;'Faturado mensal'!AI$2,#REF!,
"&lt;"&amp;EOMONTH('Faturado mensal'!AI$2,0))</f>
        <v>0</v>
      </c>
      <c r="AJ207" s="9">
        <f>SUMIFS(#REF!,#REF!,
$A207,#REF!,
"&gt;="&amp;'Faturado mensal'!AJ$2,#REF!,
"&lt;"&amp;EOMONTH('Faturado mensal'!AJ$2,0))</f>
        <v>0</v>
      </c>
      <c r="AK207" s="9">
        <f>SUMIFS(#REF!,#REF!,
$A207,#REF!,
"&gt;="&amp;'Faturado mensal'!AK$2,#REF!,
"&lt;"&amp;EOMONTH('Faturado mensal'!AK$2,0))</f>
        <v>0</v>
      </c>
      <c r="AL207" s="9">
        <f>SUMIFS(#REF!,#REF!,
$A207,#REF!,
"&gt;="&amp;Z$2,#REF!,
"&lt;"&amp;EOMONTH(AK$2,0))</f>
        <v>0</v>
      </c>
    </row>
    <row r="208" spans="1:38" x14ac:dyDescent="0.3">
      <c r="A208" t="s">
        <v>866</v>
      </c>
      <c r="B208" t="s">
        <v>495</v>
      </c>
      <c r="C208" t="s">
        <v>44</v>
      </c>
      <c r="D208" t="s">
        <v>209</v>
      </c>
      <c r="E208" t="s">
        <v>4833</v>
      </c>
      <c r="F208" t="s">
        <v>4776</v>
      </c>
      <c r="G208" t="s">
        <v>4852</v>
      </c>
      <c r="H208" t="s">
        <v>4773</v>
      </c>
      <c r="I208" t="s">
        <v>44</v>
      </c>
      <c r="J208" t="s">
        <v>710</v>
      </c>
      <c r="K208" t="s">
        <v>717</v>
      </c>
      <c r="L208" t="s">
        <v>718</v>
      </c>
      <c r="M208" s="9">
        <f>SUMIFS(#REF!,#REF!,
$A208,#REF!,
"&gt;="&amp;'Faturado mensal'!M$2,#REF!,
"&lt;"&amp;EOMONTH('Faturado mensal'!M$2,0))</f>
        <v>0</v>
      </c>
      <c r="N208" s="9">
        <f>SUMIFS(#REF!,#REF!,
$A208,#REF!,
"&gt;="&amp;'Faturado mensal'!N$2,#REF!,
"&lt;"&amp;EOMONTH('Faturado mensal'!N$2,0))</f>
        <v>0</v>
      </c>
      <c r="O208" s="9">
        <f>SUMIFS(#REF!,#REF!,
$A208,#REF!,
"&gt;="&amp;'Faturado mensal'!O$2,#REF!,
"&lt;"&amp;EOMONTH('Faturado mensal'!O$2,0))</f>
        <v>0</v>
      </c>
      <c r="P208" s="9">
        <f>SUMIFS(#REF!,#REF!,
$A208,#REF!,
"&gt;="&amp;'Faturado mensal'!P$2,#REF!,
"&lt;"&amp;EOMONTH('Faturado mensal'!P$2,0))</f>
        <v>0</v>
      </c>
      <c r="Q208" s="9">
        <f>SUMIFS(#REF!,#REF!,
$A208,#REF!,
"&gt;="&amp;'Faturado mensal'!Q$2,#REF!,
"&lt;"&amp;EOMONTH('Faturado mensal'!Q$2,0))</f>
        <v>0</v>
      </c>
      <c r="R208" s="9">
        <f>SUMIFS(#REF!,#REF!,
$A208,#REF!,
"&gt;="&amp;'Faturado mensal'!R$2,#REF!,
"&lt;"&amp;EOMONTH('Faturado mensal'!R$2,0))</f>
        <v>0</v>
      </c>
      <c r="S208" s="9">
        <f>SUMIFS(#REF!,#REF!,
$A208,#REF!,
"&gt;="&amp;'Faturado mensal'!S$2,#REF!,
"&lt;"&amp;EOMONTH('Faturado mensal'!S$2,0))</f>
        <v>0</v>
      </c>
      <c r="T208" s="9">
        <f>SUMIFS(#REF!,#REF!,
$A208,#REF!,
"&gt;="&amp;'Faturado mensal'!T$2,#REF!,
"&lt;"&amp;EOMONTH('Faturado mensal'!T$2,0))</f>
        <v>0</v>
      </c>
      <c r="U208" s="9">
        <f>SUMIFS(#REF!,#REF!,
$A208,#REF!,
"&gt;="&amp;'Faturado mensal'!U$2,#REF!,
"&lt;"&amp;EOMONTH('Faturado mensal'!U$2,0))</f>
        <v>0</v>
      </c>
      <c r="V208" s="9">
        <f>SUMIFS(#REF!,#REF!,
$A208,#REF!,
"&gt;="&amp;'Faturado mensal'!V$2,#REF!,
"&lt;"&amp;EOMONTH('Faturado mensal'!V$2,0))</f>
        <v>0</v>
      </c>
      <c r="W208" s="9">
        <f>SUMIFS(#REF!,#REF!,
$A208,#REF!,
"&gt;="&amp;'Faturado mensal'!W$2,#REF!,
"&lt;"&amp;EOMONTH('Faturado mensal'!W$2,0))</f>
        <v>0</v>
      </c>
      <c r="X208" s="9">
        <f>SUMIFS(#REF!,#REF!,
$A208,#REF!,
"&gt;="&amp;'Faturado mensal'!X$2,#REF!,
"&lt;"&amp;EOMONTH('Faturado mensal'!X$2,0))</f>
        <v>0</v>
      </c>
      <c r="Y208" s="11">
        <f>SUMIFS(#REF!,#REF!,
$A208,#REF!,
"&gt;="&amp;'Faturado mensal'!M$2,#REF!,
"&lt;"&amp;EOMONTH('Faturado mensal'!M$2,12))</f>
        <v>0</v>
      </c>
      <c r="Z208" s="9">
        <f>SUMIFS(#REF!,#REF!,
$A208,#REF!,
"&gt;="&amp;'Faturado mensal'!Z$2,#REF!,
"&lt;"&amp;EOMONTH('Faturado mensal'!Z$2,0))</f>
        <v>0</v>
      </c>
      <c r="AA208" s="9">
        <f>SUMIFS(#REF!,#REF!,
$A208,#REF!,
"&gt;="&amp;'Faturado mensal'!AA$2,#REF!,
"&lt;"&amp;EOMONTH('Faturado mensal'!AA$2,0))</f>
        <v>0</v>
      </c>
      <c r="AB208" s="9">
        <f>SUMIFS(#REF!,#REF!,
$A208,#REF!,
"&gt;="&amp;'Faturado mensal'!AB$2,#REF!,
"&lt;"&amp;EOMONTH('Faturado mensal'!AB$2,0))</f>
        <v>0</v>
      </c>
      <c r="AC208" s="9">
        <f>SUMIFS(#REF!,#REF!,
$A208,#REF!,
"&gt;="&amp;'Faturado mensal'!AC$2,#REF!,
"&lt;"&amp;EOMONTH('Faturado mensal'!AC$2,0))</f>
        <v>0</v>
      </c>
      <c r="AD208" s="9">
        <f>SUMIFS(#REF!,#REF!,
$A208,#REF!,
"&gt;="&amp;'Faturado mensal'!AD$2,#REF!,
"&lt;"&amp;EOMONTH('Faturado mensal'!AD$2,0))</f>
        <v>0</v>
      </c>
      <c r="AE208" s="9">
        <f>SUMIFS(#REF!,#REF!,
$A208,#REF!,
"&gt;="&amp;'Faturado mensal'!AE$2,#REF!,
"&lt;"&amp;EOMONTH('Faturado mensal'!AE$2,0))</f>
        <v>0</v>
      </c>
      <c r="AF208" s="9">
        <f>SUMIFS(#REF!,#REF!,
$A208,#REF!,
"&gt;="&amp;'Faturado mensal'!AF$2,#REF!,
"&lt;"&amp;EOMONTH('Faturado mensal'!AF$2,0))</f>
        <v>0</v>
      </c>
      <c r="AG208" s="9">
        <f>SUMIFS(#REF!,#REF!,
$A208,#REF!,
"&gt;="&amp;'Faturado mensal'!AG$2,#REF!,
"&lt;"&amp;EOMONTH('Faturado mensal'!AG$2,0))</f>
        <v>0</v>
      </c>
      <c r="AH208" s="9">
        <f>SUMIFS(#REF!,#REF!,
$A208,#REF!,
"&gt;="&amp;'Faturado mensal'!AH$2,#REF!,
"&lt;"&amp;EOMONTH('Faturado mensal'!AH$2,0))</f>
        <v>0</v>
      </c>
      <c r="AI208" s="9">
        <f>SUMIFS(#REF!,#REF!,
$A208,#REF!,
"&gt;="&amp;'Faturado mensal'!AI$2,#REF!,
"&lt;"&amp;EOMONTH('Faturado mensal'!AI$2,0))</f>
        <v>0</v>
      </c>
      <c r="AJ208" s="9">
        <f>SUMIFS(#REF!,#REF!,
$A208,#REF!,
"&gt;="&amp;'Faturado mensal'!AJ$2,#REF!,
"&lt;"&amp;EOMONTH('Faturado mensal'!AJ$2,0))</f>
        <v>0</v>
      </c>
      <c r="AK208" s="9">
        <f>SUMIFS(#REF!,#REF!,
$A208,#REF!,
"&gt;="&amp;'Faturado mensal'!AK$2,#REF!,
"&lt;"&amp;EOMONTH('Faturado mensal'!AK$2,0))</f>
        <v>0</v>
      </c>
      <c r="AL208" s="9">
        <f>SUMIFS(#REF!,#REF!,
$A208,#REF!,
"&gt;="&amp;Z$2,#REF!,
"&lt;"&amp;EOMONTH(AK$2,0))</f>
        <v>0</v>
      </c>
    </row>
    <row r="209" spans="1:38" x14ac:dyDescent="0.3">
      <c r="A209" t="s">
        <v>496</v>
      </c>
      <c r="B209" t="s">
        <v>497</v>
      </c>
      <c r="C209" t="s">
        <v>58</v>
      </c>
      <c r="D209" t="s">
        <v>204</v>
      </c>
      <c r="E209" t="s">
        <v>4833</v>
      </c>
      <c r="F209" t="s">
        <v>4776</v>
      </c>
      <c r="G209" t="s">
        <v>4852</v>
      </c>
      <c r="H209" t="s">
        <v>4773</v>
      </c>
      <c r="I209" t="s">
        <v>58</v>
      </c>
      <c r="J209" t="s">
        <v>710</v>
      </c>
      <c r="K209" t="s">
        <v>717</v>
      </c>
      <c r="L209" t="s">
        <v>718</v>
      </c>
      <c r="M209" s="9">
        <f>SUMIFS(#REF!,#REF!,
$A209,#REF!,
"&gt;="&amp;'Faturado mensal'!M$2,#REF!,
"&lt;"&amp;EOMONTH('Faturado mensal'!M$2,0))</f>
        <v>4947.54</v>
      </c>
      <c r="N209" s="9">
        <f>SUMIFS(#REF!,#REF!,
$A209,#REF!,
"&gt;="&amp;'Faturado mensal'!N$2,#REF!,
"&lt;"&amp;EOMONTH('Faturado mensal'!N$2,0))</f>
        <v>4947.54</v>
      </c>
      <c r="O209" s="9">
        <f>SUMIFS(#REF!,#REF!,
$A209,#REF!,
"&gt;="&amp;'Faturado mensal'!O$2,#REF!,
"&lt;"&amp;EOMONTH('Faturado mensal'!O$2,0))</f>
        <v>4970.59</v>
      </c>
      <c r="P209" s="9">
        <f>SUMIFS(#REF!,#REF!,
$A209,#REF!,
"&gt;="&amp;'Faturado mensal'!P$2,#REF!,
"&lt;"&amp;EOMONTH('Faturado mensal'!P$2,0))</f>
        <v>4970.59</v>
      </c>
      <c r="Q209" s="9">
        <f>SUMIFS(#REF!,#REF!,
$A209,#REF!,
"&gt;="&amp;'Faturado mensal'!Q$2,#REF!,
"&lt;"&amp;EOMONTH('Faturado mensal'!Q$2,0))</f>
        <v>4985.58</v>
      </c>
      <c r="R209" s="9">
        <f>SUMIFS(#REF!,#REF!,
$A209,#REF!,
"&gt;="&amp;'Faturado mensal'!R$2,#REF!,
"&lt;"&amp;EOMONTH('Faturado mensal'!R$2,0))</f>
        <v>4985.58</v>
      </c>
      <c r="S209" s="9">
        <f>SUMIFS(#REF!,#REF!,
$A209,#REF!,
"&gt;="&amp;'Faturado mensal'!S$2,#REF!,
"&lt;"&amp;EOMONTH('Faturado mensal'!S$2,0))</f>
        <v>4985.58</v>
      </c>
      <c r="T209" s="9">
        <f>SUMIFS(#REF!,#REF!,
$A209,#REF!,
"&gt;="&amp;'Faturado mensal'!T$2,#REF!,
"&lt;"&amp;EOMONTH('Faturado mensal'!T$2,0))</f>
        <v>4985.58</v>
      </c>
      <c r="U209" s="9">
        <f>SUMIFS(#REF!,#REF!,
$A209,#REF!,
"&gt;="&amp;'Faturado mensal'!U$2,#REF!,
"&lt;"&amp;EOMONTH('Faturado mensal'!U$2,0))</f>
        <v>0</v>
      </c>
      <c r="V209" s="9">
        <f>SUMIFS(#REF!,#REF!,
$A209,#REF!,
"&gt;="&amp;'Faturado mensal'!V$2,#REF!,
"&lt;"&amp;EOMONTH('Faturado mensal'!V$2,0))</f>
        <v>9512.7000000000007</v>
      </c>
      <c r="W209" s="9">
        <f>SUMIFS(#REF!,#REF!,
$A209,#REF!,
"&gt;="&amp;'Faturado mensal'!W$2,#REF!,
"&lt;"&amp;EOMONTH('Faturado mensal'!W$2,0))</f>
        <v>4397.3900000000003</v>
      </c>
      <c r="X209" s="9">
        <f>SUMIFS(#REF!,#REF!,
$A209,#REF!,
"&gt;="&amp;'Faturado mensal'!X$2,#REF!,
"&lt;"&amp;EOMONTH('Faturado mensal'!X$2,0))</f>
        <v>4397.3900000000003</v>
      </c>
      <c r="Y209" s="11">
        <f>SUMIFS(#REF!,#REF!,
$A209,#REF!,
"&gt;="&amp;'Faturado mensal'!M$2,#REF!,
"&lt;"&amp;EOMONTH('Faturado mensal'!M$2,12))</f>
        <v>62483.450000000004</v>
      </c>
      <c r="Z209" s="9">
        <f>SUMIFS(#REF!,#REF!,
$A209,#REF!,
"&gt;="&amp;'Faturado mensal'!Z$2,#REF!,
"&lt;"&amp;EOMONTH('Faturado mensal'!Z$2,0))</f>
        <v>4397.3900000000003</v>
      </c>
      <c r="AA209" s="9">
        <f>SUMIFS(#REF!,#REF!,
$A209,#REF!,
"&gt;="&amp;'Faturado mensal'!AA$2,#REF!,
"&lt;"&amp;EOMONTH('Faturado mensal'!AA$2,0))</f>
        <v>4397.3900000000003</v>
      </c>
      <c r="AB209" s="9">
        <f>SUMIFS(#REF!,#REF!,
$A209,#REF!,
"&gt;="&amp;'Faturado mensal'!AB$2,#REF!,
"&lt;"&amp;EOMONTH('Faturado mensal'!AB$2,0))</f>
        <v>4397.3900000000003</v>
      </c>
      <c r="AC209" s="9">
        <f>SUMIFS(#REF!,#REF!,
$A209,#REF!,
"&gt;="&amp;'Faturado mensal'!AC$2,#REF!,
"&lt;"&amp;EOMONTH('Faturado mensal'!AC$2,0))</f>
        <v>4397.3900000000003</v>
      </c>
      <c r="AD209" s="9">
        <f>SUMIFS(#REF!,#REF!,
$A209,#REF!,
"&gt;="&amp;'Faturado mensal'!AD$2,#REF!,
"&lt;"&amp;EOMONTH('Faturado mensal'!AD$2,0))</f>
        <v>4397.3900000000003</v>
      </c>
      <c r="AE209" s="9">
        <f>SUMIFS(#REF!,#REF!,
$A209,#REF!,
"&gt;="&amp;'Faturado mensal'!AE$2,#REF!,
"&lt;"&amp;EOMONTH('Faturado mensal'!AE$2,0))</f>
        <v>4397.3900000000003</v>
      </c>
      <c r="AF209" s="9">
        <f>SUMIFS(#REF!,#REF!,
$A209,#REF!,
"&gt;="&amp;'Faturado mensal'!AF$2,#REF!,
"&lt;"&amp;EOMONTH('Faturado mensal'!AF$2,0))</f>
        <v>0</v>
      </c>
      <c r="AG209" s="9">
        <f>SUMIFS(#REF!,#REF!,
$A209,#REF!,
"&gt;="&amp;'Faturado mensal'!AG$2,#REF!,
"&lt;"&amp;EOMONTH('Faturado mensal'!AG$2,0))</f>
        <v>0</v>
      </c>
      <c r="AH209" s="9">
        <f>SUMIFS(#REF!,#REF!,
$A209,#REF!,
"&gt;="&amp;'Faturado mensal'!AH$2,#REF!,
"&lt;"&amp;EOMONTH('Faturado mensal'!AH$2,0))</f>
        <v>0</v>
      </c>
      <c r="AI209" s="9">
        <f>SUMIFS(#REF!,#REF!,
$A209,#REF!,
"&gt;="&amp;'Faturado mensal'!AI$2,#REF!,
"&lt;"&amp;EOMONTH('Faturado mensal'!AI$2,0))</f>
        <v>0</v>
      </c>
      <c r="AJ209" s="9">
        <f>SUMIFS(#REF!,#REF!,
$A209,#REF!,
"&gt;="&amp;'Faturado mensal'!AJ$2,#REF!,
"&lt;"&amp;EOMONTH('Faturado mensal'!AJ$2,0))</f>
        <v>0</v>
      </c>
      <c r="AK209" s="9">
        <f>SUMIFS(#REF!,#REF!,
$A209,#REF!,
"&gt;="&amp;'Faturado mensal'!AK$2,#REF!,
"&lt;"&amp;EOMONTH('Faturado mensal'!AK$2,0))</f>
        <v>0</v>
      </c>
      <c r="AL209" s="9">
        <f>SUMIFS(#REF!,#REF!,
$A209,#REF!,
"&gt;="&amp;Z$2,#REF!,
"&lt;"&amp;EOMONTH(AK$2,0))</f>
        <v>26384.34</v>
      </c>
    </row>
    <row r="210" spans="1:38" x14ac:dyDescent="0.3">
      <c r="A210" t="s">
        <v>498</v>
      </c>
      <c r="B210" t="s">
        <v>497</v>
      </c>
      <c r="C210" t="s">
        <v>58</v>
      </c>
      <c r="D210" t="s">
        <v>204</v>
      </c>
      <c r="E210" t="s">
        <v>4833</v>
      </c>
      <c r="F210" t="s">
        <v>4776</v>
      </c>
      <c r="G210" t="s">
        <v>4852</v>
      </c>
      <c r="H210" t="s">
        <v>4773</v>
      </c>
      <c r="I210" t="s">
        <v>58</v>
      </c>
      <c r="J210" t="s">
        <v>710</v>
      </c>
      <c r="K210" t="s">
        <v>717</v>
      </c>
      <c r="L210" t="s">
        <v>718</v>
      </c>
      <c r="M210" s="9">
        <f>SUMIFS(#REF!,#REF!,
$A210,#REF!,
"&gt;="&amp;'Faturado mensal'!M$2,#REF!,
"&lt;"&amp;EOMONTH('Faturado mensal'!M$2,0))</f>
        <v>537.17999999999995</v>
      </c>
      <c r="N210" s="9">
        <f>SUMIFS(#REF!,#REF!,
$A210,#REF!,
"&gt;="&amp;'Faturado mensal'!N$2,#REF!,
"&lt;"&amp;EOMONTH('Faturado mensal'!N$2,0))</f>
        <v>537.17999999999995</v>
      </c>
      <c r="O210" s="9">
        <f>SUMIFS(#REF!,#REF!,
$A210,#REF!,
"&gt;="&amp;'Faturado mensal'!O$2,#REF!,
"&lt;"&amp;EOMONTH('Faturado mensal'!O$2,0))</f>
        <v>537.17999999999995</v>
      </c>
      <c r="P210" s="9">
        <f>SUMIFS(#REF!,#REF!,
$A210,#REF!,
"&gt;="&amp;'Faturado mensal'!P$2,#REF!,
"&lt;"&amp;EOMONTH('Faturado mensal'!P$2,0))</f>
        <v>537.17999999999995</v>
      </c>
      <c r="Q210" s="9">
        <f>SUMIFS(#REF!,#REF!,
$A210,#REF!,
"&gt;="&amp;'Faturado mensal'!Q$2,#REF!,
"&lt;"&amp;EOMONTH('Faturado mensal'!Q$2,0))</f>
        <v>537.17999999999995</v>
      </c>
      <c r="R210" s="9">
        <f>SUMIFS(#REF!,#REF!,
$A210,#REF!,
"&gt;="&amp;'Faturado mensal'!R$2,#REF!,
"&lt;"&amp;EOMONTH('Faturado mensal'!R$2,0))</f>
        <v>537.17999999999995</v>
      </c>
      <c r="S210" s="9">
        <f>SUMIFS(#REF!,#REF!,
$A210,#REF!,
"&gt;="&amp;'Faturado mensal'!S$2,#REF!,
"&lt;"&amp;EOMONTH('Faturado mensal'!S$2,0))</f>
        <v>537.17999999999995</v>
      </c>
      <c r="T210" s="9">
        <f>SUMIFS(#REF!,#REF!,
$A210,#REF!,
"&gt;="&amp;'Faturado mensal'!T$2,#REF!,
"&lt;"&amp;EOMONTH('Faturado mensal'!T$2,0))</f>
        <v>537.17999999999995</v>
      </c>
      <c r="U210" s="9">
        <f>SUMIFS(#REF!,#REF!,
$A210,#REF!,
"&gt;="&amp;'Faturado mensal'!U$2,#REF!,
"&lt;"&amp;EOMONTH('Faturado mensal'!U$2,0))</f>
        <v>0</v>
      </c>
      <c r="V210" s="9">
        <f>SUMIFS(#REF!,#REF!,
$A210,#REF!,
"&gt;="&amp;'Faturado mensal'!V$2,#REF!,
"&lt;"&amp;EOMONTH('Faturado mensal'!V$2,0))</f>
        <v>1288.8599999999999</v>
      </c>
      <c r="W210" s="9">
        <f>SUMIFS(#REF!,#REF!,
$A210,#REF!,
"&gt;="&amp;'Faturado mensal'!W$2,#REF!,
"&lt;"&amp;EOMONTH('Faturado mensal'!W$2,0))</f>
        <v>1288.8599999999999</v>
      </c>
      <c r="X210" s="9">
        <f>SUMIFS(#REF!,#REF!,
$A210,#REF!,
"&gt;="&amp;'Faturado mensal'!X$2,#REF!,
"&lt;"&amp;EOMONTH('Faturado mensal'!X$2,0))</f>
        <v>1288.8599999999999</v>
      </c>
      <c r="Y210" s="11">
        <f>SUMIFS(#REF!,#REF!,
$A210,#REF!,
"&gt;="&amp;'Faturado mensal'!M$2,#REF!,
"&lt;"&amp;EOMONTH('Faturado mensal'!M$2,12))</f>
        <v>10002.74</v>
      </c>
      <c r="Z210" s="9">
        <f>SUMIFS(#REF!,#REF!,
$A210,#REF!,
"&gt;="&amp;'Faturado mensal'!Z$2,#REF!,
"&lt;"&amp;EOMONTH('Faturado mensal'!Z$2,0))</f>
        <v>1288.8599999999999</v>
      </c>
      <c r="AA210" s="9">
        <f>SUMIFS(#REF!,#REF!,
$A210,#REF!,
"&gt;="&amp;'Faturado mensal'!AA$2,#REF!,
"&lt;"&amp;EOMONTH('Faturado mensal'!AA$2,0))</f>
        <v>0</v>
      </c>
      <c r="AB210" s="9">
        <f>SUMIFS(#REF!,#REF!,
$A210,#REF!,
"&gt;="&amp;'Faturado mensal'!AB$2,#REF!,
"&lt;"&amp;EOMONTH('Faturado mensal'!AB$2,0))</f>
        <v>2577.7199999999998</v>
      </c>
      <c r="AC210" s="9">
        <f>SUMIFS(#REF!,#REF!,
$A210,#REF!,
"&gt;="&amp;'Faturado mensal'!AC$2,#REF!,
"&lt;"&amp;EOMONTH('Faturado mensal'!AC$2,0))</f>
        <v>0</v>
      </c>
      <c r="AD210" s="9">
        <f>SUMIFS(#REF!,#REF!,
$A210,#REF!,
"&gt;="&amp;'Faturado mensal'!AD$2,#REF!,
"&lt;"&amp;EOMONTH('Faturado mensal'!AD$2,0))</f>
        <v>2577.7199999999998</v>
      </c>
      <c r="AE210" s="9">
        <f>SUMIFS(#REF!,#REF!,
$A210,#REF!,
"&gt;="&amp;'Faturado mensal'!AE$2,#REF!,
"&lt;"&amp;EOMONTH('Faturado mensal'!AE$2,0))</f>
        <v>1288.8599999999999</v>
      </c>
      <c r="AF210" s="9">
        <f>SUMIFS(#REF!,#REF!,
$A210,#REF!,
"&gt;="&amp;'Faturado mensal'!AF$2,#REF!,
"&lt;"&amp;EOMONTH('Faturado mensal'!AF$2,0))</f>
        <v>0</v>
      </c>
      <c r="AG210" s="9">
        <f>SUMIFS(#REF!,#REF!,
$A210,#REF!,
"&gt;="&amp;'Faturado mensal'!AG$2,#REF!,
"&lt;"&amp;EOMONTH('Faturado mensal'!AG$2,0))</f>
        <v>0</v>
      </c>
      <c r="AH210" s="9">
        <f>SUMIFS(#REF!,#REF!,
$A210,#REF!,
"&gt;="&amp;'Faturado mensal'!AH$2,#REF!,
"&lt;"&amp;EOMONTH('Faturado mensal'!AH$2,0))</f>
        <v>0</v>
      </c>
      <c r="AI210" s="9">
        <f>SUMIFS(#REF!,#REF!,
$A210,#REF!,
"&gt;="&amp;'Faturado mensal'!AI$2,#REF!,
"&lt;"&amp;EOMONTH('Faturado mensal'!AI$2,0))</f>
        <v>0</v>
      </c>
      <c r="AJ210" s="9">
        <f>SUMIFS(#REF!,#REF!,
$A210,#REF!,
"&gt;="&amp;'Faturado mensal'!AJ$2,#REF!,
"&lt;"&amp;EOMONTH('Faturado mensal'!AJ$2,0))</f>
        <v>0</v>
      </c>
      <c r="AK210" s="9">
        <f>SUMIFS(#REF!,#REF!,
$A210,#REF!,
"&gt;="&amp;'Faturado mensal'!AK$2,#REF!,
"&lt;"&amp;EOMONTH('Faturado mensal'!AK$2,0))</f>
        <v>0</v>
      </c>
      <c r="AL210" s="9">
        <f>SUMIFS(#REF!,#REF!,
$A210,#REF!,
"&gt;="&amp;Z$2,#REF!,
"&lt;"&amp;EOMONTH(AK$2,0))</f>
        <v>7733.1599999999989</v>
      </c>
    </row>
    <row r="211" spans="1:38" x14ac:dyDescent="0.3">
      <c r="A211" t="s">
        <v>499</v>
      </c>
      <c r="B211" t="s">
        <v>500</v>
      </c>
      <c r="C211" t="s">
        <v>16</v>
      </c>
      <c r="D211" t="s">
        <v>204</v>
      </c>
      <c r="E211" t="s">
        <v>4833</v>
      </c>
      <c r="F211" t="s">
        <v>4786</v>
      </c>
      <c r="G211" t="s">
        <v>4852</v>
      </c>
      <c r="H211" t="s">
        <v>4773</v>
      </c>
      <c r="I211" t="s">
        <v>16</v>
      </c>
      <c r="J211" t="s">
        <v>710</v>
      </c>
      <c r="K211" t="s">
        <v>717</v>
      </c>
      <c r="L211" t="s">
        <v>718</v>
      </c>
      <c r="M211" s="9">
        <f>SUMIFS(#REF!,#REF!,
$A211,#REF!,
"&gt;="&amp;'Faturado mensal'!M$2,#REF!,
"&lt;"&amp;EOMONTH('Faturado mensal'!M$2,0))</f>
        <v>3266.9</v>
      </c>
      <c r="N211" s="9">
        <f>SUMIFS(#REF!,#REF!,
$A211,#REF!,
"&gt;="&amp;'Faturado mensal'!N$2,#REF!,
"&lt;"&amp;EOMONTH('Faturado mensal'!N$2,0))</f>
        <v>3266.9</v>
      </c>
      <c r="O211" s="9">
        <f>SUMIFS(#REF!,#REF!,
$A211,#REF!,
"&gt;="&amp;'Faturado mensal'!O$2,#REF!,
"&lt;"&amp;EOMONTH('Faturado mensal'!O$2,0))</f>
        <v>3168.9</v>
      </c>
      <c r="P211" s="9">
        <f>SUMIFS(#REF!,#REF!,
$A211,#REF!,
"&gt;="&amp;'Faturado mensal'!P$2,#REF!,
"&lt;"&amp;EOMONTH('Faturado mensal'!P$2,0))</f>
        <v>3266.9</v>
      </c>
      <c r="Q211" s="9">
        <f>SUMIFS(#REF!,#REF!,
$A211,#REF!,
"&gt;="&amp;'Faturado mensal'!Q$2,#REF!,
"&lt;"&amp;EOMONTH('Faturado mensal'!Q$2,0))</f>
        <v>3266.9</v>
      </c>
      <c r="R211" s="9">
        <f>SUMIFS(#REF!,#REF!,
$A211,#REF!,
"&gt;="&amp;'Faturado mensal'!R$2,#REF!,
"&lt;"&amp;EOMONTH('Faturado mensal'!R$2,0))</f>
        <v>3266.9</v>
      </c>
      <c r="S211" s="9">
        <f>SUMIFS(#REF!,#REF!,
$A211,#REF!,
"&gt;="&amp;'Faturado mensal'!S$2,#REF!,
"&lt;"&amp;EOMONTH('Faturado mensal'!S$2,0))</f>
        <v>3266.9</v>
      </c>
      <c r="T211" s="9">
        <f>SUMIFS(#REF!,#REF!,
$A211,#REF!,
"&gt;="&amp;'Faturado mensal'!T$2,#REF!,
"&lt;"&amp;EOMONTH('Faturado mensal'!T$2,0))</f>
        <v>3266.9</v>
      </c>
      <c r="U211" s="9">
        <f>SUMIFS(#REF!,#REF!,
$A211,#REF!,
"&gt;="&amp;'Faturado mensal'!U$2,#REF!,
"&lt;"&amp;EOMONTH('Faturado mensal'!U$2,0))</f>
        <v>2950.75</v>
      </c>
      <c r="V211" s="9">
        <f>SUMIFS(#REF!,#REF!,
$A211,#REF!,
"&gt;="&amp;'Faturado mensal'!V$2,#REF!,
"&lt;"&amp;EOMONTH('Faturado mensal'!V$2,0))</f>
        <v>1633.45</v>
      </c>
      <c r="W211" s="9">
        <f>SUMIFS(#REF!,#REF!,
$A211,#REF!,
"&gt;="&amp;'Faturado mensal'!W$2,#REF!,
"&lt;"&amp;EOMONTH('Faturado mensal'!W$2,0))</f>
        <v>1633.45</v>
      </c>
      <c r="X211" s="9">
        <f>SUMIFS(#REF!,#REF!,
$A211,#REF!,
"&gt;="&amp;'Faturado mensal'!X$2,#REF!,
"&lt;"&amp;EOMONTH('Faturado mensal'!X$2,0))</f>
        <v>1633.45</v>
      </c>
      <c r="Y211" s="11">
        <f>SUMIFS(#REF!,#REF!,
$A211,#REF!,
"&gt;="&amp;'Faturado mensal'!M$2,#REF!,
"&lt;"&amp;EOMONTH('Faturado mensal'!M$2,12))</f>
        <v>35521.750000000007</v>
      </c>
      <c r="Z211" s="9">
        <f>SUMIFS(#REF!,#REF!,
$A211,#REF!,
"&gt;="&amp;'Faturado mensal'!Z$2,#REF!,
"&lt;"&amp;EOMONTH('Faturado mensal'!Z$2,0))</f>
        <v>1633.45</v>
      </c>
      <c r="AA211" s="9">
        <f>SUMIFS(#REF!,#REF!,
$A211,#REF!,
"&gt;="&amp;'Faturado mensal'!AA$2,#REF!,
"&lt;"&amp;EOMONTH('Faturado mensal'!AA$2,0))</f>
        <v>1633.45</v>
      </c>
      <c r="AB211" s="9">
        <f>SUMIFS(#REF!,#REF!,
$A211,#REF!,
"&gt;="&amp;'Faturado mensal'!AB$2,#REF!,
"&lt;"&amp;EOMONTH('Faturado mensal'!AB$2,0))</f>
        <v>1633.45</v>
      </c>
      <c r="AC211" s="9">
        <f>SUMIFS(#REF!,#REF!,
$A211,#REF!,
"&gt;="&amp;'Faturado mensal'!AC$2,#REF!,
"&lt;"&amp;EOMONTH('Faturado mensal'!AC$2,0))</f>
        <v>1633.45</v>
      </c>
      <c r="AD211" s="9">
        <f>SUMIFS(#REF!,#REF!,
$A211,#REF!,
"&gt;="&amp;'Faturado mensal'!AD$2,#REF!,
"&lt;"&amp;EOMONTH('Faturado mensal'!AD$2,0))</f>
        <v>1633.45</v>
      </c>
      <c r="AE211" s="9">
        <f>SUMIFS(#REF!,#REF!,
$A211,#REF!,
"&gt;="&amp;'Faturado mensal'!AE$2,#REF!,
"&lt;"&amp;EOMONTH('Faturado mensal'!AE$2,0))</f>
        <v>1633.45</v>
      </c>
      <c r="AF211" s="9">
        <f>SUMIFS(#REF!,#REF!,
$A211,#REF!,
"&gt;="&amp;'Faturado mensal'!AF$2,#REF!,
"&lt;"&amp;EOMONTH('Faturado mensal'!AF$2,0))</f>
        <v>0</v>
      </c>
      <c r="AG211" s="9">
        <f>SUMIFS(#REF!,#REF!,
$A211,#REF!,
"&gt;="&amp;'Faturado mensal'!AG$2,#REF!,
"&lt;"&amp;EOMONTH('Faturado mensal'!AG$2,0))</f>
        <v>0</v>
      </c>
      <c r="AH211" s="9">
        <f>SUMIFS(#REF!,#REF!,
$A211,#REF!,
"&gt;="&amp;'Faturado mensal'!AH$2,#REF!,
"&lt;"&amp;EOMONTH('Faturado mensal'!AH$2,0))</f>
        <v>0</v>
      </c>
      <c r="AI211" s="9">
        <f>SUMIFS(#REF!,#REF!,
$A211,#REF!,
"&gt;="&amp;'Faturado mensal'!AI$2,#REF!,
"&lt;"&amp;EOMONTH('Faturado mensal'!AI$2,0))</f>
        <v>0</v>
      </c>
      <c r="AJ211" s="9">
        <f>SUMIFS(#REF!,#REF!,
$A211,#REF!,
"&gt;="&amp;'Faturado mensal'!AJ$2,#REF!,
"&lt;"&amp;EOMONTH('Faturado mensal'!AJ$2,0))</f>
        <v>0</v>
      </c>
      <c r="AK211" s="9">
        <f>SUMIFS(#REF!,#REF!,
$A211,#REF!,
"&gt;="&amp;'Faturado mensal'!AK$2,#REF!,
"&lt;"&amp;EOMONTH('Faturado mensal'!AK$2,0))</f>
        <v>0</v>
      </c>
      <c r="AL211" s="9">
        <f>SUMIFS(#REF!,#REF!,
$A211,#REF!,
"&gt;="&amp;Z$2,#REF!,
"&lt;"&amp;EOMONTH(AK$2,0))</f>
        <v>9800.7000000000007</v>
      </c>
    </row>
    <row r="212" spans="1:38" x14ac:dyDescent="0.3">
      <c r="A212" t="s">
        <v>501</v>
      </c>
      <c r="B212" t="s">
        <v>502</v>
      </c>
      <c r="C212" t="s">
        <v>2</v>
      </c>
      <c r="D212" t="s">
        <v>204</v>
      </c>
      <c r="E212" t="s">
        <v>4833</v>
      </c>
      <c r="F212" t="s">
        <v>4776</v>
      </c>
      <c r="G212" t="s">
        <v>4852</v>
      </c>
      <c r="H212" t="s">
        <v>4774</v>
      </c>
      <c r="I212" t="s">
        <v>2</v>
      </c>
      <c r="J212" t="s">
        <v>710</v>
      </c>
      <c r="K212" t="s">
        <v>717</v>
      </c>
      <c r="L212" t="s">
        <v>718</v>
      </c>
      <c r="M212" s="9">
        <f>SUMIFS(#REF!,#REF!,
$A212,#REF!,
"&gt;="&amp;'Faturado mensal'!M$2,#REF!,
"&lt;"&amp;EOMONTH('Faturado mensal'!M$2,0))</f>
        <v>1884.23</v>
      </c>
      <c r="N212" s="9">
        <f>SUMIFS(#REF!,#REF!,
$A212,#REF!,
"&gt;="&amp;'Faturado mensal'!N$2,#REF!,
"&lt;"&amp;EOMONTH('Faturado mensal'!N$2,0))</f>
        <v>1884.23</v>
      </c>
      <c r="O212" s="9">
        <f>SUMIFS(#REF!,#REF!,
$A212,#REF!,
"&gt;="&amp;'Faturado mensal'!O$2,#REF!,
"&lt;"&amp;EOMONTH('Faturado mensal'!O$2,0))</f>
        <v>1884.23</v>
      </c>
      <c r="P212" s="9">
        <f>SUMIFS(#REF!,#REF!,
$A212,#REF!,
"&gt;="&amp;'Faturado mensal'!P$2,#REF!,
"&lt;"&amp;EOMONTH('Faturado mensal'!P$2,0))</f>
        <v>1884.23</v>
      </c>
      <c r="Q212" s="9">
        <f>SUMIFS(#REF!,#REF!,
$A212,#REF!,
"&gt;="&amp;'Faturado mensal'!Q$2,#REF!,
"&lt;"&amp;EOMONTH('Faturado mensal'!Q$2,0))</f>
        <v>1884.23</v>
      </c>
      <c r="R212" s="9">
        <f>SUMIFS(#REF!,#REF!,
$A212,#REF!,
"&gt;="&amp;'Faturado mensal'!R$2,#REF!,
"&lt;"&amp;EOMONTH('Faturado mensal'!R$2,0))</f>
        <v>1884.23</v>
      </c>
      <c r="S212" s="9">
        <f>SUMIFS(#REF!,#REF!,
$A212,#REF!,
"&gt;="&amp;'Faturado mensal'!S$2,#REF!,
"&lt;"&amp;EOMONTH('Faturado mensal'!S$2,0))</f>
        <v>1884.23</v>
      </c>
      <c r="T212" s="9">
        <f>SUMIFS(#REF!,#REF!,
$A212,#REF!,
"&gt;="&amp;'Faturado mensal'!T$2,#REF!,
"&lt;"&amp;EOMONTH('Faturado mensal'!T$2,0))</f>
        <v>1884.23</v>
      </c>
      <c r="U212" s="9">
        <f>SUMIFS(#REF!,#REF!,
$A212,#REF!,
"&gt;="&amp;'Faturado mensal'!U$2,#REF!,
"&lt;"&amp;EOMONTH('Faturado mensal'!U$2,0))</f>
        <v>1884.23</v>
      </c>
      <c r="V212" s="9">
        <f>SUMIFS(#REF!,#REF!,
$A212,#REF!,
"&gt;="&amp;'Faturado mensal'!V$2,#REF!,
"&lt;"&amp;EOMONTH('Faturado mensal'!V$2,0))</f>
        <v>1884.23</v>
      </c>
      <c r="W212" s="9">
        <f>SUMIFS(#REF!,#REF!,
$A212,#REF!,
"&gt;="&amp;'Faturado mensal'!W$2,#REF!,
"&lt;"&amp;EOMONTH('Faturado mensal'!W$2,0))</f>
        <v>1884.23</v>
      </c>
      <c r="X212" s="9">
        <f>SUMIFS(#REF!,#REF!,
$A212,#REF!,
"&gt;="&amp;'Faturado mensal'!X$2,#REF!,
"&lt;"&amp;EOMONTH('Faturado mensal'!X$2,0))</f>
        <v>1901.56</v>
      </c>
      <c r="Y212" s="11">
        <f>SUMIFS(#REF!,#REF!,
$A212,#REF!,
"&gt;="&amp;'Faturado mensal'!M$2,#REF!,
"&lt;"&amp;EOMONTH('Faturado mensal'!M$2,12))</f>
        <v>24529.65</v>
      </c>
      <c r="Z212" s="9">
        <f>SUMIFS(#REF!,#REF!,
$A212,#REF!,
"&gt;="&amp;'Faturado mensal'!Z$2,#REF!,
"&lt;"&amp;EOMONTH('Faturado mensal'!Z$2,0))</f>
        <v>1901.56</v>
      </c>
      <c r="AA212" s="9">
        <f>SUMIFS(#REF!,#REF!,
$A212,#REF!,
"&gt;="&amp;'Faturado mensal'!AA$2,#REF!,
"&lt;"&amp;EOMONTH('Faturado mensal'!AA$2,0))</f>
        <v>1901.56</v>
      </c>
      <c r="AB212" s="9">
        <f>SUMIFS(#REF!,#REF!,
$A212,#REF!,
"&gt;="&amp;'Faturado mensal'!AB$2,#REF!,
"&lt;"&amp;EOMONTH('Faturado mensal'!AB$2,0))</f>
        <v>1901.56</v>
      </c>
      <c r="AC212" s="9">
        <f>SUMIFS(#REF!,#REF!,
$A212,#REF!,
"&gt;="&amp;'Faturado mensal'!AC$2,#REF!,
"&lt;"&amp;EOMONTH('Faturado mensal'!AC$2,0))</f>
        <v>1901.56</v>
      </c>
      <c r="AD212" s="9">
        <f>SUMIFS(#REF!,#REF!,
$A212,#REF!,
"&gt;="&amp;'Faturado mensal'!AD$2,#REF!,
"&lt;"&amp;EOMONTH('Faturado mensal'!AD$2,0))</f>
        <v>1901.56</v>
      </c>
      <c r="AE212" s="9">
        <f>SUMIFS(#REF!,#REF!,
$A212,#REF!,
"&gt;="&amp;'Faturado mensal'!AE$2,#REF!,
"&lt;"&amp;EOMONTH('Faturado mensal'!AE$2,0))</f>
        <v>1901.56</v>
      </c>
      <c r="AF212" s="9">
        <f>SUMIFS(#REF!,#REF!,
$A212,#REF!,
"&gt;="&amp;'Faturado mensal'!AF$2,#REF!,
"&lt;"&amp;EOMONTH('Faturado mensal'!AF$2,0))</f>
        <v>0</v>
      </c>
      <c r="AG212" s="9">
        <f>SUMIFS(#REF!,#REF!,
$A212,#REF!,
"&gt;="&amp;'Faturado mensal'!AG$2,#REF!,
"&lt;"&amp;EOMONTH('Faturado mensal'!AG$2,0))</f>
        <v>0</v>
      </c>
      <c r="AH212" s="9">
        <f>SUMIFS(#REF!,#REF!,
$A212,#REF!,
"&gt;="&amp;'Faturado mensal'!AH$2,#REF!,
"&lt;"&amp;EOMONTH('Faturado mensal'!AH$2,0))</f>
        <v>0</v>
      </c>
      <c r="AI212" s="9">
        <f>SUMIFS(#REF!,#REF!,
$A212,#REF!,
"&gt;="&amp;'Faturado mensal'!AI$2,#REF!,
"&lt;"&amp;EOMONTH('Faturado mensal'!AI$2,0))</f>
        <v>0</v>
      </c>
      <c r="AJ212" s="9">
        <f>SUMIFS(#REF!,#REF!,
$A212,#REF!,
"&gt;="&amp;'Faturado mensal'!AJ$2,#REF!,
"&lt;"&amp;EOMONTH('Faturado mensal'!AJ$2,0))</f>
        <v>0</v>
      </c>
      <c r="AK212" s="9">
        <f>SUMIFS(#REF!,#REF!,
$A212,#REF!,
"&gt;="&amp;'Faturado mensal'!AK$2,#REF!,
"&lt;"&amp;EOMONTH('Faturado mensal'!AK$2,0))</f>
        <v>0</v>
      </c>
      <c r="AL212" s="9">
        <f>SUMIFS(#REF!,#REF!,
$A212,#REF!,
"&gt;="&amp;Z$2,#REF!,
"&lt;"&amp;EOMONTH(AK$2,0))</f>
        <v>11409.359999999999</v>
      </c>
    </row>
    <row r="213" spans="1:38" x14ac:dyDescent="0.3">
      <c r="A213" t="s">
        <v>503</v>
      </c>
      <c r="B213" t="s">
        <v>465</v>
      </c>
      <c r="C213" t="s">
        <v>172</v>
      </c>
      <c r="D213" t="s">
        <v>209</v>
      </c>
      <c r="I213" t="s">
        <v>747</v>
      </c>
      <c r="J213" t="s">
        <v>710</v>
      </c>
      <c r="K213" t="s">
        <v>717</v>
      </c>
      <c r="L213" t="s">
        <v>718</v>
      </c>
      <c r="M213" s="9">
        <f>SUMIFS(#REF!,#REF!,
$A213,#REF!,
"&gt;="&amp;'Faturado mensal'!M$2,#REF!,
"&lt;"&amp;EOMONTH('Faturado mensal'!M$2,0))</f>
        <v>0</v>
      </c>
      <c r="N213" s="9">
        <f>SUMIFS(#REF!,#REF!,
$A213,#REF!,
"&gt;="&amp;'Faturado mensal'!N$2,#REF!,
"&lt;"&amp;EOMONTH('Faturado mensal'!N$2,0))</f>
        <v>0</v>
      </c>
      <c r="O213" s="9">
        <f>SUMIFS(#REF!,#REF!,
$A213,#REF!,
"&gt;="&amp;'Faturado mensal'!O$2,#REF!,
"&lt;"&amp;EOMONTH('Faturado mensal'!O$2,0))</f>
        <v>0</v>
      </c>
      <c r="P213" s="9">
        <f>SUMIFS(#REF!,#REF!,
$A213,#REF!,
"&gt;="&amp;'Faturado mensal'!P$2,#REF!,
"&lt;"&amp;EOMONTH('Faturado mensal'!P$2,0))</f>
        <v>0</v>
      </c>
      <c r="Q213" s="9">
        <f>SUMIFS(#REF!,#REF!,
$A213,#REF!,
"&gt;="&amp;'Faturado mensal'!Q$2,#REF!,
"&lt;"&amp;EOMONTH('Faturado mensal'!Q$2,0))</f>
        <v>0</v>
      </c>
      <c r="R213" s="9">
        <f>SUMIFS(#REF!,#REF!,
$A213,#REF!,
"&gt;="&amp;'Faturado mensal'!R$2,#REF!,
"&lt;"&amp;EOMONTH('Faturado mensal'!R$2,0))</f>
        <v>0</v>
      </c>
      <c r="S213" s="9">
        <f>SUMIFS(#REF!,#REF!,
$A213,#REF!,
"&gt;="&amp;'Faturado mensal'!S$2,#REF!,
"&lt;"&amp;EOMONTH('Faturado mensal'!S$2,0))</f>
        <v>0</v>
      </c>
      <c r="T213" s="9">
        <f>SUMIFS(#REF!,#REF!,
$A213,#REF!,
"&gt;="&amp;'Faturado mensal'!T$2,#REF!,
"&lt;"&amp;EOMONTH('Faturado mensal'!T$2,0))</f>
        <v>0</v>
      </c>
      <c r="U213" s="9">
        <f>SUMIFS(#REF!,#REF!,
$A213,#REF!,
"&gt;="&amp;'Faturado mensal'!U$2,#REF!,
"&lt;"&amp;EOMONTH('Faturado mensal'!U$2,0))</f>
        <v>0</v>
      </c>
      <c r="V213" s="9">
        <f>SUMIFS(#REF!,#REF!,
$A213,#REF!,
"&gt;="&amp;'Faturado mensal'!V$2,#REF!,
"&lt;"&amp;EOMONTH('Faturado mensal'!V$2,0))</f>
        <v>0</v>
      </c>
      <c r="W213" s="9">
        <f>SUMIFS(#REF!,#REF!,
$A213,#REF!,
"&gt;="&amp;'Faturado mensal'!W$2,#REF!,
"&lt;"&amp;EOMONTH('Faturado mensal'!W$2,0))</f>
        <v>0</v>
      </c>
      <c r="X213" s="9">
        <f>SUMIFS(#REF!,#REF!,
$A213,#REF!,
"&gt;="&amp;'Faturado mensal'!X$2,#REF!,
"&lt;"&amp;EOMONTH('Faturado mensal'!X$2,0))</f>
        <v>0</v>
      </c>
      <c r="Y213" s="11">
        <f>SUMIFS(#REF!,#REF!,
$A213,#REF!,
"&gt;="&amp;'Faturado mensal'!M$2,#REF!,
"&lt;"&amp;EOMONTH('Faturado mensal'!M$2,12))</f>
        <v>0</v>
      </c>
      <c r="Z213" s="9">
        <f>SUMIFS(#REF!,#REF!,
$A213,#REF!,
"&gt;="&amp;'Faturado mensal'!Z$2,#REF!,
"&lt;"&amp;EOMONTH('Faturado mensal'!Z$2,0))</f>
        <v>0</v>
      </c>
      <c r="AA213" s="9">
        <f>SUMIFS(#REF!,#REF!,
$A213,#REF!,
"&gt;="&amp;'Faturado mensal'!AA$2,#REF!,
"&lt;"&amp;EOMONTH('Faturado mensal'!AA$2,0))</f>
        <v>0</v>
      </c>
      <c r="AB213" s="9">
        <f>SUMIFS(#REF!,#REF!,
$A213,#REF!,
"&gt;="&amp;'Faturado mensal'!AB$2,#REF!,
"&lt;"&amp;EOMONTH('Faturado mensal'!AB$2,0))</f>
        <v>0</v>
      </c>
      <c r="AC213" s="9">
        <f>SUMIFS(#REF!,#REF!,
$A213,#REF!,
"&gt;="&amp;'Faturado mensal'!AC$2,#REF!,
"&lt;"&amp;EOMONTH('Faturado mensal'!AC$2,0))</f>
        <v>0</v>
      </c>
      <c r="AD213" s="9">
        <f>SUMIFS(#REF!,#REF!,
$A213,#REF!,
"&gt;="&amp;'Faturado mensal'!AD$2,#REF!,
"&lt;"&amp;EOMONTH('Faturado mensal'!AD$2,0))</f>
        <v>0</v>
      </c>
      <c r="AE213" s="9">
        <f>SUMIFS(#REF!,#REF!,
$A213,#REF!,
"&gt;="&amp;'Faturado mensal'!AE$2,#REF!,
"&lt;"&amp;EOMONTH('Faturado mensal'!AE$2,0))</f>
        <v>0</v>
      </c>
      <c r="AF213" s="9">
        <f>SUMIFS(#REF!,#REF!,
$A213,#REF!,
"&gt;="&amp;'Faturado mensal'!AF$2,#REF!,
"&lt;"&amp;EOMONTH('Faturado mensal'!AF$2,0))</f>
        <v>0</v>
      </c>
      <c r="AG213" s="9">
        <f>SUMIFS(#REF!,#REF!,
$A213,#REF!,
"&gt;="&amp;'Faturado mensal'!AG$2,#REF!,
"&lt;"&amp;EOMONTH('Faturado mensal'!AG$2,0))</f>
        <v>0</v>
      </c>
      <c r="AH213" s="9">
        <f>SUMIFS(#REF!,#REF!,
$A213,#REF!,
"&gt;="&amp;'Faturado mensal'!AH$2,#REF!,
"&lt;"&amp;EOMONTH('Faturado mensal'!AH$2,0))</f>
        <v>0</v>
      </c>
      <c r="AI213" s="9">
        <f>SUMIFS(#REF!,#REF!,
$A213,#REF!,
"&gt;="&amp;'Faturado mensal'!AI$2,#REF!,
"&lt;"&amp;EOMONTH('Faturado mensal'!AI$2,0))</f>
        <v>0</v>
      </c>
      <c r="AJ213" s="9">
        <f>SUMIFS(#REF!,#REF!,
$A213,#REF!,
"&gt;="&amp;'Faturado mensal'!AJ$2,#REF!,
"&lt;"&amp;EOMONTH('Faturado mensal'!AJ$2,0))</f>
        <v>0</v>
      </c>
      <c r="AK213" s="9">
        <f>SUMIFS(#REF!,#REF!,
$A213,#REF!,
"&gt;="&amp;'Faturado mensal'!AK$2,#REF!,
"&lt;"&amp;EOMONTH('Faturado mensal'!AK$2,0))</f>
        <v>0</v>
      </c>
      <c r="AL213" s="9">
        <f>SUMIFS(#REF!,#REF!,
$A213,#REF!,
"&gt;="&amp;Z$2,#REF!,
"&lt;"&amp;EOMONTH(AK$2,0))</f>
        <v>0</v>
      </c>
    </row>
    <row r="214" spans="1:38" x14ac:dyDescent="0.3">
      <c r="A214" t="s">
        <v>504</v>
      </c>
      <c r="B214" t="s">
        <v>505</v>
      </c>
      <c r="C214" t="s">
        <v>95</v>
      </c>
      <c r="D214" t="s">
        <v>209</v>
      </c>
      <c r="G214" t="s">
        <v>807</v>
      </c>
      <c r="I214" t="s">
        <v>867</v>
      </c>
      <c r="J214" t="s">
        <v>719</v>
      </c>
      <c r="K214" t="s">
        <v>762</v>
      </c>
      <c r="L214" t="s">
        <v>763</v>
      </c>
      <c r="M214" s="9">
        <f>SUMIFS(#REF!,#REF!,
$A214,#REF!,
"&gt;="&amp;'Faturado mensal'!M$2,#REF!,
"&lt;"&amp;EOMONTH('Faturado mensal'!M$2,0))</f>
        <v>0</v>
      </c>
      <c r="N214" s="9">
        <f>SUMIFS(#REF!,#REF!,
$A214,#REF!,
"&gt;="&amp;'Faturado mensal'!N$2,#REF!,
"&lt;"&amp;EOMONTH('Faturado mensal'!N$2,0))</f>
        <v>0</v>
      </c>
      <c r="O214" s="9">
        <f>SUMIFS(#REF!,#REF!,
$A214,#REF!,
"&gt;="&amp;'Faturado mensal'!O$2,#REF!,
"&lt;"&amp;EOMONTH('Faturado mensal'!O$2,0))</f>
        <v>0</v>
      </c>
      <c r="P214" s="9">
        <f>SUMIFS(#REF!,#REF!,
$A214,#REF!,
"&gt;="&amp;'Faturado mensal'!P$2,#REF!,
"&lt;"&amp;EOMONTH('Faturado mensal'!P$2,0))</f>
        <v>0</v>
      </c>
      <c r="Q214" s="9">
        <f>SUMIFS(#REF!,#REF!,
$A214,#REF!,
"&gt;="&amp;'Faturado mensal'!Q$2,#REF!,
"&lt;"&amp;EOMONTH('Faturado mensal'!Q$2,0))</f>
        <v>0</v>
      </c>
      <c r="R214" s="9">
        <f>SUMIFS(#REF!,#REF!,
$A214,#REF!,
"&gt;="&amp;'Faturado mensal'!R$2,#REF!,
"&lt;"&amp;EOMONTH('Faturado mensal'!R$2,0))</f>
        <v>0</v>
      </c>
      <c r="S214" s="9">
        <f>SUMIFS(#REF!,#REF!,
$A214,#REF!,
"&gt;="&amp;'Faturado mensal'!S$2,#REF!,
"&lt;"&amp;EOMONTH('Faturado mensal'!S$2,0))</f>
        <v>0</v>
      </c>
      <c r="T214" s="9">
        <f>SUMIFS(#REF!,#REF!,
$A214,#REF!,
"&gt;="&amp;'Faturado mensal'!T$2,#REF!,
"&lt;"&amp;EOMONTH('Faturado mensal'!T$2,0))</f>
        <v>0</v>
      </c>
      <c r="U214" s="9">
        <f>SUMIFS(#REF!,#REF!,
$A214,#REF!,
"&gt;="&amp;'Faturado mensal'!U$2,#REF!,
"&lt;"&amp;EOMONTH('Faturado mensal'!U$2,0))</f>
        <v>0</v>
      </c>
      <c r="V214" s="9">
        <f>SUMIFS(#REF!,#REF!,
$A214,#REF!,
"&gt;="&amp;'Faturado mensal'!V$2,#REF!,
"&lt;"&amp;EOMONTH('Faturado mensal'!V$2,0))</f>
        <v>0</v>
      </c>
      <c r="W214" s="9">
        <f>SUMIFS(#REF!,#REF!,
$A214,#REF!,
"&gt;="&amp;'Faturado mensal'!W$2,#REF!,
"&lt;"&amp;EOMONTH('Faturado mensal'!W$2,0))</f>
        <v>0</v>
      </c>
      <c r="X214" s="9">
        <f>SUMIFS(#REF!,#REF!,
$A214,#REF!,
"&gt;="&amp;'Faturado mensal'!X$2,#REF!,
"&lt;"&amp;EOMONTH('Faturado mensal'!X$2,0))</f>
        <v>0</v>
      </c>
      <c r="Y214" s="11">
        <f>SUMIFS(#REF!,#REF!,
$A214,#REF!,
"&gt;="&amp;'Faturado mensal'!M$2,#REF!,
"&lt;"&amp;EOMONTH('Faturado mensal'!M$2,12))</f>
        <v>0</v>
      </c>
      <c r="Z214" s="9">
        <f>SUMIFS(#REF!,#REF!,
$A214,#REF!,
"&gt;="&amp;'Faturado mensal'!Z$2,#REF!,
"&lt;"&amp;EOMONTH('Faturado mensal'!Z$2,0))</f>
        <v>0</v>
      </c>
      <c r="AA214" s="9">
        <f>SUMIFS(#REF!,#REF!,
$A214,#REF!,
"&gt;="&amp;'Faturado mensal'!AA$2,#REF!,
"&lt;"&amp;EOMONTH('Faturado mensal'!AA$2,0))</f>
        <v>0</v>
      </c>
      <c r="AB214" s="9">
        <f>SUMIFS(#REF!,#REF!,
$A214,#REF!,
"&gt;="&amp;'Faturado mensal'!AB$2,#REF!,
"&lt;"&amp;EOMONTH('Faturado mensal'!AB$2,0))</f>
        <v>0</v>
      </c>
      <c r="AC214" s="9">
        <f>SUMIFS(#REF!,#REF!,
$A214,#REF!,
"&gt;="&amp;'Faturado mensal'!AC$2,#REF!,
"&lt;"&amp;EOMONTH('Faturado mensal'!AC$2,0))</f>
        <v>0</v>
      </c>
      <c r="AD214" s="9">
        <f>SUMIFS(#REF!,#REF!,
$A214,#REF!,
"&gt;="&amp;'Faturado mensal'!AD$2,#REF!,
"&lt;"&amp;EOMONTH('Faturado mensal'!AD$2,0))</f>
        <v>0</v>
      </c>
      <c r="AE214" s="9">
        <f>SUMIFS(#REF!,#REF!,
$A214,#REF!,
"&gt;="&amp;'Faturado mensal'!AE$2,#REF!,
"&lt;"&amp;EOMONTH('Faturado mensal'!AE$2,0))</f>
        <v>0</v>
      </c>
      <c r="AF214" s="9">
        <f>SUMIFS(#REF!,#REF!,
$A214,#REF!,
"&gt;="&amp;'Faturado mensal'!AF$2,#REF!,
"&lt;"&amp;EOMONTH('Faturado mensal'!AF$2,0))</f>
        <v>0</v>
      </c>
      <c r="AG214" s="9">
        <f>SUMIFS(#REF!,#REF!,
$A214,#REF!,
"&gt;="&amp;'Faturado mensal'!AG$2,#REF!,
"&lt;"&amp;EOMONTH('Faturado mensal'!AG$2,0))</f>
        <v>0</v>
      </c>
      <c r="AH214" s="9">
        <f>SUMIFS(#REF!,#REF!,
$A214,#REF!,
"&gt;="&amp;'Faturado mensal'!AH$2,#REF!,
"&lt;"&amp;EOMONTH('Faturado mensal'!AH$2,0))</f>
        <v>0</v>
      </c>
      <c r="AI214" s="9">
        <f>SUMIFS(#REF!,#REF!,
$A214,#REF!,
"&gt;="&amp;'Faturado mensal'!AI$2,#REF!,
"&lt;"&amp;EOMONTH('Faturado mensal'!AI$2,0))</f>
        <v>0</v>
      </c>
      <c r="AJ214" s="9">
        <f>SUMIFS(#REF!,#REF!,
$A214,#REF!,
"&gt;="&amp;'Faturado mensal'!AJ$2,#REF!,
"&lt;"&amp;EOMONTH('Faturado mensal'!AJ$2,0))</f>
        <v>0</v>
      </c>
      <c r="AK214" s="9">
        <f>SUMIFS(#REF!,#REF!,
$A214,#REF!,
"&gt;="&amp;'Faturado mensal'!AK$2,#REF!,
"&lt;"&amp;EOMONTH('Faturado mensal'!AK$2,0))</f>
        <v>0</v>
      </c>
      <c r="AL214" s="9">
        <f>SUMIFS(#REF!,#REF!,
$A214,#REF!,
"&gt;="&amp;Z$2,#REF!,
"&lt;"&amp;EOMONTH(AK$2,0))</f>
        <v>0</v>
      </c>
    </row>
    <row r="215" spans="1:38" x14ac:dyDescent="0.3">
      <c r="A215" t="s">
        <v>506</v>
      </c>
      <c r="B215" t="s">
        <v>507</v>
      </c>
      <c r="C215" t="s">
        <v>18</v>
      </c>
      <c r="D215" t="s">
        <v>204</v>
      </c>
      <c r="E215" t="s">
        <v>1036</v>
      </c>
      <c r="F215" t="s">
        <v>4777</v>
      </c>
      <c r="G215" t="s">
        <v>4853</v>
      </c>
      <c r="H215" t="s">
        <v>4773</v>
      </c>
      <c r="I215" t="s">
        <v>868</v>
      </c>
      <c r="J215" t="s">
        <v>710</v>
      </c>
      <c r="K215" t="s">
        <v>711</v>
      </c>
      <c r="L215" t="s">
        <v>712</v>
      </c>
      <c r="M215" s="9">
        <f>SUMIFS(#REF!,#REF!,
$A215,#REF!,
"&gt;="&amp;'Faturado mensal'!M$2,#REF!,
"&lt;"&amp;EOMONTH('Faturado mensal'!M$2,0))</f>
        <v>0</v>
      </c>
      <c r="N215" s="9">
        <f>SUMIFS(#REF!,#REF!,
$A215,#REF!,
"&gt;="&amp;'Faturado mensal'!N$2,#REF!,
"&lt;"&amp;EOMONTH('Faturado mensal'!N$2,0))</f>
        <v>23100</v>
      </c>
      <c r="O215" s="9">
        <f>SUMIFS(#REF!,#REF!,
$A215,#REF!,
"&gt;="&amp;'Faturado mensal'!O$2,#REF!,
"&lt;"&amp;EOMONTH('Faturado mensal'!O$2,0))</f>
        <v>14000</v>
      </c>
      <c r="P215" s="9">
        <f>SUMIFS(#REF!,#REF!,
$A215,#REF!,
"&gt;="&amp;'Faturado mensal'!P$2,#REF!,
"&lt;"&amp;EOMONTH('Faturado mensal'!P$2,0))</f>
        <v>16100</v>
      </c>
      <c r="Q215" s="9">
        <f>SUMIFS(#REF!,#REF!,
$A215,#REF!,
"&gt;="&amp;'Faturado mensal'!Q$2,#REF!,
"&lt;"&amp;EOMONTH('Faturado mensal'!Q$2,0))</f>
        <v>0</v>
      </c>
      <c r="R215" s="9">
        <f>SUMIFS(#REF!,#REF!,
$A215,#REF!,
"&gt;="&amp;'Faturado mensal'!R$2,#REF!,
"&lt;"&amp;EOMONTH('Faturado mensal'!R$2,0))</f>
        <v>57050</v>
      </c>
      <c r="S215" s="9">
        <f>SUMIFS(#REF!,#REF!,
$A215,#REF!,
"&gt;="&amp;'Faturado mensal'!S$2,#REF!,
"&lt;"&amp;EOMONTH('Faturado mensal'!S$2,0))</f>
        <v>7000</v>
      </c>
      <c r="T215" s="9">
        <f>SUMIFS(#REF!,#REF!,
$A215,#REF!,
"&gt;="&amp;'Faturado mensal'!T$2,#REF!,
"&lt;"&amp;EOMONTH('Faturado mensal'!T$2,0))</f>
        <v>0</v>
      </c>
      <c r="U215" s="9">
        <f>SUMIFS(#REF!,#REF!,
$A215,#REF!,
"&gt;="&amp;'Faturado mensal'!U$2,#REF!,
"&lt;"&amp;EOMONTH('Faturado mensal'!U$2,0))</f>
        <v>0</v>
      </c>
      <c r="V215" s="9">
        <f>SUMIFS(#REF!,#REF!,
$A215,#REF!,
"&gt;="&amp;'Faturado mensal'!V$2,#REF!,
"&lt;"&amp;EOMONTH('Faturado mensal'!V$2,0))</f>
        <v>15050</v>
      </c>
      <c r="W215" s="9">
        <f>SUMIFS(#REF!,#REF!,
$A215,#REF!,
"&gt;="&amp;'Faturado mensal'!W$2,#REF!,
"&lt;"&amp;EOMONTH('Faturado mensal'!W$2,0))</f>
        <v>0</v>
      </c>
      <c r="X215" s="9">
        <f>SUMIFS(#REF!,#REF!,
$A215,#REF!,
"&gt;="&amp;'Faturado mensal'!X$2,#REF!,
"&lt;"&amp;EOMONTH('Faturado mensal'!X$2,0))</f>
        <v>15400</v>
      </c>
      <c r="Y215" s="11">
        <f>SUMIFS(#REF!,#REF!,
$A215,#REF!,
"&gt;="&amp;'Faturado mensal'!M$2,#REF!,
"&lt;"&amp;EOMONTH('Faturado mensal'!M$2,12))</f>
        <v>154000</v>
      </c>
      <c r="Z215" s="9">
        <f>SUMIFS(#REF!,#REF!,
$A215,#REF!,
"&gt;="&amp;'Faturado mensal'!Z$2,#REF!,
"&lt;"&amp;EOMONTH('Faturado mensal'!Z$2,0))</f>
        <v>6300</v>
      </c>
      <c r="AA215" s="9">
        <f>SUMIFS(#REF!,#REF!,
$A215,#REF!,
"&gt;="&amp;'Faturado mensal'!AA$2,#REF!,
"&lt;"&amp;EOMONTH('Faturado mensal'!AA$2,0))</f>
        <v>14000</v>
      </c>
      <c r="AB215" s="9">
        <f>SUMIFS(#REF!,#REF!,
$A215,#REF!,
"&gt;="&amp;'Faturado mensal'!AB$2,#REF!,
"&lt;"&amp;EOMONTH('Faturado mensal'!AB$2,0))</f>
        <v>12600</v>
      </c>
      <c r="AC215" s="9">
        <f>SUMIFS(#REF!,#REF!,
$A215,#REF!,
"&gt;="&amp;'Faturado mensal'!AC$2,#REF!,
"&lt;"&amp;EOMONTH('Faturado mensal'!AC$2,0))</f>
        <v>0</v>
      </c>
      <c r="AD215" s="9">
        <f>SUMIFS(#REF!,#REF!,
$A215,#REF!,
"&gt;="&amp;'Faturado mensal'!AD$2,#REF!,
"&lt;"&amp;EOMONTH('Faturado mensal'!AD$2,0))</f>
        <v>7700</v>
      </c>
      <c r="AE215" s="9">
        <f>SUMIFS(#REF!,#REF!,
$A215,#REF!,
"&gt;="&amp;'Faturado mensal'!AE$2,#REF!,
"&lt;"&amp;EOMONTH('Faturado mensal'!AE$2,0))</f>
        <v>15050</v>
      </c>
      <c r="AF215" s="9">
        <f>SUMIFS(#REF!,#REF!,
$A215,#REF!,
"&gt;="&amp;'Faturado mensal'!AF$2,#REF!,
"&lt;"&amp;EOMONTH('Faturado mensal'!AF$2,0))</f>
        <v>0</v>
      </c>
      <c r="AG215" s="9">
        <f>SUMIFS(#REF!,#REF!,
$A215,#REF!,
"&gt;="&amp;'Faturado mensal'!AG$2,#REF!,
"&lt;"&amp;EOMONTH('Faturado mensal'!AG$2,0))</f>
        <v>0</v>
      </c>
      <c r="AH215" s="9">
        <f>SUMIFS(#REF!,#REF!,
$A215,#REF!,
"&gt;="&amp;'Faturado mensal'!AH$2,#REF!,
"&lt;"&amp;EOMONTH('Faturado mensal'!AH$2,0))</f>
        <v>0</v>
      </c>
      <c r="AI215" s="9">
        <f>SUMIFS(#REF!,#REF!,
$A215,#REF!,
"&gt;="&amp;'Faturado mensal'!AI$2,#REF!,
"&lt;"&amp;EOMONTH('Faturado mensal'!AI$2,0))</f>
        <v>0</v>
      </c>
      <c r="AJ215" s="9">
        <f>SUMIFS(#REF!,#REF!,
$A215,#REF!,
"&gt;="&amp;'Faturado mensal'!AJ$2,#REF!,
"&lt;"&amp;EOMONTH('Faturado mensal'!AJ$2,0))</f>
        <v>0</v>
      </c>
      <c r="AK215" s="9">
        <f>SUMIFS(#REF!,#REF!,
$A215,#REF!,
"&gt;="&amp;'Faturado mensal'!AK$2,#REF!,
"&lt;"&amp;EOMONTH('Faturado mensal'!AK$2,0))</f>
        <v>0</v>
      </c>
      <c r="AL215" s="9">
        <f>SUMIFS(#REF!,#REF!,
$A215,#REF!,
"&gt;="&amp;Z$2,#REF!,
"&lt;"&amp;EOMONTH(AK$2,0))</f>
        <v>55650</v>
      </c>
    </row>
    <row r="216" spans="1:38" x14ac:dyDescent="0.3">
      <c r="A216" t="s">
        <v>508</v>
      </c>
      <c r="B216" t="s">
        <v>509</v>
      </c>
      <c r="C216" t="s">
        <v>91</v>
      </c>
      <c r="D216" t="s">
        <v>209</v>
      </c>
      <c r="E216" t="s">
        <v>1040</v>
      </c>
      <c r="F216" t="s">
        <v>4778</v>
      </c>
      <c r="G216" t="s">
        <v>4856</v>
      </c>
      <c r="H216" t="s">
        <v>4771</v>
      </c>
      <c r="I216" t="s">
        <v>869</v>
      </c>
      <c r="J216" t="s">
        <v>710</v>
      </c>
      <c r="K216" t="s">
        <v>711</v>
      </c>
      <c r="L216" t="s">
        <v>712</v>
      </c>
      <c r="M216" s="9">
        <f>SUMIFS(#REF!,#REF!,
$A216,#REF!,
"&gt;="&amp;'Faturado mensal'!M$2,#REF!,
"&lt;"&amp;EOMONTH('Faturado mensal'!M$2,0))</f>
        <v>0</v>
      </c>
      <c r="N216" s="9">
        <f>SUMIFS(#REF!,#REF!,
$A216,#REF!,
"&gt;="&amp;'Faturado mensal'!N$2,#REF!,
"&lt;"&amp;EOMONTH('Faturado mensal'!N$2,0))</f>
        <v>0</v>
      </c>
      <c r="O216" s="9">
        <f>SUMIFS(#REF!,#REF!,
$A216,#REF!,
"&gt;="&amp;'Faturado mensal'!O$2,#REF!,
"&lt;"&amp;EOMONTH('Faturado mensal'!O$2,0))</f>
        <v>0</v>
      </c>
      <c r="P216" s="9">
        <f>SUMIFS(#REF!,#REF!,
$A216,#REF!,
"&gt;="&amp;'Faturado mensal'!P$2,#REF!,
"&lt;"&amp;EOMONTH('Faturado mensal'!P$2,0))</f>
        <v>0</v>
      </c>
      <c r="Q216" s="9">
        <f>SUMIFS(#REF!,#REF!,
$A216,#REF!,
"&gt;="&amp;'Faturado mensal'!Q$2,#REF!,
"&lt;"&amp;EOMONTH('Faturado mensal'!Q$2,0))</f>
        <v>0</v>
      </c>
      <c r="R216" s="9">
        <f>SUMIFS(#REF!,#REF!,
$A216,#REF!,
"&gt;="&amp;'Faturado mensal'!R$2,#REF!,
"&lt;"&amp;EOMONTH('Faturado mensal'!R$2,0))</f>
        <v>0</v>
      </c>
      <c r="S216" s="9">
        <f>SUMIFS(#REF!,#REF!,
$A216,#REF!,
"&gt;="&amp;'Faturado mensal'!S$2,#REF!,
"&lt;"&amp;EOMONTH('Faturado mensal'!S$2,0))</f>
        <v>0</v>
      </c>
      <c r="T216" s="9">
        <f>SUMIFS(#REF!,#REF!,
$A216,#REF!,
"&gt;="&amp;'Faturado mensal'!T$2,#REF!,
"&lt;"&amp;EOMONTH('Faturado mensal'!T$2,0))</f>
        <v>0</v>
      </c>
      <c r="U216" s="9">
        <f>SUMIFS(#REF!,#REF!,
$A216,#REF!,
"&gt;="&amp;'Faturado mensal'!U$2,#REF!,
"&lt;"&amp;EOMONTH('Faturado mensal'!U$2,0))</f>
        <v>0</v>
      </c>
      <c r="V216" s="9">
        <f>SUMIFS(#REF!,#REF!,
$A216,#REF!,
"&gt;="&amp;'Faturado mensal'!V$2,#REF!,
"&lt;"&amp;EOMONTH('Faturado mensal'!V$2,0))</f>
        <v>0</v>
      </c>
      <c r="W216" s="9">
        <f>SUMIFS(#REF!,#REF!,
$A216,#REF!,
"&gt;="&amp;'Faturado mensal'!W$2,#REF!,
"&lt;"&amp;EOMONTH('Faturado mensal'!W$2,0))</f>
        <v>0</v>
      </c>
      <c r="X216" s="9">
        <f>SUMIFS(#REF!,#REF!,
$A216,#REF!,
"&gt;="&amp;'Faturado mensal'!X$2,#REF!,
"&lt;"&amp;EOMONTH('Faturado mensal'!X$2,0))</f>
        <v>0</v>
      </c>
      <c r="Y216" s="11">
        <f>SUMIFS(#REF!,#REF!,
$A216,#REF!,
"&gt;="&amp;'Faturado mensal'!M$2,#REF!,
"&lt;"&amp;EOMONTH('Faturado mensal'!M$2,12))</f>
        <v>0</v>
      </c>
      <c r="Z216" s="9">
        <f>SUMIFS(#REF!,#REF!,
$A216,#REF!,
"&gt;="&amp;'Faturado mensal'!Z$2,#REF!,
"&lt;"&amp;EOMONTH('Faturado mensal'!Z$2,0))</f>
        <v>0</v>
      </c>
      <c r="AA216" s="9">
        <f>SUMIFS(#REF!,#REF!,
$A216,#REF!,
"&gt;="&amp;'Faturado mensal'!AA$2,#REF!,
"&lt;"&amp;EOMONTH('Faturado mensal'!AA$2,0))</f>
        <v>0</v>
      </c>
      <c r="AB216" s="9">
        <f>SUMIFS(#REF!,#REF!,
$A216,#REF!,
"&gt;="&amp;'Faturado mensal'!AB$2,#REF!,
"&lt;"&amp;EOMONTH('Faturado mensal'!AB$2,0))</f>
        <v>0</v>
      </c>
      <c r="AC216" s="9">
        <f>SUMIFS(#REF!,#REF!,
$A216,#REF!,
"&gt;="&amp;'Faturado mensal'!AC$2,#REF!,
"&lt;"&amp;EOMONTH('Faturado mensal'!AC$2,0))</f>
        <v>0</v>
      </c>
      <c r="AD216" s="9">
        <f>SUMIFS(#REF!,#REF!,
$A216,#REF!,
"&gt;="&amp;'Faturado mensal'!AD$2,#REF!,
"&lt;"&amp;EOMONTH('Faturado mensal'!AD$2,0))</f>
        <v>0</v>
      </c>
      <c r="AE216" s="9">
        <f>SUMIFS(#REF!,#REF!,
$A216,#REF!,
"&gt;="&amp;'Faturado mensal'!AE$2,#REF!,
"&lt;"&amp;EOMONTH('Faturado mensal'!AE$2,0))</f>
        <v>0</v>
      </c>
      <c r="AF216" s="9">
        <f>SUMIFS(#REF!,#REF!,
$A216,#REF!,
"&gt;="&amp;'Faturado mensal'!AF$2,#REF!,
"&lt;"&amp;EOMONTH('Faturado mensal'!AF$2,0))</f>
        <v>0</v>
      </c>
      <c r="AG216" s="9">
        <f>SUMIFS(#REF!,#REF!,
$A216,#REF!,
"&gt;="&amp;'Faturado mensal'!AG$2,#REF!,
"&lt;"&amp;EOMONTH('Faturado mensal'!AG$2,0))</f>
        <v>0</v>
      </c>
      <c r="AH216" s="9">
        <f>SUMIFS(#REF!,#REF!,
$A216,#REF!,
"&gt;="&amp;'Faturado mensal'!AH$2,#REF!,
"&lt;"&amp;EOMONTH('Faturado mensal'!AH$2,0))</f>
        <v>0</v>
      </c>
      <c r="AI216" s="9">
        <f>SUMIFS(#REF!,#REF!,
$A216,#REF!,
"&gt;="&amp;'Faturado mensal'!AI$2,#REF!,
"&lt;"&amp;EOMONTH('Faturado mensal'!AI$2,0))</f>
        <v>0</v>
      </c>
      <c r="AJ216" s="9">
        <f>SUMIFS(#REF!,#REF!,
$A216,#REF!,
"&gt;="&amp;'Faturado mensal'!AJ$2,#REF!,
"&lt;"&amp;EOMONTH('Faturado mensal'!AJ$2,0))</f>
        <v>0</v>
      </c>
      <c r="AK216" s="9">
        <f>SUMIFS(#REF!,#REF!,
$A216,#REF!,
"&gt;="&amp;'Faturado mensal'!AK$2,#REF!,
"&lt;"&amp;EOMONTH('Faturado mensal'!AK$2,0))</f>
        <v>0</v>
      </c>
      <c r="AL216" s="9">
        <f>SUMIFS(#REF!,#REF!,
$A216,#REF!,
"&gt;="&amp;Z$2,#REF!,
"&lt;"&amp;EOMONTH(AK$2,0))</f>
        <v>0</v>
      </c>
    </row>
    <row r="217" spans="1:38" x14ac:dyDescent="0.3">
      <c r="A217" t="s">
        <v>510</v>
      </c>
      <c r="B217" t="s">
        <v>278</v>
      </c>
      <c r="C217" t="s">
        <v>17</v>
      </c>
      <c r="D217" t="s">
        <v>204</v>
      </c>
      <c r="E217" t="s">
        <v>1036</v>
      </c>
      <c r="F217" t="s">
        <v>4776</v>
      </c>
      <c r="G217" t="s">
        <v>4853</v>
      </c>
      <c r="H217" t="s">
        <v>4771</v>
      </c>
      <c r="I217" t="s">
        <v>4457</v>
      </c>
      <c r="J217" t="s">
        <v>710</v>
      </c>
      <c r="K217" t="s">
        <v>711</v>
      </c>
      <c r="L217" t="s">
        <v>712</v>
      </c>
      <c r="M217" s="9">
        <f>SUMIFS(#REF!,#REF!,
$A217,#REF!,
"&gt;="&amp;'Faturado mensal'!M$2,#REF!,
"&lt;"&amp;EOMONTH('Faturado mensal'!M$2,0))</f>
        <v>0</v>
      </c>
      <c r="N217" s="9">
        <f>SUMIFS(#REF!,#REF!,
$A217,#REF!,
"&gt;="&amp;'Faturado mensal'!N$2,#REF!,
"&lt;"&amp;EOMONTH('Faturado mensal'!N$2,0))</f>
        <v>600</v>
      </c>
      <c r="O217" s="9">
        <f>SUMIFS(#REF!,#REF!,
$A217,#REF!,
"&gt;="&amp;'Faturado mensal'!O$2,#REF!,
"&lt;"&amp;EOMONTH('Faturado mensal'!O$2,0))</f>
        <v>0</v>
      </c>
      <c r="P217" s="9">
        <f>SUMIFS(#REF!,#REF!,
$A217,#REF!,
"&gt;="&amp;'Faturado mensal'!P$2,#REF!,
"&lt;"&amp;EOMONTH('Faturado mensal'!P$2,0))</f>
        <v>0</v>
      </c>
      <c r="Q217" s="9">
        <f>SUMIFS(#REF!,#REF!,
$A217,#REF!,
"&gt;="&amp;'Faturado mensal'!Q$2,#REF!,
"&lt;"&amp;EOMONTH('Faturado mensal'!Q$2,0))</f>
        <v>0</v>
      </c>
      <c r="R217" s="9">
        <f>SUMIFS(#REF!,#REF!,
$A217,#REF!,
"&gt;="&amp;'Faturado mensal'!R$2,#REF!,
"&lt;"&amp;EOMONTH('Faturado mensal'!R$2,0))</f>
        <v>0</v>
      </c>
      <c r="S217" s="9">
        <f>SUMIFS(#REF!,#REF!,
$A217,#REF!,
"&gt;="&amp;'Faturado mensal'!S$2,#REF!,
"&lt;"&amp;EOMONTH('Faturado mensal'!S$2,0))</f>
        <v>0</v>
      </c>
      <c r="T217" s="9">
        <f>SUMIFS(#REF!,#REF!,
$A217,#REF!,
"&gt;="&amp;'Faturado mensal'!T$2,#REF!,
"&lt;"&amp;EOMONTH('Faturado mensal'!T$2,0))</f>
        <v>0</v>
      </c>
      <c r="U217" s="9">
        <f>SUMIFS(#REF!,#REF!,
$A217,#REF!,
"&gt;="&amp;'Faturado mensal'!U$2,#REF!,
"&lt;"&amp;EOMONTH('Faturado mensal'!U$2,0))</f>
        <v>1500</v>
      </c>
      <c r="V217" s="9">
        <f>SUMIFS(#REF!,#REF!,
$A217,#REF!,
"&gt;="&amp;'Faturado mensal'!V$2,#REF!,
"&lt;"&amp;EOMONTH('Faturado mensal'!V$2,0))</f>
        <v>0</v>
      </c>
      <c r="W217" s="9">
        <f>SUMIFS(#REF!,#REF!,
$A217,#REF!,
"&gt;="&amp;'Faturado mensal'!W$2,#REF!,
"&lt;"&amp;EOMONTH('Faturado mensal'!W$2,0))</f>
        <v>0</v>
      </c>
      <c r="X217" s="9">
        <f>SUMIFS(#REF!,#REF!,
$A217,#REF!,
"&gt;="&amp;'Faturado mensal'!X$2,#REF!,
"&lt;"&amp;EOMONTH('Faturado mensal'!X$2,0))</f>
        <v>0</v>
      </c>
      <c r="Y217" s="11">
        <f>SUMIFS(#REF!,#REF!,
$A217,#REF!,
"&gt;="&amp;'Faturado mensal'!M$2,#REF!,
"&lt;"&amp;EOMONTH('Faturado mensal'!M$2,12))</f>
        <v>2700</v>
      </c>
      <c r="Z217" s="9">
        <f>SUMIFS(#REF!,#REF!,
$A217,#REF!,
"&gt;="&amp;'Faturado mensal'!Z$2,#REF!,
"&lt;"&amp;EOMONTH('Faturado mensal'!Z$2,0))</f>
        <v>600</v>
      </c>
      <c r="AA217" s="9">
        <f>SUMIFS(#REF!,#REF!,
$A217,#REF!,
"&gt;="&amp;'Faturado mensal'!AA$2,#REF!,
"&lt;"&amp;EOMONTH('Faturado mensal'!AA$2,0))</f>
        <v>0</v>
      </c>
      <c r="AB217" s="9">
        <f>SUMIFS(#REF!,#REF!,
$A217,#REF!,
"&gt;="&amp;'Faturado mensal'!AB$2,#REF!,
"&lt;"&amp;EOMONTH('Faturado mensal'!AB$2,0))</f>
        <v>0</v>
      </c>
      <c r="AC217" s="9">
        <f>SUMIFS(#REF!,#REF!,
$A217,#REF!,
"&gt;="&amp;'Faturado mensal'!AC$2,#REF!,
"&lt;"&amp;EOMONTH('Faturado mensal'!AC$2,0))</f>
        <v>0</v>
      </c>
      <c r="AD217" s="9">
        <f>SUMIFS(#REF!,#REF!,
$A217,#REF!,
"&gt;="&amp;'Faturado mensal'!AD$2,#REF!,
"&lt;"&amp;EOMONTH('Faturado mensal'!AD$2,0))</f>
        <v>0</v>
      </c>
      <c r="AE217" s="9">
        <f>SUMIFS(#REF!,#REF!,
$A217,#REF!,
"&gt;="&amp;'Faturado mensal'!AE$2,#REF!,
"&lt;"&amp;EOMONTH('Faturado mensal'!AE$2,0))</f>
        <v>0</v>
      </c>
      <c r="AF217" s="9">
        <f>SUMIFS(#REF!,#REF!,
$A217,#REF!,
"&gt;="&amp;'Faturado mensal'!AF$2,#REF!,
"&lt;"&amp;EOMONTH('Faturado mensal'!AF$2,0))</f>
        <v>0</v>
      </c>
      <c r="AG217" s="9">
        <f>SUMIFS(#REF!,#REF!,
$A217,#REF!,
"&gt;="&amp;'Faturado mensal'!AG$2,#REF!,
"&lt;"&amp;EOMONTH('Faturado mensal'!AG$2,0))</f>
        <v>0</v>
      </c>
      <c r="AH217" s="9">
        <f>SUMIFS(#REF!,#REF!,
$A217,#REF!,
"&gt;="&amp;'Faturado mensal'!AH$2,#REF!,
"&lt;"&amp;EOMONTH('Faturado mensal'!AH$2,0))</f>
        <v>0</v>
      </c>
      <c r="AI217" s="9">
        <f>SUMIFS(#REF!,#REF!,
$A217,#REF!,
"&gt;="&amp;'Faturado mensal'!AI$2,#REF!,
"&lt;"&amp;EOMONTH('Faturado mensal'!AI$2,0))</f>
        <v>0</v>
      </c>
      <c r="AJ217" s="9">
        <f>SUMIFS(#REF!,#REF!,
$A217,#REF!,
"&gt;="&amp;'Faturado mensal'!AJ$2,#REF!,
"&lt;"&amp;EOMONTH('Faturado mensal'!AJ$2,0))</f>
        <v>0</v>
      </c>
      <c r="AK217" s="9">
        <f>SUMIFS(#REF!,#REF!,
$A217,#REF!,
"&gt;="&amp;'Faturado mensal'!AK$2,#REF!,
"&lt;"&amp;EOMONTH('Faturado mensal'!AK$2,0))</f>
        <v>0</v>
      </c>
      <c r="AL217" s="9">
        <f>SUMIFS(#REF!,#REF!,
$A217,#REF!,
"&gt;="&amp;Z$2,#REF!,
"&lt;"&amp;EOMONTH(AK$2,0))</f>
        <v>600</v>
      </c>
    </row>
    <row r="218" spans="1:38" x14ac:dyDescent="0.3">
      <c r="A218" t="s">
        <v>870</v>
      </c>
      <c r="B218" t="s">
        <v>872</v>
      </c>
      <c r="C218" t="s">
        <v>873</v>
      </c>
      <c r="D218" t="s">
        <v>204</v>
      </c>
      <c r="E218" t="s">
        <v>1037</v>
      </c>
      <c r="F218" t="s">
        <v>871</v>
      </c>
      <c r="G218" t="s">
        <v>4853</v>
      </c>
      <c r="H218" t="s">
        <v>4772</v>
      </c>
      <c r="I218" t="s">
        <v>807</v>
      </c>
      <c r="J218" t="s">
        <v>710</v>
      </c>
      <c r="K218" t="s">
        <v>711</v>
      </c>
      <c r="L218" t="s">
        <v>712</v>
      </c>
      <c r="M218" s="9">
        <f>SUMIFS(#REF!,#REF!,
$A218,#REF!,
"&gt;="&amp;'Faturado mensal'!M$2,#REF!,
"&lt;"&amp;EOMONTH('Faturado mensal'!M$2,0))</f>
        <v>0</v>
      </c>
      <c r="N218" s="9">
        <f>SUMIFS(#REF!,#REF!,
$A218,#REF!,
"&gt;="&amp;'Faturado mensal'!N$2,#REF!,
"&lt;"&amp;EOMONTH('Faturado mensal'!N$2,0))</f>
        <v>0</v>
      </c>
      <c r="O218" s="9">
        <f>SUMIFS(#REF!,#REF!,
$A218,#REF!,
"&gt;="&amp;'Faturado mensal'!O$2,#REF!,
"&lt;"&amp;EOMONTH('Faturado mensal'!O$2,0))</f>
        <v>0</v>
      </c>
      <c r="P218" s="9">
        <f>SUMIFS(#REF!,#REF!,
$A218,#REF!,
"&gt;="&amp;'Faturado mensal'!P$2,#REF!,
"&lt;"&amp;EOMONTH('Faturado mensal'!P$2,0))</f>
        <v>0</v>
      </c>
      <c r="Q218" s="9">
        <f>SUMIFS(#REF!,#REF!,
$A218,#REF!,
"&gt;="&amp;'Faturado mensal'!Q$2,#REF!,
"&lt;"&amp;EOMONTH('Faturado mensal'!Q$2,0))</f>
        <v>0</v>
      </c>
      <c r="R218" s="9">
        <f>SUMIFS(#REF!,#REF!,
$A218,#REF!,
"&gt;="&amp;'Faturado mensal'!R$2,#REF!,
"&lt;"&amp;EOMONTH('Faturado mensal'!R$2,0))</f>
        <v>0</v>
      </c>
      <c r="S218" s="9">
        <f>SUMIFS(#REF!,#REF!,
$A218,#REF!,
"&gt;="&amp;'Faturado mensal'!S$2,#REF!,
"&lt;"&amp;EOMONTH('Faturado mensal'!S$2,0))</f>
        <v>0</v>
      </c>
      <c r="T218" s="9">
        <f>SUMIFS(#REF!,#REF!,
$A218,#REF!,
"&gt;="&amp;'Faturado mensal'!T$2,#REF!,
"&lt;"&amp;EOMONTH('Faturado mensal'!T$2,0))</f>
        <v>0</v>
      </c>
      <c r="U218" s="9">
        <f>SUMIFS(#REF!,#REF!,
$A218,#REF!,
"&gt;="&amp;'Faturado mensal'!U$2,#REF!,
"&lt;"&amp;EOMONTH('Faturado mensal'!U$2,0))</f>
        <v>0</v>
      </c>
      <c r="V218" s="9">
        <f>SUMIFS(#REF!,#REF!,
$A218,#REF!,
"&gt;="&amp;'Faturado mensal'!V$2,#REF!,
"&lt;"&amp;EOMONTH('Faturado mensal'!V$2,0))</f>
        <v>0</v>
      </c>
      <c r="W218" s="9">
        <f>SUMIFS(#REF!,#REF!,
$A218,#REF!,
"&gt;="&amp;'Faturado mensal'!W$2,#REF!,
"&lt;"&amp;EOMONTH('Faturado mensal'!W$2,0))</f>
        <v>0</v>
      </c>
      <c r="X218" s="9">
        <f>SUMIFS(#REF!,#REF!,
$A218,#REF!,
"&gt;="&amp;'Faturado mensal'!X$2,#REF!,
"&lt;"&amp;EOMONTH('Faturado mensal'!X$2,0))</f>
        <v>0</v>
      </c>
      <c r="Y218" s="11">
        <f>SUMIFS(#REF!,#REF!,
$A218,#REF!,
"&gt;="&amp;'Faturado mensal'!M$2,#REF!,
"&lt;"&amp;EOMONTH('Faturado mensal'!M$2,12))</f>
        <v>0</v>
      </c>
      <c r="Z218" s="9">
        <f>SUMIFS(#REF!,#REF!,
$A218,#REF!,
"&gt;="&amp;'Faturado mensal'!Z$2,#REF!,
"&lt;"&amp;EOMONTH('Faturado mensal'!Z$2,0))</f>
        <v>0</v>
      </c>
      <c r="AA218" s="9">
        <f>SUMIFS(#REF!,#REF!,
$A218,#REF!,
"&gt;="&amp;'Faturado mensal'!AA$2,#REF!,
"&lt;"&amp;EOMONTH('Faturado mensal'!AA$2,0))</f>
        <v>0</v>
      </c>
      <c r="AB218" s="9">
        <f>SUMIFS(#REF!,#REF!,
$A218,#REF!,
"&gt;="&amp;'Faturado mensal'!AB$2,#REF!,
"&lt;"&amp;EOMONTH('Faturado mensal'!AB$2,0))</f>
        <v>0</v>
      </c>
      <c r="AC218" s="9">
        <f>SUMIFS(#REF!,#REF!,
$A218,#REF!,
"&gt;="&amp;'Faturado mensal'!AC$2,#REF!,
"&lt;"&amp;EOMONTH('Faturado mensal'!AC$2,0))</f>
        <v>0</v>
      </c>
      <c r="AD218" s="9">
        <f>SUMIFS(#REF!,#REF!,
$A218,#REF!,
"&gt;="&amp;'Faturado mensal'!AD$2,#REF!,
"&lt;"&amp;EOMONTH('Faturado mensal'!AD$2,0))</f>
        <v>0</v>
      </c>
      <c r="AE218" s="9">
        <f>SUMIFS(#REF!,#REF!,
$A218,#REF!,
"&gt;="&amp;'Faturado mensal'!AE$2,#REF!,
"&lt;"&amp;EOMONTH('Faturado mensal'!AE$2,0))</f>
        <v>0</v>
      </c>
      <c r="AF218" s="9">
        <f>SUMIFS(#REF!,#REF!,
$A218,#REF!,
"&gt;="&amp;'Faturado mensal'!AF$2,#REF!,
"&lt;"&amp;EOMONTH('Faturado mensal'!AF$2,0))</f>
        <v>0</v>
      </c>
      <c r="AG218" s="9">
        <f>SUMIFS(#REF!,#REF!,
$A218,#REF!,
"&gt;="&amp;'Faturado mensal'!AG$2,#REF!,
"&lt;"&amp;EOMONTH('Faturado mensal'!AG$2,0))</f>
        <v>0</v>
      </c>
      <c r="AH218" s="9">
        <f>SUMIFS(#REF!,#REF!,
$A218,#REF!,
"&gt;="&amp;'Faturado mensal'!AH$2,#REF!,
"&lt;"&amp;EOMONTH('Faturado mensal'!AH$2,0))</f>
        <v>0</v>
      </c>
      <c r="AI218" s="9">
        <f>SUMIFS(#REF!,#REF!,
$A218,#REF!,
"&gt;="&amp;'Faturado mensal'!AI$2,#REF!,
"&lt;"&amp;EOMONTH('Faturado mensal'!AI$2,0))</f>
        <v>0</v>
      </c>
      <c r="AJ218" s="9">
        <f>SUMIFS(#REF!,#REF!,
$A218,#REF!,
"&gt;="&amp;'Faturado mensal'!AJ$2,#REF!,
"&lt;"&amp;EOMONTH('Faturado mensal'!AJ$2,0))</f>
        <v>0</v>
      </c>
      <c r="AK218" s="9">
        <f>SUMIFS(#REF!,#REF!,
$A218,#REF!,
"&gt;="&amp;'Faturado mensal'!AK$2,#REF!,
"&lt;"&amp;EOMONTH('Faturado mensal'!AK$2,0))</f>
        <v>0</v>
      </c>
      <c r="AL218" s="9">
        <f>SUMIFS(#REF!,#REF!,
$A218,#REF!,
"&gt;="&amp;Z$2,#REF!,
"&lt;"&amp;EOMONTH(AK$2,0))</f>
        <v>0</v>
      </c>
    </row>
    <row r="219" spans="1:38" x14ac:dyDescent="0.3">
      <c r="A219" t="s">
        <v>874</v>
      </c>
      <c r="B219" t="s">
        <v>733</v>
      </c>
      <c r="C219" t="s">
        <v>734</v>
      </c>
      <c r="D219" t="s">
        <v>209</v>
      </c>
      <c r="G219" t="s">
        <v>4853</v>
      </c>
      <c r="H219" t="s">
        <v>4773</v>
      </c>
      <c r="I219" t="s">
        <v>807</v>
      </c>
      <c r="J219" t="s">
        <v>710</v>
      </c>
      <c r="K219" t="s">
        <v>762</v>
      </c>
      <c r="L219" t="s">
        <v>763</v>
      </c>
      <c r="M219" s="9">
        <f>SUMIFS(#REF!,#REF!,
$A219,#REF!,
"&gt;="&amp;'Faturado mensal'!M$2,#REF!,
"&lt;"&amp;EOMONTH('Faturado mensal'!M$2,0))</f>
        <v>0</v>
      </c>
      <c r="N219" s="9">
        <f>SUMIFS(#REF!,#REF!,
$A219,#REF!,
"&gt;="&amp;'Faturado mensal'!N$2,#REF!,
"&lt;"&amp;EOMONTH('Faturado mensal'!N$2,0))</f>
        <v>0</v>
      </c>
      <c r="O219" s="9">
        <f>SUMIFS(#REF!,#REF!,
$A219,#REF!,
"&gt;="&amp;'Faturado mensal'!O$2,#REF!,
"&lt;"&amp;EOMONTH('Faturado mensal'!O$2,0))</f>
        <v>0</v>
      </c>
      <c r="P219" s="9">
        <f>SUMIFS(#REF!,#REF!,
$A219,#REF!,
"&gt;="&amp;'Faturado mensal'!P$2,#REF!,
"&lt;"&amp;EOMONTH('Faturado mensal'!P$2,0))</f>
        <v>0</v>
      </c>
      <c r="Q219" s="9">
        <f>SUMIFS(#REF!,#REF!,
$A219,#REF!,
"&gt;="&amp;'Faturado mensal'!Q$2,#REF!,
"&lt;"&amp;EOMONTH('Faturado mensal'!Q$2,0))</f>
        <v>0</v>
      </c>
      <c r="R219" s="9">
        <f>SUMIFS(#REF!,#REF!,
$A219,#REF!,
"&gt;="&amp;'Faturado mensal'!R$2,#REF!,
"&lt;"&amp;EOMONTH('Faturado mensal'!R$2,0))</f>
        <v>0</v>
      </c>
      <c r="S219" s="9">
        <f>SUMIFS(#REF!,#REF!,
$A219,#REF!,
"&gt;="&amp;'Faturado mensal'!S$2,#REF!,
"&lt;"&amp;EOMONTH('Faturado mensal'!S$2,0))</f>
        <v>0</v>
      </c>
      <c r="T219" s="9">
        <f>SUMIFS(#REF!,#REF!,
$A219,#REF!,
"&gt;="&amp;'Faturado mensal'!T$2,#REF!,
"&lt;"&amp;EOMONTH('Faturado mensal'!T$2,0))</f>
        <v>0</v>
      </c>
      <c r="U219" s="9">
        <f>SUMIFS(#REF!,#REF!,
$A219,#REF!,
"&gt;="&amp;'Faturado mensal'!U$2,#REF!,
"&lt;"&amp;EOMONTH('Faturado mensal'!U$2,0))</f>
        <v>0</v>
      </c>
      <c r="V219" s="9">
        <f>SUMIFS(#REF!,#REF!,
$A219,#REF!,
"&gt;="&amp;'Faturado mensal'!V$2,#REF!,
"&lt;"&amp;EOMONTH('Faturado mensal'!V$2,0))</f>
        <v>0</v>
      </c>
      <c r="W219" s="9">
        <f>SUMIFS(#REF!,#REF!,
$A219,#REF!,
"&gt;="&amp;'Faturado mensal'!W$2,#REF!,
"&lt;"&amp;EOMONTH('Faturado mensal'!W$2,0))</f>
        <v>0</v>
      </c>
      <c r="X219" s="9">
        <f>SUMIFS(#REF!,#REF!,
$A219,#REF!,
"&gt;="&amp;'Faturado mensal'!X$2,#REF!,
"&lt;"&amp;EOMONTH('Faturado mensal'!X$2,0))</f>
        <v>0</v>
      </c>
      <c r="Y219" s="11">
        <f>SUMIFS(#REF!,#REF!,
$A219,#REF!,
"&gt;="&amp;'Faturado mensal'!M$2,#REF!,
"&lt;"&amp;EOMONTH('Faturado mensal'!M$2,12))</f>
        <v>0</v>
      </c>
      <c r="Z219" s="9">
        <f>SUMIFS(#REF!,#REF!,
$A219,#REF!,
"&gt;="&amp;'Faturado mensal'!Z$2,#REF!,
"&lt;"&amp;EOMONTH('Faturado mensal'!Z$2,0))</f>
        <v>0</v>
      </c>
      <c r="AA219" s="9">
        <f>SUMIFS(#REF!,#REF!,
$A219,#REF!,
"&gt;="&amp;'Faturado mensal'!AA$2,#REF!,
"&lt;"&amp;EOMONTH('Faturado mensal'!AA$2,0))</f>
        <v>0</v>
      </c>
      <c r="AB219" s="9">
        <f>SUMIFS(#REF!,#REF!,
$A219,#REF!,
"&gt;="&amp;'Faturado mensal'!AB$2,#REF!,
"&lt;"&amp;EOMONTH('Faturado mensal'!AB$2,0))</f>
        <v>0</v>
      </c>
      <c r="AC219" s="9">
        <f>SUMIFS(#REF!,#REF!,
$A219,#REF!,
"&gt;="&amp;'Faturado mensal'!AC$2,#REF!,
"&lt;"&amp;EOMONTH('Faturado mensal'!AC$2,0))</f>
        <v>0</v>
      </c>
      <c r="AD219" s="9">
        <f>SUMIFS(#REF!,#REF!,
$A219,#REF!,
"&gt;="&amp;'Faturado mensal'!AD$2,#REF!,
"&lt;"&amp;EOMONTH('Faturado mensal'!AD$2,0))</f>
        <v>0</v>
      </c>
      <c r="AE219" s="9">
        <f>SUMIFS(#REF!,#REF!,
$A219,#REF!,
"&gt;="&amp;'Faturado mensal'!AE$2,#REF!,
"&lt;"&amp;EOMONTH('Faturado mensal'!AE$2,0))</f>
        <v>0</v>
      </c>
      <c r="AF219" s="9">
        <f>SUMIFS(#REF!,#REF!,
$A219,#REF!,
"&gt;="&amp;'Faturado mensal'!AF$2,#REF!,
"&lt;"&amp;EOMONTH('Faturado mensal'!AF$2,0))</f>
        <v>0</v>
      </c>
      <c r="AG219" s="9">
        <f>SUMIFS(#REF!,#REF!,
$A219,#REF!,
"&gt;="&amp;'Faturado mensal'!AG$2,#REF!,
"&lt;"&amp;EOMONTH('Faturado mensal'!AG$2,0))</f>
        <v>0</v>
      </c>
      <c r="AH219" s="9">
        <f>SUMIFS(#REF!,#REF!,
$A219,#REF!,
"&gt;="&amp;'Faturado mensal'!AH$2,#REF!,
"&lt;"&amp;EOMONTH('Faturado mensal'!AH$2,0))</f>
        <v>0</v>
      </c>
      <c r="AI219" s="9">
        <f>SUMIFS(#REF!,#REF!,
$A219,#REF!,
"&gt;="&amp;'Faturado mensal'!AI$2,#REF!,
"&lt;"&amp;EOMONTH('Faturado mensal'!AI$2,0))</f>
        <v>0</v>
      </c>
      <c r="AJ219" s="9">
        <f>SUMIFS(#REF!,#REF!,
$A219,#REF!,
"&gt;="&amp;'Faturado mensal'!AJ$2,#REF!,
"&lt;"&amp;EOMONTH('Faturado mensal'!AJ$2,0))</f>
        <v>0</v>
      </c>
      <c r="AK219" s="9">
        <f>SUMIFS(#REF!,#REF!,
$A219,#REF!,
"&gt;="&amp;'Faturado mensal'!AK$2,#REF!,
"&lt;"&amp;EOMONTH('Faturado mensal'!AK$2,0))</f>
        <v>0</v>
      </c>
      <c r="AL219" s="9">
        <f>SUMIFS(#REF!,#REF!,
$A219,#REF!,
"&gt;="&amp;Z$2,#REF!,
"&lt;"&amp;EOMONTH(AK$2,0))</f>
        <v>0</v>
      </c>
    </row>
    <row r="220" spans="1:38" x14ac:dyDescent="0.3">
      <c r="A220" t="s">
        <v>511</v>
      </c>
      <c r="B220" t="s">
        <v>465</v>
      </c>
      <c r="C220" t="s">
        <v>172</v>
      </c>
      <c r="D220" t="s">
        <v>209</v>
      </c>
      <c r="I220" t="s">
        <v>747</v>
      </c>
      <c r="J220" t="s">
        <v>710</v>
      </c>
      <c r="K220" t="s">
        <v>711</v>
      </c>
      <c r="L220" t="s">
        <v>712</v>
      </c>
      <c r="M220" s="9">
        <f>SUMIFS(#REF!,#REF!,
$A220,#REF!,
"&gt;="&amp;'Faturado mensal'!M$2,#REF!,
"&lt;"&amp;EOMONTH('Faturado mensal'!M$2,0))</f>
        <v>0</v>
      </c>
      <c r="N220" s="9">
        <f>SUMIFS(#REF!,#REF!,
$A220,#REF!,
"&gt;="&amp;'Faturado mensal'!N$2,#REF!,
"&lt;"&amp;EOMONTH('Faturado mensal'!N$2,0))</f>
        <v>0</v>
      </c>
      <c r="O220" s="9">
        <f>SUMIFS(#REF!,#REF!,
$A220,#REF!,
"&gt;="&amp;'Faturado mensal'!O$2,#REF!,
"&lt;"&amp;EOMONTH('Faturado mensal'!O$2,0))</f>
        <v>0</v>
      </c>
      <c r="P220" s="9">
        <f>SUMIFS(#REF!,#REF!,
$A220,#REF!,
"&gt;="&amp;'Faturado mensal'!P$2,#REF!,
"&lt;"&amp;EOMONTH('Faturado mensal'!P$2,0))</f>
        <v>0</v>
      </c>
      <c r="Q220" s="9">
        <f>SUMIFS(#REF!,#REF!,
$A220,#REF!,
"&gt;="&amp;'Faturado mensal'!Q$2,#REF!,
"&lt;"&amp;EOMONTH('Faturado mensal'!Q$2,0))</f>
        <v>0</v>
      </c>
      <c r="R220" s="9">
        <f>SUMIFS(#REF!,#REF!,
$A220,#REF!,
"&gt;="&amp;'Faturado mensal'!R$2,#REF!,
"&lt;"&amp;EOMONTH('Faturado mensal'!R$2,0))</f>
        <v>0</v>
      </c>
      <c r="S220" s="9">
        <f>SUMIFS(#REF!,#REF!,
$A220,#REF!,
"&gt;="&amp;'Faturado mensal'!S$2,#REF!,
"&lt;"&amp;EOMONTH('Faturado mensal'!S$2,0))</f>
        <v>0</v>
      </c>
      <c r="T220" s="9">
        <f>SUMIFS(#REF!,#REF!,
$A220,#REF!,
"&gt;="&amp;'Faturado mensal'!T$2,#REF!,
"&lt;"&amp;EOMONTH('Faturado mensal'!T$2,0))</f>
        <v>0</v>
      </c>
      <c r="U220" s="9">
        <f>SUMIFS(#REF!,#REF!,
$A220,#REF!,
"&gt;="&amp;'Faturado mensal'!U$2,#REF!,
"&lt;"&amp;EOMONTH('Faturado mensal'!U$2,0))</f>
        <v>0</v>
      </c>
      <c r="V220" s="9">
        <f>SUMIFS(#REF!,#REF!,
$A220,#REF!,
"&gt;="&amp;'Faturado mensal'!V$2,#REF!,
"&lt;"&amp;EOMONTH('Faturado mensal'!V$2,0))</f>
        <v>0</v>
      </c>
      <c r="W220" s="9">
        <f>SUMIFS(#REF!,#REF!,
$A220,#REF!,
"&gt;="&amp;'Faturado mensal'!W$2,#REF!,
"&lt;"&amp;EOMONTH('Faturado mensal'!W$2,0))</f>
        <v>0</v>
      </c>
      <c r="X220" s="9">
        <f>SUMIFS(#REF!,#REF!,
$A220,#REF!,
"&gt;="&amp;'Faturado mensal'!X$2,#REF!,
"&lt;"&amp;EOMONTH('Faturado mensal'!X$2,0))</f>
        <v>0</v>
      </c>
      <c r="Y220" s="11">
        <f>SUMIFS(#REF!,#REF!,
$A220,#REF!,
"&gt;="&amp;'Faturado mensal'!M$2,#REF!,
"&lt;"&amp;EOMONTH('Faturado mensal'!M$2,12))</f>
        <v>0</v>
      </c>
      <c r="Z220" s="9">
        <f>SUMIFS(#REF!,#REF!,
$A220,#REF!,
"&gt;="&amp;'Faturado mensal'!Z$2,#REF!,
"&lt;"&amp;EOMONTH('Faturado mensal'!Z$2,0))</f>
        <v>0</v>
      </c>
      <c r="AA220" s="9">
        <f>SUMIFS(#REF!,#REF!,
$A220,#REF!,
"&gt;="&amp;'Faturado mensal'!AA$2,#REF!,
"&lt;"&amp;EOMONTH('Faturado mensal'!AA$2,0))</f>
        <v>0</v>
      </c>
      <c r="AB220" s="9">
        <f>SUMIFS(#REF!,#REF!,
$A220,#REF!,
"&gt;="&amp;'Faturado mensal'!AB$2,#REF!,
"&lt;"&amp;EOMONTH('Faturado mensal'!AB$2,0))</f>
        <v>0</v>
      </c>
      <c r="AC220" s="9">
        <f>SUMIFS(#REF!,#REF!,
$A220,#REF!,
"&gt;="&amp;'Faturado mensal'!AC$2,#REF!,
"&lt;"&amp;EOMONTH('Faturado mensal'!AC$2,0))</f>
        <v>0</v>
      </c>
      <c r="AD220" s="9">
        <f>SUMIFS(#REF!,#REF!,
$A220,#REF!,
"&gt;="&amp;'Faturado mensal'!AD$2,#REF!,
"&lt;"&amp;EOMONTH('Faturado mensal'!AD$2,0))</f>
        <v>0</v>
      </c>
      <c r="AE220" s="9">
        <f>SUMIFS(#REF!,#REF!,
$A220,#REF!,
"&gt;="&amp;'Faturado mensal'!AE$2,#REF!,
"&lt;"&amp;EOMONTH('Faturado mensal'!AE$2,0))</f>
        <v>0</v>
      </c>
      <c r="AF220" s="9">
        <f>SUMIFS(#REF!,#REF!,
$A220,#REF!,
"&gt;="&amp;'Faturado mensal'!AF$2,#REF!,
"&lt;"&amp;EOMONTH('Faturado mensal'!AF$2,0))</f>
        <v>0</v>
      </c>
      <c r="AG220" s="9">
        <f>SUMIFS(#REF!,#REF!,
$A220,#REF!,
"&gt;="&amp;'Faturado mensal'!AG$2,#REF!,
"&lt;"&amp;EOMONTH('Faturado mensal'!AG$2,0))</f>
        <v>0</v>
      </c>
      <c r="AH220" s="9">
        <f>SUMIFS(#REF!,#REF!,
$A220,#REF!,
"&gt;="&amp;'Faturado mensal'!AH$2,#REF!,
"&lt;"&amp;EOMONTH('Faturado mensal'!AH$2,0))</f>
        <v>0</v>
      </c>
      <c r="AI220" s="9">
        <f>SUMIFS(#REF!,#REF!,
$A220,#REF!,
"&gt;="&amp;'Faturado mensal'!AI$2,#REF!,
"&lt;"&amp;EOMONTH('Faturado mensal'!AI$2,0))</f>
        <v>0</v>
      </c>
      <c r="AJ220" s="9">
        <f>SUMIFS(#REF!,#REF!,
$A220,#REF!,
"&gt;="&amp;'Faturado mensal'!AJ$2,#REF!,
"&lt;"&amp;EOMONTH('Faturado mensal'!AJ$2,0))</f>
        <v>0</v>
      </c>
      <c r="AK220" s="9">
        <f>SUMIFS(#REF!,#REF!,
$A220,#REF!,
"&gt;="&amp;'Faturado mensal'!AK$2,#REF!,
"&lt;"&amp;EOMONTH('Faturado mensal'!AK$2,0))</f>
        <v>0</v>
      </c>
      <c r="AL220" s="9">
        <f>SUMIFS(#REF!,#REF!,
$A220,#REF!,
"&gt;="&amp;Z$2,#REF!,
"&lt;"&amp;EOMONTH(AK$2,0))</f>
        <v>0</v>
      </c>
    </row>
    <row r="221" spans="1:38" x14ac:dyDescent="0.3">
      <c r="A221" t="s">
        <v>512</v>
      </c>
      <c r="B221" t="s">
        <v>452</v>
      </c>
      <c r="C221" t="s">
        <v>171</v>
      </c>
      <c r="D221" t="s">
        <v>209</v>
      </c>
      <c r="E221" t="s">
        <v>4833</v>
      </c>
      <c r="F221" t="s">
        <v>4802</v>
      </c>
      <c r="G221" t="s">
        <v>4852</v>
      </c>
      <c r="H221" t="s">
        <v>4771</v>
      </c>
      <c r="I221" t="s">
        <v>875</v>
      </c>
      <c r="J221" t="s">
        <v>710</v>
      </c>
      <c r="K221" t="s">
        <v>762</v>
      </c>
      <c r="L221" t="s">
        <v>763</v>
      </c>
      <c r="M221" s="9">
        <f>SUMIFS(#REF!,#REF!,
$A221,#REF!,
"&gt;="&amp;'Faturado mensal'!M$2,#REF!,
"&lt;"&amp;EOMONTH('Faturado mensal'!M$2,0))</f>
        <v>224.31</v>
      </c>
      <c r="N221" s="9">
        <f>SUMIFS(#REF!,#REF!,
$A221,#REF!,
"&gt;="&amp;'Faturado mensal'!N$2,#REF!,
"&lt;"&amp;EOMONTH('Faturado mensal'!N$2,0))</f>
        <v>0</v>
      </c>
      <c r="O221" s="9">
        <f>SUMIFS(#REF!,#REF!,
$A221,#REF!,
"&gt;="&amp;'Faturado mensal'!O$2,#REF!,
"&lt;"&amp;EOMONTH('Faturado mensal'!O$2,0))</f>
        <v>466.6</v>
      </c>
      <c r="P221" s="9">
        <f>SUMIFS(#REF!,#REF!,
$A221,#REF!,
"&gt;="&amp;'Faturado mensal'!P$2,#REF!,
"&lt;"&amp;EOMONTH('Faturado mensal'!P$2,0))</f>
        <v>235.21</v>
      </c>
      <c r="Q221" s="9">
        <f>SUMIFS(#REF!,#REF!,
$A221,#REF!,
"&gt;="&amp;'Faturado mensal'!Q$2,#REF!,
"&lt;"&amp;EOMONTH('Faturado mensal'!Q$2,0))</f>
        <v>0</v>
      </c>
      <c r="R221" s="9">
        <f>SUMIFS(#REF!,#REF!,
$A221,#REF!,
"&gt;="&amp;'Faturado mensal'!R$2,#REF!,
"&lt;"&amp;EOMONTH('Faturado mensal'!R$2,0))</f>
        <v>470.42</v>
      </c>
      <c r="S221" s="9">
        <f>SUMIFS(#REF!,#REF!,
$A221,#REF!,
"&gt;="&amp;'Faturado mensal'!S$2,#REF!,
"&lt;"&amp;EOMONTH('Faturado mensal'!S$2,0))</f>
        <v>235.21</v>
      </c>
      <c r="T221" s="9">
        <f>SUMIFS(#REF!,#REF!,
$A221,#REF!,
"&gt;="&amp;'Faturado mensal'!T$2,#REF!,
"&lt;"&amp;EOMONTH('Faturado mensal'!T$2,0))</f>
        <v>235.21</v>
      </c>
      <c r="U221" s="9">
        <f>SUMIFS(#REF!,#REF!,
$A221,#REF!,
"&gt;="&amp;'Faturado mensal'!U$2,#REF!,
"&lt;"&amp;EOMONTH('Faturado mensal'!U$2,0))</f>
        <v>235.21</v>
      </c>
      <c r="V221" s="9">
        <f>SUMIFS(#REF!,#REF!,
$A221,#REF!,
"&gt;="&amp;'Faturado mensal'!V$2,#REF!,
"&lt;"&amp;EOMONTH('Faturado mensal'!V$2,0))</f>
        <v>235.21</v>
      </c>
      <c r="W221" s="9">
        <f>SUMIFS(#REF!,#REF!,
$A221,#REF!,
"&gt;="&amp;'Faturado mensal'!W$2,#REF!,
"&lt;"&amp;EOMONTH('Faturado mensal'!W$2,0))</f>
        <v>235.21</v>
      </c>
      <c r="X221" s="9">
        <f>SUMIFS(#REF!,#REF!,
$A221,#REF!,
"&gt;="&amp;'Faturado mensal'!X$2,#REF!,
"&lt;"&amp;EOMONTH('Faturado mensal'!X$2,0))</f>
        <v>0</v>
      </c>
      <c r="Y221" s="11">
        <f>SUMIFS(#REF!,#REF!,
$A221,#REF!,
"&gt;="&amp;'Faturado mensal'!M$2,#REF!,
"&lt;"&amp;EOMONTH('Faturado mensal'!M$2,12))</f>
        <v>2807.8</v>
      </c>
      <c r="Z221" s="9">
        <f>SUMIFS(#REF!,#REF!,
$A221,#REF!,
"&gt;="&amp;'Faturado mensal'!Z$2,#REF!,
"&lt;"&amp;EOMONTH('Faturado mensal'!Z$2,0))</f>
        <v>235.21</v>
      </c>
      <c r="AA221" s="9">
        <f>SUMIFS(#REF!,#REF!,
$A221,#REF!,
"&gt;="&amp;'Faturado mensal'!AA$2,#REF!,
"&lt;"&amp;EOMONTH('Faturado mensal'!AA$2,0))</f>
        <v>235.21</v>
      </c>
      <c r="AB221" s="9">
        <f>SUMIFS(#REF!,#REF!,
$A221,#REF!,
"&gt;="&amp;'Faturado mensal'!AB$2,#REF!,
"&lt;"&amp;EOMONTH('Faturado mensal'!AB$2,0))</f>
        <v>244.1</v>
      </c>
      <c r="AC221" s="9">
        <f>SUMIFS(#REF!,#REF!,
$A221,#REF!,
"&gt;="&amp;'Faturado mensal'!AC$2,#REF!,
"&lt;"&amp;EOMONTH('Faturado mensal'!AC$2,0))</f>
        <v>0</v>
      </c>
      <c r="AD221" s="9">
        <f>SUMIFS(#REF!,#REF!,
$A221,#REF!,
"&gt;="&amp;'Faturado mensal'!AD$2,#REF!,
"&lt;"&amp;EOMONTH('Faturado mensal'!AD$2,0))</f>
        <v>0</v>
      </c>
      <c r="AE221" s="9">
        <f>SUMIFS(#REF!,#REF!,
$A221,#REF!,
"&gt;="&amp;'Faturado mensal'!AE$2,#REF!,
"&lt;"&amp;EOMONTH('Faturado mensal'!AE$2,0))</f>
        <v>0</v>
      </c>
      <c r="AF221" s="9">
        <f>SUMIFS(#REF!,#REF!,
$A221,#REF!,
"&gt;="&amp;'Faturado mensal'!AF$2,#REF!,
"&lt;"&amp;EOMONTH('Faturado mensal'!AF$2,0))</f>
        <v>0</v>
      </c>
      <c r="AG221" s="9">
        <f>SUMIFS(#REF!,#REF!,
$A221,#REF!,
"&gt;="&amp;'Faturado mensal'!AG$2,#REF!,
"&lt;"&amp;EOMONTH('Faturado mensal'!AG$2,0))</f>
        <v>0</v>
      </c>
      <c r="AH221" s="9">
        <f>SUMIFS(#REF!,#REF!,
$A221,#REF!,
"&gt;="&amp;'Faturado mensal'!AH$2,#REF!,
"&lt;"&amp;EOMONTH('Faturado mensal'!AH$2,0))</f>
        <v>0</v>
      </c>
      <c r="AI221" s="9">
        <f>SUMIFS(#REF!,#REF!,
$A221,#REF!,
"&gt;="&amp;'Faturado mensal'!AI$2,#REF!,
"&lt;"&amp;EOMONTH('Faturado mensal'!AI$2,0))</f>
        <v>0</v>
      </c>
      <c r="AJ221" s="9">
        <f>SUMIFS(#REF!,#REF!,
$A221,#REF!,
"&gt;="&amp;'Faturado mensal'!AJ$2,#REF!,
"&lt;"&amp;EOMONTH('Faturado mensal'!AJ$2,0))</f>
        <v>0</v>
      </c>
      <c r="AK221" s="9">
        <f>SUMIFS(#REF!,#REF!,
$A221,#REF!,
"&gt;="&amp;'Faturado mensal'!AK$2,#REF!,
"&lt;"&amp;EOMONTH('Faturado mensal'!AK$2,0))</f>
        <v>0</v>
      </c>
      <c r="AL221" s="9">
        <f>SUMIFS(#REF!,#REF!,
$A221,#REF!,
"&gt;="&amp;Z$2,#REF!,
"&lt;"&amp;EOMONTH(AK$2,0))</f>
        <v>714.52</v>
      </c>
    </row>
    <row r="222" spans="1:38" x14ac:dyDescent="0.3">
      <c r="A222" t="s">
        <v>513</v>
      </c>
      <c r="B222" t="s">
        <v>514</v>
      </c>
      <c r="C222" t="s">
        <v>47</v>
      </c>
      <c r="D222" t="s">
        <v>204</v>
      </c>
      <c r="E222" t="s">
        <v>4833</v>
      </c>
      <c r="F222" t="s">
        <v>4779</v>
      </c>
      <c r="G222" t="s">
        <v>4852</v>
      </c>
      <c r="I222" t="s">
        <v>835</v>
      </c>
      <c r="J222" t="s">
        <v>710</v>
      </c>
      <c r="K222" t="s">
        <v>762</v>
      </c>
      <c r="L222" t="s">
        <v>763</v>
      </c>
      <c r="M222" s="9">
        <f>SUMIFS(#REF!,#REF!,
$A222,#REF!,
"&gt;="&amp;'Faturado mensal'!M$2,#REF!,
"&lt;"&amp;EOMONTH('Faturado mensal'!M$2,0))</f>
        <v>6862.06</v>
      </c>
      <c r="N222" s="9">
        <f>SUMIFS(#REF!,#REF!,
$A222,#REF!,
"&gt;="&amp;'Faturado mensal'!N$2,#REF!,
"&lt;"&amp;EOMONTH('Faturado mensal'!N$2,0))</f>
        <v>6347.41</v>
      </c>
      <c r="O222" s="9">
        <f>SUMIFS(#REF!,#REF!,
$A222,#REF!,
"&gt;="&amp;'Faturado mensal'!O$2,#REF!,
"&lt;"&amp;EOMONTH('Faturado mensal'!O$2,0))</f>
        <v>6221.72</v>
      </c>
      <c r="P222" s="9">
        <f>SUMIFS(#REF!,#REF!,
$A222,#REF!,
"&gt;="&amp;'Faturado mensal'!P$2,#REF!,
"&lt;"&amp;EOMONTH('Faturado mensal'!P$2,0))</f>
        <v>7580.29</v>
      </c>
      <c r="Q222" s="9">
        <f>SUMIFS(#REF!,#REF!,
$A222,#REF!,
"&gt;="&amp;'Faturado mensal'!Q$2,#REF!,
"&lt;"&amp;EOMONTH('Faturado mensal'!Q$2,0))</f>
        <v>6129.63</v>
      </c>
      <c r="R222" s="9">
        <f>SUMIFS(#REF!,#REF!,
$A222,#REF!,
"&gt;="&amp;'Faturado mensal'!R$2,#REF!,
"&lt;"&amp;EOMONTH('Faturado mensal'!R$2,0))</f>
        <v>7296.71</v>
      </c>
      <c r="S222" s="9">
        <f>SUMIFS(#REF!,#REF!,
$A222,#REF!,
"&gt;="&amp;'Faturado mensal'!S$2,#REF!,
"&lt;"&amp;EOMONTH('Faturado mensal'!S$2,0))</f>
        <v>6796.33</v>
      </c>
      <c r="T222" s="9">
        <f>SUMIFS(#REF!,#REF!,
$A222,#REF!,
"&gt;="&amp;'Faturado mensal'!T$2,#REF!,
"&lt;"&amp;EOMONTH('Faturado mensal'!T$2,0))</f>
        <v>6603.19</v>
      </c>
      <c r="U222" s="9">
        <f>SUMIFS(#REF!,#REF!,
$A222,#REF!,
"&gt;="&amp;'Faturado mensal'!U$2,#REF!,
"&lt;"&amp;EOMONTH('Faturado mensal'!U$2,0))</f>
        <v>8080.48</v>
      </c>
      <c r="V222" s="9">
        <f>SUMIFS(#REF!,#REF!,
$A222,#REF!,
"&gt;="&amp;'Faturado mensal'!V$2,#REF!,
"&lt;"&amp;EOMONTH('Faturado mensal'!V$2,0))</f>
        <v>6294.91</v>
      </c>
      <c r="W222" s="9">
        <f>SUMIFS(#REF!,#REF!,
$A222,#REF!,
"&gt;="&amp;'Faturado mensal'!W$2,#REF!,
"&lt;"&amp;EOMONTH('Faturado mensal'!W$2,0))</f>
        <v>6542.6</v>
      </c>
      <c r="X222" s="9">
        <f>SUMIFS(#REF!,#REF!,
$A222,#REF!,
"&gt;="&amp;'Faturado mensal'!X$2,#REF!,
"&lt;"&amp;EOMONTH('Faturado mensal'!X$2,0))</f>
        <v>6187.77</v>
      </c>
      <c r="Y222" s="11">
        <f>SUMIFS(#REF!,#REF!,
$A222,#REF!,
"&gt;="&amp;'Faturado mensal'!M$2,#REF!,
"&lt;"&amp;EOMONTH('Faturado mensal'!M$2,12))</f>
        <v>92896.470000000016</v>
      </c>
      <c r="Z222" s="9">
        <f>SUMIFS(#REF!,#REF!,
$A222,#REF!,
"&gt;="&amp;'Faturado mensal'!Z$2,#REF!,
"&lt;"&amp;EOMONTH('Faturado mensal'!Z$2,0))</f>
        <v>5660</v>
      </c>
      <c r="AA222" s="9">
        <f>SUMIFS(#REF!,#REF!,
$A222,#REF!,
"&gt;="&amp;'Faturado mensal'!AA$2,#REF!,
"&lt;"&amp;EOMONTH('Faturado mensal'!AA$2,0))</f>
        <v>0</v>
      </c>
      <c r="AB222" s="9">
        <f>SUMIFS(#REF!,#REF!,
$A222,#REF!,
"&gt;="&amp;'Faturado mensal'!AB$2,#REF!,
"&lt;"&amp;EOMONTH('Faturado mensal'!AB$2,0))</f>
        <v>13423.9</v>
      </c>
      <c r="AC222" s="9">
        <f>SUMIFS(#REF!,#REF!,
$A222,#REF!,
"&gt;="&amp;'Faturado mensal'!AC$2,#REF!,
"&lt;"&amp;EOMONTH('Faturado mensal'!AC$2,0))</f>
        <v>7405.11</v>
      </c>
      <c r="AD222" s="9">
        <f>SUMIFS(#REF!,#REF!,
$A222,#REF!,
"&gt;="&amp;'Faturado mensal'!AD$2,#REF!,
"&lt;"&amp;EOMONTH('Faturado mensal'!AD$2,0))</f>
        <v>8863.92</v>
      </c>
      <c r="AE222" s="9">
        <f>SUMIFS(#REF!,#REF!,
$A222,#REF!,
"&gt;="&amp;'Faturado mensal'!AE$2,#REF!,
"&lt;"&amp;EOMONTH('Faturado mensal'!AE$2,0))</f>
        <v>9301.59</v>
      </c>
      <c r="AF222" s="9">
        <f>SUMIFS(#REF!,#REF!,
$A222,#REF!,
"&gt;="&amp;'Faturado mensal'!AF$2,#REF!,
"&lt;"&amp;EOMONTH('Faturado mensal'!AF$2,0))</f>
        <v>0</v>
      </c>
      <c r="AG222" s="9">
        <f>SUMIFS(#REF!,#REF!,
$A222,#REF!,
"&gt;="&amp;'Faturado mensal'!AG$2,#REF!,
"&lt;"&amp;EOMONTH('Faturado mensal'!AG$2,0))</f>
        <v>0</v>
      </c>
      <c r="AH222" s="9">
        <f>SUMIFS(#REF!,#REF!,
$A222,#REF!,
"&gt;="&amp;'Faturado mensal'!AH$2,#REF!,
"&lt;"&amp;EOMONTH('Faturado mensal'!AH$2,0))</f>
        <v>0</v>
      </c>
      <c r="AI222" s="9">
        <f>SUMIFS(#REF!,#REF!,
$A222,#REF!,
"&gt;="&amp;'Faturado mensal'!AI$2,#REF!,
"&lt;"&amp;EOMONTH('Faturado mensal'!AI$2,0))</f>
        <v>0</v>
      </c>
      <c r="AJ222" s="9">
        <f>SUMIFS(#REF!,#REF!,
$A222,#REF!,
"&gt;="&amp;'Faturado mensal'!AJ$2,#REF!,
"&lt;"&amp;EOMONTH('Faturado mensal'!AJ$2,0))</f>
        <v>0</v>
      </c>
      <c r="AK222" s="9">
        <f>SUMIFS(#REF!,#REF!,
$A222,#REF!,
"&gt;="&amp;'Faturado mensal'!AK$2,#REF!,
"&lt;"&amp;EOMONTH('Faturado mensal'!AK$2,0))</f>
        <v>0</v>
      </c>
      <c r="AL222" s="9">
        <f>SUMIFS(#REF!,#REF!,
$A222,#REF!,
"&gt;="&amp;Z$2,#REF!,
"&lt;"&amp;EOMONTH(AK$2,0))</f>
        <v>44654.520000000004</v>
      </c>
    </row>
    <row r="223" spans="1:38" x14ac:dyDescent="0.3">
      <c r="A223" t="s">
        <v>515</v>
      </c>
      <c r="B223" t="s">
        <v>516</v>
      </c>
      <c r="C223" t="s">
        <v>12</v>
      </c>
      <c r="D223" t="s">
        <v>204</v>
      </c>
      <c r="E223" t="s">
        <v>1037</v>
      </c>
      <c r="F223" t="s">
        <v>4776</v>
      </c>
      <c r="G223" t="s">
        <v>4853</v>
      </c>
      <c r="H223" t="s">
        <v>4772</v>
      </c>
      <c r="I223" t="s">
        <v>12</v>
      </c>
      <c r="J223" t="s">
        <v>884</v>
      </c>
      <c r="K223" t="s">
        <v>711</v>
      </c>
      <c r="L223" t="s">
        <v>712</v>
      </c>
      <c r="M223" s="9">
        <f>SUMIFS(#REF!,#REF!,
$A223,#REF!,
"&gt;="&amp;'Faturado mensal'!M$2,#REF!,
"&lt;"&amp;EOMONTH('Faturado mensal'!M$2,0))</f>
        <v>1560</v>
      </c>
      <c r="N223" s="9">
        <f>SUMIFS(#REF!,#REF!,
$A223,#REF!,
"&gt;="&amp;'Faturado mensal'!N$2,#REF!,
"&lt;"&amp;EOMONTH('Faturado mensal'!N$2,0))</f>
        <v>2340</v>
      </c>
      <c r="O223" s="9">
        <f>SUMIFS(#REF!,#REF!,
$A223,#REF!,
"&gt;="&amp;'Faturado mensal'!O$2,#REF!,
"&lt;"&amp;EOMONTH('Faturado mensal'!O$2,0))</f>
        <v>0</v>
      </c>
      <c r="P223" s="9">
        <f>SUMIFS(#REF!,#REF!,
$A223,#REF!,
"&gt;="&amp;'Faturado mensal'!P$2,#REF!,
"&lt;"&amp;EOMONTH('Faturado mensal'!P$2,0))</f>
        <v>3380</v>
      </c>
      <c r="Q223" s="9">
        <f>SUMIFS(#REF!,#REF!,
$A223,#REF!,
"&gt;="&amp;'Faturado mensal'!Q$2,#REF!,
"&lt;"&amp;EOMONTH('Faturado mensal'!Q$2,0))</f>
        <v>0</v>
      </c>
      <c r="R223" s="9">
        <f>SUMIFS(#REF!,#REF!,
$A223,#REF!,
"&gt;="&amp;'Faturado mensal'!R$2,#REF!,
"&lt;"&amp;EOMONTH('Faturado mensal'!R$2,0))</f>
        <v>3580</v>
      </c>
      <c r="S223" s="9">
        <f>SUMIFS(#REF!,#REF!,
$A223,#REF!,
"&gt;="&amp;'Faturado mensal'!S$2,#REF!,
"&lt;"&amp;EOMONTH('Faturado mensal'!S$2,0))</f>
        <v>0</v>
      </c>
      <c r="T223" s="9">
        <f>SUMIFS(#REF!,#REF!,
$A223,#REF!,
"&gt;="&amp;'Faturado mensal'!T$2,#REF!,
"&lt;"&amp;EOMONTH('Faturado mensal'!T$2,0))</f>
        <v>0</v>
      </c>
      <c r="U223" s="9">
        <f>SUMIFS(#REF!,#REF!,
$A223,#REF!,
"&gt;="&amp;'Faturado mensal'!U$2,#REF!,
"&lt;"&amp;EOMONTH('Faturado mensal'!U$2,0))</f>
        <v>4830</v>
      </c>
      <c r="V223" s="9">
        <f>SUMIFS(#REF!,#REF!,
$A223,#REF!,
"&gt;="&amp;'Faturado mensal'!V$2,#REF!,
"&lt;"&amp;EOMONTH('Faturado mensal'!V$2,0))</f>
        <v>4508</v>
      </c>
      <c r="W223" s="9">
        <f>SUMIFS(#REF!,#REF!,
$A223,#REF!,
"&gt;="&amp;'Faturado mensal'!W$2,#REF!,
"&lt;"&amp;EOMONTH('Faturado mensal'!W$2,0))</f>
        <v>0</v>
      </c>
      <c r="X223" s="9">
        <f>SUMIFS(#REF!,#REF!,
$A223,#REF!,
"&gt;="&amp;'Faturado mensal'!X$2,#REF!,
"&lt;"&amp;EOMONTH('Faturado mensal'!X$2,0))</f>
        <v>3450</v>
      </c>
      <c r="Y223" s="11">
        <f>SUMIFS(#REF!,#REF!,
$A223,#REF!,
"&gt;="&amp;'Faturado mensal'!M$2,#REF!,
"&lt;"&amp;EOMONTH('Faturado mensal'!M$2,12))</f>
        <v>23648</v>
      </c>
      <c r="Z223" s="9">
        <f>SUMIFS(#REF!,#REF!,
$A223,#REF!,
"&gt;="&amp;'Faturado mensal'!Z$2,#REF!,
"&lt;"&amp;EOMONTH('Faturado mensal'!Z$2,0))</f>
        <v>0</v>
      </c>
      <c r="AA223" s="9">
        <f>SUMIFS(#REF!,#REF!,
$A223,#REF!,
"&gt;="&amp;'Faturado mensal'!AA$2,#REF!,
"&lt;"&amp;EOMONTH('Faturado mensal'!AA$2,0))</f>
        <v>2300</v>
      </c>
      <c r="AB223" s="9">
        <f>SUMIFS(#REF!,#REF!,
$A223,#REF!,
"&gt;="&amp;'Faturado mensal'!AB$2,#REF!,
"&lt;"&amp;EOMONTH('Faturado mensal'!AB$2,0))</f>
        <v>2162</v>
      </c>
      <c r="AC223" s="9">
        <f>SUMIFS(#REF!,#REF!,
$A223,#REF!,
"&gt;="&amp;'Faturado mensal'!AC$2,#REF!,
"&lt;"&amp;EOMONTH('Faturado mensal'!AC$2,0))</f>
        <v>0</v>
      </c>
      <c r="AD223" s="9">
        <f>SUMIFS(#REF!,#REF!,
$A223,#REF!,
"&gt;="&amp;'Faturado mensal'!AD$2,#REF!,
"&lt;"&amp;EOMONTH('Faturado mensal'!AD$2,0))</f>
        <v>5800</v>
      </c>
      <c r="AE223" s="9">
        <f>SUMIFS(#REF!,#REF!,
$A223,#REF!,
"&gt;="&amp;'Faturado mensal'!AE$2,#REF!,
"&lt;"&amp;EOMONTH('Faturado mensal'!AE$2,0))</f>
        <v>0</v>
      </c>
      <c r="AF223" s="9">
        <f>SUMIFS(#REF!,#REF!,
$A223,#REF!,
"&gt;="&amp;'Faturado mensal'!AF$2,#REF!,
"&lt;"&amp;EOMONTH('Faturado mensal'!AF$2,0))</f>
        <v>0</v>
      </c>
      <c r="AG223" s="9">
        <f>SUMIFS(#REF!,#REF!,
$A223,#REF!,
"&gt;="&amp;'Faturado mensal'!AG$2,#REF!,
"&lt;"&amp;EOMONTH('Faturado mensal'!AG$2,0))</f>
        <v>0</v>
      </c>
      <c r="AH223" s="9">
        <f>SUMIFS(#REF!,#REF!,
$A223,#REF!,
"&gt;="&amp;'Faturado mensal'!AH$2,#REF!,
"&lt;"&amp;EOMONTH('Faturado mensal'!AH$2,0))</f>
        <v>0</v>
      </c>
      <c r="AI223" s="9">
        <f>SUMIFS(#REF!,#REF!,
$A223,#REF!,
"&gt;="&amp;'Faturado mensal'!AI$2,#REF!,
"&lt;"&amp;EOMONTH('Faturado mensal'!AI$2,0))</f>
        <v>0</v>
      </c>
      <c r="AJ223" s="9">
        <f>SUMIFS(#REF!,#REF!,
$A223,#REF!,
"&gt;="&amp;'Faturado mensal'!AJ$2,#REF!,
"&lt;"&amp;EOMONTH('Faturado mensal'!AJ$2,0))</f>
        <v>0</v>
      </c>
      <c r="AK223" s="9">
        <f>SUMIFS(#REF!,#REF!,
$A223,#REF!,
"&gt;="&amp;'Faturado mensal'!AK$2,#REF!,
"&lt;"&amp;EOMONTH('Faturado mensal'!AK$2,0))</f>
        <v>0</v>
      </c>
      <c r="AL223" s="9">
        <f>SUMIFS(#REF!,#REF!,
$A223,#REF!,
"&gt;="&amp;Z$2,#REF!,
"&lt;"&amp;EOMONTH(AK$2,0))</f>
        <v>10262</v>
      </c>
    </row>
    <row r="224" spans="1:38" x14ac:dyDescent="0.3">
      <c r="A224" t="s">
        <v>876</v>
      </c>
      <c r="B224" t="s">
        <v>877</v>
      </c>
      <c r="C224" t="s">
        <v>878</v>
      </c>
      <c r="D224" t="s">
        <v>209</v>
      </c>
      <c r="G224" t="s">
        <v>4845</v>
      </c>
      <c r="H224" t="s">
        <v>4772</v>
      </c>
      <c r="I224" t="s">
        <v>879</v>
      </c>
      <c r="J224" t="s">
        <v>710</v>
      </c>
      <c r="K224" t="s">
        <v>762</v>
      </c>
      <c r="L224" t="s">
        <v>763</v>
      </c>
      <c r="M224" s="9">
        <f>SUMIFS(#REF!,#REF!,
$A224,#REF!,
"&gt;="&amp;'Faturado mensal'!M$2,#REF!,
"&lt;"&amp;EOMONTH('Faturado mensal'!M$2,0))</f>
        <v>0</v>
      </c>
      <c r="N224" s="9">
        <f>SUMIFS(#REF!,#REF!,
$A224,#REF!,
"&gt;="&amp;'Faturado mensal'!N$2,#REF!,
"&lt;"&amp;EOMONTH('Faturado mensal'!N$2,0))</f>
        <v>0</v>
      </c>
      <c r="O224" s="9">
        <f>SUMIFS(#REF!,#REF!,
$A224,#REF!,
"&gt;="&amp;'Faturado mensal'!O$2,#REF!,
"&lt;"&amp;EOMONTH('Faturado mensal'!O$2,0))</f>
        <v>0</v>
      </c>
      <c r="P224" s="9">
        <f>SUMIFS(#REF!,#REF!,
$A224,#REF!,
"&gt;="&amp;'Faturado mensal'!P$2,#REF!,
"&lt;"&amp;EOMONTH('Faturado mensal'!P$2,0))</f>
        <v>0</v>
      </c>
      <c r="Q224" s="9">
        <f>SUMIFS(#REF!,#REF!,
$A224,#REF!,
"&gt;="&amp;'Faturado mensal'!Q$2,#REF!,
"&lt;"&amp;EOMONTH('Faturado mensal'!Q$2,0))</f>
        <v>0</v>
      </c>
      <c r="R224" s="9">
        <f>SUMIFS(#REF!,#REF!,
$A224,#REF!,
"&gt;="&amp;'Faturado mensal'!R$2,#REF!,
"&lt;"&amp;EOMONTH('Faturado mensal'!R$2,0))</f>
        <v>0</v>
      </c>
      <c r="S224" s="9">
        <f>SUMIFS(#REF!,#REF!,
$A224,#REF!,
"&gt;="&amp;'Faturado mensal'!S$2,#REF!,
"&lt;"&amp;EOMONTH('Faturado mensal'!S$2,0))</f>
        <v>0</v>
      </c>
      <c r="T224" s="9">
        <f>SUMIFS(#REF!,#REF!,
$A224,#REF!,
"&gt;="&amp;'Faturado mensal'!T$2,#REF!,
"&lt;"&amp;EOMONTH('Faturado mensal'!T$2,0))</f>
        <v>0</v>
      </c>
      <c r="U224" s="9">
        <f>SUMIFS(#REF!,#REF!,
$A224,#REF!,
"&gt;="&amp;'Faturado mensal'!U$2,#REF!,
"&lt;"&amp;EOMONTH('Faturado mensal'!U$2,0))</f>
        <v>0</v>
      </c>
      <c r="V224" s="9">
        <f>SUMIFS(#REF!,#REF!,
$A224,#REF!,
"&gt;="&amp;'Faturado mensal'!V$2,#REF!,
"&lt;"&amp;EOMONTH('Faturado mensal'!V$2,0))</f>
        <v>0</v>
      </c>
      <c r="W224" s="9">
        <f>SUMIFS(#REF!,#REF!,
$A224,#REF!,
"&gt;="&amp;'Faturado mensal'!W$2,#REF!,
"&lt;"&amp;EOMONTH('Faturado mensal'!W$2,0))</f>
        <v>0</v>
      </c>
      <c r="X224" s="9">
        <f>SUMIFS(#REF!,#REF!,
$A224,#REF!,
"&gt;="&amp;'Faturado mensal'!X$2,#REF!,
"&lt;"&amp;EOMONTH('Faturado mensal'!X$2,0))</f>
        <v>0</v>
      </c>
      <c r="Y224" s="11">
        <f>SUMIFS(#REF!,#REF!,
$A224,#REF!,
"&gt;="&amp;'Faturado mensal'!M$2,#REF!,
"&lt;"&amp;EOMONTH('Faturado mensal'!M$2,12))</f>
        <v>0</v>
      </c>
      <c r="Z224" s="9">
        <f>SUMIFS(#REF!,#REF!,
$A224,#REF!,
"&gt;="&amp;'Faturado mensal'!Z$2,#REF!,
"&lt;"&amp;EOMONTH('Faturado mensal'!Z$2,0))</f>
        <v>0</v>
      </c>
      <c r="AA224" s="9">
        <f>SUMIFS(#REF!,#REF!,
$A224,#REF!,
"&gt;="&amp;'Faturado mensal'!AA$2,#REF!,
"&lt;"&amp;EOMONTH('Faturado mensal'!AA$2,0))</f>
        <v>0</v>
      </c>
      <c r="AB224" s="9">
        <f>SUMIFS(#REF!,#REF!,
$A224,#REF!,
"&gt;="&amp;'Faturado mensal'!AB$2,#REF!,
"&lt;"&amp;EOMONTH('Faturado mensal'!AB$2,0))</f>
        <v>0</v>
      </c>
      <c r="AC224" s="9">
        <f>SUMIFS(#REF!,#REF!,
$A224,#REF!,
"&gt;="&amp;'Faturado mensal'!AC$2,#REF!,
"&lt;"&amp;EOMONTH('Faturado mensal'!AC$2,0))</f>
        <v>0</v>
      </c>
      <c r="AD224" s="9">
        <f>SUMIFS(#REF!,#REF!,
$A224,#REF!,
"&gt;="&amp;'Faturado mensal'!AD$2,#REF!,
"&lt;"&amp;EOMONTH('Faturado mensal'!AD$2,0))</f>
        <v>0</v>
      </c>
      <c r="AE224" s="9">
        <f>SUMIFS(#REF!,#REF!,
$A224,#REF!,
"&gt;="&amp;'Faturado mensal'!AE$2,#REF!,
"&lt;"&amp;EOMONTH('Faturado mensal'!AE$2,0))</f>
        <v>0</v>
      </c>
      <c r="AF224" s="9">
        <f>SUMIFS(#REF!,#REF!,
$A224,#REF!,
"&gt;="&amp;'Faturado mensal'!AF$2,#REF!,
"&lt;"&amp;EOMONTH('Faturado mensal'!AF$2,0))</f>
        <v>0</v>
      </c>
      <c r="AG224" s="9">
        <f>SUMIFS(#REF!,#REF!,
$A224,#REF!,
"&gt;="&amp;'Faturado mensal'!AG$2,#REF!,
"&lt;"&amp;EOMONTH('Faturado mensal'!AG$2,0))</f>
        <v>0</v>
      </c>
      <c r="AH224" s="9">
        <f>SUMIFS(#REF!,#REF!,
$A224,#REF!,
"&gt;="&amp;'Faturado mensal'!AH$2,#REF!,
"&lt;"&amp;EOMONTH('Faturado mensal'!AH$2,0))</f>
        <v>0</v>
      </c>
      <c r="AI224" s="9">
        <f>SUMIFS(#REF!,#REF!,
$A224,#REF!,
"&gt;="&amp;'Faturado mensal'!AI$2,#REF!,
"&lt;"&amp;EOMONTH('Faturado mensal'!AI$2,0))</f>
        <v>0</v>
      </c>
      <c r="AJ224" s="9">
        <f>SUMIFS(#REF!,#REF!,
$A224,#REF!,
"&gt;="&amp;'Faturado mensal'!AJ$2,#REF!,
"&lt;"&amp;EOMONTH('Faturado mensal'!AJ$2,0))</f>
        <v>0</v>
      </c>
      <c r="AK224" s="9">
        <f>SUMIFS(#REF!,#REF!,
$A224,#REF!,
"&gt;="&amp;'Faturado mensal'!AK$2,#REF!,
"&lt;"&amp;EOMONTH('Faturado mensal'!AK$2,0))</f>
        <v>0</v>
      </c>
      <c r="AL224" s="9">
        <f>SUMIFS(#REF!,#REF!,
$A224,#REF!,
"&gt;="&amp;Z$2,#REF!,
"&lt;"&amp;EOMONTH(AK$2,0))</f>
        <v>0</v>
      </c>
    </row>
    <row r="225" spans="1:38" x14ac:dyDescent="0.3">
      <c r="A225" t="s">
        <v>517</v>
      </c>
      <c r="B225" t="s">
        <v>518</v>
      </c>
      <c r="C225" t="s">
        <v>117</v>
      </c>
      <c r="D225" t="s">
        <v>209</v>
      </c>
      <c r="G225" t="s">
        <v>4852</v>
      </c>
      <c r="H225" t="s">
        <v>4773</v>
      </c>
      <c r="I225" t="s">
        <v>880</v>
      </c>
      <c r="J225" t="s">
        <v>710</v>
      </c>
      <c r="K225" t="s">
        <v>717</v>
      </c>
      <c r="L225" t="s">
        <v>718</v>
      </c>
      <c r="M225" s="9">
        <f>SUMIFS(#REF!,#REF!,
$A225,#REF!,
"&gt;="&amp;'Faturado mensal'!M$2,#REF!,
"&lt;"&amp;EOMONTH('Faturado mensal'!M$2,0))</f>
        <v>0</v>
      </c>
      <c r="N225" s="9">
        <f>SUMIFS(#REF!,#REF!,
$A225,#REF!,
"&gt;="&amp;'Faturado mensal'!N$2,#REF!,
"&lt;"&amp;EOMONTH('Faturado mensal'!N$2,0))</f>
        <v>0</v>
      </c>
      <c r="O225" s="9">
        <f>SUMIFS(#REF!,#REF!,
$A225,#REF!,
"&gt;="&amp;'Faturado mensal'!O$2,#REF!,
"&lt;"&amp;EOMONTH('Faturado mensal'!O$2,0))</f>
        <v>0</v>
      </c>
      <c r="P225" s="9">
        <f>SUMIFS(#REF!,#REF!,
$A225,#REF!,
"&gt;="&amp;'Faturado mensal'!P$2,#REF!,
"&lt;"&amp;EOMONTH('Faturado mensal'!P$2,0))</f>
        <v>0</v>
      </c>
      <c r="Q225" s="9">
        <f>SUMIFS(#REF!,#REF!,
$A225,#REF!,
"&gt;="&amp;'Faturado mensal'!Q$2,#REF!,
"&lt;"&amp;EOMONTH('Faturado mensal'!Q$2,0))</f>
        <v>0</v>
      </c>
      <c r="R225" s="9">
        <f>SUMIFS(#REF!,#REF!,
$A225,#REF!,
"&gt;="&amp;'Faturado mensal'!R$2,#REF!,
"&lt;"&amp;EOMONTH('Faturado mensal'!R$2,0))</f>
        <v>0</v>
      </c>
      <c r="S225" s="9">
        <f>SUMIFS(#REF!,#REF!,
$A225,#REF!,
"&gt;="&amp;'Faturado mensal'!S$2,#REF!,
"&lt;"&amp;EOMONTH('Faturado mensal'!S$2,0))</f>
        <v>0</v>
      </c>
      <c r="T225" s="9">
        <f>SUMIFS(#REF!,#REF!,
$A225,#REF!,
"&gt;="&amp;'Faturado mensal'!T$2,#REF!,
"&lt;"&amp;EOMONTH('Faturado mensal'!T$2,0))</f>
        <v>0</v>
      </c>
      <c r="U225" s="9">
        <f>SUMIFS(#REF!,#REF!,
$A225,#REF!,
"&gt;="&amp;'Faturado mensal'!U$2,#REF!,
"&lt;"&amp;EOMONTH('Faturado mensal'!U$2,0))</f>
        <v>0</v>
      </c>
      <c r="V225" s="9">
        <f>SUMIFS(#REF!,#REF!,
$A225,#REF!,
"&gt;="&amp;'Faturado mensal'!V$2,#REF!,
"&lt;"&amp;EOMONTH('Faturado mensal'!V$2,0))</f>
        <v>0</v>
      </c>
      <c r="W225" s="9">
        <f>SUMIFS(#REF!,#REF!,
$A225,#REF!,
"&gt;="&amp;'Faturado mensal'!W$2,#REF!,
"&lt;"&amp;EOMONTH('Faturado mensal'!W$2,0))</f>
        <v>0</v>
      </c>
      <c r="X225" s="9">
        <f>SUMIFS(#REF!,#REF!,
$A225,#REF!,
"&gt;="&amp;'Faturado mensal'!X$2,#REF!,
"&lt;"&amp;EOMONTH('Faturado mensal'!X$2,0))</f>
        <v>0</v>
      </c>
      <c r="Y225" s="11">
        <f>SUMIFS(#REF!,#REF!,
$A225,#REF!,
"&gt;="&amp;'Faturado mensal'!M$2,#REF!,
"&lt;"&amp;EOMONTH('Faturado mensal'!M$2,12))</f>
        <v>0</v>
      </c>
      <c r="Z225" s="9">
        <f>SUMIFS(#REF!,#REF!,
$A225,#REF!,
"&gt;="&amp;'Faturado mensal'!Z$2,#REF!,
"&lt;"&amp;EOMONTH('Faturado mensal'!Z$2,0))</f>
        <v>0</v>
      </c>
      <c r="AA225" s="9">
        <f>SUMIFS(#REF!,#REF!,
$A225,#REF!,
"&gt;="&amp;'Faturado mensal'!AA$2,#REF!,
"&lt;"&amp;EOMONTH('Faturado mensal'!AA$2,0))</f>
        <v>0</v>
      </c>
      <c r="AB225" s="9">
        <f>SUMIFS(#REF!,#REF!,
$A225,#REF!,
"&gt;="&amp;'Faturado mensal'!AB$2,#REF!,
"&lt;"&amp;EOMONTH('Faturado mensal'!AB$2,0))</f>
        <v>0</v>
      </c>
      <c r="AC225" s="9">
        <f>SUMIFS(#REF!,#REF!,
$A225,#REF!,
"&gt;="&amp;'Faturado mensal'!AC$2,#REF!,
"&lt;"&amp;EOMONTH('Faturado mensal'!AC$2,0))</f>
        <v>0</v>
      </c>
      <c r="AD225" s="9">
        <f>SUMIFS(#REF!,#REF!,
$A225,#REF!,
"&gt;="&amp;'Faturado mensal'!AD$2,#REF!,
"&lt;"&amp;EOMONTH('Faturado mensal'!AD$2,0))</f>
        <v>0</v>
      </c>
      <c r="AE225" s="9">
        <f>SUMIFS(#REF!,#REF!,
$A225,#REF!,
"&gt;="&amp;'Faturado mensal'!AE$2,#REF!,
"&lt;"&amp;EOMONTH('Faturado mensal'!AE$2,0))</f>
        <v>0</v>
      </c>
      <c r="AF225" s="9">
        <f>SUMIFS(#REF!,#REF!,
$A225,#REF!,
"&gt;="&amp;'Faturado mensal'!AF$2,#REF!,
"&lt;"&amp;EOMONTH('Faturado mensal'!AF$2,0))</f>
        <v>0</v>
      </c>
      <c r="AG225" s="9">
        <f>SUMIFS(#REF!,#REF!,
$A225,#REF!,
"&gt;="&amp;'Faturado mensal'!AG$2,#REF!,
"&lt;"&amp;EOMONTH('Faturado mensal'!AG$2,0))</f>
        <v>0</v>
      </c>
      <c r="AH225" s="9">
        <f>SUMIFS(#REF!,#REF!,
$A225,#REF!,
"&gt;="&amp;'Faturado mensal'!AH$2,#REF!,
"&lt;"&amp;EOMONTH('Faturado mensal'!AH$2,0))</f>
        <v>0</v>
      </c>
      <c r="AI225" s="9">
        <f>SUMIFS(#REF!,#REF!,
$A225,#REF!,
"&gt;="&amp;'Faturado mensal'!AI$2,#REF!,
"&lt;"&amp;EOMONTH('Faturado mensal'!AI$2,0))</f>
        <v>0</v>
      </c>
      <c r="AJ225" s="9">
        <f>SUMIFS(#REF!,#REF!,
$A225,#REF!,
"&gt;="&amp;'Faturado mensal'!AJ$2,#REF!,
"&lt;"&amp;EOMONTH('Faturado mensal'!AJ$2,0))</f>
        <v>0</v>
      </c>
      <c r="AK225" s="9">
        <f>SUMIFS(#REF!,#REF!,
$A225,#REF!,
"&gt;="&amp;'Faturado mensal'!AK$2,#REF!,
"&lt;"&amp;EOMONTH('Faturado mensal'!AK$2,0))</f>
        <v>0</v>
      </c>
      <c r="AL225" s="9">
        <f>SUMIFS(#REF!,#REF!,
$A225,#REF!,
"&gt;="&amp;Z$2,#REF!,
"&lt;"&amp;EOMONTH(AK$2,0))</f>
        <v>0</v>
      </c>
    </row>
    <row r="226" spans="1:38" x14ac:dyDescent="0.3">
      <c r="A226" t="s">
        <v>519</v>
      </c>
      <c r="B226" t="s">
        <v>393</v>
      </c>
      <c r="C226" t="s">
        <v>34</v>
      </c>
      <c r="D226" t="s">
        <v>209</v>
      </c>
      <c r="I226" t="s">
        <v>34</v>
      </c>
      <c r="J226" t="s">
        <v>710</v>
      </c>
      <c r="K226" t="s">
        <v>845</v>
      </c>
      <c r="L226" t="s">
        <v>846</v>
      </c>
      <c r="M226" s="9">
        <f>SUMIFS(#REF!,#REF!,
$A226,#REF!,
"&gt;="&amp;'Faturado mensal'!M$2,#REF!,
"&lt;"&amp;EOMONTH('Faturado mensal'!M$2,0))</f>
        <v>0</v>
      </c>
      <c r="N226" s="9">
        <f>SUMIFS(#REF!,#REF!,
$A226,#REF!,
"&gt;="&amp;'Faturado mensal'!N$2,#REF!,
"&lt;"&amp;EOMONTH('Faturado mensal'!N$2,0))</f>
        <v>0</v>
      </c>
      <c r="O226" s="9">
        <f>SUMIFS(#REF!,#REF!,
$A226,#REF!,
"&gt;="&amp;'Faturado mensal'!O$2,#REF!,
"&lt;"&amp;EOMONTH('Faturado mensal'!O$2,0))</f>
        <v>0</v>
      </c>
      <c r="P226" s="9">
        <f>SUMIFS(#REF!,#REF!,
$A226,#REF!,
"&gt;="&amp;'Faturado mensal'!P$2,#REF!,
"&lt;"&amp;EOMONTH('Faturado mensal'!P$2,0))</f>
        <v>0</v>
      </c>
      <c r="Q226" s="9">
        <f>SUMIFS(#REF!,#REF!,
$A226,#REF!,
"&gt;="&amp;'Faturado mensal'!Q$2,#REF!,
"&lt;"&amp;EOMONTH('Faturado mensal'!Q$2,0))</f>
        <v>0</v>
      </c>
      <c r="R226" s="9">
        <f>SUMIFS(#REF!,#REF!,
$A226,#REF!,
"&gt;="&amp;'Faturado mensal'!R$2,#REF!,
"&lt;"&amp;EOMONTH('Faturado mensal'!R$2,0))</f>
        <v>0</v>
      </c>
      <c r="S226" s="9">
        <f>SUMIFS(#REF!,#REF!,
$A226,#REF!,
"&gt;="&amp;'Faturado mensal'!S$2,#REF!,
"&lt;"&amp;EOMONTH('Faturado mensal'!S$2,0))</f>
        <v>0</v>
      </c>
      <c r="T226" s="9">
        <f>SUMIFS(#REF!,#REF!,
$A226,#REF!,
"&gt;="&amp;'Faturado mensal'!T$2,#REF!,
"&lt;"&amp;EOMONTH('Faturado mensal'!T$2,0))</f>
        <v>0</v>
      </c>
      <c r="U226" s="9">
        <f>SUMIFS(#REF!,#REF!,
$A226,#REF!,
"&gt;="&amp;'Faturado mensal'!U$2,#REF!,
"&lt;"&amp;EOMONTH('Faturado mensal'!U$2,0))</f>
        <v>0</v>
      </c>
      <c r="V226" s="9">
        <f>SUMIFS(#REF!,#REF!,
$A226,#REF!,
"&gt;="&amp;'Faturado mensal'!V$2,#REF!,
"&lt;"&amp;EOMONTH('Faturado mensal'!V$2,0))</f>
        <v>0</v>
      </c>
      <c r="W226" s="9">
        <f>SUMIFS(#REF!,#REF!,
$A226,#REF!,
"&gt;="&amp;'Faturado mensal'!W$2,#REF!,
"&lt;"&amp;EOMONTH('Faturado mensal'!W$2,0))</f>
        <v>0</v>
      </c>
      <c r="X226" s="9">
        <f>SUMIFS(#REF!,#REF!,
$A226,#REF!,
"&gt;="&amp;'Faturado mensal'!X$2,#REF!,
"&lt;"&amp;EOMONTH('Faturado mensal'!X$2,0))</f>
        <v>0</v>
      </c>
      <c r="Y226" s="11">
        <f>SUMIFS(#REF!,#REF!,
$A226,#REF!,
"&gt;="&amp;'Faturado mensal'!M$2,#REF!,
"&lt;"&amp;EOMONTH('Faturado mensal'!M$2,12))</f>
        <v>0</v>
      </c>
      <c r="Z226" s="9">
        <f>SUMIFS(#REF!,#REF!,
$A226,#REF!,
"&gt;="&amp;'Faturado mensal'!Z$2,#REF!,
"&lt;"&amp;EOMONTH('Faturado mensal'!Z$2,0))</f>
        <v>0</v>
      </c>
      <c r="AA226" s="9">
        <f>SUMIFS(#REF!,#REF!,
$A226,#REF!,
"&gt;="&amp;'Faturado mensal'!AA$2,#REF!,
"&lt;"&amp;EOMONTH('Faturado mensal'!AA$2,0))</f>
        <v>0</v>
      </c>
      <c r="AB226" s="9">
        <f>SUMIFS(#REF!,#REF!,
$A226,#REF!,
"&gt;="&amp;'Faturado mensal'!AB$2,#REF!,
"&lt;"&amp;EOMONTH('Faturado mensal'!AB$2,0))</f>
        <v>0</v>
      </c>
      <c r="AC226" s="9">
        <f>SUMIFS(#REF!,#REF!,
$A226,#REF!,
"&gt;="&amp;'Faturado mensal'!AC$2,#REF!,
"&lt;"&amp;EOMONTH('Faturado mensal'!AC$2,0))</f>
        <v>0</v>
      </c>
      <c r="AD226" s="9">
        <f>SUMIFS(#REF!,#REF!,
$A226,#REF!,
"&gt;="&amp;'Faturado mensal'!AD$2,#REF!,
"&lt;"&amp;EOMONTH('Faturado mensal'!AD$2,0))</f>
        <v>0</v>
      </c>
      <c r="AE226" s="9">
        <f>SUMIFS(#REF!,#REF!,
$A226,#REF!,
"&gt;="&amp;'Faturado mensal'!AE$2,#REF!,
"&lt;"&amp;EOMONTH('Faturado mensal'!AE$2,0))</f>
        <v>0</v>
      </c>
      <c r="AF226" s="9">
        <f>SUMIFS(#REF!,#REF!,
$A226,#REF!,
"&gt;="&amp;'Faturado mensal'!AF$2,#REF!,
"&lt;"&amp;EOMONTH('Faturado mensal'!AF$2,0))</f>
        <v>0</v>
      </c>
      <c r="AG226" s="9">
        <f>SUMIFS(#REF!,#REF!,
$A226,#REF!,
"&gt;="&amp;'Faturado mensal'!AG$2,#REF!,
"&lt;"&amp;EOMONTH('Faturado mensal'!AG$2,0))</f>
        <v>0</v>
      </c>
      <c r="AH226" s="9">
        <f>SUMIFS(#REF!,#REF!,
$A226,#REF!,
"&gt;="&amp;'Faturado mensal'!AH$2,#REF!,
"&lt;"&amp;EOMONTH('Faturado mensal'!AH$2,0))</f>
        <v>0</v>
      </c>
      <c r="AI226" s="9">
        <f>SUMIFS(#REF!,#REF!,
$A226,#REF!,
"&gt;="&amp;'Faturado mensal'!AI$2,#REF!,
"&lt;"&amp;EOMONTH('Faturado mensal'!AI$2,0))</f>
        <v>0</v>
      </c>
      <c r="AJ226" s="9">
        <f>SUMIFS(#REF!,#REF!,
$A226,#REF!,
"&gt;="&amp;'Faturado mensal'!AJ$2,#REF!,
"&lt;"&amp;EOMONTH('Faturado mensal'!AJ$2,0))</f>
        <v>0</v>
      </c>
      <c r="AK226" s="9">
        <f>SUMIFS(#REF!,#REF!,
$A226,#REF!,
"&gt;="&amp;'Faturado mensal'!AK$2,#REF!,
"&lt;"&amp;EOMONTH('Faturado mensal'!AK$2,0))</f>
        <v>0</v>
      </c>
      <c r="AL226" s="9">
        <f>SUMIFS(#REF!,#REF!,
$A226,#REF!,
"&gt;="&amp;Z$2,#REF!,
"&lt;"&amp;EOMONTH(AK$2,0))</f>
        <v>0</v>
      </c>
    </row>
    <row r="227" spans="1:38" x14ac:dyDescent="0.3">
      <c r="A227" t="s">
        <v>520</v>
      </c>
      <c r="B227" t="s">
        <v>218</v>
      </c>
      <c r="C227" t="s">
        <v>180</v>
      </c>
      <c r="D227" t="s">
        <v>204</v>
      </c>
      <c r="E227" t="s">
        <v>4834</v>
      </c>
      <c r="F227" t="s">
        <v>4776</v>
      </c>
      <c r="G227" t="s">
        <v>4858</v>
      </c>
      <c r="H227" t="s">
        <v>4773</v>
      </c>
      <c r="I227" t="s">
        <v>807</v>
      </c>
      <c r="J227" t="s">
        <v>710</v>
      </c>
      <c r="K227" t="s">
        <v>720</v>
      </c>
      <c r="L227" t="s">
        <v>721</v>
      </c>
      <c r="M227" s="9">
        <f>SUMIFS(#REF!,#REF!,
$A227,#REF!,
"&gt;="&amp;'Faturado mensal'!M$2,#REF!,
"&lt;"&amp;EOMONTH('Faturado mensal'!M$2,0))</f>
        <v>0</v>
      </c>
      <c r="N227" s="9">
        <f>SUMIFS(#REF!,#REF!,
$A227,#REF!,
"&gt;="&amp;'Faturado mensal'!N$2,#REF!,
"&lt;"&amp;EOMONTH('Faturado mensal'!N$2,0))</f>
        <v>0</v>
      </c>
      <c r="O227" s="9">
        <f>SUMIFS(#REF!,#REF!,
$A227,#REF!,
"&gt;="&amp;'Faturado mensal'!O$2,#REF!,
"&lt;"&amp;EOMONTH('Faturado mensal'!O$2,0))</f>
        <v>0</v>
      </c>
      <c r="P227" s="9">
        <f>SUMIFS(#REF!,#REF!,
$A227,#REF!,
"&gt;="&amp;'Faturado mensal'!P$2,#REF!,
"&lt;"&amp;EOMONTH('Faturado mensal'!P$2,0))</f>
        <v>0</v>
      </c>
      <c r="Q227" s="9">
        <f>SUMIFS(#REF!,#REF!,
$A227,#REF!,
"&gt;="&amp;'Faturado mensal'!Q$2,#REF!,
"&lt;"&amp;EOMONTH('Faturado mensal'!Q$2,0))</f>
        <v>0</v>
      </c>
      <c r="R227" s="9">
        <f>SUMIFS(#REF!,#REF!,
$A227,#REF!,
"&gt;="&amp;'Faturado mensal'!R$2,#REF!,
"&lt;"&amp;EOMONTH('Faturado mensal'!R$2,0))</f>
        <v>0</v>
      </c>
      <c r="S227" s="9">
        <f>SUMIFS(#REF!,#REF!,
$A227,#REF!,
"&gt;="&amp;'Faturado mensal'!S$2,#REF!,
"&lt;"&amp;EOMONTH('Faturado mensal'!S$2,0))</f>
        <v>0</v>
      </c>
      <c r="T227" s="9">
        <f>SUMIFS(#REF!,#REF!,
$A227,#REF!,
"&gt;="&amp;'Faturado mensal'!T$2,#REF!,
"&lt;"&amp;EOMONTH('Faturado mensal'!T$2,0))</f>
        <v>0</v>
      </c>
      <c r="U227" s="9">
        <f>SUMIFS(#REF!,#REF!,
$A227,#REF!,
"&gt;="&amp;'Faturado mensal'!U$2,#REF!,
"&lt;"&amp;EOMONTH('Faturado mensal'!U$2,0))</f>
        <v>0</v>
      </c>
      <c r="V227" s="9">
        <f>SUMIFS(#REF!,#REF!,
$A227,#REF!,
"&gt;="&amp;'Faturado mensal'!V$2,#REF!,
"&lt;"&amp;EOMONTH('Faturado mensal'!V$2,0))</f>
        <v>0</v>
      </c>
      <c r="W227" s="9">
        <f>SUMIFS(#REF!,#REF!,
$A227,#REF!,
"&gt;="&amp;'Faturado mensal'!W$2,#REF!,
"&lt;"&amp;EOMONTH('Faturado mensal'!W$2,0))</f>
        <v>0</v>
      </c>
      <c r="X227" s="9">
        <f>SUMIFS(#REF!,#REF!,
$A227,#REF!,
"&gt;="&amp;'Faturado mensal'!X$2,#REF!,
"&lt;"&amp;EOMONTH('Faturado mensal'!X$2,0))</f>
        <v>0</v>
      </c>
      <c r="Y227" s="11">
        <f>SUMIFS(#REF!,#REF!,
$A227,#REF!,
"&gt;="&amp;'Faturado mensal'!M$2,#REF!,
"&lt;"&amp;EOMONTH('Faturado mensal'!M$2,12))</f>
        <v>18430.03</v>
      </c>
      <c r="Z227" s="9">
        <f>SUMIFS(#REF!,#REF!,
$A227,#REF!,
"&gt;="&amp;'Faturado mensal'!Z$2,#REF!,
"&lt;"&amp;EOMONTH('Faturado mensal'!Z$2,0))</f>
        <v>1250.01</v>
      </c>
      <c r="AA227" s="9">
        <f>SUMIFS(#REF!,#REF!,
$A227,#REF!,
"&gt;="&amp;'Faturado mensal'!AA$2,#REF!,
"&lt;"&amp;EOMONTH('Faturado mensal'!AA$2,0))</f>
        <v>0</v>
      </c>
      <c r="AB227" s="9">
        <f>SUMIFS(#REF!,#REF!,
$A227,#REF!,
"&gt;="&amp;'Faturado mensal'!AB$2,#REF!,
"&lt;"&amp;EOMONTH('Faturado mensal'!AB$2,0))</f>
        <v>0</v>
      </c>
      <c r="AC227" s="9">
        <f>SUMIFS(#REF!,#REF!,
$A227,#REF!,
"&gt;="&amp;'Faturado mensal'!AC$2,#REF!,
"&lt;"&amp;EOMONTH('Faturado mensal'!AC$2,0))</f>
        <v>0</v>
      </c>
      <c r="AD227" s="9">
        <f>SUMIFS(#REF!,#REF!,
$A227,#REF!,
"&gt;="&amp;'Faturado mensal'!AD$2,#REF!,
"&lt;"&amp;EOMONTH('Faturado mensal'!AD$2,0))</f>
        <v>0</v>
      </c>
      <c r="AE227" s="9">
        <f>SUMIFS(#REF!,#REF!,
$A227,#REF!,
"&gt;="&amp;'Faturado mensal'!AE$2,#REF!,
"&lt;"&amp;EOMONTH('Faturado mensal'!AE$2,0))</f>
        <v>0</v>
      </c>
      <c r="AF227" s="9">
        <f>SUMIFS(#REF!,#REF!,
$A227,#REF!,
"&gt;="&amp;'Faturado mensal'!AF$2,#REF!,
"&lt;"&amp;EOMONTH('Faturado mensal'!AF$2,0))</f>
        <v>0</v>
      </c>
      <c r="AG227" s="9">
        <f>SUMIFS(#REF!,#REF!,
$A227,#REF!,
"&gt;="&amp;'Faturado mensal'!AG$2,#REF!,
"&lt;"&amp;EOMONTH('Faturado mensal'!AG$2,0))</f>
        <v>0</v>
      </c>
      <c r="AH227" s="9">
        <f>SUMIFS(#REF!,#REF!,
$A227,#REF!,
"&gt;="&amp;'Faturado mensal'!AH$2,#REF!,
"&lt;"&amp;EOMONTH('Faturado mensal'!AH$2,0))</f>
        <v>0</v>
      </c>
      <c r="AI227" s="9">
        <f>SUMIFS(#REF!,#REF!,
$A227,#REF!,
"&gt;="&amp;'Faturado mensal'!AI$2,#REF!,
"&lt;"&amp;EOMONTH('Faturado mensal'!AI$2,0))</f>
        <v>0</v>
      </c>
      <c r="AJ227" s="9">
        <f>SUMIFS(#REF!,#REF!,
$A227,#REF!,
"&gt;="&amp;'Faturado mensal'!AJ$2,#REF!,
"&lt;"&amp;EOMONTH('Faturado mensal'!AJ$2,0))</f>
        <v>0</v>
      </c>
      <c r="AK227" s="9">
        <f>SUMIFS(#REF!,#REF!,
$A227,#REF!,
"&gt;="&amp;'Faturado mensal'!AK$2,#REF!,
"&lt;"&amp;EOMONTH('Faturado mensal'!AK$2,0))</f>
        <v>0</v>
      </c>
      <c r="AL227" s="9">
        <f>SUMIFS(#REF!,#REF!,
$A227,#REF!,
"&gt;="&amp;Z$2,#REF!,
"&lt;"&amp;EOMONTH(AK$2,0))</f>
        <v>1250.01</v>
      </c>
    </row>
    <row r="228" spans="1:38" x14ac:dyDescent="0.3">
      <c r="A228" t="s">
        <v>881</v>
      </c>
      <c r="B228" t="s">
        <v>530</v>
      </c>
      <c r="C228" t="s">
        <v>24</v>
      </c>
      <c r="D228" t="s">
        <v>209</v>
      </c>
      <c r="E228" t="s">
        <v>1040</v>
      </c>
      <c r="F228" t="s">
        <v>4779</v>
      </c>
      <c r="G228" t="s">
        <v>4856</v>
      </c>
      <c r="H228" t="s">
        <v>4773</v>
      </c>
      <c r="I228" t="s">
        <v>882</v>
      </c>
      <c r="J228" t="s">
        <v>719</v>
      </c>
      <c r="K228" t="s">
        <v>748</v>
      </c>
      <c r="L228" t="s">
        <v>749</v>
      </c>
      <c r="M228" s="9">
        <f>SUMIFS(#REF!,#REF!,
$A228,#REF!,
"&gt;="&amp;'Faturado mensal'!M$2,#REF!,
"&lt;"&amp;EOMONTH('Faturado mensal'!M$2,0))</f>
        <v>0</v>
      </c>
      <c r="N228" s="9">
        <f>SUMIFS(#REF!,#REF!,
$A228,#REF!,
"&gt;="&amp;'Faturado mensal'!N$2,#REF!,
"&lt;"&amp;EOMONTH('Faturado mensal'!N$2,0))</f>
        <v>0</v>
      </c>
      <c r="O228" s="9">
        <f>SUMIFS(#REF!,#REF!,
$A228,#REF!,
"&gt;="&amp;'Faturado mensal'!O$2,#REF!,
"&lt;"&amp;EOMONTH('Faturado mensal'!O$2,0))</f>
        <v>0</v>
      </c>
      <c r="P228" s="9">
        <f>SUMIFS(#REF!,#REF!,
$A228,#REF!,
"&gt;="&amp;'Faturado mensal'!P$2,#REF!,
"&lt;"&amp;EOMONTH('Faturado mensal'!P$2,0))</f>
        <v>0</v>
      </c>
      <c r="Q228" s="9">
        <f>SUMIFS(#REF!,#REF!,
$A228,#REF!,
"&gt;="&amp;'Faturado mensal'!Q$2,#REF!,
"&lt;"&amp;EOMONTH('Faturado mensal'!Q$2,0))</f>
        <v>0</v>
      </c>
      <c r="R228" s="9">
        <f>SUMIFS(#REF!,#REF!,
$A228,#REF!,
"&gt;="&amp;'Faturado mensal'!R$2,#REF!,
"&lt;"&amp;EOMONTH('Faturado mensal'!R$2,0))</f>
        <v>0</v>
      </c>
      <c r="S228" s="9">
        <f>SUMIFS(#REF!,#REF!,
$A228,#REF!,
"&gt;="&amp;'Faturado mensal'!S$2,#REF!,
"&lt;"&amp;EOMONTH('Faturado mensal'!S$2,0))</f>
        <v>0</v>
      </c>
      <c r="T228" s="9">
        <f>SUMIFS(#REF!,#REF!,
$A228,#REF!,
"&gt;="&amp;'Faturado mensal'!T$2,#REF!,
"&lt;"&amp;EOMONTH('Faturado mensal'!T$2,0))</f>
        <v>0</v>
      </c>
      <c r="U228" s="9">
        <f>SUMIFS(#REF!,#REF!,
$A228,#REF!,
"&gt;="&amp;'Faturado mensal'!U$2,#REF!,
"&lt;"&amp;EOMONTH('Faturado mensal'!U$2,0))</f>
        <v>0</v>
      </c>
      <c r="V228" s="9">
        <f>SUMIFS(#REF!,#REF!,
$A228,#REF!,
"&gt;="&amp;'Faturado mensal'!V$2,#REF!,
"&lt;"&amp;EOMONTH('Faturado mensal'!V$2,0))</f>
        <v>0</v>
      </c>
      <c r="W228" s="9">
        <f>SUMIFS(#REF!,#REF!,
$A228,#REF!,
"&gt;="&amp;'Faturado mensal'!W$2,#REF!,
"&lt;"&amp;EOMONTH('Faturado mensal'!W$2,0))</f>
        <v>0</v>
      </c>
      <c r="X228" s="9">
        <f>SUMIFS(#REF!,#REF!,
$A228,#REF!,
"&gt;="&amp;'Faturado mensal'!X$2,#REF!,
"&lt;"&amp;EOMONTH('Faturado mensal'!X$2,0))</f>
        <v>0</v>
      </c>
      <c r="Y228" s="11">
        <f>SUMIFS(#REF!,#REF!,
$A228,#REF!,
"&gt;="&amp;'Faturado mensal'!M$2,#REF!,
"&lt;"&amp;EOMONTH('Faturado mensal'!M$2,12))</f>
        <v>0</v>
      </c>
      <c r="Z228" s="9">
        <f>SUMIFS(#REF!,#REF!,
$A228,#REF!,
"&gt;="&amp;'Faturado mensal'!Z$2,#REF!,
"&lt;"&amp;EOMONTH('Faturado mensal'!Z$2,0))</f>
        <v>0</v>
      </c>
      <c r="AA228" s="9">
        <f>SUMIFS(#REF!,#REF!,
$A228,#REF!,
"&gt;="&amp;'Faturado mensal'!AA$2,#REF!,
"&lt;"&amp;EOMONTH('Faturado mensal'!AA$2,0))</f>
        <v>0</v>
      </c>
      <c r="AB228" s="9">
        <f>SUMIFS(#REF!,#REF!,
$A228,#REF!,
"&gt;="&amp;'Faturado mensal'!AB$2,#REF!,
"&lt;"&amp;EOMONTH('Faturado mensal'!AB$2,0))</f>
        <v>0</v>
      </c>
      <c r="AC228" s="9">
        <f>SUMIFS(#REF!,#REF!,
$A228,#REF!,
"&gt;="&amp;'Faturado mensal'!AC$2,#REF!,
"&lt;"&amp;EOMONTH('Faturado mensal'!AC$2,0))</f>
        <v>0</v>
      </c>
      <c r="AD228" s="9">
        <f>SUMIFS(#REF!,#REF!,
$A228,#REF!,
"&gt;="&amp;'Faturado mensal'!AD$2,#REF!,
"&lt;"&amp;EOMONTH('Faturado mensal'!AD$2,0))</f>
        <v>0</v>
      </c>
      <c r="AE228" s="9">
        <f>SUMIFS(#REF!,#REF!,
$A228,#REF!,
"&gt;="&amp;'Faturado mensal'!AE$2,#REF!,
"&lt;"&amp;EOMONTH('Faturado mensal'!AE$2,0))</f>
        <v>0</v>
      </c>
      <c r="AF228" s="9">
        <f>SUMIFS(#REF!,#REF!,
$A228,#REF!,
"&gt;="&amp;'Faturado mensal'!AF$2,#REF!,
"&lt;"&amp;EOMONTH('Faturado mensal'!AF$2,0))</f>
        <v>0</v>
      </c>
      <c r="AG228" s="9">
        <f>SUMIFS(#REF!,#REF!,
$A228,#REF!,
"&gt;="&amp;'Faturado mensal'!AG$2,#REF!,
"&lt;"&amp;EOMONTH('Faturado mensal'!AG$2,0))</f>
        <v>0</v>
      </c>
      <c r="AH228" s="9">
        <f>SUMIFS(#REF!,#REF!,
$A228,#REF!,
"&gt;="&amp;'Faturado mensal'!AH$2,#REF!,
"&lt;"&amp;EOMONTH('Faturado mensal'!AH$2,0))</f>
        <v>0</v>
      </c>
      <c r="AI228" s="9">
        <f>SUMIFS(#REF!,#REF!,
$A228,#REF!,
"&gt;="&amp;'Faturado mensal'!AI$2,#REF!,
"&lt;"&amp;EOMONTH('Faturado mensal'!AI$2,0))</f>
        <v>0</v>
      </c>
      <c r="AJ228" s="9">
        <f>SUMIFS(#REF!,#REF!,
$A228,#REF!,
"&gt;="&amp;'Faturado mensal'!AJ$2,#REF!,
"&lt;"&amp;EOMONTH('Faturado mensal'!AJ$2,0))</f>
        <v>0</v>
      </c>
      <c r="AK228" s="9">
        <f>SUMIFS(#REF!,#REF!,
$A228,#REF!,
"&gt;="&amp;'Faturado mensal'!AK$2,#REF!,
"&lt;"&amp;EOMONTH('Faturado mensal'!AK$2,0))</f>
        <v>0</v>
      </c>
      <c r="AL228" s="9">
        <f>SUMIFS(#REF!,#REF!,
$A228,#REF!,
"&gt;="&amp;Z$2,#REF!,
"&lt;"&amp;EOMONTH(AK$2,0))</f>
        <v>0</v>
      </c>
    </row>
    <row r="229" spans="1:38" x14ac:dyDescent="0.3">
      <c r="A229" t="s">
        <v>521</v>
      </c>
      <c r="B229" t="s">
        <v>522</v>
      </c>
      <c r="C229" t="s">
        <v>50</v>
      </c>
      <c r="D229" t="s">
        <v>204</v>
      </c>
      <c r="E229" t="s">
        <v>1037</v>
      </c>
      <c r="F229" t="s">
        <v>4776</v>
      </c>
      <c r="G229" t="s">
        <v>4852</v>
      </c>
      <c r="H229" t="s">
        <v>4773</v>
      </c>
      <c r="I229" t="s">
        <v>883</v>
      </c>
      <c r="J229" t="s">
        <v>884</v>
      </c>
      <c r="K229" t="s">
        <v>717</v>
      </c>
      <c r="L229" t="s">
        <v>718</v>
      </c>
      <c r="M229" s="9">
        <f>SUMIFS(#REF!,#REF!,
$A229,#REF!,
"&gt;="&amp;'Faturado mensal'!M$2,#REF!,
"&lt;"&amp;EOMONTH('Faturado mensal'!M$2,0))</f>
        <v>547.27</v>
      </c>
      <c r="N229" s="9">
        <f>SUMIFS(#REF!,#REF!,
$A229,#REF!,
"&gt;="&amp;'Faturado mensal'!N$2,#REF!,
"&lt;"&amp;EOMONTH('Faturado mensal'!N$2,0))</f>
        <v>0</v>
      </c>
      <c r="O229" s="9">
        <f>SUMIFS(#REF!,#REF!,
$A229,#REF!,
"&gt;="&amp;'Faturado mensal'!O$2,#REF!,
"&lt;"&amp;EOMONTH('Faturado mensal'!O$2,0))</f>
        <v>547.27</v>
      </c>
      <c r="P229" s="9">
        <f>SUMIFS(#REF!,#REF!,
$A229,#REF!,
"&gt;="&amp;'Faturado mensal'!P$2,#REF!,
"&lt;"&amp;EOMONTH('Faturado mensal'!P$2,0))</f>
        <v>1094.54</v>
      </c>
      <c r="Q229" s="9">
        <f>SUMIFS(#REF!,#REF!,
$A229,#REF!,
"&gt;="&amp;'Faturado mensal'!Q$2,#REF!,
"&lt;"&amp;EOMONTH('Faturado mensal'!Q$2,0))</f>
        <v>547.27</v>
      </c>
      <c r="R229" s="9">
        <f>SUMIFS(#REF!,#REF!,
$A229,#REF!,
"&gt;="&amp;'Faturado mensal'!R$2,#REF!,
"&lt;"&amp;EOMONTH('Faturado mensal'!R$2,0))</f>
        <v>547.27</v>
      </c>
      <c r="S229" s="9">
        <f>SUMIFS(#REF!,#REF!,
$A229,#REF!,
"&gt;="&amp;'Faturado mensal'!S$2,#REF!,
"&lt;"&amp;EOMONTH('Faturado mensal'!S$2,0))</f>
        <v>0</v>
      </c>
      <c r="T229" s="9">
        <f>SUMIFS(#REF!,#REF!,
$A229,#REF!,
"&gt;="&amp;'Faturado mensal'!T$2,#REF!,
"&lt;"&amp;EOMONTH('Faturado mensal'!T$2,0))</f>
        <v>547.27</v>
      </c>
      <c r="U229" s="9">
        <f>SUMIFS(#REF!,#REF!,
$A229,#REF!,
"&gt;="&amp;'Faturado mensal'!U$2,#REF!,
"&lt;"&amp;EOMONTH('Faturado mensal'!U$2,0))</f>
        <v>547.27</v>
      </c>
      <c r="V229" s="9">
        <f>SUMIFS(#REF!,#REF!,
$A229,#REF!,
"&gt;="&amp;'Faturado mensal'!V$2,#REF!,
"&lt;"&amp;EOMONTH('Faturado mensal'!V$2,0))</f>
        <v>1094.54</v>
      </c>
      <c r="W229" s="9">
        <f>SUMIFS(#REF!,#REF!,
$A229,#REF!,
"&gt;="&amp;'Faturado mensal'!W$2,#REF!,
"&lt;"&amp;EOMONTH('Faturado mensal'!W$2,0))</f>
        <v>0</v>
      </c>
      <c r="X229" s="9">
        <f>SUMIFS(#REF!,#REF!,
$A229,#REF!,
"&gt;="&amp;'Faturado mensal'!X$2,#REF!,
"&lt;"&amp;EOMONTH('Faturado mensal'!X$2,0))</f>
        <v>1125.6199999999999</v>
      </c>
      <c r="Y229" s="11">
        <f>SUMIFS(#REF!,#REF!,
$A229,#REF!,
"&gt;="&amp;'Faturado mensal'!M$2,#REF!,
"&lt;"&amp;EOMONTH('Faturado mensal'!M$2,12))</f>
        <v>6598.32</v>
      </c>
      <c r="Z229" s="9">
        <f>SUMIFS(#REF!,#REF!,
$A229,#REF!,
"&gt;="&amp;'Faturado mensal'!Z$2,#REF!,
"&lt;"&amp;EOMONTH('Faturado mensal'!Z$2,0))</f>
        <v>0</v>
      </c>
      <c r="AA229" s="9">
        <f>SUMIFS(#REF!,#REF!,
$A229,#REF!,
"&gt;="&amp;'Faturado mensal'!AA$2,#REF!,
"&lt;"&amp;EOMONTH('Faturado mensal'!AA$2,0))</f>
        <v>562.80999999999995</v>
      </c>
      <c r="AB229" s="9">
        <f>SUMIFS(#REF!,#REF!,
$A229,#REF!,
"&gt;="&amp;'Faturado mensal'!AB$2,#REF!,
"&lt;"&amp;EOMONTH('Faturado mensal'!AB$2,0))</f>
        <v>562.80999999999995</v>
      </c>
      <c r="AC229" s="9">
        <f>SUMIFS(#REF!,#REF!,
$A229,#REF!,
"&gt;="&amp;'Faturado mensal'!AC$2,#REF!,
"&lt;"&amp;EOMONTH('Faturado mensal'!AC$2,0))</f>
        <v>1125.6199999999999</v>
      </c>
      <c r="AD229" s="9">
        <f>SUMIFS(#REF!,#REF!,
$A229,#REF!,
"&gt;="&amp;'Faturado mensal'!AD$2,#REF!,
"&lt;"&amp;EOMONTH('Faturado mensal'!AD$2,0))</f>
        <v>562.80999999999995</v>
      </c>
      <c r="AE229" s="9">
        <f>SUMIFS(#REF!,#REF!,
$A229,#REF!,
"&gt;="&amp;'Faturado mensal'!AE$2,#REF!,
"&lt;"&amp;EOMONTH('Faturado mensal'!AE$2,0))</f>
        <v>0</v>
      </c>
      <c r="AF229" s="9">
        <f>SUMIFS(#REF!,#REF!,
$A229,#REF!,
"&gt;="&amp;'Faturado mensal'!AF$2,#REF!,
"&lt;"&amp;EOMONTH('Faturado mensal'!AF$2,0))</f>
        <v>0</v>
      </c>
      <c r="AG229" s="9">
        <f>SUMIFS(#REF!,#REF!,
$A229,#REF!,
"&gt;="&amp;'Faturado mensal'!AG$2,#REF!,
"&lt;"&amp;EOMONTH('Faturado mensal'!AG$2,0))</f>
        <v>0</v>
      </c>
      <c r="AH229" s="9">
        <f>SUMIFS(#REF!,#REF!,
$A229,#REF!,
"&gt;="&amp;'Faturado mensal'!AH$2,#REF!,
"&lt;"&amp;EOMONTH('Faturado mensal'!AH$2,0))</f>
        <v>0</v>
      </c>
      <c r="AI229" s="9">
        <f>SUMIFS(#REF!,#REF!,
$A229,#REF!,
"&gt;="&amp;'Faturado mensal'!AI$2,#REF!,
"&lt;"&amp;EOMONTH('Faturado mensal'!AI$2,0))</f>
        <v>0</v>
      </c>
      <c r="AJ229" s="9">
        <f>SUMIFS(#REF!,#REF!,
$A229,#REF!,
"&gt;="&amp;'Faturado mensal'!AJ$2,#REF!,
"&lt;"&amp;EOMONTH('Faturado mensal'!AJ$2,0))</f>
        <v>0</v>
      </c>
      <c r="AK229" s="9">
        <f>SUMIFS(#REF!,#REF!,
$A229,#REF!,
"&gt;="&amp;'Faturado mensal'!AK$2,#REF!,
"&lt;"&amp;EOMONTH('Faturado mensal'!AK$2,0))</f>
        <v>0</v>
      </c>
      <c r="AL229" s="9">
        <f>SUMIFS(#REF!,#REF!,
$A229,#REF!,
"&gt;="&amp;Z$2,#REF!,
"&lt;"&amp;EOMONTH(AK$2,0))</f>
        <v>2814.0499999999997</v>
      </c>
    </row>
    <row r="230" spans="1:38" x14ac:dyDescent="0.3">
      <c r="A230" t="s">
        <v>523</v>
      </c>
      <c r="B230" t="s">
        <v>524</v>
      </c>
      <c r="C230" t="s">
        <v>135</v>
      </c>
      <c r="D230" t="s">
        <v>209</v>
      </c>
      <c r="G230" t="s">
        <v>807</v>
      </c>
      <c r="I230" t="s">
        <v>885</v>
      </c>
      <c r="J230" t="s">
        <v>719</v>
      </c>
      <c r="K230" t="s">
        <v>711</v>
      </c>
      <c r="L230" t="s">
        <v>712</v>
      </c>
      <c r="M230" s="9">
        <f>SUMIFS(#REF!,#REF!,
$A230,#REF!,
"&gt;="&amp;'Faturado mensal'!M$2,#REF!,
"&lt;"&amp;EOMONTH('Faturado mensal'!M$2,0))</f>
        <v>0</v>
      </c>
      <c r="N230" s="9">
        <f>SUMIFS(#REF!,#REF!,
$A230,#REF!,
"&gt;="&amp;'Faturado mensal'!N$2,#REF!,
"&lt;"&amp;EOMONTH('Faturado mensal'!N$2,0))</f>
        <v>0</v>
      </c>
      <c r="O230" s="9">
        <f>SUMIFS(#REF!,#REF!,
$A230,#REF!,
"&gt;="&amp;'Faturado mensal'!O$2,#REF!,
"&lt;"&amp;EOMONTH('Faturado mensal'!O$2,0))</f>
        <v>0</v>
      </c>
      <c r="P230" s="9">
        <f>SUMIFS(#REF!,#REF!,
$A230,#REF!,
"&gt;="&amp;'Faturado mensal'!P$2,#REF!,
"&lt;"&amp;EOMONTH('Faturado mensal'!P$2,0))</f>
        <v>0</v>
      </c>
      <c r="Q230" s="9">
        <f>SUMIFS(#REF!,#REF!,
$A230,#REF!,
"&gt;="&amp;'Faturado mensal'!Q$2,#REF!,
"&lt;"&amp;EOMONTH('Faturado mensal'!Q$2,0))</f>
        <v>0</v>
      </c>
      <c r="R230" s="9">
        <f>SUMIFS(#REF!,#REF!,
$A230,#REF!,
"&gt;="&amp;'Faturado mensal'!R$2,#REF!,
"&lt;"&amp;EOMONTH('Faturado mensal'!R$2,0))</f>
        <v>0</v>
      </c>
      <c r="S230" s="9">
        <f>SUMIFS(#REF!,#REF!,
$A230,#REF!,
"&gt;="&amp;'Faturado mensal'!S$2,#REF!,
"&lt;"&amp;EOMONTH('Faturado mensal'!S$2,0))</f>
        <v>0</v>
      </c>
      <c r="T230" s="9">
        <f>SUMIFS(#REF!,#REF!,
$A230,#REF!,
"&gt;="&amp;'Faturado mensal'!T$2,#REF!,
"&lt;"&amp;EOMONTH('Faturado mensal'!T$2,0))</f>
        <v>0</v>
      </c>
      <c r="U230" s="9">
        <f>SUMIFS(#REF!,#REF!,
$A230,#REF!,
"&gt;="&amp;'Faturado mensal'!U$2,#REF!,
"&lt;"&amp;EOMONTH('Faturado mensal'!U$2,0))</f>
        <v>0</v>
      </c>
      <c r="V230" s="9">
        <f>SUMIFS(#REF!,#REF!,
$A230,#REF!,
"&gt;="&amp;'Faturado mensal'!V$2,#REF!,
"&lt;"&amp;EOMONTH('Faturado mensal'!V$2,0))</f>
        <v>0</v>
      </c>
      <c r="W230" s="9">
        <f>SUMIFS(#REF!,#REF!,
$A230,#REF!,
"&gt;="&amp;'Faturado mensal'!W$2,#REF!,
"&lt;"&amp;EOMONTH('Faturado mensal'!W$2,0))</f>
        <v>0</v>
      </c>
      <c r="X230" s="9">
        <f>SUMIFS(#REF!,#REF!,
$A230,#REF!,
"&gt;="&amp;'Faturado mensal'!X$2,#REF!,
"&lt;"&amp;EOMONTH('Faturado mensal'!X$2,0))</f>
        <v>0</v>
      </c>
      <c r="Y230" s="11">
        <f>SUMIFS(#REF!,#REF!,
$A230,#REF!,
"&gt;="&amp;'Faturado mensal'!M$2,#REF!,
"&lt;"&amp;EOMONTH('Faturado mensal'!M$2,12))</f>
        <v>0</v>
      </c>
      <c r="Z230" s="9">
        <f>SUMIFS(#REF!,#REF!,
$A230,#REF!,
"&gt;="&amp;'Faturado mensal'!Z$2,#REF!,
"&lt;"&amp;EOMONTH('Faturado mensal'!Z$2,0))</f>
        <v>0</v>
      </c>
      <c r="AA230" s="9">
        <f>SUMIFS(#REF!,#REF!,
$A230,#REF!,
"&gt;="&amp;'Faturado mensal'!AA$2,#REF!,
"&lt;"&amp;EOMONTH('Faturado mensal'!AA$2,0))</f>
        <v>0</v>
      </c>
      <c r="AB230" s="9">
        <f>SUMIFS(#REF!,#REF!,
$A230,#REF!,
"&gt;="&amp;'Faturado mensal'!AB$2,#REF!,
"&lt;"&amp;EOMONTH('Faturado mensal'!AB$2,0))</f>
        <v>0</v>
      </c>
      <c r="AC230" s="9">
        <f>SUMIFS(#REF!,#REF!,
$A230,#REF!,
"&gt;="&amp;'Faturado mensal'!AC$2,#REF!,
"&lt;"&amp;EOMONTH('Faturado mensal'!AC$2,0))</f>
        <v>0</v>
      </c>
      <c r="AD230" s="9">
        <f>SUMIFS(#REF!,#REF!,
$A230,#REF!,
"&gt;="&amp;'Faturado mensal'!AD$2,#REF!,
"&lt;"&amp;EOMONTH('Faturado mensal'!AD$2,0))</f>
        <v>0</v>
      </c>
      <c r="AE230" s="9">
        <f>SUMIFS(#REF!,#REF!,
$A230,#REF!,
"&gt;="&amp;'Faturado mensal'!AE$2,#REF!,
"&lt;"&amp;EOMONTH('Faturado mensal'!AE$2,0))</f>
        <v>0</v>
      </c>
      <c r="AF230" s="9">
        <f>SUMIFS(#REF!,#REF!,
$A230,#REF!,
"&gt;="&amp;'Faturado mensal'!AF$2,#REF!,
"&lt;"&amp;EOMONTH('Faturado mensal'!AF$2,0))</f>
        <v>0</v>
      </c>
      <c r="AG230" s="9">
        <f>SUMIFS(#REF!,#REF!,
$A230,#REF!,
"&gt;="&amp;'Faturado mensal'!AG$2,#REF!,
"&lt;"&amp;EOMONTH('Faturado mensal'!AG$2,0))</f>
        <v>0</v>
      </c>
      <c r="AH230" s="9">
        <f>SUMIFS(#REF!,#REF!,
$A230,#REF!,
"&gt;="&amp;'Faturado mensal'!AH$2,#REF!,
"&lt;"&amp;EOMONTH('Faturado mensal'!AH$2,0))</f>
        <v>0</v>
      </c>
      <c r="AI230" s="9">
        <f>SUMIFS(#REF!,#REF!,
$A230,#REF!,
"&gt;="&amp;'Faturado mensal'!AI$2,#REF!,
"&lt;"&amp;EOMONTH('Faturado mensal'!AI$2,0))</f>
        <v>0</v>
      </c>
      <c r="AJ230" s="9">
        <f>SUMIFS(#REF!,#REF!,
$A230,#REF!,
"&gt;="&amp;'Faturado mensal'!AJ$2,#REF!,
"&lt;"&amp;EOMONTH('Faturado mensal'!AJ$2,0))</f>
        <v>0</v>
      </c>
      <c r="AK230" s="9">
        <f>SUMIFS(#REF!,#REF!,
$A230,#REF!,
"&gt;="&amp;'Faturado mensal'!AK$2,#REF!,
"&lt;"&amp;EOMONTH('Faturado mensal'!AK$2,0))</f>
        <v>0</v>
      </c>
      <c r="AL230" s="9">
        <f>SUMIFS(#REF!,#REF!,
$A230,#REF!,
"&gt;="&amp;Z$2,#REF!,
"&lt;"&amp;EOMONTH(AK$2,0))</f>
        <v>0</v>
      </c>
    </row>
    <row r="231" spans="1:38" x14ac:dyDescent="0.3">
      <c r="A231" t="s">
        <v>525</v>
      </c>
      <c r="B231" t="s">
        <v>526</v>
      </c>
      <c r="C231" t="s">
        <v>70</v>
      </c>
      <c r="D231" t="s">
        <v>209</v>
      </c>
      <c r="G231" t="s">
        <v>807</v>
      </c>
      <c r="I231" t="s">
        <v>886</v>
      </c>
      <c r="J231" t="s">
        <v>710</v>
      </c>
      <c r="K231" t="s">
        <v>720</v>
      </c>
      <c r="L231" t="s">
        <v>721</v>
      </c>
      <c r="M231" s="9">
        <f>SUMIFS(#REF!,#REF!,
$A231,#REF!,
"&gt;="&amp;'Faturado mensal'!M$2,#REF!,
"&lt;"&amp;EOMONTH('Faturado mensal'!M$2,0))</f>
        <v>0</v>
      </c>
      <c r="N231" s="9">
        <f>SUMIFS(#REF!,#REF!,
$A231,#REF!,
"&gt;="&amp;'Faturado mensal'!N$2,#REF!,
"&lt;"&amp;EOMONTH('Faturado mensal'!N$2,0))</f>
        <v>0</v>
      </c>
      <c r="O231" s="9">
        <f>SUMIFS(#REF!,#REF!,
$A231,#REF!,
"&gt;="&amp;'Faturado mensal'!O$2,#REF!,
"&lt;"&amp;EOMONTH('Faturado mensal'!O$2,0))</f>
        <v>0</v>
      </c>
      <c r="P231" s="9">
        <f>SUMIFS(#REF!,#REF!,
$A231,#REF!,
"&gt;="&amp;'Faturado mensal'!P$2,#REF!,
"&lt;"&amp;EOMONTH('Faturado mensal'!P$2,0))</f>
        <v>0</v>
      </c>
      <c r="Q231" s="9">
        <f>SUMIFS(#REF!,#REF!,
$A231,#REF!,
"&gt;="&amp;'Faturado mensal'!Q$2,#REF!,
"&lt;"&amp;EOMONTH('Faturado mensal'!Q$2,0))</f>
        <v>0</v>
      </c>
      <c r="R231" s="9">
        <f>SUMIFS(#REF!,#REF!,
$A231,#REF!,
"&gt;="&amp;'Faturado mensal'!R$2,#REF!,
"&lt;"&amp;EOMONTH('Faturado mensal'!R$2,0))</f>
        <v>0</v>
      </c>
      <c r="S231" s="9">
        <f>SUMIFS(#REF!,#REF!,
$A231,#REF!,
"&gt;="&amp;'Faturado mensal'!S$2,#REF!,
"&lt;"&amp;EOMONTH('Faturado mensal'!S$2,0))</f>
        <v>0</v>
      </c>
      <c r="T231" s="9">
        <f>SUMIFS(#REF!,#REF!,
$A231,#REF!,
"&gt;="&amp;'Faturado mensal'!T$2,#REF!,
"&lt;"&amp;EOMONTH('Faturado mensal'!T$2,0))</f>
        <v>0</v>
      </c>
      <c r="U231" s="9">
        <f>SUMIFS(#REF!,#REF!,
$A231,#REF!,
"&gt;="&amp;'Faturado mensal'!U$2,#REF!,
"&lt;"&amp;EOMONTH('Faturado mensal'!U$2,0))</f>
        <v>0</v>
      </c>
      <c r="V231" s="9">
        <f>SUMIFS(#REF!,#REF!,
$A231,#REF!,
"&gt;="&amp;'Faturado mensal'!V$2,#REF!,
"&lt;"&amp;EOMONTH('Faturado mensal'!V$2,0))</f>
        <v>0</v>
      </c>
      <c r="W231" s="9">
        <f>SUMIFS(#REF!,#REF!,
$A231,#REF!,
"&gt;="&amp;'Faturado mensal'!W$2,#REF!,
"&lt;"&amp;EOMONTH('Faturado mensal'!W$2,0))</f>
        <v>0</v>
      </c>
      <c r="X231" s="9">
        <f>SUMIFS(#REF!,#REF!,
$A231,#REF!,
"&gt;="&amp;'Faturado mensal'!X$2,#REF!,
"&lt;"&amp;EOMONTH('Faturado mensal'!X$2,0))</f>
        <v>0</v>
      </c>
      <c r="Y231" s="11">
        <f>SUMIFS(#REF!,#REF!,
$A231,#REF!,
"&gt;="&amp;'Faturado mensal'!M$2,#REF!,
"&lt;"&amp;EOMONTH('Faturado mensal'!M$2,12))</f>
        <v>0</v>
      </c>
      <c r="Z231" s="9">
        <f>SUMIFS(#REF!,#REF!,
$A231,#REF!,
"&gt;="&amp;'Faturado mensal'!Z$2,#REF!,
"&lt;"&amp;EOMONTH('Faturado mensal'!Z$2,0))</f>
        <v>0</v>
      </c>
      <c r="AA231" s="9">
        <f>SUMIFS(#REF!,#REF!,
$A231,#REF!,
"&gt;="&amp;'Faturado mensal'!AA$2,#REF!,
"&lt;"&amp;EOMONTH('Faturado mensal'!AA$2,0))</f>
        <v>0</v>
      </c>
      <c r="AB231" s="9">
        <f>SUMIFS(#REF!,#REF!,
$A231,#REF!,
"&gt;="&amp;'Faturado mensal'!AB$2,#REF!,
"&lt;"&amp;EOMONTH('Faturado mensal'!AB$2,0))</f>
        <v>0</v>
      </c>
      <c r="AC231" s="9">
        <f>SUMIFS(#REF!,#REF!,
$A231,#REF!,
"&gt;="&amp;'Faturado mensal'!AC$2,#REF!,
"&lt;"&amp;EOMONTH('Faturado mensal'!AC$2,0))</f>
        <v>0</v>
      </c>
      <c r="AD231" s="9">
        <f>SUMIFS(#REF!,#REF!,
$A231,#REF!,
"&gt;="&amp;'Faturado mensal'!AD$2,#REF!,
"&lt;"&amp;EOMONTH('Faturado mensal'!AD$2,0))</f>
        <v>0</v>
      </c>
      <c r="AE231" s="9">
        <f>SUMIFS(#REF!,#REF!,
$A231,#REF!,
"&gt;="&amp;'Faturado mensal'!AE$2,#REF!,
"&lt;"&amp;EOMONTH('Faturado mensal'!AE$2,0))</f>
        <v>0</v>
      </c>
      <c r="AF231" s="9">
        <f>SUMIFS(#REF!,#REF!,
$A231,#REF!,
"&gt;="&amp;'Faturado mensal'!AF$2,#REF!,
"&lt;"&amp;EOMONTH('Faturado mensal'!AF$2,0))</f>
        <v>0</v>
      </c>
      <c r="AG231" s="9">
        <f>SUMIFS(#REF!,#REF!,
$A231,#REF!,
"&gt;="&amp;'Faturado mensal'!AG$2,#REF!,
"&lt;"&amp;EOMONTH('Faturado mensal'!AG$2,0))</f>
        <v>0</v>
      </c>
      <c r="AH231" s="9">
        <f>SUMIFS(#REF!,#REF!,
$A231,#REF!,
"&gt;="&amp;'Faturado mensal'!AH$2,#REF!,
"&lt;"&amp;EOMONTH('Faturado mensal'!AH$2,0))</f>
        <v>0</v>
      </c>
      <c r="AI231" s="9">
        <f>SUMIFS(#REF!,#REF!,
$A231,#REF!,
"&gt;="&amp;'Faturado mensal'!AI$2,#REF!,
"&lt;"&amp;EOMONTH('Faturado mensal'!AI$2,0))</f>
        <v>0</v>
      </c>
      <c r="AJ231" s="9">
        <f>SUMIFS(#REF!,#REF!,
$A231,#REF!,
"&gt;="&amp;'Faturado mensal'!AJ$2,#REF!,
"&lt;"&amp;EOMONTH('Faturado mensal'!AJ$2,0))</f>
        <v>0</v>
      </c>
      <c r="AK231" s="9">
        <f>SUMIFS(#REF!,#REF!,
$A231,#REF!,
"&gt;="&amp;'Faturado mensal'!AK$2,#REF!,
"&lt;"&amp;EOMONTH('Faturado mensal'!AK$2,0))</f>
        <v>0</v>
      </c>
      <c r="AL231" s="9">
        <f>SUMIFS(#REF!,#REF!,
$A231,#REF!,
"&gt;="&amp;Z$2,#REF!,
"&lt;"&amp;EOMONTH(AK$2,0))</f>
        <v>0</v>
      </c>
    </row>
    <row r="232" spans="1:38" x14ac:dyDescent="0.3">
      <c r="A232" t="s">
        <v>887</v>
      </c>
      <c r="B232" t="s">
        <v>232</v>
      </c>
      <c r="C232" t="s">
        <v>87</v>
      </c>
      <c r="D232" t="s">
        <v>209</v>
      </c>
      <c r="E232" t="s">
        <v>4834</v>
      </c>
      <c r="F232" t="s">
        <v>4776</v>
      </c>
      <c r="G232" t="s">
        <v>4853</v>
      </c>
      <c r="H232" t="s">
        <v>4773</v>
      </c>
      <c r="I232" t="s">
        <v>888</v>
      </c>
      <c r="J232" t="s">
        <v>719</v>
      </c>
      <c r="K232" t="s">
        <v>720</v>
      </c>
      <c r="L232" t="s">
        <v>721</v>
      </c>
      <c r="M232" s="9">
        <f>SUMIFS(#REF!,#REF!,
$A232,#REF!,
"&gt;="&amp;'Faturado mensal'!M$2,#REF!,
"&lt;"&amp;EOMONTH('Faturado mensal'!M$2,0))</f>
        <v>0</v>
      </c>
      <c r="N232" s="9">
        <f>SUMIFS(#REF!,#REF!,
$A232,#REF!,
"&gt;="&amp;'Faturado mensal'!N$2,#REF!,
"&lt;"&amp;EOMONTH('Faturado mensal'!N$2,0))</f>
        <v>0</v>
      </c>
      <c r="O232" s="9">
        <f>SUMIFS(#REF!,#REF!,
$A232,#REF!,
"&gt;="&amp;'Faturado mensal'!O$2,#REF!,
"&lt;"&amp;EOMONTH('Faturado mensal'!O$2,0))</f>
        <v>0</v>
      </c>
      <c r="P232" s="9">
        <f>SUMIFS(#REF!,#REF!,
$A232,#REF!,
"&gt;="&amp;'Faturado mensal'!P$2,#REF!,
"&lt;"&amp;EOMONTH('Faturado mensal'!P$2,0))</f>
        <v>0</v>
      </c>
      <c r="Q232" s="9">
        <f>SUMIFS(#REF!,#REF!,
$A232,#REF!,
"&gt;="&amp;'Faturado mensal'!Q$2,#REF!,
"&lt;"&amp;EOMONTH('Faturado mensal'!Q$2,0))</f>
        <v>0</v>
      </c>
      <c r="R232" s="9">
        <f>SUMIFS(#REF!,#REF!,
$A232,#REF!,
"&gt;="&amp;'Faturado mensal'!R$2,#REF!,
"&lt;"&amp;EOMONTH('Faturado mensal'!R$2,0))</f>
        <v>0</v>
      </c>
      <c r="S232" s="9">
        <f>SUMIFS(#REF!,#REF!,
$A232,#REF!,
"&gt;="&amp;'Faturado mensal'!S$2,#REF!,
"&lt;"&amp;EOMONTH('Faturado mensal'!S$2,0))</f>
        <v>0</v>
      </c>
      <c r="T232" s="9">
        <f>SUMIFS(#REF!,#REF!,
$A232,#REF!,
"&gt;="&amp;'Faturado mensal'!T$2,#REF!,
"&lt;"&amp;EOMONTH('Faturado mensal'!T$2,0))</f>
        <v>0</v>
      </c>
      <c r="U232" s="9">
        <f>SUMIFS(#REF!,#REF!,
$A232,#REF!,
"&gt;="&amp;'Faturado mensal'!U$2,#REF!,
"&lt;"&amp;EOMONTH('Faturado mensal'!U$2,0))</f>
        <v>0</v>
      </c>
      <c r="V232" s="9">
        <f>SUMIFS(#REF!,#REF!,
$A232,#REF!,
"&gt;="&amp;'Faturado mensal'!V$2,#REF!,
"&lt;"&amp;EOMONTH('Faturado mensal'!V$2,0))</f>
        <v>0</v>
      </c>
      <c r="W232" s="9">
        <f>SUMIFS(#REF!,#REF!,
$A232,#REF!,
"&gt;="&amp;'Faturado mensal'!W$2,#REF!,
"&lt;"&amp;EOMONTH('Faturado mensal'!W$2,0))</f>
        <v>0</v>
      </c>
      <c r="X232" s="9">
        <f>SUMIFS(#REF!,#REF!,
$A232,#REF!,
"&gt;="&amp;'Faturado mensal'!X$2,#REF!,
"&lt;"&amp;EOMONTH('Faturado mensal'!X$2,0))</f>
        <v>0</v>
      </c>
      <c r="Y232" s="11">
        <f>SUMIFS(#REF!,#REF!,
$A232,#REF!,
"&gt;="&amp;'Faturado mensal'!M$2,#REF!,
"&lt;"&amp;EOMONTH('Faturado mensal'!M$2,12))</f>
        <v>0</v>
      </c>
      <c r="Z232" s="9">
        <f>SUMIFS(#REF!,#REF!,
$A232,#REF!,
"&gt;="&amp;'Faturado mensal'!Z$2,#REF!,
"&lt;"&amp;EOMONTH('Faturado mensal'!Z$2,0))</f>
        <v>0</v>
      </c>
      <c r="AA232" s="9">
        <f>SUMIFS(#REF!,#REF!,
$A232,#REF!,
"&gt;="&amp;'Faturado mensal'!AA$2,#REF!,
"&lt;"&amp;EOMONTH('Faturado mensal'!AA$2,0))</f>
        <v>0</v>
      </c>
      <c r="AB232" s="9">
        <f>SUMIFS(#REF!,#REF!,
$A232,#REF!,
"&gt;="&amp;'Faturado mensal'!AB$2,#REF!,
"&lt;"&amp;EOMONTH('Faturado mensal'!AB$2,0))</f>
        <v>0</v>
      </c>
      <c r="AC232" s="9">
        <f>SUMIFS(#REF!,#REF!,
$A232,#REF!,
"&gt;="&amp;'Faturado mensal'!AC$2,#REF!,
"&lt;"&amp;EOMONTH('Faturado mensal'!AC$2,0))</f>
        <v>0</v>
      </c>
      <c r="AD232" s="9">
        <f>SUMIFS(#REF!,#REF!,
$A232,#REF!,
"&gt;="&amp;'Faturado mensal'!AD$2,#REF!,
"&lt;"&amp;EOMONTH('Faturado mensal'!AD$2,0))</f>
        <v>0</v>
      </c>
      <c r="AE232" s="9">
        <f>SUMIFS(#REF!,#REF!,
$A232,#REF!,
"&gt;="&amp;'Faturado mensal'!AE$2,#REF!,
"&lt;"&amp;EOMONTH('Faturado mensal'!AE$2,0))</f>
        <v>0</v>
      </c>
      <c r="AF232" s="9">
        <f>SUMIFS(#REF!,#REF!,
$A232,#REF!,
"&gt;="&amp;'Faturado mensal'!AF$2,#REF!,
"&lt;"&amp;EOMONTH('Faturado mensal'!AF$2,0))</f>
        <v>0</v>
      </c>
      <c r="AG232" s="9">
        <f>SUMIFS(#REF!,#REF!,
$A232,#REF!,
"&gt;="&amp;'Faturado mensal'!AG$2,#REF!,
"&lt;"&amp;EOMONTH('Faturado mensal'!AG$2,0))</f>
        <v>0</v>
      </c>
      <c r="AH232" s="9">
        <f>SUMIFS(#REF!,#REF!,
$A232,#REF!,
"&gt;="&amp;'Faturado mensal'!AH$2,#REF!,
"&lt;"&amp;EOMONTH('Faturado mensal'!AH$2,0))</f>
        <v>0</v>
      </c>
      <c r="AI232" s="9">
        <f>SUMIFS(#REF!,#REF!,
$A232,#REF!,
"&gt;="&amp;'Faturado mensal'!AI$2,#REF!,
"&lt;"&amp;EOMONTH('Faturado mensal'!AI$2,0))</f>
        <v>0</v>
      </c>
      <c r="AJ232" s="9">
        <f>SUMIFS(#REF!,#REF!,
$A232,#REF!,
"&gt;="&amp;'Faturado mensal'!AJ$2,#REF!,
"&lt;"&amp;EOMONTH('Faturado mensal'!AJ$2,0))</f>
        <v>0</v>
      </c>
      <c r="AK232" s="9">
        <f>SUMIFS(#REF!,#REF!,
$A232,#REF!,
"&gt;="&amp;'Faturado mensal'!AK$2,#REF!,
"&lt;"&amp;EOMONTH('Faturado mensal'!AK$2,0))</f>
        <v>0</v>
      </c>
      <c r="AL232" s="9">
        <f>SUMIFS(#REF!,#REF!,
$A232,#REF!,
"&gt;="&amp;Z$2,#REF!,
"&lt;"&amp;EOMONTH(AK$2,0))</f>
        <v>0</v>
      </c>
    </row>
    <row r="233" spans="1:38" x14ac:dyDescent="0.3">
      <c r="A233" t="s">
        <v>527</v>
      </c>
      <c r="B233" t="s">
        <v>278</v>
      </c>
      <c r="C233" t="s">
        <v>17</v>
      </c>
      <c r="D233" t="s">
        <v>204</v>
      </c>
      <c r="E233" t="s">
        <v>4834</v>
      </c>
      <c r="F233" t="s">
        <v>4776</v>
      </c>
      <c r="G233" t="s">
        <v>4858</v>
      </c>
      <c r="H233" t="s">
        <v>4771</v>
      </c>
      <c r="I233" t="s">
        <v>807</v>
      </c>
      <c r="J233" t="s">
        <v>710</v>
      </c>
      <c r="K233" t="s">
        <v>720</v>
      </c>
      <c r="L233" t="s">
        <v>721</v>
      </c>
      <c r="M233" s="9">
        <f>SUMIFS(#REF!,#REF!,
$A233,#REF!,
"&gt;="&amp;'Faturado mensal'!M$2,#REF!,
"&lt;"&amp;EOMONTH('Faturado mensal'!M$2,0))</f>
        <v>0</v>
      </c>
      <c r="N233" s="9">
        <f>SUMIFS(#REF!,#REF!,
$A233,#REF!,
"&gt;="&amp;'Faturado mensal'!N$2,#REF!,
"&lt;"&amp;EOMONTH('Faturado mensal'!N$2,0))</f>
        <v>0</v>
      </c>
      <c r="O233" s="9">
        <f>SUMIFS(#REF!,#REF!,
$A233,#REF!,
"&gt;="&amp;'Faturado mensal'!O$2,#REF!,
"&lt;"&amp;EOMONTH('Faturado mensal'!O$2,0))</f>
        <v>0</v>
      </c>
      <c r="P233" s="9">
        <f>SUMIFS(#REF!,#REF!,
$A233,#REF!,
"&gt;="&amp;'Faturado mensal'!P$2,#REF!,
"&lt;"&amp;EOMONTH('Faturado mensal'!P$2,0))</f>
        <v>0</v>
      </c>
      <c r="Q233" s="9">
        <f>SUMIFS(#REF!,#REF!,
$A233,#REF!,
"&gt;="&amp;'Faturado mensal'!Q$2,#REF!,
"&lt;"&amp;EOMONTH('Faturado mensal'!Q$2,0))</f>
        <v>0</v>
      </c>
      <c r="R233" s="9">
        <f>SUMIFS(#REF!,#REF!,
$A233,#REF!,
"&gt;="&amp;'Faturado mensal'!R$2,#REF!,
"&lt;"&amp;EOMONTH('Faturado mensal'!R$2,0))</f>
        <v>0</v>
      </c>
      <c r="S233" s="9">
        <f>SUMIFS(#REF!,#REF!,
$A233,#REF!,
"&gt;="&amp;'Faturado mensal'!S$2,#REF!,
"&lt;"&amp;EOMONTH('Faturado mensal'!S$2,0))</f>
        <v>0</v>
      </c>
      <c r="T233" s="9">
        <f>SUMIFS(#REF!,#REF!,
$A233,#REF!,
"&gt;="&amp;'Faturado mensal'!T$2,#REF!,
"&lt;"&amp;EOMONTH('Faturado mensal'!T$2,0))</f>
        <v>0</v>
      </c>
      <c r="U233" s="9">
        <f>SUMIFS(#REF!,#REF!,
$A233,#REF!,
"&gt;="&amp;'Faturado mensal'!U$2,#REF!,
"&lt;"&amp;EOMONTH('Faturado mensal'!U$2,0))</f>
        <v>0</v>
      </c>
      <c r="V233" s="9">
        <f>SUMIFS(#REF!,#REF!,
$A233,#REF!,
"&gt;="&amp;'Faturado mensal'!V$2,#REF!,
"&lt;"&amp;EOMONTH('Faturado mensal'!V$2,0))</f>
        <v>0</v>
      </c>
      <c r="W233" s="9">
        <f>SUMIFS(#REF!,#REF!,
$A233,#REF!,
"&gt;="&amp;'Faturado mensal'!W$2,#REF!,
"&lt;"&amp;EOMONTH('Faturado mensal'!W$2,0))</f>
        <v>0</v>
      </c>
      <c r="X233" s="9">
        <f>SUMIFS(#REF!,#REF!,
$A233,#REF!,
"&gt;="&amp;'Faturado mensal'!X$2,#REF!,
"&lt;"&amp;EOMONTH('Faturado mensal'!X$2,0))</f>
        <v>0</v>
      </c>
      <c r="Y233" s="11">
        <f>SUMIFS(#REF!,#REF!,
$A233,#REF!,
"&gt;="&amp;'Faturado mensal'!M$2,#REF!,
"&lt;"&amp;EOMONTH('Faturado mensal'!M$2,12))</f>
        <v>0</v>
      </c>
      <c r="Z233" s="9">
        <f>SUMIFS(#REF!,#REF!,
$A233,#REF!,
"&gt;="&amp;'Faturado mensal'!Z$2,#REF!,
"&lt;"&amp;EOMONTH('Faturado mensal'!Z$2,0))</f>
        <v>0</v>
      </c>
      <c r="AA233" s="9">
        <f>SUMIFS(#REF!,#REF!,
$A233,#REF!,
"&gt;="&amp;'Faturado mensal'!AA$2,#REF!,
"&lt;"&amp;EOMONTH('Faturado mensal'!AA$2,0))</f>
        <v>0</v>
      </c>
      <c r="AB233" s="9">
        <f>SUMIFS(#REF!,#REF!,
$A233,#REF!,
"&gt;="&amp;'Faturado mensal'!AB$2,#REF!,
"&lt;"&amp;EOMONTH('Faturado mensal'!AB$2,0))</f>
        <v>0</v>
      </c>
      <c r="AC233" s="9">
        <f>SUMIFS(#REF!,#REF!,
$A233,#REF!,
"&gt;="&amp;'Faturado mensal'!AC$2,#REF!,
"&lt;"&amp;EOMONTH('Faturado mensal'!AC$2,0))</f>
        <v>0</v>
      </c>
      <c r="AD233" s="9">
        <f>SUMIFS(#REF!,#REF!,
$A233,#REF!,
"&gt;="&amp;'Faturado mensal'!AD$2,#REF!,
"&lt;"&amp;EOMONTH('Faturado mensal'!AD$2,0))</f>
        <v>0</v>
      </c>
      <c r="AE233" s="9">
        <f>SUMIFS(#REF!,#REF!,
$A233,#REF!,
"&gt;="&amp;'Faturado mensal'!AE$2,#REF!,
"&lt;"&amp;EOMONTH('Faturado mensal'!AE$2,0))</f>
        <v>0</v>
      </c>
      <c r="AF233" s="9">
        <f>SUMIFS(#REF!,#REF!,
$A233,#REF!,
"&gt;="&amp;'Faturado mensal'!AF$2,#REF!,
"&lt;"&amp;EOMONTH('Faturado mensal'!AF$2,0))</f>
        <v>0</v>
      </c>
      <c r="AG233" s="9">
        <f>SUMIFS(#REF!,#REF!,
$A233,#REF!,
"&gt;="&amp;'Faturado mensal'!AG$2,#REF!,
"&lt;"&amp;EOMONTH('Faturado mensal'!AG$2,0))</f>
        <v>0</v>
      </c>
      <c r="AH233" s="9">
        <f>SUMIFS(#REF!,#REF!,
$A233,#REF!,
"&gt;="&amp;'Faturado mensal'!AH$2,#REF!,
"&lt;"&amp;EOMONTH('Faturado mensal'!AH$2,0))</f>
        <v>0</v>
      </c>
      <c r="AI233" s="9">
        <f>SUMIFS(#REF!,#REF!,
$A233,#REF!,
"&gt;="&amp;'Faturado mensal'!AI$2,#REF!,
"&lt;"&amp;EOMONTH('Faturado mensal'!AI$2,0))</f>
        <v>0</v>
      </c>
      <c r="AJ233" s="9">
        <f>SUMIFS(#REF!,#REF!,
$A233,#REF!,
"&gt;="&amp;'Faturado mensal'!AJ$2,#REF!,
"&lt;"&amp;EOMONTH('Faturado mensal'!AJ$2,0))</f>
        <v>0</v>
      </c>
      <c r="AK233" s="9">
        <f>SUMIFS(#REF!,#REF!,
$A233,#REF!,
"&gt;="&amp;'Faturado mensal'!AK$2,#REF!,
"&lt;"&amp;EOMONTH('Faturado mensal'!AK$2,0))</f>
        <v>0</v>
      </c>
      <c r="AL233" s="9">
        <f>SUMIFS(#REF!,#REF!,
$A233,#REF!,
"&gt;="&amp;Z$2,#REF!,
"&lt;"&amp;EOMONTH(AK$2,0))</f>
        <v>0</v>
      </c>
    </row>
    <row r="234" spans="1:38" x14ac:dyDescent="0.3">
      <c r="A234" t="s">
        <v>528</v>
      </c>
      <c r="B234" t="s">
        <v>216</v>
      </c>
      <c r="C234" t="s">
        <v>141</v>
      </c>
      <c r="D234" t="s">
        <v>204</v>
      </c>
      <c r="E234" t="s">
        <v>4844</v>
      </c>
      <c r="F234" t="s">
        <v>4777</v>
      </c>
      <c r="G234" t="s">
        <v>4853</v>
      </c>
      <c r="H234" t="s">
        <v>4771</v>
      </c>
      <c r="I234" t="s">
        <v>725</v>
      </c>
      <c r="J234" t="s">
        <v>710</v>
      </c>
      <c r="K234" t="s">
        <v>711</v>
      </c>
      <c r="L234" t="s">
        <v>712</v>
      </c>
      <c r="M234" s="9">
        <f>SUMIFS(#REF!,#REF!,
$A234,#REF!,
"&gt;="&amp;'Faturado mensal'!M$2,#REF!,
"&lt;"&amp;EOMONTH('Faturado mensal'!M$2,0))</f>
        <v>0</v>
      </c>
      <c r="N234" s="9">
        <f>SUMIFS(#REF!,#REF!,
$A234,#REF!,
"&gt;="&amp;'Faturado mensal'!N$2,#REF!,
"&lt;"&amp;EOMONTH('Faturado mensal'!N$2,0))</f>
        <v>0</v>
      </c>
      <c r="O234" s="9">
        <f>SUMIFS(#REF!,#REF!,
$A234,#REF!,
"&gt;="&amp;'Faturado mensal'!O$2,#REF!,
"&lt;"&amp;EOMONTH('Faturado mensal'!O$2,0))</f>
        <v>0</v>
      </c>
      <c r="P234" s="9">
        <f>SUMIFS(#REF!,#REF!,
$A234,#REF!,
"&gt;="&amp;'Faturado mensal'!P$2,#REF!,
"&lt;"&amp;EOMONTH('Faturado mensal'!P$2,0))</f>
        <v>0</v>
      </c>
      <c r="Q234" s="9">
        <f>SUMIFS(#REF!,#REF!,
$A234,#REF!,
"&gt;="&amp;'Faturado mensal'!Q$2,#REF!,
"&lt;"&amp;EOMONTH('Faturado mensal'!Q$2,0))</f>
        <v>0</v>
      </c>
      <c r="R234" s="9">
        <f>SUMIFS(#REF!,#REF!,
$A234,#REF!,
"&gt;="&amp;'Faturado mensal'!R$2,#REF!,
"&lt;"&amp;EOMONTH('Faturado mensal'!R$2,0))</f>
        <v>0</v>
      </c>
      <c r="S234" s="9">
        <f>SUMIFS(#REF!,#REF!,
$A234,#REF!,
"&gt;="&amp;'Faturado mensal'!S$2,#REF!,
"&lt;"&amp;EOMONTH('Faturado mensal'!S$2,0))</f>
        <v>10140</v>
      </c>
      <c r="T234" s="9">
        <f>SUMIFS(#REF!,#REF!,
$A234,#REF!,
"&gt;="&amp;'Faturado mensal'!T$2,#REF!,
"&lt;"&amp;EOMONTH('Faturado mensal'!T$2,0))</f>
        <v>7200</v>
      </c>
      <c r="U234" s="9">
        <f>SUMIFS(#REF!,#REF!,
$A234,#REF!,
"&gt;="&amp;'Faturado mensal'!U$2,#REF!,
"&lt;"&amp;EOMONTH('Faturado mensal'!U$2,0))</f>
        <v>16200</v>
      </c>
      <c r="V234" s="9">
        <f>SUMIFS(#REF!,#REF!,
$A234,#REF!,
"&gt;="&amp;'Faturado mensal'!V$2,#REF!,
"&lt;"&amp;EOMONTH('Faturado mensal'!V$2,0))</f>
        <v>4500</v>
      </c>
      <c r="W234" s="9">
        <f>SUMIFS(#REF!,#REF!,
$A234,#REF!,
"&gt;="&amp;'Faturado mensal'!W$2,#REF!,
"&lt;"&amp;EOMONTH('Faturado mensal'!W$2,0))</f>
        <v>0</v>
      </c>
      <c r="X234" s="9">
        <f>SUMIFS(#REF!,#REF!,
$A234,#REF!,
"&gt;="&amp;'Faturado mensal'!X$2,#REF!,
"&lt;"&amp;EOMONTH('Faturado mensal'!X$2,0))</f>
        <v>0</v>
      </c>
      <c r="Y234" s="11">
        <f>SUMIFS(#REF!,#REF!,
$A234,#REF!,
"&gt;="&amp;'Faturado mensal'!M$2,#REF!,
"&lt;"&amp;EOMONTH('Faturado mensal'!M$2,12))</f>
        <v>38040</v>
      </c>
      <c r="Z234" s="9">
        <f>SUMIFS(#REF!,#REF!,
$A234,#REF!,
"&gt;="&amp;'Faturado mensal'!Z$2,#REF!,
"&lt;"&amp;EOMONTH('Faturado mensal'!Z$2,0))</f>
        <v>0</v>
      </c>
      <c r="AA234" s="9">
        <f>SUMIFS(#REF!,#REF!,
$A234,#REF!,
"&gt;="&amp;'Faturado mensal'!AA$2,#REF!,
"&lt;"&amp;EOMONTH('Faturado mensal'!AA$2,0))</f>
        <v>1600</v>
      </c>
      <c r="AB234" s="9">
        <f>SUMIFS(#REF!,#REF!,
$A234,#REF!,
"&gt;="&amp;'Faturado mensal'!AB$2,#REF!,
"&lt;"&amp;EOMONTH('Faturado mensal'!AB$2,0))</f>
        <v>1320</v>
      </c>
      <c r="AC234" s="9">
        <f>SUMIFS(#REF!,#REF!,
$A234,#REF!,
"&gt;="&amp;'Faturado mensal'!AC$2,#REF!,
"&lt;"&amp;EOMONTH('Faturado mensal'!AC$2,0))</f>
        <v>0</v>
      </c>
      <c r="AD234" s="9">
        <f>SUMIFS(#REF!,#REF!,
$A234,#REF!,
"&gt;="&amp;'Faturado mensal'!AD$2,#REF!,
"&lt;"&amp;EOMONTH('Faturado mensal'!AD$2,0))</f>
        <v>0</v>
      </c>
      <c r="AE234" s="9">
        <f>SUMIFS(#REF!,#REF!,
$A234,#REF!,
"&gt;="&amp;'Faturado mensal'!AE$2,#REF!,
"&lt;"&amp;EOMONTH('Faturado mensal'!AE$2,0))</f>
        <v>0</v>
      </c>
      <c r="AF234" s="9">
        <f>SUMIFS(#REF!,#REF!,
$A234,#REF!,
"&gt;="&amp;'Faturado mensal'!AF$2,#REF!,
"&lt;"&amp;EOMONTH('Faturado mensal'!AF$2,0))</f>
        <v>0</v>
      </c>
      <c r="AG234" s="9">
        <f>SUMIFS(#REF!,#REF!,
$A234,#REF!,
"&gt;="&amp;'Faturado mensal'!AG$2,#REF!,
"&lt;"&amp;EOMONTH('Faturado mensal'!AG$2,0))</f>
        <v>0</v>
      </c>
      <c r="AH234" s="9">
        <f>SUMIFS(#REF!,#REF!,
$A234,#REF!,
"&gt;="&amp;'Faturado mensal'!AH$2,#REF!,
"&lt;"&amp;EOMONTH('Faturado mensal'!AH$2,0))</f>
        <v>0</v>
      </c>
      <c r="AI234" s="9">
        <f>SUMIFS(#REF!,#REF!,
$A234,#REF!,
"&gt;="&amp;'Faturado mensal'!AI$2,#REF!,
"&lt;"&amp;EOMONTH('Faturado mensal'!AI$2,0))</f>
        <v>0</v>
      </c>
      <c r="AJ234" s="9">
        <f>SUMIFS(#REF!,#REF!,
$A234,#REF!,
"&gt;="&amp;'Faturado mensal'!AJ$2,#REF!,
"&lt;"&amp;EOMONTH('Faturado mensal'!AJ$2,0))</f>
        <v>0</v>
      </c>
      <c r="AK234" s="9">
        <f>SUMIFS(#REF!,#REF!,
$A234,#REF!,
"&gt;="&amp;'Faturado mensal'!AK$2,#REF!,
"&lt;"&amp;EOMONTH('Faturado mensal'!AK$2,0))</f>
        <v>0</v>
      </c>
      <c r="AL234" s="9">
        <f>SUMIFS(#REF!,#REF!,
$A234,#REF!,
"&gt;="&amp;Z$2,#REF!,
"&lt;"&amp;EOMONTH(AK$2,0))</f>
        <v>2920</v>
      </c>
    </row>
    <row r="235" spans="1:38" x14ac:dyDescent="0.3">
      <c r="A235" t="s">
        <v>529</v>
      </c>
      <c r="B235" t="s">
        <v>530</v>
      </c>
      <c r="C235" t="s">
        <v>24</v>
      </c>
      <c r="D235" t="s">
        <v>204</v>
      </c>
      <c r="E235" t="s">
        <v>1040</v>
      </c>
      <c r="F235" t="s">
        <v>4779</v>
      </c>
      <c r="G235" t="s">
        <v>4856</v>
      </c>
      <c r="H235" t="s">
        <v>4773</v>
      </c>
      <c r="I235" t="s">
        <v>889</v>
      </c>
      <c r="J235" t="s">
        <v>710</v>
      </c>
      <c r="K235" t="s">
        <v>748</v>
      </c>
      <c r="L235" t="s">
        <v>749</v>
      </c>
      <c r="M235" s="9">
        <f>SUMIFS(#REF!,#REF!,
$A235,#REF!,
"&gt;="&amp;'Faturado mensal'!M$2,#REF!,
"&lt;"&amp;EOMONTH('Faturado mensal'!M$2,0))</f>
        <v>5974.06</v>
      </c>
      <c r="N235" s="9">
        <f>SUMIFS(#REF!,#REF!,
$A235,#REF!,
"&gt;="&amp;'Faturado mensal'!N$2,#REF!,
"&lt;"&amp;EOMONTH('Faturado mensal'!N$2,0))</f>
        <v>5974.06</v>
      </c>
      <c r="O235" s="9">
        <f>SUMIFS(#REF!,#REF!,
$A235,#REF!,
"&gt;="&amp;'Faturado mensal'!O$2,#REF!,
"&lt;"&amp;EOMONTH('Faturado mensal'!O$2,0))</f>
        <v>0</v>
      </c>
      <c r="P235" s="9">
        <f>SUMIFS(#REF!,#REF!,
$A235,#REF!,
"&gt;="&amp;'Faturado mensal'!P$2,#REF!,
"&lt;"&amp;EOMONTH('Faturado mensal'!P$2,0))</f>
        <v>6498</v>
      </c>
      <c r="Q235" s="9">
        <f>SUMIFS(#REF!,#REF!,
$A235,#REF!,
"&gt;="&amp;'Faturado mensal'!Q$2,#REF!,
"&lt;"&amp;EOMONTH('Faturado mensal'!Q$2,0))</f>
        <v>14311.720000000001</v>
      </c>
      <c r="R235" s="9">
        <f>SUMIFS(#REF!,#REF!,
$A235,#REF!,
"&gt;="&amp;'Faturado mensal'!R$2,#REF!,
"&lt;"&amp;EOMONTH('Faturado mensal'!R$2,0))</f>
        <v>0</v>
      </c>
      <c r="S235" s="9">
        <f>SUMIFS(#REF!,#REF!,
$A235,#REF!,
"&gt;="&amp;'Faturado mensal'!S$2,#REF!,
"&lt;"&amp;EOMONTH('Faturado mensal'!S$2,0))</f>
        <v>14311.72</v>
      </c>
      <c r="T235" s="9">
        <f>SUMIFS(#REF!,#REF!,
$A235,#REF!,
"&gt;="&amp;'Faturado mensal'!T$2,#REF!,
"&lt;"&amp;EOMONTH('Faturado mensal'!T$2,0))</f>
        <v>7443.87</v>
      </c>
      <c r="U235" s="9">
        <f>SUMIFS(#REF!,#REF!,
$A235,#REF!,
"&gt;="&amp;'Faturado mensal'!U$2,#REF!,
"&lt;"&amp;EOMONTH('Faturado mensal'!U$2,0))</f>
        <v>0</v>
      </c>
      <c r="V235" s="9">
        <f>SUMIFS(#REF!,#REF!,
$A235,#REF!,
"&gt;="&amp;'Faturado mensal'!V$2,#REF!,
"&lt;"&amp;EOMONTH('Faturado mensal'!V$2,0))</f>
        <v>14816.62</v>
      </c>
      <c r="W235" s="9">
        <f>SUMIFS(#REF!,#REF!,
$A235,#REF!,
"&gt;="&amp;'Faturado mensal'!W$2,#REF!,
"&lt;"&amp;EOMONTH('Faturado mensal'!W$2,0))</f>
        <v>0</v>
      </c>
      <c r="X235" s="9">
        <f>SUMIFS(#REF!,#REF!,
$A235,#REF!,
"&gt;="&amp;'Faturado mensal'!X$2,#REF!,
"&lt;"&amp;EOMONTH('Faturado mensal'!X$2,0))</f>
        <v>8033.45</v>
      </c>
      <c r="Y235" s="11">
        <f>SUMIFS(#REF!,#REF!,
$A235,#REF!,
"&gt;="&amp;'Faturado mensal'!M$2,#REF!,
"&lt;"&amp;EOMONTH('Faturado mensal'!M$2,12))</f>
        <v>99928.4</v>
      </c>
      <c r="Z235" s="9">
        <f>SUMIFS(#REF!,#REF!,
$A235,#REF!,
"&gt;="&amp;'Faturado mensal'!Z$2,#REF!,
"&lt;"&amp;EOMONTH('Faturado mensal'!Z$2,0))</f>
        <v>16066.9</v>
      </c>
      <c r="AA235" s="9">
        <f>SUMIFS(#REF!,#REF!,
$A235,#REF!,
"&gt;="&amp;'Faturado mensal'!AA$2,#REF!,
"&lt;"&amp;EOMONTH('Faturado mensal'!AA$2,0))</f>
        <v>0</v>
      </c>
      <c r="AB235" s="9">
        <f>SUMIFS(#REF!,#REF!,
$A235,#REF!,
"&gt;="&amp;'Faturado mensal'!AB$2,#REF!,
"&lt;"&amp;EOMONTH('Faturado mensal'!AB$2,0))</f>
        <v>8077.82</v>
      </c>
      <c r="AC235" s="9">
        <f>SUMIFS(#REF!,#REF!,
$A235,#REF!,
"&gt;="&amp;'Faturado mensal'!AC$2,#REF!,
"&lt;"&amp;EOMONTH('Faturado mensal'!AC$2,0))</f>
        <v>0</v>
      </c>
      <c r="AD235" s="9">
        <f>SUMIFS(#REF!,#REF!,
$A235,#REF!,
"&gt;="&amp;'Faturado mensal'!AD$2,#REF!,
"&lt;"&amp;EOMONTH('Faturado mensal'!AD$2,0))</f>
        <v>16409.060000000001</v>
      </c>
      <c r="AE235" s="9">
        <f>SUMIFS(#REF!,#REF!,
$A235,#REF!,
"&gt;="&amp;'Faturado mensal'!AE$2,#REF!,
"&lt;"&amp;EOMONTH('Faturado mensal'!AE$2,0))</f>
        <v>0</v>
      </c>
      <c r="AF235" s="9">
        <f>SUMIFS(#REF!,#REF!,
$A235,#REF!,
"&gt;="&amp;'Faturado mensal'!AF$2,#REF!,
"&lt;"&amp;EOMONTH('Faturado mensal'!AF$2,0))</f>
        <v>0</v>
      </c>
      <c r="AG235" s="9">
        <f>SUMIFS(#REF!,#REF!,
$A235,#REF!,
"&gt;="&amp;'Faturado mensal'!AG$2,#REF!,
"&lt;"&amp;EOMONTH('Faturado mensal'!AG$2,0))</f>
        <v>0</v>
      </c>
      <c r="AH235" s="9">
        <f>SUMIFS(#REF!,#REF!,
$A235,#REF!,
"&gt;="&amp;'Faturado mensal'!AH$2,#REF!,
"&lt;"&amp;EOMONTH('Faturado mensal'!AH$2,0))</f>
        <v>0</v>
      </c>
      <c r="AI235" s="9">
        <f>SUMIFS(#REF!,#REF!,
$A235,#REF!,
"&gt;="&amp;'Faturado mensal'!AI$2,#REF!,
"&lt;"&amp;EOMONTH('Faturado mensal'!AI$2,0))</f>
        <v>0</v>
      </c>
      <c r="AJ235" s="9">
        <f>SUMIFS(#REF!,#REF!,
$A235,#REF!,
"&gt;="&amp;'Faturado mensal'!AJ$2,#REF!,
"&lt;"&amp;EOMONTH('Faturado mensal'!AJ$2,0))</f>
        <v>0</v>
      </c>
      <c r="AK235" s="9">
        <f>SUMIFS(#REF!,#REF!,
$A235,#REF!,
"&gt;="&amp;'Faturado mensal'!AK$2,#REF!,
"&lt;"&amp;EOMONTH('Faturado mensal'!AK$2,0))</f>
        <v>0</v>
      </c>
      <c r="AL235" s="9">
        <f>SUMIFS(#REF!,#REF!,
$A235,#REF!,
"&gt;="&amp;Z$2,#REF!,
"&lt;"&amp;EOMONTH(AK$2,0))</f>
        <v>40553.78</v>
      </c>
    </row>
    <row r="236" spans="1:38" x14ac:dyDescent="0.3">
      <c r="A236" t="s">
        <v>531</v>
      </c>
      <c r="B236" t="s">
        <v>509</v>
      </c>
      <c r="C236" t="s">
        <v>91</v>
      </c>
      <c r="D236" t="s">
        <v>204</v>
      </c>
      <c r="E236" t="s">
        <v>1040</v>
      </c>
      <c r="F236" t="s">
        <v>4778</v>
      </c>
      <c r="G236" t="s">
        <v>4856</v>
      </c>
      <c r="H236" t="s">
        <v>4771</v>
      </c>
      <c r="I236" t="s">
        <v>869</v>
      </c>
      <c r="J236" t="s">
        <v>890</v>
      </c>
      <c r="K236" t="s">
        <v>748</v>
      </c>
      <c r="L236" t="s">
        <v>749</v>
      </c>
      <c r="M236" s="9">
        <f>SUMIFS(#REF!,#REF!,
$A236,#REF!,
"&gt;="&amp;'Faturado mensal'!M$2,#REF!,
"&lt;"&amp;EOMONTH('Faturado mensal'!M$2,0))</f>
        <v>0</v>
      </c>
      <c r="N236" s="9">
        <f>SUMIFS(#REF!,#REF!,
$A236,#REF!,
"&gt;="&amp;'Faturado mensal'!N$2,#REF!,
"&lt;"&amp;EOMONTH('Faturado mensal'!N$2,0))</f>
        <v>0</v>
      </c>
      <c r="O236" s="9">
        <f>SUMIFS(#REF!,#REF!,
$A236,#REF!,
"&gt;="&amp;'Faturado mensal'!O$2,#REF!,
"&lt;"&amp;EOMONTH('Faturado mensal'!O$2,0))</f>
        <v>0</v>
      </c>
      <c r="P236" s="9">
        <f>SUMIFS(#REF!,#REF!,
$A236,#REF!,
"&gt;="&amp;'Faturado mensal'!P$2,#REF!,
"&lt;"&amp;EOMONTH('Faturado mensal'!P$2,0))</f>
        <v>0</v>
      </c>
      <c r="Q236" s="9">
        <f>SUMIFS(#REF!,#REF!,
$A236,#REF!,
"&gt;="&amp;'Faturado mensal'!Q$2,#REF!,
"&lt;"&amp;EOMONTH('Faturado mensal'!Q$2,0))</f>
        <v>0</v>
      </c>
      <c r="R236" s="9">
        <f>SUMIFS(#REF!,#REF!,
$A236,#REF!,
"&gt;="&amp;'Faturado mensal'!R$2,#REF!,
"&lt;"&amp;EOMONTH('Faturado mensal'!R$2,0))</f>
        <v>0</v>
      </c>
      <c r="S236" s="9">
        <f>SUMIFS(#REF!,#REF!,
$A236,#REF!,
"&gt;="&amp;'Faturado mensal'!S$2,#REF!,
"&lt;"&amp;EOMONTH('Faturado mensal'!S$2,0))</f>
        <v>0</v>
      </c>
      <c r="T236" s="9">
        <f>SUMIFS(#REF!,#REF!,
$A236,#REF!,
"&gt;="&amp;'Faturado mensal'!T$2,#REF!,
"&lt;"&amp;EOMONTH('Faturado mensal'!T$2,0))</f>
        <v>0</v>
      </c>
      <c r="U236" s="9">
        <f>SUMIFS(#REF!,#REF!,
$A236,#REF!,
"&gt;="&amp;'Faturado mensal'!U$2,#REF!,
"&lt;"&amp;EOMONTH('Faturado mensal'!U$2,0))</f>
        <v>0</v>
      </c>
      <c r="V236" s="9">
        <f>SUMIFS(#REF!,#REF!,
$A236,#REF!,
"&gt;="&amp;'Faturado mensal'!V$2,#REF!,
"&lt;"&amp;EOMONTH('Faturado mensal'!V$2,0))</f>
        <v>0</v>
      </c>
      <c r="W236" s="9">
        <f>SUMIFS(#REF!,#REF!,
$A236,#REF!,
"&gt;="&amp;'Faturado mensal'!W$2,#REF!,
"&lt;"&amp;EOMONTH('Faturado mensal'!W$2,0))</f>
        <v>0</v>
      </c>
      <c r="X236" s="9">
        <f>SUMIFS(#REF!,#REF!,
$A236,#REF!,
"&gt;="&amp;'Faturado mensal'!X$2,#REF!,
"&lt;"&amp;EOMONTH('Faturado mensal'!X$2,0))</f>
        <v>900</v>
      </c>
      <c r="Y236" s="11">
        <f>SUMIFS(#REF!,#REF!,
$A236,#REF!,
"&gt;="&amp;'Faturado mensal'!M$2,#REF!,
"&lt;"&amp;EOMONTH('Faturado mensal'!M$2,12))</f>
        <v>900</v>
      </c>
      <c r="Z236" s="9">
        <f>SUMIFS(#REF!,#REF!,
$A236,#REF!,
"&gt;="&amp;'Faturado mensal'!Z$2,#REF!,
"&lt;"&amp;EOMONTH('Faturado mensal'!Z$2,0))</f>
        <v>0</v>
      </c>
      <c r="AA236" s="9">
        <f>SUMIFS(#REF!,#REF!,
$A236,#REF!,
"&gt;="&amp;'Faturado mensal'!AA$2,#REF!,
"&lt;"&amp;EOMONTH('Faturado mensal'!AA$2,0))</f>
        <v>0</v>
      </c>
      <c r="AB236" s="9">
        <f>SUMIFS(#REF!,#REF!,
$A236,#REF!,
"&gt;="&amp;'Faturado mensal'!AB$2,#REF!,
"&lt;"&amp;EOMONTH('Faturado mensal'!AB$2,0))</f>
        <v>900</v>
      </c>
      <c r="AC236" s="9">
        <f>SUMIFS(#REF!,#REF!,
$A236,#REF!,
"&gt;="&amp;'Faturado mensal'!AC$2,#REF!,
"&lt;"&amp;EOMONTH('Faturado mensal'!AC$2,0))</f>
        <v>0</v>
      </c>
      <c r="AD236" s="9">
        <f>SUMIFS(#REF!,#REF!,
$A236,#REF!,
"&gt;="&amp;'Faturado mensal'!AD$2,#REF!,
"&lt;"&amp;EOMONTH('Faturado mensal'!AD$2,0))</f>
        <v>0</v>
      </c>
      <c r="AE236" s="9">
        <f>SUMIFS(#REF!,#REF!,
$A236,#REF!,
"&gt;="&amp;'Faturado mensal'!AE$2,#REF!,
"&lt;"&amp;EOMONTH('Faturado mensal'!AE$2,0))</f>
        <v>0</v>
      </c>
      <c r="AF236" s="9">
        <f>SUMIFS(#REF!,#REF!,
$A236,#REF!,
"&gt;="&amp;'Faturado mensal'!AF$2,#REF!,
"&lt;"&amp;EOMONTH('Faturado mensal'!AF$2,0))</f>
        <v>0</v>
      </c>
      <c r="AG236" s="9">
        <f>SUMIFS(#REF!,#REF!,
$A236,#REF!,
"&gt;="&amp;'Faturado mensal'!AG$2,#REF!,
"&lt;"&amp;EOMONTH('Faturado mensal'!AG$2,0))</f>
        <v>0</v>
      </c>
      <c r="AH236" s="9">
        <f>SUMIFS(#REF!,#REF!,
$A236,#REF!,
"&gt;="&amp;'Faturado mensal'!AH$2,#REF!,
"&lt;"&amp;EOMONTH('Faturado mensal'!AH$2,0))</f>
        <v>0</v>
      </c>
      <c r="AI236" s="9">
        <f>SUMIFS(#REF!,#REF!,
$A236,#REF!,
"&gt;="&amp;'Faturado mensal'!AI$2,#REF!,
"&lt;"&amp;EOMONTH('Faturado mensal'!AI$2,0))</f>
        <v>0</v>
      </c>
      <c r="AJ236" s="9">
        <f>SUMIFS(#REF!,#REF!,
$A236,#REF!,
"&gt;="&amp;'Faturado mensal'!AJ$2,#REF!,
"&lt;"&amp;EOMONTH('Faturado mensal'!AJ$2,0))</f>
        <v>0</v>
      </c>
      <c r="AK236" s="9">
        <f>SUMIFS(#REF!,#REF!,
$A236,#REF!,
"&gt;="&amp;'Faturado mensal'!AK$2,#REF!,
"&lt;"&amp;EOMONTH('Faturado mensal'!AK$2,0))</f>
        <v>0</v>
      </c>
      <c r="AL236" s="9">
        <f>SUMIFS(#REF!,#REF!,
$A236,#REF!,
"&gt;="&amp;Z$2,#REF!,
"&lt;"&amp;EOMONTH(AK$2,0))</f>
        <v>900</v>
      </c>
    </row>
    <row r="237" spans="1:38" x14ac:dyDescent="0.3">
      <c r="A237" t="s">
        <v>532</v>
      </c>
      <c r="B237" t="s">
        <v>533</v>
      </c>
      <c r="C237" t="s">
        <v>103</v>
      </c>
      <c r="D237" t="s">
        <v>204</v>
      </c>
      <c r="E237" t="s">
        <v>4811</v>
      </c>
      <c r="F237" t="s">
        <v>4776</v>
      </c>
      <c r="G237" t="s">
        <v>4859</v>
      </c>
      <c r="H237" t="s">
        <v>4771</v>
      </c>
      <c r="I237" t="s">
        <v>891</v>
      </c>
      <c r="J237" t="s">
        <v>710</v>
      </c>
      <c r="K237" t="s">
        <v>892</v>
      </c>
      <c r="L237" t="s">
        <v>893</v>
      </c>
      <c r="M237" s="9">
        <f>SUMIFS(#REF!,#REF!,
$A237,#REF!,
"&gt;="&amp;'Faturado mensal'!M$2,#REF!,
"&lt;"&amp;EOMONTH('Faturado mensal'!M$2,0))</f>
        <v>20757</v>
      </c>
      <c r="N237" s="9">
        <f>SUMIFS(#REF!,#REF!,
$A237,#REF!,
"&gt;="&amp;'Faturado mensal'!N$2,#REF!,
"&lt;"&amp;EOMONTH('Faturado mensal'!N$2,0))</f>
        <v>10378.5</v>
      </c>
      <c r="O237" s="9">
        <f>SUMIFS(#REF!,#REF!,
$A237,#REF!,
"&gt;="&amp;'Faturado mensal'!O$2,#REF!,
"&lt;"&amp;EOMONTH('Faturado mensal'!O$2,0))</f>
        <v>10378.5</v>
      </c>
      <c r="P237" s="9">
        <f>SUMIFS(#REF!,#REF!,
$A237,#REF!,
"&gt;="&amp;'Faturado mensal'!P$2,#REF!,
"&lt;"&amp;EOMONTH('Faturado mensal'!P$2,0))</f>
        <v>10378.5</v>
      </c>
      <c r="Q237" s="9">
        <f>SUMIFS(#REF!,#REF!,
$A237,#REF!,
"&gt;="&amp;'Faturado mensal'!Q$2,#REF!,
"&lt;"&amp;EOMONTH('Faturado mensal'!Q$2,0))</f>
        <v>4725</v>
      </c>
      <c r="R237" s="9">
        <f>SUMIFS(#REF!,#REF!,
$A237,#REF!,
"&gt;="&amp;'Faturado mensal'!R$2,#REF!,
"&lt;"&amp;EOMONTH('Faturado mensal'!R$2,0))</f>
        <v>10378.5</v>
      </c>
      <c r="S237" s="9">
        <f>SUMIFS(#REF!,#REF!,
$A237,#REF!,
"&gt;="&amp;'Faturado mensal'!S$2,#REF!,
"&lt;"&amp;EOMONTH('Faturado mensal'!S$2,0))</f>
        <v>0</v>
      </c>
      <c r="T237" s="9">
        <f>SUMIFS(#REF!,#REF!,
$A237,#REF!,
"&gt;="&amp;'Faturado mensal'!T$2,#REF!,
"&lt;"&amp;EOMONTH('Faturado mensal'!T$2,0))</f>
        <v>37102.649999999994</v>
      </c>
      <c r="U237" s="9">
        <f>SUMIFS(#REF!,#REF!,
$A237,#REF!,
"&gt;="&amp;'Faturado mensal'!U$2,#REF!,
"&lt;"&amp;EOMONTH('Faturado mensal'!U$2,0))</f>
        <v>17141.55</v>
      </c>
      <c r="V237" s="9">
        <f>SUMIFS(#REF!,#REF!,
$A237,#REF!,
"&gt;="&amp;'Faturado mensal'!V$2,#REF!,
"&lt;"&amp;EOMONTH('Faturado mensal'!V$2,0))</f>
        <v>12367.55</v>
      </c>
      <c r="W237" s="9">
        <f>SUMIFS(#REF!,#REF!,
$A237,#REF!,
"&gt;="&amp;'Faturado mensal'!W$2,#REF!,
"&lt;"&amp;EOMONTH('Faturado mensal'!W$2,0))</f>
        <v>12367.55</v>
      </c>
      <c r="X237" s="9">
        <f>SUMIFS(#REF!,#REF!,
$A237,#REF!,
"&gt;="&amp;'Faturado mensal'!X$2,#REF!,
"&lt;"&amp;EOMONTH('Faturado mensal'!X$2,0))</f>
        <v>12367.55</v>
      </c>
      <c r="Y237" s="11">
        <f>SUMIFS(#REF!,#REF!,
$A237,#REF!,
"&gt;="&amp;'Faturado mensal'!M$2,#REF!,
"&lt;"&amp;EOMONTH('Faturado mensal'!M$2,12))</f>
        <v>170710.39999999997</v>
      </c>
      <c r="Z237" s="9">
        <f>SUMIFS(#REF!,#REF!,
$A237,#REF!,
"&gt;="&amp;'Faturado mensal'!Z$2,#REF!,
"&lt;"&amp;EOMONTH('Faturado mensal'!Z$2,0))</f>
        <v>12367.55</v>
      </c>
      <c r="AA237" s="9">
        <f>SUMIFS(#REF!,#REF!,
$A237,#REF!,
"&gt;="&amp;'Faturado mensal'!AA$2,#REF!,
"&lt;"&amp;EOMONTH('Faturado mensal'!AA$2,0))</f>
        <v>12367.55</v>
      </c>
      <c r="AB237" s="9">
        <f>SUMIFS(#REF!,#REF!,
$A237,#REF!,
"&gt;="&amp;'Faturado mensal'!AB$2,#REF!,
"&lt;"&amp;EOMONTH('Faturado mensal'!AB$2,0))</f>
        <v>12367.55</v>
      </c>
      <c r="AC237" s="9">
        <f>SUMIFS(#REF!,#REF!,
$A237,#REF!,
"&gt;="&amp;'Faturado mensal'!AC$2,#REF!,
"&lt;"&amp;EOMONTH('Faturado mensal'!AC$2,0))</f>
        <v>12367.55</v>
      </c>
      <c r="AD237" s="9">
        <f>SUMIFS(#REF!,#REF!,
$A237,#REF!,
"&gt;="&amp;'Faturado mensal'!AD$2,#REF!,
"&lt;"&amp;EOMONTH('Faturado mensal'!AD$2,0))</f>
        <v>12426.95</v>
      </c>
      <c r="AE237" s="9">
        <f>SUMIFS(#REF!,#REF!,
$A237,#REF!,
"&gt;="&amp;'Faturado mensal'!AE$2,#REF!,
"&lt;"&amp;EOMONTH('Faturado mensal'!AE$2,0))</f>
        <v>0</v>
      </c>
      <c r="AF237" s="9">
        <f>SUMIFS(#REF!,#REF!,
$A237,#REF!,
"&gt;="&amp;'Faturado mensal'!AF$2,#REF!,
"&lt;"&amp;EOMONTH('Faturado mensal'!AF$2,0))</f>
        <v>0</v>
      </c>
      <c r="AG237" s="9">
        <f>SUMIFS(#REF!,#REF!,
$A237,#REF!,
"&gt;="&amp;'Faturado mensal'!AG$2,#REF!,
"&lt;"&amp;EOMONTH('Faturado mensal'!AG$2,0))</f>
        <v>0</v>
      </c>
      <c r="AH237" s="9">
        <f>SUMIFS(#REF!,#REF!,
$A237,#REF!,
"&gt;="&amp;'Faturado mensal'!AH$2,#REF!,
"&lt;"&amp;EOMONTH('Faturado mensal'!AH$2,0))</f>
        <v>0</v>
      </c>
      <c r="AI237" s="9">
        <f>SUMIFS(#REF!,#REF!,
$A237,#REF!,
"&gt;="&amp;'Faturado mensal'!AI$2,#REF!,
"&lt;"&amp;EOMONTH('Faturado mensal'!AI$2,0))</f>
        <v>0</v>
      </c>
      <c r="AJ237" s="9">
        <f>SUMIFS(#REF!,#REF!,
$A237,#REF!,
"&gt;="&amp;'Faturado mensal'!AJ$2,#REF!,
"&lt;"&amp;EOMONTH('Faturado mensal'!AJ$2,0))</f>
        <v>0</v>
      </c>
      <c r="AK237" s="9">
        <f>SUMIFS(#REF!,#REF!,
$A237,#REF!,
"&gt;="&amp;'Faturado mensal'!AK$2,#REF!,
"&lt;"&amp;EOMONTH('Faturado mensal'!AK$2,0))</f>
        <v>0</v>
      </c>
      <c r="AL237" s="9">
        <f>SUMIFS(#REF!,#REF!,
$A237,#REF!,
"&gt;="&amp;Z$2,#REF!,
"&lt;"&amp;EOMONTH(AK$2,0))</f>
        <v>61897.149999999994</v>
      </c>
    </row>
    <row r="238" spans="1:38" x14ac:dyDescent="0.3">
      <c r="A238" t="s">
        <v>534</v>
      </c>
      <c r="B238" t="s">
        <v>535</v>
      </c>
      <c r="C238" t="s">
        <v>148</v>
      </c>
      <c r="D238" t="s">
        <v>209</v>
      </c>
      <c r="E238" t="s">
        <v>1040</v>
      </c>
      <c r="F238" t="s">
        <v>4779</v>
      </c>
      <c r="G238" t="s">
        <v>4856</v>
      </c>
      <c r="H238" t="s">
        <v>807</v>
      </c>
      <c r="I238" t="s">
        <v>894</v>
      </c>
      <c r="J238" t="s">
        <v>890</v>
      </c>
      <c r="K238" t="s">
        <v>711</v>
      </c>
      <c r="L238" t="s">
        <v>712</v>
      </c>
      <c r="M238" s="9">
        <f>SUMIFS(#REF!,#REF!,
$A238,#REF!,
"&gt;="&amp;'Faturado mensal'!M$2,#REF!,
"&lt;"&amp;EOMONTH('Faturado mensal'!M$2,0))</f>
        <v>3200</v>
      </c>
      <c r="N238" s="9">
        <f>SUMIFS(#REF!,#REF!,
$A238,#REF!,
"&gt;="&amp;'Faturado mensal'!N$2,#REF!,
"&lt;"&amp;EOMONTH('Faturado mensal'!N$2,0))</f>
        <v>3200</v>
      </c>
      <c r="O238" s="9">
        <f>SUMIFS(#REF!,#REF!,
$A238,#REF!,
"&gt;="&amp;'Faturado mensal'!O$2,#REF!,
"&lt;"&amp;EOMONTH('Faturado mensal'!O$2,0))</f>
        <v>3200</v>
      </c>
      <c r="P238" s="9">
        <f>SUMIFS(#REF!,#REF!,
$A238,#REF!,
"&gt;="&amp;'Faturado mensal'!P$2,#REF!,
"&lt;"&amp;EOMONTH('Faturado mensal'!P$2,0))</f>
        <v>3200</v>
      </c>
      <c r="Q238" s="9">
        <f>SUMIFS(#REF!,#REF!,
$A238,#REF!,
"&gt;="&amp;'Faturado mensal'!Q$2,#REF!,
"&lt;"&amp;EOMONTH('Faturado mensal'!Q$2,0))</f>
        <v>3200</v>
      </c>
      <c r="R238" s="9">
        <f>SUMIFS(#REF!,#REF!,
$A238,#REF!,
"&gt;="&amp;'Faturado mensal'!R$2,#REF!,
"&lt;"&amp;EOMONTH('Faturado mensal'!R$2,0))</f>
        <v>3200</v>
      </c>
      <c r="S238" s="9">
        <f>SUMIFS(#REF!,#REF!,
$A238,#REF!,
"&gt;="&amp;'Faturado mensal'!S$2,#REF!,
"&lt;"&amp;EOMONTH('Faturado mensal'!S$2,0))</f>
        <v>3200</v>
      </c>
      <c r="T238" s="9">
        <f>SUMIFS(#REF!,#REF!,
$A238,#REF!,
"&gt;="&amp;'Faturado mensal'!T$2,#REF!,
"&lt;"&amp;EOMONTH('Faturado mensal'!T$2,0))</f>
        <v>6400</v>
      </c>
      <c r="U238" s="9">
        <f>SUMIFS(#REF!,#REF!,
$A238,#REF!,
"&gt;="&amp;'Faturado mensal'!U$2,#REF!,
"&lt;"&amp;EOMONTH('Faturado mensal'!U$2,0))</f>
        <v>0</v>
      </c>
      <c r="V238" s="9">
        <f>SUMIFS(#REF!,#REF!,
$A238,#REF!,
"&gt;="&amp;'Faturado mensal'!V$2,#REF!,
"&lt;"&amp;EOMONTH('Faturado mensal'!V$2,0))</f>
        <v>4760</v>
      </c>
      <c r="W238" s="9">
        <f>SUMIFS(#REF!,#REF!,
$A238,#REF!,
"&gt;="&amp;'Faturado mensal'!W$2,#REF!,
"&lt;"&amp;EOMONTH('Faturado mensal'!W$2,0))</f>
        <v>0</v>
      </c>
      <c r="X238" s="9">
        <f>SUMIFS(#REF!,#REF!,
$A238,#REF!,
"&gt;="&amp;'Faturado mensal'!X$2,#REF!,
"&lt;"&amp;EOMONTH('Faturado mensal'!X$2,0))</f>
        <v>16850</v>
      </c>
      <c r="Y238" s="11">
        <f>SUMIFS(#REF!,#REF!,
$A238,#REF!,
"&gt;="&amp;'Faturado mensal'!M$2,#REF!,
"&lt;"&amp;EOMONTH('Faturado mensal'!M$2,12))</f>
        <v>50410</v>
      </c>
      <c r="Z238" s="9">
        <f>SUMIFS(#REF!,#REF!,
$A238,#REF!,
"&gt;="&amp;'Faturado mensal'!Z$2,#REF!,
"&lt;"&amp;EOMONTH('Faturado mensal'!Z$2,0))</f>
        <v>0</v>
      </c>
      <c r="AA238" s="9">
        <f>SUMIFS(#REF!,#REF!,
$A238,#REF!,
"&gt;="&amp;'Faturado mensal'!AA$2,#REF!,
"&lt;"&amp;EOMONTH('Faturado mensal'!AA$2,0))</f>
        <v>0</v>
      </c>
      <c r="AB238" s="9">
        <f>SUMIFS(#REF!,#REF!,
$A238,#REF!,
"&gt;="&amp;'Faturado mensal'!AB$2,#REF!,
"&lt;"&amp;EOMONTH('Faturado mensal'!AB$2,0))</f>
        <v>0</v>
      </c>
      <c r="AC238" s="9">
        <f>SUMIFS(#REF!,#REF!,
$A238,#REF!,
"&gt;="&amp;'Faturado mensal'!AC$2,#REF!,
"&lt;"&amp;EOMONTH('Faturado mensal'!AC$2,0))</f>
        <v>0</v>
      </c>
      <c r="AD238" s="9">
        <f>SUMIFS(#REF!,#REF!,
$A238,#REF!,
"&gt;="&amp;'Faturado mensal'!AD$2,#REF!,
"&lt;"&amp;EOMONTH('Faturado mensal'!AD$2,0))</f>
        <v>0</v>
      </c>
      <c r="AE238" s="9">
        <f>SUMIFS(#REF!,#REF!,
$A238,#REF!,
"&gt;="&amp;'Faturado mensal'!AE$2,#REF!,
"&lt;"&amp;EOMONTH('Faturado mensal'!AE$2,0))</f>
        <v>0</v>
      </c>
      <c r="AF238" s="9">
        <f>SUMIFS(#REF!,#REF!,
$A238,#REF!,
"&gt;="&amp;'Faturado mensal'!AF$2,#REF!,
"&lt;"&amp;EOMONTH('Faturado mensal'!AF$2,0))</f>
        <v>0</v>
      </c>
      <c r="AG238" s="9">
        <f>SUMIFS(#REF!,#REF!,
$A238,#REF!,
"&gt;="&amp;'Faturado mensal'!AG$2,#REF!,
"&lt;"&amp;EOMONTH('Faturado mensal'!AG$2,0))</f>
        <v>0</v>
      </c>
      <c r="AH238" s="9">
        <f>SUMIFS(#REF!,#REF!,
$A238,#REF!,
"&gt;="&amp;'Faturado mensal'!AH$2,#REF!,
"&lt;"&amp;EOMONTH('Faturado mensal'!AH$2,0))</f>
        <v>0</v>
      </c>
      <c r="AI238" s="9">
        <f>SUMIFS(#REF!,#REF!,
$A238,#REF!,
"&gt;="&amp;'Faturado mensal'!AI$2,#REF!,
"&lt;"&amp;EOMONTH('Faturado mensal'!AI$2,0))</f>
        <v>0</v>
      </c>
      <c r="AJ238" s="9">
        <f>SUMIFS(#REF!,#REF!,
$A238,#REF!,
"&gt;="&amp;'Faturado mensal'!AJ$2,#REF!,
"&lt;"&amp;EOMONTH('Faturado mensal'!AJ$2,0))</f>
        <v>0</v>
      </c>
      <c r="AK238" s="9">
        <f>SUMIFS(#REF!,#REF!,
$A238,#REF!,
"&gt;="&amp;'Faturado mensal'!AK$2,#REF!,
"&lt;"&amp;EOMONTH('Faturado mensal'!AK$2,0))</f>
        <v>0</v>
      </c>
      <c r="AL238" s="9">
        <f>SUMIFS(#REF!,#REF!,
$A238,#REF!,
"&gt;="&amp;Z$2,#REF!,
"&lt;"&amp;EOMONTH(AK$2,0))</f>
        <v>0</v>
      </c>
    </row>
    <row r="239" spans="1:38" x14ac:dyDescent="0.3">
      <c r="A239" t="s">
        <v>536</v>
      </c>
      <c r="B239" t="s">
        <v>537</v>
      </c>
      <c r="C239" t="s">
        <v>194</v>
      </c>
      <c r="D239" t="s">
        <v>209</v>
      </c>
      <c r="G239" t="s">
        <v>4858</v>
      </c>
      <c r="H239" t="s">
        <v>4773</v>
      </c>
      <c r="I239" t="s">
        <v>895</v>
      </c>
      <c r="J239" t="s">
        <v>710</v>
      </c>
      <c r="K239" t="s">
        <v>720</v>
      </c>
      <c r="L239" t="s">
        <v>721</v>
      </c>
      <c r="M239" s="9">
        <f>SUMIFS(#REF!,#REF!,
$A239,#REF!,
"&gt;="&amp;'Faturado mensal'!M$2,#REF!,
"&lt;"&amp;EOMONTH('Faturado mensal'!M$2,0))</f>
        <v>1350</v>
      </c>
      <c r="N239" s="9">
        <f>SUMIFS(#REF!,#REF!,
$A239,#REF!,
"&gt;="&amp;'Faturado mensal'!N$2,#REF!,
"&lt;"&amp;EOMONTH('Faturado mensal'!N$2,0))</f>
        <v>1350</v>
      </c>
      <c r="O239" s="9">
        <f>SUMIFS(#REF!,#REF!,
$A239,#REF!,
"&gt;="&amp;'Faturado mensal'!O$2,#REF!,
"&lt;"&amp;EOMONTH('Faturado mensal'!O$2,0))</f>
        <v>958.06</v>
      </c>
      <c r="P239" s="9">
        <f>SUMIFS(#REF!,#REF!,
$A239,#REF!,
"&gt;="&amp;'Faturado mensal'!P$2,#REF!,
"&lt;"&amp;EOMONTH('Faturado mensal'!P$2,0))</f>
        <v>0</v>
      </c>
      <c r="Q239" s="9">
        <f>SUMIFS(#REF!,#REF!,
$A239,#REF!,
"&gt;="&amp;'Faturado mensal'!Q$2,#REF!,
"&lt;"&amp;EOMONTH('Faturado mensal'!Q$2,0))</f>
        <v>0</v>
      </c>
      <c r="R239" s="9">
        <f>SUMIFS(#REF!,#REF!,
$A239,#REF!,
"&gt;="&amp;'Faturado mensal'!R$2,#REF!,
"&lt;"&amp;EOMONTH('Faturado mensal'!R$2,0))</f>
        <v>0</v>
      </c>
      <c r="S239" s="9">
        <f>SUMIFS(#REF!,#REF!,
$A239,#REF!,
"&gt;="&amp;'Faturado mensal'!S$2,#REF!,
"&lt;"&amp;EOMONTH('Faturado mensal'!S$2,0))</f>
        <v>0</v>
      </c>
      <c r="T239" s="9">
        <f>SUMIFS(#REF!,#REF!,
$A239,#REF!,
"&gt;="&amp;'Faturado mensal'!T$2,#REF!,
"&lt;"&amp;EOMONTH('Faturado mensal'!T$2,0))</f>
        <v>0</v>
      </c>
      <c r="U239" s="9">
        <f>SUMIFS(#REF!,#REF!,
$A239,#REF!,
"&gt;="&amp;'Faturado mensal'!U$2,#REF!,
"&lt;"&amp;EOMONTH('Faturado mensal'!U$2,0))</f>
        <v>0</v>
      </c>
      <c r="V239" s="9">
        <f>SUMIFS(#REF!,#REF!,
$A239,#REF!,
"&gt;="&amp;'Faturado mensal'!V$2,#REF!,
"&lt;"&amp;EOMONTH('Faturado mensal'!V$2,0))</f>
        <v>0</v>
      </c>
      <c r="W239" s="9">
        <f>SUMIFS(#REF!,#REF!,
$A239,#REF!,
"&gt;="&amp;'Faturado mensal'!W$2,#REF!,
"&lt;"&amp;EOMONTH('Faturado mensal'!W$2,0))</f>
        <v>0</v>
      </c>
      <c r="X239" s="9">
        <f>SUMIFS(#REF!,#REF!,
$A239,#REF!,
"&gt;="&amp;'Faturado mensal'!X$2,#REF!,
"&lt;"&amp;EOMONTH('Faturado mensal'!X$2,0))</f>
        <v>0</v>
      </c>
      <c r="Y239" s="11">
        <f>SUMIFS(#REF!,#REF!,
$A239,#REF!,
"&gt;="&amp;'Faturado mensal'!M$2,#REF!,
"&lt;"&amp;EOMONTH('Faturado mensal'!M$2,12))</f>
        <v>3658.06</v>
      </c>
      <c r="Z239" s="9">
        <f>SUMIFS(#REF!,#REF!,
$A239,#REF!,
"&gt;="&amp;'Faturado mensal'!Z$2,#REF!,
"&lt;"&amp;EOMONTH('Faturado mensal'!Z$2,0))</f>
        <v>0</v>
      </c>
      <c r="AA239" s="9">
        <f>SUMIFS(#REF!,#REF!,
$A239,#REF!,
"&gt;="&amp;'Faturado mensal'!AA$2,#REF!,
"&lt;"&amp;EOMONTH('Faturado mensal'!AA$2,0))</f>
        <v>0</v>
      </c>
      <c r="AB239" s="9">
        <f>SUMIFS(#REF!,#REF!,
$A239,#REF!,
"&gt;="&amp;'Faturado mensal'!AB$2,#REF!,
"&lt;"&amp;EOMONTH('Faturado mensal'!AB$2,0))</f>
        <v>0</v>
      </c>
      <c r="AC239" s="9">
        <f>SUMIFS(#REF!,#REF!,
$A239,#REF!,
"&gt;="&amp;'Faturado mensal'!AC$2,#REF!,
"&lt;"&amp;EOMONTH('Faturado mensal'!AC$2,0))</f>
        <v>0</v>
      </c>
      <c r="AD239" s="9">
        <f>SUMIFS(#REF!,#REF!,
$A239,#REF!,
"&gt;="&amp;'Faturado mensal'!AD$2,#REF!,
"&lt;"&amp;EOMONTH('Faturado mensal'!AD$2,0))</f>
        <v>0</v>
      </c>
      <c r="AE239" s="9">
        <f>SUMIFS(#REF!,#REF!,
$A239,#REF!,
"&gt;="&amp;'Faturado mensal'!AE$2,#REF!,
"&lt;"&amp;EOMONTH('Faturado mensal'!AE$2,0))</f>
        <v>0</v>
      </c>
      <c r="AF239" s="9">
        <f>SUMIFS(#REF!,#REF!,
$A239,#REF!,
"&gt;="&amp;'Faturado mensal'!AF$2,#REF!,
"&lt;"&amp;EOMONTH('Faturado mensal'!AF$2,0))</f>
        <v>0</v>
      </c>
      <c r="AG239" s="9">
        <f>SUMIFS(#REF!,#REF!,
$A239,#REF!,
"&gt;="&amp;'Faturado mensal'!AG$2,#REF!,
"&lt;"&amp;EOMONTH('Faturado mensal'!AG$2,0))</f>
        <v>0</v>
      </c>
      <c r="AH239" s="9">
        <f>SUMIFS(#REF!,#REF!,
$A239,#REF!,
"&gt;="&amp;'Faturado mensal'!AH$2,#REF!,
"&lt;"&amp;EOMONTH('Faturado mensal'!AH$2,0))</f>
        <v>0</v>
      </c>
      <c r="AI239" s="9">
        <f>SUMIFS(#REF!,#REF!,
$A239,#REF!,
"&gt;="&amp;'Faturado mensal'!AI$2,#REF!,
"&lt;"&amp;EOMONTH('Faturado mensal'!AI$2,0))</f>
        <v>0</v>
      </c>
      <c r="AJ239" s="9">
        <f>SUMIFS(#REF!,#REF!,
$A239,#REF!,
"&gt;="&amp;'Faturado mensal'!AJ$2,#REF!,
"&lt;"&amp;EOMONTH('Faturado mensal'!AJ$2,0))</f>
        <v>0</v>
      </c>
      <c r="AK239" s="9">
        <f>SUMIFS(#REF!,#REF!,
$A239,#REF!,
"&gt;="&amp;'Faturado mensal'!AK$2,#REF!,
"&lt;"&amp;EOMONTH('Faturado mensal'!AK$2,0))</f>
        <v>0</v>
      </c>
      <c r="AL239" s="9">
        <f>SUMIFS(#REF!,#REF!,
$A239,#REF!,
"&gt;="&amp;Z$2,#REF!,
"&lt;"&amp;EOMONTH(AK$2,0))</f>
        <v>0</v>
      </c>
    </row>
    <row r="240" spans="1:38" x14ac:dyDescent="0.3">
      <c r="A240" t="s">
        <v>538</v>
      </c>
      <c r="B240" t="s">
        <v>539</v>
      </c>
      <c r="C240" t="s">
        <v>189</v>
      </c>
      <c r="D240" t="s">
        <v>209</v>
      </c>
      <c r="G240" t="s">
        <v>807</v>
      </c>
      <c r="I240" t="s">
        <v>896</v>
      </c>
      <c r="J240" t="s">
        <v>890</v>
      </c>
      <c r="K240" t="s">
        <v>720</v>
      </c>
      <c r="L240" t="s">
        <v>721</v>
      </c>
      <c r="M240" s="9">
        <f>SUMIFS(#REF!,#REF!,
$A240,#REF!,
"&gt;="&amp;'Faturado mensal'!M$2,#REF!,
"&lt;"&amp;EOMONTH('Faturado mensal'!M$2,0))</f>
        <v>0</v>
      </c>
      <c r="N240" s="9">
        <f>SUMIFS(#REF!,#REF!,
$A240,#REF!,
"&gt;="&amp;'Faturado mensal'!N$2,#REF!,
"&lt;"&amp;EOMONTH('Faturado mensal'!N$2,0))</f>
        <v>0</v>
      </c>
      <c r="O240" s="9">
        <f>SUMIFS(#REF!,#REF!,
$A240,#REF!,
"&gt;="&amp;'Faturado mensal'!O$2,#REF!,
"&lt;"&amp;EOMONTH('Faturado mensal'!O$2,0))</f>
        <v>0</v>
      </c>
      <c r="P240" s="9">
        <f>SUMIFS(#REF!,#REF!,
$A240,#REF!,
"&gt;="&amp;'Faturado mensal'!P$2,#REF!,
"&lt;"&amp;EOMONTH('Faturado mensal'!P$2,0))</f>
        <v>0</v>
      </c>
      <c r="Q240" s="9">
        <f>SUMIFS(#REF!,#REF!,
$A240,#REF!,
"&gt;="&amp;'Faturado mensal'!Q$2,#REF!,
"&lt;"&amp;EOMONTH('Faturado mensal'!Q$2,0))</f>
        <v>0</v>
      </c>
      <c r="R240" s="9">
        <f>SUMIFS(#REF!,#REF!,
$A240,#REF!,
"&gt;="&amp;'Faturado mensal'!R$2,#REF!,
"&lt;"&amp;EOMONTH('Faturado mensal'!R$2,0))</f>
        <v>0</v>
      </c>
      <c r="S240" s="9">
        <f>SUMIFS(#REF!,#REF!,
$A240,#REF!,
"&gt;="&amp;'Faturado mensal'!S$2,#REF!,
"&lt;"&amp;EOMONTH('Faturado mensal'!S$2,0))</f>
        <v>0</v>
      </c>
      <c r="T240" s="9">
        <f>SUMIFS(#REF!,#REF!,
$A240,#REF!,
"&gt;="&amp;'Faturado mensal'!T$2,#REF!,
"&lt;"&amp;EOMONTH('Faturado mensal'!T$2,0))</f>
        <v>0</v>
      </c>
      <c r="U240" s="9">
        <f>SUMIFS(#REF!,#REF!,
$A240,#REF!,
"&gt;="&amp;'Faturado mensal'!U$2,#REF!,
"&lt;"&amp;EOMONTH('Faturado mensal'!U$2,0))</f>
        <v>0</v>
      </c>
      <c r="V240" s="9">
        <f>SUMIFS(#REF!,#REF!,
$A240,#REF!,
"&gt;="&amp;'Faturado mensal'!V$2,#REF!,
"&lt;"&amp;EOMONTH('Faturado mensal'!V$2,0))</f>
        <v>0</v>
      </c>
      <c r="W240" s="9">
        <f>SUMIFS(#REF!,#REF!,
$A240,#REF!,
"&gt;="&amp;'Faturado mensal'!W$2,#REF!,
"&lt;"&amp;EOMONTH('Faturado mensal'!W$2,0))</f>
        <v>0</v>
      </c>
      <c r="X240" s="9">
        <f>SUMIFS(#REF!,#REF!,
$A240,#REF!,
"&gt;="&amp;'Faturado mensal'!X$2,#REF!,
"&lt;"&amp;EOMONTH('Faturado mensal'!X$2,0))</f>
        <v>0</v>
      </c>
      <c r="Y240" s="11">
        <f>SUMIFS(#REF!,#REF!,
$A240,#REF!,
"&gt;="&amp;'Faturado mensal'!M$2,#REF!,
"&lt;"&amp;EOMONTH('Faturado mensal'!M$2,12))</f>
        <v>0</v>
      </c>
      <c r="Z240" s="9">
        <f>SUMIFS(#REF!,#REF!,
$A240,#REF!,
"&gt;="&amp;'Faturado mensal'!Z$2,#REF!,
"&lt;"&amp;EOMONTH('Faturado mensal'!Z$2,0))</f>
        <v>0</v>
      </c>
      <c r="AA240" s="9">
        <f>SUMIFS(#REF!,#REF!,
$A240,#REF!,
"&gt;="&amp;'Faturado mensal'!AA$2,#REF!,
"&lt;"&amp;EOMONTH('Faturado mensal'!AA$2,0))</f>
        <v>0</v>
      </c>
      <c r="AB240" s="9">
        <f>SUMIFS(#REF!,#REF!,
$A240,#REF!,
"&gt;="&amp;'Faturado mensal'!AB$2,#REF!,
"&lt;"&amp;EOMONTH('Faturado mensal'!AB$2,0))</f>
        <v>0</v>
      </c>
      <c r="AC240" s="9">
        <f>SUMIFS(#REF!,#REF!,
$A240,#REF!,
"&gt;="&amp;'Faturado mensal'!AC$2,#REF!,
"&lt;"&amp;EOMONTH('Faturado mensal'!AC$2,0))</f>
        <v>0</v>
      </c>
      <c r="AD240" s="9">
        <f>SUMIFS(#REF!,#REF!,
$A240,#REF!,
"&gt;="&amp;'Faturado mensal'!AD$2,#REF!,
"&lt;"&amp;EOMONTH('Faturado mensal'!AD$2,0))</f>
        <v>0</v>
      </c>
      <c r="AE240" s="9">
        <f>SUMIFS(#REF!,#REF!,
$A240,#REF!,
"&gt;="&amp;'Faturado mensal'!AE$2,#REF!,
"&lt;"&amp;EOMONTH('Faturado mensal'!AE$2,0))</f>
        <v>0</v>
      </c>
      <c r="AF240" s="9">
        <f>SUMIFS(#REF!,#REF!,
$A240,#REF!,
"&gt;="&amp;'Faturado mensal'!AF$2,#REF!,
"&lt;"&amp;EOMONTH('Faturado mensal'!AF$2,0))</f>
        <v>0</v>
      </c>
      <c r="AG240" s="9">
        <f>SUMIFS(#REF!,#REF!,
$A240,#REF!,
"&gt;="&amp;'Faturado mensal'!AG$2,#REF!,
"&lt;"&amp;EOMONTH('Faturado mensal'!AG$2,0))</f>
        <v>0</v>
      </c>
      <c r="AH240" s="9">
        <f>SUMIFS(#REF!,#REF!,
$A240,#REF!,
"&gt;="&amp;'Faturado mensal'!AH$2,#REF!,
"&lt;"&amp;EOMONTH('Faturado mensal'!AH$2,0))</f>
        <v>0</v>
      </c>
      <c r="AI240" s="9">
        <f>SUMIFS(#REF!,#REF!,
$A240,#REF!,
"&gt;="&amp;'Faturado mensal'!AI$2,#REF!,
"&lt;"&amp;EOMONTH('Faturado mensal'!AI$2,0))</f>
        <v>0</v>
      </c>
      <c r="AJ240" s="9">
        <f>SUMIFS(#REF!,#REF!,
$A240,#REF!,
"&gt;="&amp;'Faturado mensal'!AJ$2,#REF!,
"&lt;"&amp;EOMONTH('Faturado mensal'!AJ$2,0))</f>
        <v>0</v>
      </c>
      <c r="AK240" s="9">
        <f>SUMIFS(#REF!,#REF!,
$A240,#REF!,
"&gt;="&amp;'Faturado mensal'!AK$2,#REF!,
"&lt;"&amp;EOMONTH('Faturado mensal'!AK$2,0))</f>
        <v>0</v>
      </c>
      <c r="AL240" s="9">
        <f>SUMIFS(#REF!,#REF!,
$A240,#REF!,
"&gt;="&amp;Z$2,#REF!,
"&lt;"&amp;EOMONTH(AK$2,0))</f>
        <v>0</v>
      </c>
    </row>
    <row r="241" spans="1:38" x14ac:dyDescent="0.3">
      <c r="A241" t="s">
        <v>540</v>
      </c>
      <c r="B241" t="s">
        <v>541</v>
      </c>
      <c r="C241" t="s">
        <v>173</v>
      </c>
      <c r="D241" t="s">
        <v>204</v>
      </c>
      <c r="E241" t="s">
        <v>1040</v>
      </c>
      <c r="F241" t="s">
        <v>4791</v>
      </c>
      <c r="G241" t="s">
        <v>4853</v>
      </c>
      <c r="H241" t="s">
        <v>4773</v>
      </c>
      <c r="I241" t="s">
        <v>897</v>
      </c>
      <c r="J241" t="s">
        <v>890</v>
      </c>
      <c r="K241" t="s">
        <v>711</v>
      </c>
      <c r="L241" t="s">
        <v>712</v>
      </c>
      <c r="M241" s="9">
        <f>SUMIFS(#REF!,#REF!,
$A241,#REF!,
"&gt;="&amp;'Faturado mensal'!M$2,#REF!,
"&lt;"&amp;EOMONTH('Faturado mensal'!M$2,0))</f>
        <v>2337.9499999999998</v>
      </c>
      <c r="N241" s="9">
        <f>SUMIFS(#REF!,#REF!,
$A241,#REF!,
"&gt;="&amp;'Faturado mensal'!N$2,#REF!,
"&lt;"&amp;EOMONTH('Faturado mensal'!N$2,0))</f>
        <v>2337.9499999999998</v>
      </c>
      <c r="O241" s="9">
        <f>SUMIFS(#REF!,#REF!,
$A241,#REF!,
"&gt;="&amp;'Faturado mensal'!O$2,#REF!,
"&lt;"&amp;EOMONTH('Faturado mensal'!O$2,0))</f>
        <v>2337.9499999999998</v>
      </c>
      <c r="P241" s="9">
        <f>SUMIFS(#REF!,#REF!,
$A241,#REF!,
"&gt;="&amp;'Faturado mensal'!P$2,#REF!,
"&lt;"&amp;EOMONTH('Faturado mensal'!P$2,0))</f>
        <v>2337.9499999999998</v>
      </c>
      <c r="Q241" s="9">
        <f>SUMIFS(#REF!,#REF!,
$A241,#REF!,
"&gt;="&amp;'Faturado mensal'!Q$2,#REF!,
"&lt;"&amp;EOMONTH('Faturado mensal'!Q$2,0))</f>
        <v>2337.9499999999998</v>
      </c>
      <c r="R241" s="9">
        <f>SUMIFS(#REF!,#REF!,
$A241,#REF!,
"&gt;="&amp;'Faturado mensal'!R$2,#REF!,
"&lt;"&amp;EOMONTH('Faturado mensal'!R$2,0))</f>
        <v>2337.9499999999998</v>
      </c>
      <c r="S241" s="9">
        <f>SUMIFS(#REF!,#REF!,
$A241,#REF!,
"&gt;="&amp;'Faturado mensal'!S$2,#REF!,
"&lt;"&amp;EOMONTH('Faturado mensal'!S$2,0))</f>
        <v>2337.9499999999998</v>
      </c>
      <c r="T241" s="9">
        <f>SUMIFS(#REF!,#REF!,
$A241,#REF!,
"&gt;="&amp;'Faturado mensal'!T$2,#REF!,
"&lt;"&amp;EOMONTH('Faturado mensal'!T$2,0))</f>
        <v>2337.9499999999998</v>
      </c>
      <c r="U241" s="9">
        <f>SUMIFS(#REF!,#REF!,
$A241,#REF!,
"&gt;="&amp;'Faturado mensal'!U$2,#REF!,
"&lt;"&amp;EOMONTH('Faturado mensal'!U$2,0))</f>
        <v>2337.9499999999998</v>
      </c>
      <c r="V241" s="9">
        <f>SUMIFS(#REF!,#REF!,
$A241,#REF!,
"&gt;="&amp;'Faturado mensal'!V$2,#REF!,
"&lt;"&amp;EOMONTH('Faturado mensal'!V$2,0))</f>
        <v>0</v>
      </c>
      <c r="W241" s="9">
        <f>SUMIFS(#REF!,#REF!,
$A241,#REF!,
"&gt;="&amp;'Faturado mensal'!W$2,#REF!,
"&lt;"&amp;EOMONTH('Faturado mensal'!W$2,0))</f>
        <v>4675.8999999999996</v>
      </c>
      <c r="X241" s="9">
        <f>SUMIFS(#REF!,#REF!,
$A241,#REF!,
"&gt;="&amp;'Faturado mensal'!X$2,#REF!,
"&lt;"&amp;EOMONTH('Faturado mensal'!X$2,0))</f>
        <v>2337.9499999999998</v>
      </c>
      <c r="Y241" s="11">
        <f>SUMIFS(#REF!,#REF!,
$A241,#REF!,
"&gt;="&amp;'Faturado mensal'!M$2,#REF!,
"&lt;"&amp;EOMONTH('Faturado mensal'!M$2,12))</f>
        <v>28055.400000000005</v>
      </c>
      <c r="Z241" s="9">
        <f>SUMIFS(#REF!,#REF!,
$A241,#REF!,
"&gt;="&amp;'Faturado mensal'!Z$2,#REF!,
"&lt;"&amp;EOMONTH('Faturado mensal'!Z$2,0))</f>
        <v>0</v>
      </c>
      <c r="AA241" s="9">
        <f>SUMIFS(#REF!,#REF!,
$A241,#REF!,
"&gt;="&amp;'Faturado mensal'!AA$2,#REF!,
"&lt;"&amp;EOMONTH('Faturado mensal'!AA$2,0))</f>
        <v>0</v>
      </c>
      <c r="AB241" s="9">
        <f>SUMIFS(#REF!,#REF!,
$A241,#REF!,
"&gt;="&amp;'Faturado mensal'!AB$2,#REF!,
"&lt;"&amp;EOMONTH('Faturado mensal'!AB$2,0))</f>
        <v>7013.85</v>
      </c>
      <c r="AC241" s="9">
        <f>SUMIFS(#REF!,#REF!,
$A241,#REF!,
"&gt;="&amp;'Faturado mensal'!AC$2,#REF!,
"&lt;"&amp;EOMONTH('Faturado mensal'!AC$2,0))</f>
        <v>2337.9499999999998</v>
      </c>
      <c r="AD241" s="9">
        <f>SUMIFS(#REF!,#REF!,
$A241,#REF!,
"&gt;="&amp;'Faturado mensal'!AD$2,#REF!,
"&lt;"&amp;EOMONTH('Faturado mensal'!AD$2,0))</f>
        <v>2337.9499999999998</v>
      </c>
      <c r="AE241" s="9">
        <f>SUMIFS(#REF!,#REF!,
$A241,#REF!,
"&gt;="&amp;'Faturado mensal'!AE$2,#REF!,
"&lt;"&amp;EOMONTH('Faturado mensal'!AE$2,0))</f>
        <v>2337.9499999999998</v>
      </c>
      <c r="AF241" s="9">
        <f>SUMIFS(#REF!,#REF!,
$A241,#REF!,
"&gt;="&amp;'Faturado mensal'!AF$2,#REF!,
"&lt;"&amp;EOMONTH('Faturado mensal'!AF$2,0))</f>
        <v>0</v>
      </c>
      <c r="AG241" s="9">
        <f>SUMIFS(#REF!,#REF!,
$A241,#REF!,
"&gt;="&amp;'Faturado mensal'!AG$2,#REF!,
"&lt;"&amp;EOMONTH('Faturado mensal'!AG$2,0))</f>
        <v>0</v>
      </c>
      <c r="AH241" s="9">
        <f>SUMIFS(#REF!,#REF!,
$A241,#REF!,
"&gt;="&amp;'Faturado mensal'!AH$2,#REF!,
"&lt;"&amp;EOMONTH('Faturado mensal'!AH$2,0))</f>
        <v>0</v>
      </c>
      <c r="AI241" s="9">
        <f>SUMIFS(#REF!,#REF!,
$A241,#REF!,
"&gt;="&amp;'Faturado mensal'!AI$2,#REF!,
"&lt;"&amp;EOMONTH('Faturado mensal'!AI$2,0))</f>
        <v>0</v>
      </c>
      <c r="AJ241" s="9">
        <f>SUMIFS(#REF!,#REF!,
$A241,#REF!,
"&gt;="&amp;'Faturado mensal'!AJ$2,#REF!,
"&lt;"&amp;EOMONTH('Faturado mensal'!AJ$2,0))</f>
        <v>0</v>
      </c>
      <c r="AK241" s="9">
        <f>SUMIFS(#REF!,#REF!,
$A241,#REF!,
"&gt;="&amp;'Faturado mensal'!AK$2,#REF!,
"&lt;"&amp;EOMONTH('Faturado mensal'!AK$2,0))</f>
        <v>0</v>
      </c>
      <c r="AL241" s="9">
        <f>SUMIFS(#REF!,#REF!,
$A241,#REF!,
"&gt;="&amp;Z$2,#REF!,
"&lt;"&amp;EOMONTH(AK$2,0))</f>
        <v>14027.7</v>
      </c>
    </row>
    <row r="242" spans="1:38" x14ac:dyDescent="0.3">
      <c r="A242" t="s">
        <v>542</v>
      </c>
      <c r="B242" t="s">
        <v>541</v>
      </c>
      <c r="C242" t="s">
        <v>173</v>
      </c>
      <c r="D242" t="s">
        <v>204</v>
      </c>
      <c r="E242" t="s">
        <v>4843</v>
      </c>
      <c r="F242" t="s">
        <v>4791</v>
      </c>
      <c r="G242" t="s">
        <v>4856</v>
      </c>
      <c r="H242" t="s">
        <v>4773</v>
      </c>
      <c r="I242" t="s">
        <v>898</v>
      </c>
      <c r="J242" t="s">
        <v>814</v>
      </c>
      <c r="K242" t="s">
        <v>748</v>
      </c>
      <c r="L242" t="s">
        <v>749</v>
      </c>
      <c r="M242" s="9">
        <f>SUMIFS(#REF!,#REF!,
$A242,#REF!,
"&gt;="&amp;'Faturado mensal'!M$2,#REF!,
"&lt;"&amp;EOMONTH('Faturado mensal'!M$2,0))</f>
        <v>2337.9499999999998</v>
      </c>
      <c r="N242" s="9">
        <f>SUMIFS(#REF!,#REF!,
$A242,#REF!,
"&gt;="&amp;'Faturado mensal'!N$2,#REF!,
"&lt;"&amp;EOMONTH('Faturado mensal'!N$2,0))</f>
        <v>2337.9499999999998</v>
      </c>
      <c r="O242" s="9">
        <f>SUMIFS(#REF!,#REF!,
$A242,#REF!,
"&gt;="&amp;'Faturado mensal'!O$2,#REF!,
"&lt;"&amp;EOMONTH('Faturado mensal'!O$2,0))</f>
        <v>2337.9499999999998</v>
      </c>
      <c r="P242" s="9">
        <f>SUMIFS(#REF!,#REF!,
$A242,#REF!,
"&gt;="&amp;'Faturado mensal'!P$2,#REF!,
"&lt;"&amp;EOMONTH('Faturado mensal'!P$2,0))</f>
        <v>2337.9499999999998</v>
      </c>
      <c r="Q242" s="9">
        <f>SUMIFS(#REF!,#REF!,
$A242,#REF!,
"&gt;="&amp;'Faturado mensal'!Q$2,#REF!,
"&lt;"&amp;EOMONTH('Faturado mensal'!Q$2,0))</f>
        <v>2337.9499999999998</v>
      </c>
      <c r="R242" s="9">
        <f>SUMIFS(#REF!,#REF!,
$A242,#REF!,
"&gt;="&amp;'Faturado mensal'!R$2,#REF!,
"&lt;"&amp;EOMONTH('Faturado mensal'!R$2,0))</f>
        <v>2337.9499999999998</v>
      </c>
      <c r="S242" s="9">
        <f>SUMIFS(#REF!,#REF!,
$A242,#REF!,
"&gt;="&amp;'Faturado mensal'!S$2,#REF!,
"&lt;"&amp;EOMONTH('Faturado mensal'!S$2,0))</f>
        <v>2337.9499999999998</v>
      </c>
      <c r="T242" s="9">
        <f>SUMIFS(#REF!,#REF!,
$A242,#REF!,
"&gt;="&amp;'Faturado mensal'!T$2,#REF!,
"&lt;"&amp;EOMONTH('Faturado mensal'!T$2,0))</f>
        <v>2337.9499999999998</v>
      </c>
      <c r="U242" s="9">
        <f>SUMIFS(#REF!,#REF!,
$A242,#REF!,
"&gt;="&amp;'Faturado mensal'!U$2,#REF!,
"&lt;"&amp;EOMONTH('Faturado mensal'!U$2,0))</f>
        <v>2337.9499999999998</v>
      </c>
      <c r="V242" s="9">
        <f>SUMIFS(#REF!,#REF!,
$A242,#REF!,
"&gt;="&amp;'Faturado mensal'!V$2,#REF!,
"&lt;"&amp;EOMONTH('Faturado mensal'!V$2,0))</f>
        <v>2337.9499999999998</v>
      </c>
      <c r="W242" s="9">
        <f>SUMIFS(#REF!,#REF!,
$A242,#REF!,
"&gt;="&amp;'Faturado mensal'!W$2,#REF!,
"&lt;"&amp;EOMONTH('Faturado mensal'!W$2,0))</f>
        <v>2337.9499999999998</v>
      </c>
      <c r="X242" s="9">
        <f>SUMIFS(#REF!,#REF!,
$A242,#REF!,
"&gt;="&amp;'Faturado mensal'!X$2,#REF!,
"&lt;"&amp;EOMONTH('Faturado mensal'!X$2,0))</f>
        <v>2337.9499999999998</v>
      </c>
      <c r="Y242" s="11">
        <f>SUMIFS(#REF!,#REF!,
$A242,#REF!,
"&gt;="&amp;'Faturado mensal'!M$2,#REF!,
"&lt;"&amp;EOMONTH('Faturado mensal'!M$2,12))</f>
        <v>28055.400000000005</v>
      </c>
      <c r="Z242" s="9">
        <f>SUMIFS(#REF!,#REF!,
$A242,#REF!,
"&gt;="&amp;'Faturado mensal'!Z$2,#REF!,
"&lt;"&amp;EOMONTH('Faturado mensal'!Z$2,0))</f>
        <v>0</v>
      </c>
      <c r="AA242" s="9">
        <f>SUMIFS(#REF!,#REF!,
$A242,#REF!,
"&gt;="&amp;'Faturado mensal'!AA$2,#REF!,
"&lt;"&amp;EOMONTH('Faturado mensal'!AA$2,0))</f>
        <v>0</v>
      </c>
      <c r="AB242" s="9">
        <f>SUMIFS(#REF!,#REF!,
$A242,#REF!,
"&gt;="&amp;'Faturado mensal'!AB$2,#REF!,
"&lt;"&amp;EOMONTH('Faturado mensal'!AB$2,0))</f>
        <v>4675.8999999999996</v>
      </c>
      <c r="AC242" s="9">
        <f>SUMIFS(#REF!,#REF!,
$A242,#REF!,
"&gt;="&amp;'Faturado mensal'!AC$2,#REF!,
"&lt;"&amp;EOMONTH('Faturado mensal'!AC$2,0))</f>
        <v>0</v>
      </c>
      <c r="AD242" s="9">
        <f>SUMIFS(#REF!,#REF!,
$A242,#REF!,
"&gt;="&amp;'Faturado mensal'!AD$2,#REF!,
"&lt;"&amp;EOMONTH('Faturado mensal'!AD$2,0))</f>
        <v>7013.8499999999995</v>
      </c>
      <c r="AE242" s="9">
        <f>SUMIFS(#REF!,#REF!,
$A242,#REF!,
"&gt;="&amp;'Faturado mensal'!AE$2,#REF!,
"&lt;"&amp;EOMONTH('Faturado mensal'!AE$2,0))</f>
        <v>2337.9499999999998</v>
      </c>
      <c r="AF242" s="9">
        <f>SUMIFS(#REF!,#REF!,
$A242,#REF!,
"&gt;="&amp;'Faturado mensal'!AF$2,#REF!,
"&lt;"&amp;EOMONTH('Faturado mensal'!AF$2,0))</f>
        <v>0</v>
      </c>
      <c r="AG242" s="9">
        <f>SUMIFS(#REF!,#REF!,
$A242,#REF!,
"&gt;="&amp;'Faturado mensal'!AG$2,#REF!,
"&lt;"&amp;EOMONTH('Faturado mensal'!AG$2,0))</f>
        <v>0</v>
      </c>
      <c r="AH242" s="9">
        <f>SUMIFS(#REF!,#REF!,
$A242,#REF!,
"&gt;="&amp;'Faturado mensal'!AH$2,#REF!,
"&lt;"&amp;EOMONTH('Faturado mensal'!AH$2,0))</f>
        <v>0</v>
      </c>
      <c r="AI242" s="9">
        <f>SUMIFS(#REF!,#REF!,
$A242,#REF!,
"&gt;="&amp;'Faturado mensal'!AI$2,#REF!,
"&lt;"&amp;EOMONTH('Faturado mensal'!AI$2,0))</f>
        <v>0</v>
      </c>
      <c r="AJ242" s="9">
        <f>SUMIFS(#REF!,#REF!,
$A242,#REF!,
"&gt;="&amp;'Faturado mensal'!AJ$2,#REF!,
"&lt;"&amp;EOMONTH('Faturado mensal'!AJ$2,0))</f>
        <v>0</v>
      </c>
      <c r="AK242" s="9">
        <f>SUMIFS(#REF!,#REF!,
$A242,#REF!,
"&gt;="&amp;'Faturado mensal'!AK$2,#REF!,
"&lt;"&amp;EOMONTH('Faturado mensal'!AK$2,0))</f>
        <v>0</v>
      </c>
      <c r="AL242" s="9">
        <f>SUMIFS(#REF!,#REF!,
$A242,#REF!,
"&gt;="&amp;Z$2,#REF!,
"&lt;"&amp;EOMONTH(AK$2,0))</f>
        <v>14027.7</v>
      </c>
    </row>
    <row r="243" spans="1:38" x14ac:dyDescent="0.3">
      <c r="A243" t="s">
        <v>543</v>
      </c>
      <c r="B243" t="s">
        <v>544</v>
      </c>
      <c r="C243" t="s">
        <v>144</v>
      </c>
      <c r="D243" t="s">
        <v>209</v>
      </c>
      <c r="G243" t="s">
        <v>4852</v>
      </c>
      <c r="H243" t="s">
        <v>4771</v>
      </c>
      <c r="I243" t="s">
        <v>899</v>
      </c>
      <c r="J243" t="s">
        <v>710</v>
      </c>
      <c r="K243" t="s">
        <v>711</v>
      </c>
      <c r="L243" t="s">
        <v>712</v>
      </c>
      <c r="M243" s="9">
        <f>SUMIFS(#REF!,#REF!,
$A243,#REF!,
"&gt;="&amp;'Faturado mensal'!M$2,#REF!,
"&lt;"&amp;EOMONTH('Faturado mensal'!M$2,0))</f>
        <v>41253.600000000006</v>
      </c>
      <c r="N243" s="9">
        <f>SUMIFS(#REF!,#REF!,
$A243,#REF!,
"&gt;="&amp;'Faturado mensal'!N$2,#REF!,
"&lt;"&amp;EOMONTH('Faturado mensal'!N$2,0))</f>
        <v>0</v>
      </c>
      <c r="O243" s="9">
        <f>SUMIFS(#REF!,#REF!,
$A243,#REF!,
"&gt;="&amp;'Faturado mensal'!O$2,#REF!,
"&lt;"&amp;EOMONTH('Faturado mensal'!O$2,0))</f>
        <v>0</v>
      </c>
      <c r="P243" s="9">
        <f>SUMIFS(#REF!,#REF!,
$A243,#REF!,
"&gt;="&amp;'Faturado mensal'!P$2,#REF!,
"&lt;"&amp;EOMONTH('Faturado mensal'!P$2,0))</f>
        <v>0</v>
      </c>
      <c r="Q243" s="9">
        <f>SUMIFS(#REF!,#REF!,
$A243,#REF!,
"&gt;="&amp;'Faturado mensal'!Q$2,#REF!,
"&lt;"&amp;EOMONTH('Faturado mensal'!Q$2,0))</f>
        <v>0</v>
      </c>
      <c r="R243" s="9">
        <f>SUMIFS(#REF!,#REF!,
$A243,#REF!,
"&gt;="&amp;'Faturado mensal'!R$2,#REF!,
"&lt;"&amp;EOMONTH('Faturado mensal'!R$2,0))</f>
        <v>0</v>
      </c>
      <c r="S243" s="9">
        <f>SUMIFS(#REF!,#REF!,
$A243,#REF!,
"&gt;="&amp;'Faturado mensal'!S$2,#REF!,
"&lt;"&amp;EOMONTH('Faturado mensal'!S$2,0))</f>
        <v>0</v>
      </c>
      <c r="T243" s="9">
        <f>SUMIFS(#REF!,#REF!,
$A243,#REF!,
"&gt;="&amp;'Faturado mensal'!T$2,#REF!,
"&lt;"&amp;EOMONTH('Faturado mensal'!T$2,0))</f>
        <v>25152.7</v>
      </c>
      <c r="U243" s="9">
        <f>SUMIFS(#REF!,#REF!,
$A243,#REF!,
"&gt;="&amp;'Faturado mensal'!U$2,#REF!,
"&lt;"&amp;EOMONTH('Faturado mensal'!U$2,0))</f>
        <v>0</v>
      </c>
      <c r="V243" s="9">
        <f>SUMIFS(#REF!,#REF!,
$A243,#REF!,
"&gt;="&amp;'Faturado mensal'!V$2,#REF!,
"&lt;"&amp;EOMONTH('Faturado mensal'!V$2,0))</f>
        <v>0</v>
      </c>
      <c r="W243" s="9">
        <f>SUMIFS(#REF!,#REF!,
$A243,#REF!,
"&gt;="&amp;'Faturado mensal'!W$2,#REF!,
"&lt;"&amp;EOMONTH('Faturado mensal'!W$2,0))</f>
        <v>0</v>
      </c>
      <c r="X243" s="9">
        <f>SUMIFS(#REF!,#REF!,
$A243,#REF!,
"&gt;="&amp;'Faturado mensal'!X$2,#REF!,
"&lt;"&amp;EOMONTH('Faturado mensal'!X$2,0))</f>
        <v>0</v>
      </c>
      <c r="Y243" s="11">
        <f>SUMIFS(#REF!,#REF!,
$A243,#REF!,
"&gt;="&amp;'Faturado mensal'!M$2,#REF!,
"&lt;"&amp;EOMONTH('Faturado mensal'!M$2,12))</f>
        <v>66406.3</v>
      </c>
      <c r="Z243" s="9">
        <f>SUMIFS(#REF!,#REF!,
$A243,#REF!,
"&gt;="&amp;'Faturado mensal'!Z$2,#REF!,
"&lt;"&amp;EOMONTH('Faturado mensal'!Z$2,0))</f>
        <v>0</v>
      </c>
      <c r="AA243" s="9">
        <f>SUMIFS(#REF!,#REF!,
$A243,#REF!,
"&gt;="&amp;'Faturado mensal'!AA$2,#REF!,
"&lt;"&amp;EOMONTH('Faturado mensal'!AA$2,0))</f>
        <v>0</v>
      </c>
      <c r="AB243" s="9">
        <f>SUMIFS(#REF!,#REF!,
$A243,#REF!,
"&gt;="&amp;'Faturado mensal'!AB$2,#REF!,
"&lt;"&amp;EOMONTH('Faturado mensal'!AB$2,0))</f>
        <v>0</v>
      </c>
      <c r="AC243" s="9">
        <f>SUMIFS(#REF!,#REF!,
$A243,#REF!,
"&gt;="&amp;'Faturado mensal'!AC$2,#REF!,
"&lt;"&amp;EOMONTH('Faturado mensal'!AC$2,0))</f>
        <v>0</v>
      </c>
      <c r="AD243" s="9">
        <f>SUMIFS(#REF!,#REF!,
$A243,#REF!,
"&gt;="&amp;'Faturado mensal'!AD$2,#REF!,
"&lt;"&amp;EOMONTH('Faturado mensal'!AD$2,0))</f>
        <v>0</v>
      </c>
      <c r="AE243" s="9">
        <f>SUMIFS(#REF!,#REF!,
$A243,#REF!,
"&gt;="&amp;'Faturado mensal'!AE$2,#REF!,
"&lt;"&amp;EOMONTH('Faturado mensal'!AE$2,0))</f>
        <v>0</v>
      </c>
      <c r="AF243" s="9">
        <f>SUMIFS(#REF!,#REF!,
$A243,#REF!,
"&gt;="&amp;'Faturado mensal'!AF$2,#REF!,
"&lt;"&amp;EOMONTH('Faturado mensal'!AF$2,0))</f>
        <v>0</v>
      </c>
      <c r="AG243" s="9">
        <f>SUMIFS(#REF!,#REF!,
$A243,#REF!,
"&gt;="&amp;'Faturado mensal'!AG$2,#REF!,
"&lt;"&amp;EOMONTH('Faturado mensal'!AG$2,0))</f>
        <v>0</v>
      </c>
      <c r="AH243" s="9">
        <f>SUMIFS(#REF!,#REF!,
$A243,#REF!,
"&gt;="&amp;'Faturado mensal'!AH$2,#REF!,
"&lt;"&amp;EOMONTH('Faturado mensal'!AH$2,0))</f>
        <v>0</v>
      </c>
      <c r="AI243" s="9">
        <f>SUMIFS(#REF!,#REF!,
$A243,#REF!,
"&gt;="&amp;'Faturado mensal'!AI$2,#REF!,
"&lt;"&amp;EOMONTH('Faturado mensal'!AI$2,0))</f>
        <v>0</v>
      </c>
      <c r="AJ243" s="9">
        <f>SUMIFS(#REF!,#REF!,
$A243,#REF!,
"&gt;="&amp;'Faturado mensal'!AJ$2,#REF!,
"&lt;"&amp;EOMONTH('Faturado mensal'!AJ$2,0))</f>
        <v>0</v>
      </c>
      <c r="AK243" s="9">
        <f>SUMIFS(#REF!,#REF!,
$A243,#REF!,
"&gt;="&amp;'Faturado mensal'!AK$2,#REF!,
"&lt;"&amp;EOMONTH('Faturado mensal'!AK$2,0))</f>
        <v>0</v>
      </c>
      <c r="AL243" s="9">
        <f>SUMIFS(#REF!,#REF!,
$A243,#REF!,
"&gt;="&amp;Z$2,#REF!,
"&lt;"&amp;EOMONTH(AK$2,0))</f>
        <v>0</v>
      </c>
    </row>
    <row r="244" spans="1:38" x14ac:dyDescent="0.3">
      <c r="A244" t="s">
        <v>545</v>
      </c>
      <c r="B244" t="s">
        <v>546</v>
      </c>
      <c r="C244" t="s">
        <v>75</v>
      </c>
      <c r="D244" t="s">
        <v>204</v>
      </c>
      <c r="E244" t="s">
        <v>4847</v>
      </c>
      <c r="F244" t="s">
        <v>4781</v>
      </c>
      <c r="G244" t="s">
        <v>4852</v>
      </c>
      <c r="H244" t="s">
        <v>4773</v>
      </c>
      <c r="I244" t="s">
        <v>900</v>
      </c>
      <c r="J244" t="s">
        <v>710</v>
      </c>
      <c r="K244" t="s">
        <v>744</v>
      </c>
      <c r="L244" t="s">
        <v>745</v>
      </c>
      <c r="M244" s="9">
        <f>SUMIFS(#REF!,#REF!,
$A244,#REF!,
"&gt;="&amp;'Faturado mensal'!M$2,#REF!,
"&lt;"&amp;EOMONTH('Faturado mensal'!M$2,0))</f>
        <v>0</v>
      </c>
      <c r="N244" s="9">
        <f>SUMIFS(#REF!,#REF!,
$A244,#REF!,
"&gt;="&amp;'Faturado mensal'!N$2,#REF!,
"&lt;"&amp;EOMONTH('Faturado mensal'!N$2,0))</f>
        <v>0</v>
      </c>
      <c r="O244" s="9">
        <f>SUMIFS(#REF!,#REF!,
$A244,#REF!,
"&gt;="&amp;'Faturado mensal'!O$2,#REF!,
"&lt;"&amp;EOMONTH('Faturado mensal'!O$2,0))</f>
        <v>0</v>
      </c>
      <c r="P244" s="9">
        <f>SUMIFS(#REF!,#REF!,
$A244,#REF!,
"&gt;="&amp;'Faturado mensal'!P$2,#REF!,
"&lt;"&amp;EOMONTH('Faturado mensal'!P$2,0))</f>
        <v>0</v>
      </c>
      <c r="Q244" s="9">
        <f>SUMIFS(#REF!,#REF!,
$A244,#REF!,
"&gt;="&amp;'Faturado mensal'!Q$2,#REF!,
"&lt;"&amp;EOMONTH('Faturado mensal'!Q$2,0))</f>
        <v>0</v>
      </c>
      <c r="R244" s="9">
        <f>SUMIFS(#REF!,#REF!,
$A244,#REF!,
"&gt;="&amp;'Faturado mensal'!R$2,#REF!,
"&lt;"&amp;EOMONTH('Faturado mensal'!R$2,0))</f>
        <v>0</v>
      </c>
      <c r="S244" s="9">
        <f>SUMIFS(#REF!,#REF!,
$A244,#REF!,
"&gt;="&amp;'Faturado mensal'!S$2,#REF!,
"&lt;"&amp;EOMONTH('Faturado mensal'!S$2,0))</f>
        <v>0</v>
      </c>
      <c r="T244" s="9">
        <f>SUMIFS(#REF!,#REF!,
$A244,#REF!,
"&gt;="&amp;'Faturado mensal'!T$2,#REF!,
"&lt;"&amp;EOMONTH('Faturado mensal'!T$2,0))</f>
        <v>0</v>
      </c>
      <c r="U244" s="9">
        <f>SUMIFS(#REF!,#REF!,
$A244,#REF!,
"&gt;="&amp;'Faturado mensal'!U$2,#REF!,
"&lt;"&amp;EOMONTH('Faturado mensal'!U$2,0))</f>
        <v>0</v>
      </c>
      <c r="V244" s="9">
        <f>SUMIFS(#REF!,#REF!,
$A244,#REF!,
"&gt;="&amp;'Faturado mensal'!V$2,#REF!,
"&lt;"&amp;EOMONTH('Faturado mensal'!V$2,0))</f>
        <v>0</v>
      </c>
      <c r="W244" s="9">
        <f>SUMIFS(#REF!,#REF!,
$A244,#REF!,
"&gt;="&amp;'Faturado mensal'!W$2,#REF!,
"&lt;"&amp;EOMONTH('Faturado mensal'!W$2,0))</f>
        <v>0</v>
      </c>
      <c r="X244" s="9">
        <f>SUMIFS(#REF!,#REF!,
$A244,#REF!,
"&gt;="&amp;'Faturado mensal'!X$2,#REF!,
"&lt;"&amp;EOMONTH('Faturado mensal'!X$2,0))</f>
        <v>0</v>
      </c>
      <c r="Y244" s="11">
        <f>SUMIFS(#REF!,#REF!,
$A244,#REF!,
"&gt;="&amp;'Faturado mensal'!M$2,#REF!,
"&lt;"&amp;EOMONTH('Faturado mensal'!M$2,12))</f>
        <v>0</v>
      </c>
      <c r="Z244" s="9">
        <f>SUMIFS(#REF!,#REF!,
$A244,#REF!,
"&gt;="&amp;'Faturado mensal'!Z$2,#REF!,
"&lt;"&amp;EOMONTH('Faturado mensal'!Z$2,0))</f>
        <v>0</v>
      </c>
      <c r="AA244" s="9">
        <f>SUMIFS(#REF!,#REF!,
$A244,#REF!,
"&gt;="&amp;'Faturado mensal'!AA$2,#REF!,
"&lt;"&amp;EOMONTH('Faturado mensal'!AA$2,0))</f>
        <v>0</v>
      </c>
      <c r="AB244" s="9">
        <f>SUMIFS(#REF!,#REF!,
$A244,#REF!,
"&gt;="&amp;'Faturado mensal'!AB$2,#REF!,
"&lt;"&amp;EOMONTH('Faturado mensal'!AB$2,0))</f>
        <v>12037.89</v>
      </c>
      <c r="AC244" s="9">
        <f>SUMIFS(#REF!,#REF!,
$A244,#REF!,
"&gt;="&amp;'Faturado mensal'!AC$2,#REF!,
"&lt;"&amp;EOMONTH('Faturado mensal'!AC$2,0))</f>
        <v>12037.89</v>
      </c>
      <c r="AD244" s="9">
        <f>SUMIFS(#REF!,#REF!,
$A244,#REF!,
"&gt;="&amp;'Faturado mensal'!AD$2,#REF!,
"&lt;"&amp;EOMONTH('Faturado mensal'!AD$2,0))</f>
        <v>12037.89</v>
      </c>
      <c r="AE244" s="9">
        <f>SUMIFS(#REF!,#REF!,
$A244,#REF!,
"&gt;="&amp;'Faturado mensal'!AE$2,#REF!,
"&lt;"&amp;EOMONTH('Faturado mensal'!AE$2,0))</f>
        <v>12037.89</v>
      </c>
      <c r="AF244" s="9">
        <f>SUMIFS(#REF!,#REF!,
$A244,#REF!,
"&gt;="&amp;'Faturado mensal'!AF$2,#REF!,
"&lt;"&amp;EOMONTH('Faturado mensal'!AF$2,0))</f>
        <v>0</v>
      </c>
      <c r="AG244" s="9">
        <f>SUMIFS(#REF!,#REF!,
$A244,#REF!,
"&gt;="&amp;'Faturado mensal'!AG$2,#REF!,
"&lt;"&amp;EOMONTH('Faturado mensal'!AG$2,0))</f>
        <v>0</v>
      </c>
      <c r="AH244" s="9">
        <f>SUMIFS(#REF!,#REF!,
$A244,#REF!,
"&gt;="&amp;'Faturado mensal'!AH$2,#REF!,
"&lt;"&amp;EOMONTH('Faturado mensal'!AH$2,0))</f>
        <v>0</v>
      </c>
      <c r="AI244" s="9">
        <f>SUMIFS(#REF!,#REF!,
$A244,#REF!,
"&gt;="&amp;'Faturado mensal'!AI$2,#REF!,
"&lt;"&amp;EOMONTH('Faturado mensal'!AI$2,0))</f>
        <v>0</v>
      </c>
      <c r="AJ244" s="9">
        <f>SUMIFS(#REF!,#REF!,
$A244,#REF!,
"&gt;="&amp;'Faturado mensal'!AJ$2,#REF!,
"&lt;"&amp;EOMONTH('Faturado mensal'!AJ$2,0))</f>
        <v>0</v>
      </c>
      <c r="AK244" s="9">
        <f>SUMIFS(#REF!,#REF!,
$A244,#REF!,
"&gt;="&amp;'Faturado mensal'!AK$2,#REF!,
"&lt;"&amp;EOMONTH('Faturado mensal'!AK$2,0))</f>
        <v>0</v>
      </c>
      <c r="AL244" s="9">
        <f>SUMIFS(#REF!,#REF!,
$A244,#REF!,
"&gt;="&amp;Z$2,#REF!,
"&lt;"&amp;EOMONTH(AK$2,0))</f>
        <v>48151.56</v>
      </c>
    </row>
    <row r="245" spans="1:38" x14ac:dyDescent="0.3">
      <c r="A245" t="s">
        <v>547</v>
      </c>
      <c r="B245" t="s">
        <v>344</v>
      </c>
      <c r="C245" t="s">
        <v>138</v>
      </c>
      <c r="D245" t="s">
        <v>209</v>
      </c>
      <c r="G245" t="s">
        <v>4856</v>
      </c>
      <c r="H245" t="s">
        <v>4771</v>
      </c>
      <c r="I245" t="s">
        <v>901</v>
      </c>
      <c r="J245" t="s">
        <v>710</v>
      </c>
      <c r="K245" t="s">
        <v>748</v>
      </c>
      <c r="L245" t="s">
        <v>749</v>
      </c>
      <c r="M245" s="9">
        <f>SUMIFS(#REF!,#REF!,
$A245,#REF!,
"&gt;="&amp;'Faturado mensal'!M$2,#REF!,
"&lt;"&amp;EOMONTH('Faturado mensal'!M$2,0))</f>
        <v>0</v>
      </c>
      <c r="N245" s="9">
        <f>SUMIFS(#REF!,#REF!,
$A245,#REF!,
"&gt;="&amp;'Faturado mensal'!N$2,#REF!,
"&lt;"&amp;EOMONTH('Faturado mensal'!N$2,0))</f>
        <v>0</v>
      </c>
      <c r="O245" s="9">
        <f>SUMIFS(#REF!,#REF!,
$A245,#REF!,
"&gt;="&amp;'Faturado mensal'!O$2,#REF!,
"&lt;"&amp;EOMONTH('Faturado mensal'!O$2,0))</f>
        <v>0</v>
      </c>
      <c r="P245" s="9">
        <f>SUMIFS(#REF!,#REF!,
$A245,#REF!,
"&gt;="&amp;'Faturado mensal'!P$2,#REF!,
"&lt;"&amp;EOMONTH('Faturado mensal'!P$2,0))</f>
        <v>0</v>
      </c>
      <c r="Q245" s="9">
        <f>SUMIFS(#REF!,#REF!,
$A245,#REF!,
"&gt;="&amp;'Faturado mensal'!Q$2,#REF!,
"&lt;"&amp;EOMONTH('Faturado mensal'!Q$2,0))</f>
        <v>0</v>
      </c>
      <c r="R245" s="9">
        <f>SUMIFS(#REF!,#REF!,
$A245,#REF!,
"&gt;="&amp;'Faturado mensal'!R$2,#REF!,
"&lt;"&amp;EOMONTH('Faturado mensal'!R$2,0))</f>
        <v>0</v>
      </c>
      <c r="S245" s="9">
        <f>SUMIFS(#REF!,#REF!,
$A245,#REF!,
"&gt;="&amp;'Faturado mensal'!S$2,#REF!,
"&lt;"&amp;EOMONTH('Faturado mensal'!S$2,0))</f>
        <v>0</v>
      </c>
      <c r="T245" s="9">
        <f>SUMIFS(#REF!,#REF!,
$A245,#REF!,
"&gt;="&amp;'Faturado mensal'!T$2,#REF!,
"&lt;"&amp;EOMONTH('Faturado mensal'!T$2,0))</f>
        <v>0</v>
      </c>
      <c r="U245" s="9">
        <f>SUMIFS(#REF!,#REF!,
$A245,#REF!,
"&gt;="&amp;'Faturado mensal'!U$2,#REF!,
"&lt;"&amp;EOMONTH('Faturado mensal'!U$2,0))</f>
        <v>0</v>
      </c>
      <c r="V245" s="9">
        <f>SUMIFS(#REF!,#REF!,
$A245,#REF!,
"&gt;="&amp;'Faturado mensal'!V$2,#REF!,
"&lt;"&amp;EOMONTH('Faturado mensal'!V$2,0))</f>
        <v>0</v>
      </c>
      <c r="W245" s="9">
        <f>SUMIFS(#REF!,#REF!,
$A245,#REF!,
"&gt;="&amp;'Faturado mensal'!W$2,#REF!,
"&lt;"&amp;EOMONTH('Faturado mensal'!W$2,0))</f>
        <v>0</v>
      </c>
      <c r="X245" s="9">
        <f>SUMIFS(#REF!,#REF!,
$A245,#REF!,
"&gt;="&amp;'Faturado mensal'!X$2,#REF!,
"&lt;"&amp;EOMONTH('Faturado mensal'!X$2,0))</f>
        <v>0</v>
      </c>
      <c r="Y245" s="11">
        <f>SUMIFS(#REF!,#REF!,
$A245,#REF!,
"&gt;="&amp;'Faturado mensal'!M$2,#REF!,
"&lt;"&amp;EOMONTH('Faturado mensal'!M$2,12))</f>
        <v>0</v>
      </c>
      <c r="Z245" s="9">
        <f>SUMIFS(#REF!,#REF!,
$A245,#REF!,
"&gt;="&amp;'Faturado mensal'!Z$2,#REF!,
"&lt;"&amp;EOMONTH('Faturado mensal'!Z$2,0))</f>
        <v>0</v>
      </c>
      <c r="AA245" s="9">
        <f>SUMIFS(#REF!,#REF!,
$A245,#REF!,
"&gt;="&amp;'Faturado mensal'!AA$2,#REF!,
"&lt;"&amp;EOMONTH('Faturado mensal'!AA$2,0))</f>
        <v>0</v>
      </c>
      <c r="AB245" s="9">
        <f>SUMIFS(#REF!,#REF!,
$A245,#REF!,
"&gt;="&amp;'Faturado mensal'!AB$2,#REF!,
"&lt;"&amp;EOMONTH('Faturado mensal'!AB$2,0))</f>
        <v>0</v>
      </c>
      <c r="AC245" s="9">
        <f>SUMIFS(#REF!,#REF!,
$A245,#REF!,
"&gt;="&amp;'Faturado mensal'!AC$2,#REF!,
"&lt;"&amp;EOMONTH('Faturado mensal'!AC$2,0))</f>
        <v>0</v>
      </c>
      <c r="AD245" s="9">
        <f>SUMIFS(#REF!,#REF!,
$A245,#REF!,
"&gt;="&amp;'Faturado mensal'!AD$2,#REF!,
"&lt;"&amp;EOMONTH('Faturado mensal'!AD$2,0))</f>
        <v>0</v>
      </c>
      <c r="AE245" s="9">
        <f>SUMIFS(#REF!,#REF!,
$A245,#REF!,
"&gt;="&amp;'Faturado mensal'!AE$2,#REF!,
"&lt;"&amp;EOMONTH('Faturado mensal'!AE$2,0))</f>
        <v>0</v>
      </c>
      <c r="AF245" s="9">
        <f>SUMIFS(#REF!,#REF!,
$A245,#REF!,
"&gt;="&amp;'Faturado mensal'!AF$2,#REF!,
"&lt;"&amp;EOMONTH('Faturado mensal'!AF$2,0))</f>
        <v>0</v>
      </c>
      <c r="AG245" s="9">
        <f>SUMIFS(#REF!,#REF!,
$A245,#REF!,
"&gt;="&amp;'Faturado mensal'!AG$2,#REF!,
"&lt;"&amp;EOMONTH('Faturado mensal'!AG$2,0))</f>
        <v>0</v>
      </c>
      <c r="AH245" s="9">
        <f>SUMIFS(#REF!,#REF!,
$A245,#REF!,
"&gt;="&amp;'Faturado mensal'!AH$2,#REF!,
"&lt;"&amp;EOMONTH('Faturado mensal'!AH$2,0))</f>
        <v>0</v>
      </c>
      <c r="AI245" s="9">
        <f>SUMIFS(#REF!,#REF!,
$A245,#REF!,
"&gt;="&amp;'Faturado mensal'!AI$2,#REF!,
"&lt;"&amp;EOMONTH('Faturado mensal'!AI$2,0))</f>
        <v>0</v>
      </c>
      <c r="AJ245" s="9">
        <f>SUMIFS(#REF!,#REF!,
$A245,#REF!,
"&gt;="&amp;'Faturado mensal'!AJ$2,#REF!,
"&lt;"&amp;EOMONTH('Faturado mensal'!AJ$2,0))</f>
        <v>0</v>
      </c>
      <c r="AK245" s="9">
        <f>SUMIFS(#REF!,#REF!,
$A245,#REF!,
"&gt;="&amp;'Faturado mensal'!AK$2,#REF!,
"&lt;"&amp;EOMONTH('Faturado mensal'!AK$2,0))</f>
        <v>0</v>
      </c>
      <c r="AL245" s="9">
        <f>SUMIFS(#REF!,#REF!,
$A245,#REF!,
"&gt;="&amp;Z$2,#REF!,
"&lt;"&amp;EOMONTH(AK$2,0))</f>
        <v>0</v>
      </c>
    </row>
    <row r="246" spans="1:38" x14ac:dyDescent="0.3">
      <c r="A246" t="s">
        <v>548</v>
      </c>
      <c r="B246" t="s">
        <v>541</v>
      </c>
      <c r="C246" t="s">
        <v>173</v>
      </c>
      <c r="D246" t="s">
        <v>204</v>
      </c>
      <c r="E246" t="s">
        <v>1036</v>
      </c>
      <c r="F246" t="s">
        <v>4791</v>
      </c>
      <c r="G246" t="s">
        <v>4854</v>
      </c>
      <c r="H246" t="s">
        <v>4773</v>
      </c>
      <c r="I246" t="s">
        <v>897</v>
      </c>
      <c r="J246" t="s">
        <v>710</v>
      </c>
      <c r="K246" t="s">
        <v>720</v>
      </c>
      <c r="L246" t="s">
        <v>721</v>
      </c>
      <c r="M246" s="9">
        <f>SUMIFS(#REF!,#REF!,
$A246,#REF!,
"&gt;="&amp;'Faturado mensal'!M$2,#REF!,
"&lt;"&amp;EOMONTH('Faturado mensal'!M$2,0))</f>
        <v>2300</v>
      </c>
      <c r="N246" s="9">
        <f>SUMIFS(#REF!,#REF!,
$A246,#REF!,
"&gt;="&amp;'Faturado mensal'!N$2,#REF!,
"&lt;"&amp;EOMONTH('Faturado mensal'!N$2,0))</f>
        <v>2300</v>
      </c>
      <c r="O246" s="9">
        <f>SUMIFS(#REF!,#REF!,
$A246,#REF!,
"&gt;="&amp;'Faturado mensal'!O$2,#REF!,
"&lt;"&amp;EOMONTH('Faturado mensal'!O$2,0))</f>
        <v>2300</v>
      </c>
      <c r="P246" s="9">
        <f>SUMIFS(#REF!,#REF!,
$A246,#REF!,
"&gt;="&amp;'Faturado mensal'!P$2,#REF!,
"&lt;"&amp;EOMONTH('Faturado mensal'!P$2,0))</f>
        <v>2300</v>
      </c>
      <c r="Q246" s="9">
        <f>SUMIFS(#REF!,#REF!,
$A246,#REF!,
"&gt;="&amp;'Faturado mensal'!Q$2,#REF!,
"&lt;"&amp;EOMONTH('Faturado mensal'!Q$2,0))</f>
        <v>2300</v>
      </c>
      <c r="R246" s="9">
        <f>SUMIFS(#REF!,#REF!,
$A246,#REF!,
"&gt;="&amp;'Faturado mensal'!R$2,#REF!,
"&lt;"&amp;EOMONTH('Faturado mensal'!R$2,0))</f>
        <v>2300</v>
      </c>
      <c r="S246" s="9">
        <f>SUMIFS(#REF!,#REF!,
$A246,#REF!,
"&gt;="&amp;'Faturado mensal'!S$2,#REF!,
"&lt;"&amp;EOMONTH('Faturado mensal'!S$2,0))</f>
        <v>2300</v>
      </c>
      <c r="T246" s="9">
        <f>SUMIFS(#REF!,#REF!,
$A246,#REF!,
"&gt;="&amp;'Faturado mensal'!T$2,#REF!,
"&lt;"&amp;EOMONTH('Faturado mensal'!T$2,0))</f>
        <v>2300</v>
      </c>
      <c r="U246" s="9">
        <f>SUMIFS(#REF!,#REF!,
$A246,#REF!,
"&gt;="&amp;'Faturado mensal'!U$2,#REF!,
"&lt;"&amp;EOMONTH('Faturado mensal'!U$2,0))</f>
        <v>2300</v>
      </c>
      <c r="V246" s="9">
        <f>SUMIFS(#REF!,#REF!,
$A246,#REF!,
"&gt;="&amp;'Faturado mensal'!V$2,#REF!,
"&lt;"&amp;EOMONTH('Faturado mensal'!V$2,0))</f>
        <v>2300</v>
      </c>
      <c r="W246" s="9">
        <f>SUMIFS(#REF!,#REF!,
$A246,#REF!,
"&gt;="&amp;'Faturado mensal'!W$2,#REF!,
"&lt;"&amp;EOMONTH('Faturado mensal'!W$2,0))</f>
        <v>2300</v>
      </c>
      <c r="X246" s="9">
        <f>SUMIFS(#REF!,#REF!,
$A246,#REF!,
"&gt;="&amp;'Faturado mensal'!X$2,#REF!,
"&lt;"&amp;EOMONTH('Faturado mensal'!X$2,0))</f>
        <v>2300</v>
      </c>
      <c r="Y246" s="11">
        <f>SUMIFS(#REF!,#REF!,
$A246,#REF!,
"&gt;="&amp;'Faturado mensal'!M$2,#REF!,
"&lt;"&amp;EOMONTH('Faturado mensal'!M$2,12))</f>
        <v>27600</v>
      </c>
      <c r="Z246" s="9">
        <f>SUMIFS(#REF!,#REF!,
$A246,#REF!,
"&gt;="&amp;'Faturado mensal'!Z$2,#REF!,
"&lt;"&amp;EOMONTH('Faturado mensal'!Z$2,0))</f>
        <v>0</v>
      </c>
      <c r="AA246" s="9">
        <f>SUMIFS(#REF!,#REF!,
$A246,#REF!,
"&gt;="&amp;'Faturado mensal'!AA$2,#REF!,
"&lt;"&amp;EOMONTH('Faturado mensal'!AA$2,0))</f>
        <v>0</v>
      </c>
      <c r="AB246" s="9">
        <f>SUMIFS(#REF!,#REF!,
$A246,#REF!,
"&gt;="&amp;'Faturado mensal'!AB$2,#REF!,
"&lt;"&amp;EOMONTH('Faturado mensal'!AB$2,0))</f>
        <v>2300</v>
      </c>
      <c r="AC246" s="9">
        <f>SUMIFS(#REF!,#REF!,
$A246,#REF!,
"&gt;="&amp;'Faturado mensal'!AC$2,#REF!,
"&lt;"&amp;EOMONTH('Faturado mensal'!AC$2,0))</f>
        <v>6900</v>
      </c>
      <c r="AD246" s="9">
        <f>SUMIFS(#REF!,#REF!,
$A246,#REF!,
"&gt;="&amp;'Faturado mensal'!AD$2,#REF!,
"&lt;"&amp;EOMONTH('Faturado mensal'!AD$2,0))</f>
        <v>2300</v>
      </c>
      <c r="AE246" s="9">
        <f>SUMIFS(#REF!,#REF!,
$A246,#REF!,
"&gt;="&amp;'Faturado mensal'!AE$2,#REF!,
"&lt;"&amp;EOMONTH('Faturado mensal'!AE$2,0))</f>
        <v>2300</v>
      </c>
      <c r="AF246" s="9">
        <f>SUMIFS(#REF!,#REF!,
$A246,#REF!,
"&gt;="&amp;'Faturado mensal'!AF$2,#REF!,
"&lt;"&amp;EOMONTH('Faturado mensal'!AF$2,0))</f>
        <v>0</v>
      </c>
      <c r="AG246" s="9">
        <f>SUMIFS(#REF!,#REF!,
$A246,#REF!,
"&gt;="&amp;'Faturado mensal'!AG$2,#REF!,
"&lt;"&amp;EOMONTH('Faturado mensal'!AG$2,0))</f>
        <v>0</v>
      </c>
      <c r="AH246" s="9">
        <f>SUMIFS(#REF!,#REF!,
$A246,#REF!,
"&gt;="&amp;'Faturado mensal'!AH$2,#REF!,
"&lt;"&amp;EOMONTH('Faturado mensal'!AH$2,0))</f>
        <v>0</v>
      </c>
      <c r="AI246" s="9">
        <f>SUMIFS(#REF!,#REF!,
$A246,#REF!,
"&gt;="&amp;'Faturado mensal'!AI$2,#REF!,
"&lt;"&amp;EOMONTH('Faturado mensal'!AI$2,0))</f>
        <v>0</v>
      </c>
      <c r="AJ246" s="9">
        <f>SUMIFS(#REF!,#REF!,
$A246,#REF!,
"&gt;="&amp;'Faturado mensal'!AJ$2,#REF!,
"&lt;"&amp;EOMONTH('Faturado mensal'!AJ$2,0))</f>
        <v>0</v>
      </c>
      <c r="AK246" s="9">
        <f>SUMIFS(#REF!,#REF!,
$A246,#REF!,
"&gt;="&amp;'Faturado mensal'!AK$2,#REF!,
"&lt;"&amp;EOMONTH('Faturado mensal'!AK$2,0))</f>
        <v>0</v>
      </c>
      <c r="AL246" s="9">
        <f>SUMIFS(#REF!,#REF!,
$A246,#REF!,
"&gt;="&amp;Z$2,#REF!,
"&lt;"&amp;EOMONTH(AK$2,0))</f>
        <v>13800</v>
      </c>
    </row>
    <row r="247" spans="1:38" x14ac:dyDescent="0.3">
      <c r="A247" t="s">
        <v>902</v>
      </c>
      <c r="B247" t="s">
        <v>445</v>
      </c>
      <c r="C247" t="s">
        <v>903</v>
      </c>
      <c r="D247" t="s">
        <v>204</v>
      </c>
      <c r="E247" t="s">
        <v>1037</v>
      </c>
      <c r="F247" t="s">
        <v>4808</v>
      </c>
      <c r="G247" t="s">
        <v>4852</v>
      </c>
      <c r="H247" t="s">
        <v>4772</v>
      </c>
      <c r="I247" t="s">
        <v>21</v>
      </c>
      <c r="J247" t="s">
        <v>884</v>
      </c>
      <c r="K247" t="s">
        <v>762</v>
      </c>
      <c r="L247" t="s">
        <v>763</v>
      </c>
      <c r="M247" s="9">
        <f>SUMIFS(#REF!,#REF!,
$A247,#REF!,
"&gt;="&amp;'Faturado mensal'!M$2,#REF!,
"&lt;"&amp;EOMONTH('Faturado mensal'!M$2,0))</f>
        <v>0</v>
      </c>
      <c r="N247" s="9">
        <f>SUMIFS(#REF!,#REF!,
$A247,#REF!,
"&gt;="&amp;'Faturado mensal'!N$2,#REF!,
"&lt;"&amp;EOMONTH('Faturado mensal'!N$2,0))</f>
        <v>0</v>
      </c>
      <c r="O247" s="9">
        <f>SUMIFS(#REF!,#REF!,
$A247,#REF!,
"&gt;="&amp;'Faturado mensal'!O$2,#REF!,
"&lt;"&amp;EOMONTH('Faturado mensal'!O$2,0))</f>
        <v>0</v>
      </c>
      <c r="P247" s="9">
        <f>SUMIFS(#REF!,#REF!,
$A247,#REF!,
"&gt;="&amp;'Faturado mensal'!P$2,#REF!,
"&lt;"&amp;EOMONTH('Faturado mensal'!P$2,0))</f>
        <v>0</v>
      </c>
      <c r="Q247" s="9">
        <f>SUMIFS(#REF!,#REF!,
$A247,#REF!,
"&gt;="&amp;'Faturado mensal'!Q$2,#REF!,
"&lt;"&amp;EOMONTH('Faturado mensal'!Q$2,0))</f>
        <v>0</v>
      </c>
      <c r="R247" s="9">
        <f>SUMIFS(#REF!,#REF!,
$A247,#REF!,
"&gt;="&amp;'Faturado mensal'!R$2,#REF!,
"&lt;"&amp;EOMONTH('Faturado mensal'!R$2,0))</f>
        <v>0</v>
      </c>
      <c r="S247" s="9">
        <f>SUMIFS(#REF!,#REF!,
$A247,#REF!,
"&gt;="&amp;'Faturado mensal'!S$2,#REF!,
"&lt;"&amp;EOMONTH('Faturado mensal'!S$2,0))</f>
        <v>0</v>
      </c>
      <c r="T247" s="9">
        <f>SUMIFS(#REF!,#REF!,
$A247,#REF!,
"&gt;="&amp;'Faturado mensal'!T$2,#REF!,
"&lt;"&amp;EOMONTH('Faturado mensal'!T$2,0))</f>
        <v>0</v>
      </c>
      <c r="U247" s="9">
        <f>SUMIFS(#REF!,#REF!,
$A247,#REF!,
"&gt;="&amp;'Faturado mensal'!U$2,#REF!,
"&lt;"&amp;EOMONTH('Faturado mensal'!U$2,0))</f>
        <v>0</v>
      </c>
      <c r="V247" s="9">
        <f>SUMIFS(#REF!,#REF!,
$A247,#REF!,
"&gt;="&amp;'Faturado mensal'!V$2,#REF!,
"&lt;"&amp;EOMONTH('Faturado mensal'!V$2,0))</f>
        <v>0</v>
      </c>
      <c r="W247" s="9">
        <f>SUMIFS(#REF!,#REF!,
$A247,#REF!,
"&gt;="&amp;'Faturado mensal'!W$2,#REF!,
"&lt;"&amp;EOMONTH('Faturado mensal'!W$2,0))</f>
        <v>0</v>
      </c>
      <c r="X247" s="9">
        <f>SUMIFS(#REF!,#REF!,
$A247,#REF!,
"&gt;="&amp;'Faturado mensal'!X$2,#REF!,
"&lt;"&amp;EOMONTH('Faturado mensal'!X$2,0))</f>
        <v>0</v>
      </c>
      <c r="Y247" s="11">
        <f>SUMIFS(#REF!,#REF!,
$A247,#REF!,
"&gt;="&amp;'Faturado mensal'!M$2,#REF!,
"&lt;"&amp;EOMONTH('Faturado mensal'!M$2,12))</f>
        <v>0</v>
      </c>
      <c r="Z247" s="9">
        <f>SUMIFS(#REF!,#REF!,
$A247,#REF!,
"&gt;="&amp;'Faturado mensal'!Z$2,#REF!,
"&lt;"&amp;EOMONTH('Faturado mensal'!Z$2,0))</f>
        <v>0</v>
      </c>
      <c r="AA247" s="9">
        <f>SUMIFS(#REF!,#REF!,
$A247,#REF!,
"&gt;="&amp;'Faturado mensal'!AA$2,#REF!,
"&lt;"&amp;EOMONTH('Faturado mensal'!AA$2,0))</f>
        <v>0</v>
      </c>
      <c r="AB247" s="9">
        <f>SUMIFS(#REF!,#REF!,
$A247,#REF!,
"&gt;="&amp;'Faturado mensal'!AB$2,#REF!,
"&lt;"&amp;EOMONTH('Faturado mensal'!AB$2,0))</f>
        <v>0</v>
      </c>
      <c r="AC247" s="9">
        <f>SUMIFS(#REF!,#REF!,
$A247,#REF!,
"&gt;="&amp;'Faturado mensal'!AC$2,#REF!,
"&lt;"&amp;EOMONTH('Faturado mensal'!AC$2,0))</f>
        <v>0</v>
      </c>
      <c r="AD247" s="9">
        <f>SUMIFS(#REF!,#REF!,
$A247,#REF!,
"&gt;="&amp;'Faturado mensal'!AD$2,#REF!,
"&lt;"&amp;EOMONTH('Faturado mensal'!AD$2,0))</f>
        <v>0</v>
      </c>
      <c r="AE247" s="9">
        <f>SUMIFS(#REF!,#REF!,
$A247,#REF!,
"&gt;="&amp;'Faturado mensal'!AE$2,#REF!,
"&lt;"&amp;EOMONTH('Faturado mensal'!AE$2,0))</f>
        <v>0</v>
      </c>
      <c r="AF247" s="9">
        <f>SUMIFS(#REF!,#REF!,
$A247,#REF!,
"&gt;="&amp;'Faturado mensal'!AF$2,#REF!,
"&lt;"&amp;EOMONTH('Faturado mensal'!AF$2,0))</f>
        <v>0</v>
      </c>
      <c r="AG247" s="9">
        <f>SUMIFS(#REF!,#REF!,
$A247,#REF!,
"&gt;="&amp;'Faturado mensal'!AG$2,#REF!,
"&lt;"&amp;EOMONTH('Faturado mensal'!AG$2,0))</f>
        <v>0</v>
      </c>
      <c r="AH247" s="9">
        <f>SUMIFS(#REF!,#REF!,
$A247,#REF!,
"&gt;="&amp;'Faturado mensal'!AH$2,#REF!,
"&lt;"&amp;EOMONTH('Faturado mensal'!AH$2,0))</f>
        <v>0</v>
      </c>
      <c r="AI247" s="9">
        <f>SUMIFS(#REF!,#REF!,
$A247,#REF!,
"&gt;="&amp;'Faturado mensal'!AI$2,#REF!,
"&lt;"&amp;EOMONTH('Faturado mensal'!AI$2,0))</f>
        <v>0</v>
      </c>
      <c r="AJ247" s="9">
        <f>SUMIFS(#REF!,#REF!,
$A247,#REF!,
"&gt;="&amp;'Faturado mensal'!AJ$2,#REF!,
"&lt;"&amp;EOMONTH('Faturado mensal'!AJ$2,0))</f>
        <v>0</v>
      </c>
      <c r="AK247" s="9">
        <f>SUMIFS(#REF!,#REF!,
$A247,#REF!,
"&gt;="&amp;'Faturado mensal'!AK$2,#REF!,
"&lt;"&amp;EOMONTH('Faturado mensal'!AK$2,0))</f>
        <v>0</v>
      </c>
      <c r="AL247" s="9">
        <f>SUMIFS(#REF!,#REF!,
$A247,#REF!,
"&gt;="&amp;Z$2,#REF!,
"&lt;"&amp;EOMONTH(AK$2,0))</f>
        <v>0</v>
      </c>
    </row>
    <row r="248" spans="1:38" x14ac:dyDescent="0.3">
      <c r="A248" t="s">
        <v>549</v>
      </c>
      <c r="B248" t="s">
        <v>550</v>
      </c>
      <c r="C248" t="s">
        <v>189</v>
      </c>
      <c r="D248" t="s">
        <v>209</v>
      </c>
      <c r="E248" t="s">
        <v>4832</v>
      </c>
      <c r="F248" t="s">
        <v>4792</v>
      </c>
      <c r="G248" t="s">
        <v>4845</v>
      </c>
      <c r="H248" t="s">
        <v>4772</v>
      </c>
      <c r="I248" t="s">
        <v>904</v>
      </c>
      <c r="J248" t="s">
        <v>710</v>
      </c>
      <c r="K248" t="s">
        <v>748</v>
      </c>
      <c r="L248" t="s">
        <v>749</v>
      </c>
      <c r="M248" s="9">
        <f>SUMIFS(#REF!,#REF!,
$A248,#REF!,
"&gt;="&amp;'Faturado mensal'!M$2,#REF!,
"&lt;"&amp;EOMONTH('Faturado mensal'!M$2,0))</f>
        <v>0</v>
      </c>
      <c r="N248" s="9">
        <f>SUMIFS(#REF!,#REF!,
$A248,#REF!,
"&gt;="&amp;'Faturado mensal'!N$2,#REF!,
"&lt;"&amp;EOMONTH('Faturado mensal'!N$2,0))</f>
        <v>0</v>
      </c>
      <c r="O248" s="9">
        <f>SUMIFS(#REF!,#REF!,
$A248,#REF!,
"&gt;="&amp;'Faturado mensal'!O$2,#REF!,
"&lt;"&amp;EOMONTH('Faturado mensal'!O$2,0))</f>
        <v>0</v>
      </c>
      <c r="P248" s="9">
        <f>SUMIFS(#REF!,#REF!,
$A248,#REF!,
"&gt;="&amp;'Faturado mensal'!P$2,#REF!,
"&lt;"&amp;EOMONTH('Faturado mensal'!P$2,0))</f>
        <v>0</v>
      </c>
      <c r="Q248" s="9">
        <f>SUMIFS(#REF!,#REF!,
$A248,#REF!,
"&gt;="&amp;'Faturado mensal'!Q$2,#REF!,
"&lt;"&amp;EOMONTH('Faturado mensal'!Q$2,0))</f>
        <v>0</v>
      </c>
      <c r="R248" s="9">
        <f>SUMIFS(#REF!,#REF!,
$A248,#REF!,
"&gt;="&amp;'Faturado mensal'!R$2,#REF!,
"&lt;"&amp;EOMONTH('Faturado mensal'!R$2,0))</f>
        <v>0</v>
      </c>
      <c r="S248" s="9">
        <f>SUMIFS(#REF!,#REF!,
$A248,#REF!,
"&gt;="&amp;'Faturado mensal'!S$2,#REF!,
"&lt;"&amp;EOMONTH('Faturado mensal'!S$2,0))</f>
        <v>0</v>
      </c>
      <c r="T248" s="9">
        <f>SUMIFS(#REF!,#REF!,
$A248,#REF!,
"&gt;="&amp;'Faturado mensal'!T$2,#REF!,
"&lt;"&amp;EOMONTH('Faturado mensal'!T$2,0))</f>
        <v>0</v>
      </c>
      <c r="U248" s="9">
        <f>SUMIFS(#REF!,#REF!,
$A248,#REF!,
"&gt;="&amp;'Faturado mensal'!U$2,#REF!,
"&lt;"&amp;EOMONTH('Faturado mensal'!U$2,0))</f>
        <v>0</v>
      </c>
      <c r="V248" s="9">
        <f>SUMIFS(#REF!,#REF!,
$A248,#REF!,
"&gt;="&amp;'Faturado mensal'!V$2,#REF!,
"&lt;"&amp;EOMONTH('Faturado mensal'!V$2,0))</f>
        <v>0</v>
      </c>
      <c r="W248" s="9">
        <f>SUMIFS(#REF!,#REF!,
$A248,#REF!,
"&gt;="&amp;'Faturado mensal'!W$2,#REF!,
"&lt;"&amp;EOMONTH('Faturado mensal'!W$2,0))</f>
        <v>0</v>
      </c>
      <c r="X248" s="9">
        <f>SUMIFS(#REF!,#REF!,
$A248,#REF!,
"&gt;="&amp;'Faturado mensal'!X$2,#REF!,
"&lt;"&amp;EOMONTH('Faturado mensal'!X$2,0))</f>
        <v>0</v>
      </c>
      <c r="Y248" s="11">
        <f>SUMIFS(#REF!,#REF!,
$A248,#REF!,
"&gt;="&amp;'Faturado mensal'!M$2,#REF!,
"&lt;"&amp;EOMONTH('Faturado mensal'!M$2,12))</f>
        <v>0</v>
      </c>
      <c r="Z248" s="9">
        <f>SUMIFS(#REF!,#REF!,
$A248,#REF!,
"&gt;="&amp;'Faturado mensal'!Z$2,#REF!,
"&lt;"&amp;EOMONTH('Faturado mensal'!Z$2,0))</f>
        <v>0</v>
      </c>
      <c r="AA248" s="9">
        <f>SUMIFS(#REF!,#REF!,
$A248,#REF!,
"&gt;="&amp;'Faturado mensal'!AA$2,#REF!,
"&lt;"&amp;EOMONTH('Faturado mensal'!AA$2,0))</f>
        <v>0</v>
      </c>
      <c r="AB248" s="9">
        <f>SUMIFS(#REF!,#REF!,
$A248,#REF!,
"&gt;="&amp;'Faturado mensal'!AB$2,#REF!,
"&lt;"&amp;EOMONTH('Faturado mensal'!AB$2,0))</f>
        <v>0</v>
      </c>
      <c r="AC248" s="9">
        <f>SUMIFS(#REF!,#REF!,
$A248,#REF!,
"&gt;="&amp;'Faturado mensal'!AC$2,#REF!,
"&lt;"&amp;EOMONTH('Faturado mensal'!AC$2,0))</f>
        <v>0</v>
      </c>
      <c r="AD248" s="9">
        <f>SUMIFS(#REF!,#REF!,
$A248,#REF!,
"&gt;="&amp;'Faturado mensal'!AD$2,#REF!,
"&lt;"&amp;EOMONTH('Faturado mensal'!AD$2,0))</f>
        <v>0</v>
      </c>
      <c r="AE248" s="9">
        <f>SUMIFS(#REF!,#REF!,
$A248,#REF!,
"&gt;="&amp;'Faturado mensal'!AE$2,#REF!,
"&lt;"&amp;EOMONTH('Faturado mensal'!AE$2,0))</f>
        <v>0</v>
      </c>
      <c r="AF248" s="9">
        <f>SUMIFS(#REF!,#REF!,
$A248,#REF!,
"&gt;="&amp;'Faturado mensal'!AF$2,#REF!,
"&lt;"&amp;EOMONTH('Faturado mensal'!AF$2,0))</f>
        <v>0</v>
      </c>
      <c r="AG248" s="9">
        <f>SUMIFS(#REF!,#REF!,
$A248,#REF!,
"&gt;="&amp;'Faturado mensal'!AG$2,#REF!,
"&lt;"&amp;EOMONTH('Faturado mensal'!AG$2,0))</f>
        <v>0</v>
      </c>
      <c r="AH248" s="9">
        <f>SUMIFS(#REF!,#REF!,
$A248,#REF!,
"&gt;="&amp;'Faturado mensal'!AH$2,#REF!,
"&lt;"&amp;EOMONTH('Faturado mensal'!AH$2,0))</f>
        <v>0</v>
      </c>
      <c r="AI248" s="9">
        <f>SUMIFS(#REF!,#REF!,
$A248,#REF!,
"&gt;="&amp;'Faturado mensal'!AI$2,#REF!,
"&lt;"&amp;EOMONTH('Faturado mensal'!AI$2,0))</f>
        <v>0</v>
      </c>
      <c r="AJ248" s="9">
        <f>SUMIFS(#REF!,#REF!,
$A248,#REF!,
"&gt;="&amp;'Faturado mensal'!AJ$2,#REF!,
"&lt;"&amp;EOMONTH('Faturado mensal'!AJ$2,0))</f>
        <v>0</v>
      </c>
      <c r="AK248" s="9">
        <f>SUMIFS(#REF!,#REF!,
$A248,#REF!,
"&gt;="&amp;'Faturado mensal'!AK$2,#REF!,
"&lt;"&amp;EOMONTH('Faturado mensal'!AK$2,0))</f>
        <v>0</v>
      </c>
      <c r="AL248" s="9">
        <f>SUMIFS(#REF!,#REF!,
$A248,#REF!,
"&gt;="&amp;Z$2,#REF!,
"&lt;"&amp;EOMONTH(AK$2,0))</f>
        <v>0</v>
      </c>
    </row>
    <row r="249" spans="1:38" x14ac:dyDescent="0.3">
      <c r="A249" t="s">
        <v>551</v>
      </c>
      <c r="B249" t="s">
        <v>550</v>
      </c>
      <c r="C249" t="s">
        <v>189</v>
      </c>
      <c r="D249" t="s">
        <v>209</v>
      </c>
      <c r="E249" t="s">
        <v>4832</v>
      </c>
      <c r="F249" t="s">
        <v>4792</v>
      </c>
      <c r="G249" t="s">
        <v>4845</v>
      </c>
      <c r="H249" t="s">
        <v>4772</v>
      </c>
      <c r="I249" t="s">
        <v>905</v>
      </c>
      <c r="J249" t="s">
        <v>710</v>
      </c>
      <c r="K249" t="s">
        <v>711</v>
      </c>
      <c r="L249" t="s">
        <v>712</v>
      </c>
      <c r="M249" s="9">
        <f>SUMIFS(#REF!,#REF!,
$A249,#REF!,
"&gt;="&amp;'Faturado mensal'!M$2,#REF!,
"&lt;"&amp;EOMONTH('Faturado mensal'!M$2,0))</f>
        <v>0</v>
      </c>
      <c r="N249" s="9">
        <f>SUMIFS(#REF!,#REF!,
$A249,#REF!,
"&gt;="&amp;'Faturado mensal'!N$2,#REF!,
"&lt;"&amp;EOMONTH('Faturado mensal'!N$2,0))</f>
        <v>0</v>
      </c>
      <c r="O249" s="9">
        <f>SUMIFS(#REF!,#REF!,
$A249,#REF!,
"&gt;="&amp;'Faturado mensal'!O$2,#REF!,
"&lt;"&amp;EOMONTH('Faturado mensal'!O$2,0))</f>
        <v>0</v>
      </c>
      <c r="P249" s="9">
        <f>SUMIFS(#REF!,#REF!,
$A249,#REF!,
"&gt;="&amp;'Faturado mensal'!P$2,#REF!,
"&lt;"&amp;EOMONTH('Faturado mensal'!P$2,0))</f>
        <v>0</v>
      </c>
      <c r="Q249" s="9">
        <f>SUMIFS(#REF!,#REF!,
$A249,#REF!,
"&gt;="&amp;'Faturado mensal'!Q$2,#REF!,
"&lt;"&amp;EOMONTH('Faturado mensal'!Q$2,0))</f>
        <v>0</v>
      </c>
      <c r="R249" s="9">
        <f>SUMIFS(#REF!,#REF!,
$A249,#REF!,
"&gt;="&amp;'Faturado mensal'!R$2,#REF!,
"&lt;"&amp;EOMONTH('Faturado mensal'!R$2,0))</f>
        <v>0</v>
      </c>
      <c r="S249" s="9">
        <f>SUMIFS(#REF!,#REF!,
$A249,#REF!,
"&gt;="&amp;'Faturado mensal'!S$2,#REF!,
"&lt;"&amp;EOMONTH('Faturado mensal'!S$2,0))</f>
        <v>0</v>
      </c>
      <c r="T249" s="9">
        <f>SUMIFS(#REF!,#REF!,
$A249,#REF!,
"&gt;="&amp;'Faturado mensal'!T$2,#REF!,
"&lt;"&amp;EOMONTH('Faturado mensal'!T$2,0))</f>
        <v>0</v>
      </c>
      <c r="U249" s="9">
        <f>SUMIFS(#REF!,#REF!,
$A249,#REF!,
"&gt;="&amp;'Faturado mensal'!U$2,#REF!,
"&lt;"&amp;EOMONTH('Faturado mensal'!U$2,0))</f>
        <v>0</v>
      </c>
      <c r="V249" s="9">
        <f>SUMIFS(#REF!,#REF!,
$A249,#REF!,
"&gt;="&amp;'Faturado mensal'!V$2,#REF!,
"&lt;"&amp;EOMONTH('Faturado mensal'!V$2,0))</f>
        <v>0</v>
      </c>
      <c r="W249" s="9">
        <f>SUMIFS(#REF!,#REF!,
$A249,#REF!,
"&gt;="&amp;'Faturado mensal'!W$2,#REF!,
"&lt;"&amp;EOMONTH('Faturado mensal'!W$2,0))</f>
        <v>0</v>
      </c>
      <c r="X249" s="9">
        <f>SUMIFS(#REF!,#REF!,
$A249,#REF!,
"&gt;="&amp;'Faturado mensal'!X$2,#REF!,
"&lt;"&amp;EOMONTH('Faturado mensal'!X$2,0))</f>
        <v>0</v>
      </c>
      <c r="Y249" s="11">
        <f>SUMIFS(#REF!,#REF!,
$A249,#REF!,
"&gt;="&amp;'Faturado mensal'!M$2,#REF!,
"&lt;"&amp;EOMONTH('Faturado mensal'!M$2,12))</f>
        <v>0</v>
      </c>
      <c r="Z249" s="9">
        <f>SUMIFS(#REF!,#REF!,
$A249,#REF!,
"&gt;="&amp;'Faturado mensal'!Z$2,#REF!,
"&lt;"&amp;EOMONTH('Faturado mensal'!Z$2,0))</f>
        <v>0</v>
      </c>
      <c r="AA249" s="9">
        <f>SUMIFS(#REF!,#REF!,
$A249,#REF!,
"&gt;="&amp;'Faturado mensal'!AA$2,#REF!,
"&lt;"&amp;EOMONTH('Faturado mensal'!AA$2,0))</f>
        <v>0</v>
      </c>
      <c r="AB249" s="9">
        <f>SUMIFS(#REF!,#REF!,
$A249,#REF!,
"&gt;="&amp;'Faturado mensal'!AB$2,#REF!,
"&lt;"&amp;EOMONTH('Faturado mensal'!AB$2,0))</f>
        <v>0</v>
      </c>
      <c r="AC249" s="9">
        <f>SUMIFS(#REF!,#REF!,
$A249,#REF!,
"&gt;="&amp;'Faturado mensal'!AC$2,#REF!,
"&lt;"&amp;EOMONTH('Faturado mensal'!AC$2,0))</f>
        <v>0</v>
      </c>
      <c r="AD249" s="9">
        <f>SUMIFS(#REF!,#REF!,
$A249,#REF!,
"&gt;="&amp;'Faturado mensal'!AD$2,#REF!,
"&lt;"&amp;EOMONTH('Faturado mensal'!AD$2,0))</f>
        <v>0</v>
      </c>
      <c r="AE249" s="9">
        <f>SUMIFS(#REF!,#REF!,
$A249,#REF!,
"&gt;="&amp;'Faturado mensal'!AE$2,#REF!,
"&lt;"&amp;EOMONTH('Faturado mensal'!AE$2,0))</f>
        <v>0</v>
      </c>
      <c r="AF249" s="9">
        <f>SUMIFS(#REF!,#REF!,
$A249,#REF!,
"&gt;="&amp;'Faturado mensal'!AF$2,#REF!,
"&lt;"&amp;EOMONTH('Faturado mensal'!AF$2,0))</f>
        <v>0</v>
      </c>
      <c r="AG249" s="9">
        <f>SUMIFS(#REF!,#REF!,
$A249,#REF!,
"&gt;="&amp;'Faturado mensal'!AG$2,#REF!,
"&lt;"&amp;EOMONTH('Faturado mensal'!AG$2,0))</f>
        <v>0</v>
      </c>
      <c r="AH249" s="9">
        <f>SUMIFS(#REF!,#REF!,
$A249,#REF!,
"&gt;="&amp;'Faturado mensal'!AH$2,#REF!,
"&lt;"&amp;EOMONTH('Faturado mensal'!AH$2,0))</f>
        <v>0</v>
      </c>
      <c r="AI249" s="9">
        <f>SUMIFS(#REF!,#REF!,
$A249,#REF!,
"&gt;="&amp;'Faturado mensal'!AI$2,#REF!,
"&lt;"&amp;EOMONTH('Faturado mensal'!AI$2,0))</f>
        <v>0</v>
      </c>
      <c r="AJ249" s="9">
        <f>SUMIFS(#REF!,#REF!,
$A249,#REF!,
"&gt;="&amp;'Faturado mensal'!AJ$2,#REF!,
"&lt;"&amp;EOMONTH('Faturado mensal'!AJ$2,0))</f>
        <v>0</v>
      </c>
      <c r="AK249" s="9">
        <f>SUMIFS(#REF!,#REF!,
$A249,#REF!,
"&gt;="&amp;'Faturado mensal'!AK$2,#REF!,
"&lt;"&amp;EOMONTH('Faturado mensal'!AK$2,0))</f>
        <v>0</v>
      </c>
      <c r="AL249" s="9">
        <f>SUMIFS(#REF!,#REF!,
$A249,#REF!,
"&gt;="&amp;Z$2,#REF!,
"&lt;"&amp;EOMONTH(AK$2,0))</f>
        <v>0</v>
      </c>
    </row>
    <row r="250" spans="1:38" x14ac:dyDescent="0.3">
      <c r="A250" t="s">
        <v>553</v>
      </c>
      <c r="B250" t="s">
        <v>552</v>
      </c>
      <c r="C250" t="s">
        <v>190</v>
      </c>
      <c r="D250" t="s">
        <v>209</v>
      </c>
      <c r="E250" t="s">
        <v>4832</v>
      </c>
      <c r="F250" t="s">
        <v>4792</v>
      </c>
      <c r="G250" t="s">
        <v>4845</v>
      </c>
      <c r="H250" t="s">
        <v>4772</v>
      </c>
      <c r="I250" t="s">
        <v>906</v>
      </c>
      <c r="J250" t="s">
        <v>710</v>
      </c>
      <c r="K250" t="s">
        <v>711</v>
      </c>
      <c r="L250" t="s">
        <v>712</v>
      </c>
      <c r="M250" s="9">
        <f>SUMIFS(#REF!,#REF!,
$A250,#REF!,
"&gt;="&amp;'Faturado mensal'!M$2,#REF!,
"&lt;"&amp;EOMONTH('Faturado mensal'!M$2,0))</f>
        <v>0</v>
      </c>
      <c r="N250" s="9">
        <f>SUMIFS(#REF!,#REF!,
$A250,#REF!,
"&gt;="&amp;'Faturado mensal'!N$2,#REF!,
"&lt;"&amp;EOMONTH('Faturado mensal'!N$2,0))</f>
        <v>0</v>
      </c>
      <c r="O250" s="9">
        <f>SUMIFS(#REF!,#REF!,
$A250,#REF!,
"&gt;="&amp;'Faturado mensal'!O$2,#REF!,
"&lt;"&amp;EOMONTH('Faturado mensal'!O$2,0))</f>
        <v>0</v>
      </c>
      <c r="P250" s="9">
        <f>SUMIFS(#REF!,#REF!,
$A250,#REF!,
"&gt;="&amp;'Faturado mensal'!P$2,#REF!,
"&lt;"&amp;EOMONTH('Faturado mensal'!P$2,0))</f>
        <v>0</v>
      </c>
      <c r="Q250" s="9">
        <f>SUMIFS(#REF!,#REF!,
$A250,#REF!,
"&gt;="&amp;'Faturado mensal'!Q$2,#REF!,
"&lt;"&amp;EOMONTH('Faturado mensal'!Q$2,0))</f>
        <v>0</v>
      </c>
      <c r="R250" s="9">
        <f>SUMIFS(#REF!,#REF!,
$A250,#REF!,
"&gt;="&amp;'Faturado mensal'!R$2,#REF!,
"&lt;"&amp;EOMONTH('Faturado mensal'!R$2,0))</f>
        <v>0</v>
      </c>
      <c r="S250" s="9">
        <f>SUMIFS(#REF!,#REF!,
$A250,#REF!,
"&gt;="&amp;'Faturado mensal'!S$2,#REF!,
"&lt;"&amp;EOMONTH('Faturado mensal'!S$2,0))</f>
        <v>0</v>
      </c>
      <c r="T250" s="9">
        <f>SUMIFS(#REF!,#REF!,
$A250,#REF!,
"&gt;="&amp;'Faturado mensal'!T$2,#REF!,
"&lt;"&amp;EOMONTH('Faturado mensal'!T$2,0))</f>
        <v>0</v>
      </c>
      <c r="U250" s="9">
        <f>SUMIFS(#REF!,#REF!,
$A250,#REF!,
"&gt;="&amp;'Faturado mensal'!U$2,#REF!,
"&lt;"&amp;EOMONTH('Faturado mensal'!U$2,0))</f>
        <v>0</v>
      </c>
      <c r="V250" s="9">
        <f>SUMIFS(#REF!,#REF!,
$A250,#REF!,
"&gt;="&amp;'Faturado mensal'!V$2,#REF!,
"&lt;"&amp;EOMONTH('Faturado mensal'!V$2,0))</f>
        <v>0</v>
      </c>
      <c r="W250" s="9">
        <f>SUMIFS(#REF!,#REF!,
$A250,#REF!,
"&gt;="&amp;'Faturado mensal'!W$2,#REF!,
"&lt;"&amp;EOMONTH('Faturado mensal'!W$2,0))</f>
        <v>0</v>
      </c>
      <c r="X250" s="9">
        <f>SUMIFS(#REF!,#REF!,
$A250,#REF!,
"&gt;="&amp;'Faturado mensal'!X$2,#REF!,
"&lt;"&amp;EOMONTH('Faturado mensal'!X$2,0))</f>
        <v>0</v>
      </c>
      <c r="Y250" s="11">
        <f>SUMIFS(#REF!,#REF!,
$A250,#REF!,
"&gt;="&amp;'Faturado mensal'!M$2,#REF!,
"&lt;"&amp;EOMONTH('Faturado mensal'!M$2,12))</f>
        <v>0</v>
      </c>
      <c r="Z250" s="9">
        <f>SUMIFS(#REF!,#REF!,
$A250,#REF!,
"&gt;="&amp;'Faturado mensal'!Z$2,#REF!,
"&lt;"&amp;EOMONTH('Faturado mensal'!Z$2,0))</f>
        <v>0</v>
      </c>
      <c r="AA250" s="9">
        <f>SUMIFS(#REF!,#REF!,
$A250,#REF!,
"&gt;="&amp;'Faturado mensal'!AA$2,#REF!,
"&lt;"&amp;EOMONTH('Faturado mensal'!AA$2,0))</f>
        <v>0</v>
      </c>
      <c r="AB250" s="9">
        <f>SUMIFS(#REF!,#REF!,
$A250,#REF!,
"&gt;="&amp;'Faturado mensal'!AB$2,#REF!,
"&lt;"&amp;EOMONTH('Faturado mensal'!AB$2,0))</f>
        <v>0</v>
      </c>
      <c r="AC250" s="9">
        <f>SUMIFS(#REF!,#REF!,
$A250,#REF!,
"&gt;="&amp;'Faturado mensal'!AC$2,#REF!,
"&lt;"&amp;EOMONTH('Faturado mensal'!AC$2,0))</f>
        <v>0</v>
      </c>
      <c r="AD250" s="9">
        <f>SUMIFS(#REF!,#REF!,
$A250,#REF!,
"&gt;="&amp;'Faturado mensal'!AD$2,#REF!,
"&lt;"&amp;EOMONTH('Faturado mensal'!AD$2,0))</f>
        <v>0</v>
      </c>
      <c r="AE250" s="9">
        <f>SUMIFS(#REF!,#REF!,
$A250,#REF!,
"&gt;="&amp;'Faturado mensal'!AE$2,#REF!,
"&lt;"&amp;EOMONTH('Faturado mensal'!AE$2,0))</f>
        <v>0</v>
      </c>
      <c r="AF250" s="9">
        <f>SUMIFS(#REF!,#REF!,
$A250,#REF!,
"&gt;="&amp;'Faturado mensal'!AF$2,#REF!,
"&lt;"&amp;EOMONTH('Faturado mensal'!AF$2,0))</f>
        <v>0</v>
      </c>
      <c r="AG250" s="9">
        <f>SUMIFS(#REF!,#REF!,
$A250,#REF!,
"&gt;="&amp;'Faturado mensal'!AG$2,#REF!,
"&lt;"&amp;EOMONTH('Faturado mensal'!AG$2,0))</f>
        <v>0</v>
      </c>
      <c r="AH250" s="9">
        <f>SUMIFS(#REF!,#REF!,
$A250,#REF!,
"&gt;="&amp;'Faturado mensal'!AH$2,#REF!,
"&lt;"&amp;EOMONTH('Faturado mensal'!AH$2,0))</f>
        <v>0</v>
      </c>
      <c r="AI250" s="9">
        <f>SUMIFS(#REF!,#REF!,
$A250,#REF!,
"&gt;="&amp;'Faturado mensal'!AI$2,#REF!,
"&lt;"&amp;EOMONTH('Faturado mensal'!AI$2,0))</f>
        <v>0</v>
      </c>
      <c r="AJ250" s="9">
        <f>SUMIFS(#REF!,#REF!,
$A250,#REF!,
"&gt;="&amp;'Faturado mensal'!AJ$2,#REF!,
"&lt;"&amp;EOMONTH('Faturado mensal'!AJ$2,0))</f>
        <v>0</v>
      </c>
      <c r="AK250" s="9">
        <f>SUMIFS(#REF!,#REF!,
$A250,#REF!,
"&gt;="&amp;'Faturado mensal'!AK$2,#REF!,
"&lt;"&amp;EOMONTH('Faturado mensal'!AK$2,0))</f>
        <v>0</v>
      </c>
      <c r="AL250" s="9">
        <f>SUMIFS(#REF!,#REF!,
$A250,#REF!,
"&gt;="&amp;Z$2,#REF!,
"&lt;"&amp;EOMONTH(AK$2,0))</f>
        <v>0</v>
      </c>
    </row>
    <row r="251" spans="1:38" x14ac:dyDescent="0.3">
      <c r="A251" t="s">
        <v>554</v>
      </c>
      <c r="B251" t="s">
        <v>555</v>
      </c>
      <c r="C251" t="s">
        <v>110</v>
      </c>
      <c r="D251" t="s">
        <v>209</v>
      </c>
      <c r="G251" t="s">
        <v>4858</v>
      </c>
      <c r="H251" t="s">
        <v>4771</v>
      </c>
      <c r="I251" t="s">
        <v>907</v>
      </c>
      <c r="J251" t="s">
        <v>710</v>
      </c>
      <c r="K251" t="s">
        <v>720</v>
      </c>
      <c r="L251" t="s">
        <v>721</v>
      </c>
      <c r="M251" s="9">
        <f>SUMIFS(#REF!,#REF!,
$A251,#REF!,
"&gt;="&amp;'Faturado mensal'!M$2,#REF!,
"&lt;"&amp;EOMONTH('Faturado mensal'!M$2,0))</f>
        <v>0</v>
      </c>
      <c r="N251" s="9">
        <f>SUMIFS(#REF!,#REF!,
$A251,#REF!,
"&gt;="&amp;'Faturado mensal'!N$2,#REF!,
"&lt;"&amp;EOMONTH('Faturado mensal'!N$2,0))</f>
        <v>0</v>
      </c>
      <c r="O251" s="9">
        <f>SUMIFS(#REF!,#REF!,
$A251,#REF!,
"&gt;="&amp;'Faturado mensal'!O$2,#REF!,
"&lt;"&amp;EOMONTH('Faturado mensal'!O$2,0))</f>
        <v>0</v>
      </c>
      <c r="P251" s="9">
        <f>SUMIFS(#REF!,#REF!,
$A251,#REF!,
"&gt;="&amp;'Faturado mensal'!P$2,#REF!,
"&lt;"&amp;EOMONTH('Faturado mensal'!P$2,0))</f>
        <v>0</v>
      </c>
      <c r="Q251" s="9">
        <f>SUMIFS(#REF!,#REF!,
$A251,#REF!,
"&gt;="&amp;'Faturado mensal'!Q$2,#REF!,
"&lt;"&amp;EOMONTH('Faturado mensal'!Q$2,0))</f>
        <v>0</v>
      </c>
      <c r="R251" s="9">
        <f>SUMIFS(#REF!,#REF!,
$A251,#REF!,
"&gt;="&amp;'Faturado mensal'!R$2,#REF!,
"&lt;"&amp;EOMONTH('Faturado mensal'!R$2,0))</f>
        <v>0</v>
      </c>
      <c r="S251" s="9">
        <f>SUMIFS(#REF!,#REF!,
$A251,#REF!,
"&gt;="&amp;'Faturado mensal'!S$2,#REF!,
"&lt;"&amp;EOMONTH('Faturado mensal'!S$2,0))</f>
        <v>0</v>
      </c>
      <c r="T251" s="9">
        <f>SUMIFS(#REF!,#REF!,
$A251,#REF!,
"&gt;="&amp;'Faturado mensal'!T$2,#REF!,
"&lt;"&amp;EOMONTH('Faturado mensal'!T$2,0))</f>
        <v>0</v>
      </c>
      <c r="U251" s="9">
        <f>SUMIFS(#REF!,#REF!,
$A251,#REF!,
"&gt;="&amp;'Faturado mensal'!U$2,#REF!,
"&lt;"&amp;EOMONTH('Faturado mensal'!U$2,0))</f>
        <v>0</v>
      </c>
      <c r="V251" s="9">
        <f>SUMIFS(#REF!,#REF!,
$A251,#REF!,
"&gt;="&amp;'Faturado mensal'!V$2,#REF!,
"&lt;"&amp;EOMONTH('Faturado mensal'!V$2,0))</f>
        <v>0</v>
      </c>
      <c r="W251" s="9">
        <f>SUMIFS(#REF!,#REF!,
$A251,#REF!,
"&gt;="&amp;'Faturado mensal'!W$2,#REF!,
"&lt;"&amp;EOMONTH('Faturado mensal'!W$2,0))</f>
        <v>0</v>
      </c>
      <c r="X251" s="9">
        <f>SUMIFS(#REF!,#REF!,
$A251,#REF!,
"&gt;="&amp;'Faturado mensal'!X$2,#REF!,
"&lt;"&amp;EOMONTH('Faturado mensal'!X$2,0))</f>
        <v>0</v>
      </c>
      <c r="Y251" s="11">
        <f>SUMIFS(#REF!,#REF!,
$A251,#REF!,
"&gt;="&amp;'Faturado mensal'!M$2,#REF!,
"&lt;"&amp;EOMONTH('Faturado mensal'!M$2,12))</f>
        <v>0</v>
      </c>
      <c r="Z251" s="9">
        <f>SUMIFS(#REF!,#REF!,
$A251,#REF!,
"&gt;="&amp;'Faturado mensal'!Z$2,#REF!,
"&lt;"&amp;EOMONTH('Faturado mensal'!Z$2,0))</f>
        <v>0</v>
      </c>
      <c r="AA251" s="9">
        <f>SUMIFS(#REF!,#REF!,
$A251,#REF!,
"&gt;="&amp;'Faturado mensal'!AA$2,#REF!,
"&lt;"&amp;EOMONTH('Faturado mensal'!AA$2,0))</f>
        <v>0</v>
      </c>
      <c r="AB251" s="9">
        <f>SUMIFS(#REF!,#REF!,
$A251,#REF!,
"&gt;="&amp;'Faturado mensal'!AB$2,#REF!,
"&lt;"&amp;EOMONTH('Faturado mensal'!AB$2,0))</f>
        <v>0</v>
      </c>
      <c r="AC251" s="9">
        <f>SUMIFS(#REF!,#REF!,
$A251,#REF!,
"&gt;="&amp;'Faturado mensal'!AC$2,#REF!,
"&lt;"&amp;EOMONTH('Faturado mensal'!AC$2,0))</f>
        <v>0</v>
      </c>
      <c r="AD251" s="9">
        <f>SUMIFS(#REF!,#REF!,
$A251,#REF!,
"&gt;="&amp;'Faturado mensal'!AD$2,#REF!,
"&lt;"&amp;EOMONTH('Faturado mensal'!AD$2,0))</f>
        <v>0</v>
      </c>
      <c r="AE251" s="9">
        <f>SUMIFS(#REF!,#REF!,
$A251,#REF!,
"&gt;="&amp;'Faturado mensal'!AE$2,#REF!,
"&lt;"&amp;EOMONTH('Faturado mensal'!AE$2,0))</f>
        <v>0</v>
      </c>
      <c r="AF251" s="9">
        <f>SUMIFS(#REF!,#REF!,
$A251,#REF!,
"&gt;="&amp;'Faturado mensal'!AF$2,#REF!,
"&lt;"&amp;EOMONTH('Faturado mensal'!AF$2,0))</f>
        <v>0</v>
      </c>
      <c r="AG251" s="9">
        <f>SUMIFS(#REF!,#REF!,
$A251,#REF!,
"&gt;="&amp;'Faturado mensal'!AG$2,#REF!,
"&lt;"&amp;EOMONTH('Faturado mensal'!AG$2,0))</f>
        <v>0</v>
      </c>
      <c r="AH251" s="9">
        <f>SUMIFS(#REF!,#REF!,
$A251,#REF!,
"&gt;="&amp;'Faturado mensal'!AH$2,#REF!,
"&lt;"&amp;EOMONTH('Faturado mensal'!AH$2,0))</f>
        <v>0</v>
      </c>
      <c r="AI251" s="9">
        <f>SUMIFS(#REF!,#REF!,
$A251,#REF!,
"&gt;="&amp;'Faturado mensal'!AI$2,#REF!,
"&lt;"&amp;EOMONTH('Faturado mensal'!AI$2,0))</f>
        <v>0</v>
      </c>
      <c r="AJ251" s="9">
        <f>SUMIFS(#REF!,#REF!,
$A251,#REF!,
"&gt;="&amp;'Faturado mensal'!AJ$2,#REF!,
"&lt;"&amp;EOMONTH('Faturado mensal'!AJ$2,0))</f>
        <v>0</v>
      </c>
      <c r="AK251" s="9">
        <f>SUMIFS(#REF!,#REF!,
$A251,#REF!,
"&gt;="&amp;'Faturado mensal'!AK$2,#REF!,
"&lt;"&amp;EOMONTH('Faturado mensal'!AK$2,0))</f>
        <v>0</v>
      </c>
      <c r="AL251" s="9">
        <f>SUMIFS(#REF!,#REF!,
$A251,#REF!,
"&gt;="&amp;Z$2,#REF!,
"&lt;"&amp;EOMONTH(AK$2,0))</f>
        <v>0</v>
      </c>
    </row>
    <row r="252" spans="1:38" x14ac:dyDescent="0.3">
      <c r="A252" t="s">
        <v>556</v>
      </c>
      <c r="B252" t="s">
        <v>557</v>
      </c>
      <c r="C252" t="s">
        <v>98</v>
      </c>
      <c r="D252" t="s">
        <v>209</v>
      </c>
      <c r="G252" t="s">
        <v>807</v>
      </c>
      <c r="I252" t="s">
        <v>908</v>
      </c>
      <c r="J252" t="s">
        <v>710</v>
      </c>
      <c r="K252" t="s">
        <v>762</v>
      </c>
      <c r="L252" t="s">
        <v>763</v>
      </c>
      <c r="M252" s="9">
        <f>SUMIFS(#REF!,#REF!,
$A252,#REF!,
"&gt;="&amp;'Faturado mensal'!M$2,#REF!,
"&lt;"&amp;EOMONTH('Faturado mensal'!M$2,0))</f>
        <v>0</v>
      </c>
      <c r="N252" s="9">
        <f>SUMIFS(#REF!,#REF!,
$A252,#REF!,
"&gt;="&amp;'Faturado mensal'!N$2,#REF!,
"&lt;"&amp;EOMONTH('Faturado mensal'!N$2,0))</f>
        <v>0</v>
      </c>
      <c r="O252" s="9">
        <f>SUMIFS(#REF!,#REF!,
$A252,#REF!,
"&gt;="&amp;'Faturado mensal'!O$2,#REF!,
"&lt;"&amp;EOMONTH('Faturado mensal'!O$2,0))</f>
        <v>0</v>
      </c>
      <c r="P252" s="9">
        <f>SUMIFS(#REF!,#REF!,
$A252,#REF!,
"&gt;="&amp;'Faturado mensal'!P$2,#REF!,
"&lt;"&amp;EOMONTH('Faturado mensal'!P$2,0))</f>
        <v>0</v>
      </c>
      <c r="Q252" s="9">
        <f>SUMIFS(#REF!,#REF!,
$A252,#REF!,
"&gt;="&amp;'Faturado mensal'!Q$2,#REF!,
"&lt;"&amp;EOMONTH('Faturado mensal'!Q$2,0))</f>
        <v>0</v>
      </c>
      <c r="R252" s="9">
        <f>SUMIFS(#REF!,#REF!,
$A252,#REF!,
"&gt;="&amp;'Faturado mensal'!R$2,#REF!,
"&lt;"&amp;EOMONTH('Faturado mensal'!R$2,0))</f>
        <v>0</v>
      </c>
      <c r="S252" s="9">
        <f>SUMIFS(#REF!,#REF!,
$A252,#REF!,
"&gt;="&amp;'Faturado mensal'!S$2,#REF!,
"&lt;"&amp;EOMONTH('Faturado mensal'!S$2,0))</f>
        <v>0</v>
      </c>
      <c r="T252" s="9">
        <f>SUMIFS(#REF!,#REF!,
$A252,#REF!,
"&gt;="&amp;'Faturado mensal'!T$2,#REF!,
"&lt;"&amp;EOMONTH('Faturado mensal'!T$2,0))</f>
        <v>0</v>
      </c>
      <c r="U252" s="9">
        <f>SUMIFS(#REF!,#REF!,
$A252,#REF!,
"&gt;="&amp;'Faturado mensal'!U$2,#REF!,
"&lt;"&amp;EOMONTH('Faturado mensal'!U$2,0))</f>
        <v>0</v>
      </c>
      <c r="V252" s="9">
        <f>SUMIFS(#REF!,#REF!,
$A252,#REF!,
"&gt;="&amp;'Faturado mensal'!V$2,#REF!,
"&lt;"&amp;EOMONTH('Faturado mensal'!V$2,0))</f>
        <v>0</v>
      </c>
      <c r="W252" s="9">
        <f>SUMIFS(#REF!,#REF!,
$A252,#REF!,
"&gt;="&amp;'Faturado mensal'!W$2,#REF!,
"&lt;"&amp;EOMONTH('Faturado mensal'!W$2,0))</f>
        <v>0</v>
      </c>
      <c r="X252" s="9">
        <f>SUMIFS(#REF!,#REF!,
$A252,#REF!,
"&gt;="&amp;'Faturado mensal'!X$2,#REF!,
"&lt;"&amp;EOMONTH('Faturado mensal'!X$2,0))</f>
        <v>0</v>
      </c>
      <c r="Y252" s="11">
        <f>SUMIFS(#REF!,#REF!,
$A252,#REF!,
"&gt;="&amp;'Faturado mensal'!M$2,#REF!,
"&lt;"&amp;EOMONTH('Faturado mensal'!M$2,12))</f>
        <v>0</v>
      </c>
      <c r="Z252" s="9">
        <f>SUMIFS(#REF!,#REF!,
$A252,#REF!,
"&gt;="&amp;'Faturado mensal'!Z$2,#REF!,
"&lt;"&amp;EOMONTH('Faturado mensal'!Z$2,0))</f>
        <v>0</v>
      </c>
      <c r="AA252" s="9">
        <f>SUMIFS(#REF!,#REF!,
$A252,#REF!,
"&gt;="&amp;'Faturado mensal'!AA$2,#REF!,
"&lt;"&amp;EOMONTH('Faturado mensal'!AA$2,0))</f>
        <v>0</v>
      </c>
      <c r="AB252" s="9">
        <f>SUMIFS(#REF!,#REF!,
$A252,#REF!,
"&gt;="&amp;'Faturado mensal'!AB$2,#REF!,
"&lt;"&amp;EOMONTH('Faturado mensal'!AB$2,0))</f>
        <v>0</v>
      </c>
      <c r="AC252" s="9">
        <f>SUMIFS(#REF!,#REF!,
$A252,#REF!,
"&gt;="&amp;'Faturado mensal'!AC$2,#REF!,
"&lt;"&amp;EOMONTH('Faturado mensal'!AC$2,0))</f>
        <v>0</v>
      </c>
      <c r="AD252" s="9">
        <f>SUMIFS(#REF!,#REF!,
$A252,#REF!,
"&gt;="&amp;'Faturado mensal'!AD$2,#REF!,
"&lt;"&amp;EOMONTH('Faturado mensal'!AD$2,0))</f>
        <v>0</v>
      </c>
      <c r="AE252" s="9">
        <f>SUMIFS(#REF!,#REF!,
$A252,#REF!,
"&gt;="&amp;'Faturado mensal'!AE$2,#REF!,
"&lt;"&amp;EOMONTH('Faturado mensal'!AE$2,0))</f>
        <v>0</v>
      </c>
      <c r="AF252" s="9">
        <f>SUMIFS(#REF!,#REF!,
$A252,#REF!,
"&gt;="&amp;'Faturado mensal'!AF$2,#REF!,
"&lt;"&amp;EOMONTH('Faturado mensal'!AF$2,0))</f>
        <v>0</v>
      </c>
      <c r="AG252" s="9">
        <f>SUMIFS(#REF!,#REF!,
$A252,#REF!,
"&gt;="&amp;'Faturado mensal'!AG$2,#REF!,
"&lt;"&amp;EOMONTH('Faturado mensal'!AG$2,0))</f>
        <v>0</v>
      </c>
      <c r="AH252" s="9">
        <f>SUMIFS(#REF!,#REF!,
$A252,#REF!,
"&gt;="&amp;'Faturado mensal'!AH$2,#REF!,
"&lt;"&amp;EOMONTH('Faturado mensal'!AH$2,0))</f>
        <v>0</v>
      </c>
      <c r="AI252" s="9">
        <f>SUMIFS(#REF!,#REF!,
$A252,#REF!,
"&gt;="&amp;'Faturado mensal'!AI$2,#REF!,
"&lt;"&amp;EOMONTH('Faturado mensal'!AI$2,0))</f>
        <v>0</v>
      </c>
      <c r="AJ252" s="9">
        <f>SUMIFS(#REF!,#REF!,
$A252,#REF!,
"&gt;="&amp;'Faturado mensal'!AJ$2,#REF!,
"&lt;"&amp;EOMONTH('Faturado mensal'!AJ$2,0))</f>
        <v>0</v>
      </c>
      <c r="AK252" s="9">
        <f>SUMIFS(#REF!,#REF!,
$A252,#REF!,
"&gt;="&amp;'Faturado mensal'!AK$2,#REF!,
"&lt;"&amp;EOMONTH('Faturado mensal'!AK$2,0))</f>
        <v>0</v>
      </c>
      <c r="AL252" s="9">
        <f>SUMIFS(#REF!,#REF!,
$A252,#REF!,
"&gt;="&amp;Z$2,#REF!,
"&lt;"&amp;EOMONTH(AK$2,0))</f>
        <v>0</v>
      </c>
    </row>
    <row r="253" spans="1:38" x14ac:dyDescent="0.3">
      <c r="A253" t="s">
        <v>909</v>
      </c>
      <c r="B253" t="s">
        <v>910</v>
      </c>
      <c r="C253" t="s">
        <v>911</v>
      </c>
      <c r="D253" t="s">
        <v>209</v>
      </c>
      <c r="G253" t="s">
        <v>807</v>
      </c>
      <c r="I253" t="s">
        <v>912</v>
      </c>
      <c r="J253" t="s">
        <v>710</v>
      </c>
      <c r="K253" t="s">
        <v>711</v>
      </c>
      <c r="L253" t="s">
        <v>712</v>
      </c>
      <c r="M253" s="9">
        <f>SUMIFS(#REF!,#REF!,
$A253,#REF!,
"&gt;="&amp;'Faturado mensal'!M$2,#REF!,
"&lt;"&amp;EOMONTH('Faturado mensal'!M$2,0))</f>
        <v>0</v>
      </c>
      <c r="N253" s="9">
        <f>SUMIFS(#REF!,#REF!,
$A253,#REF!,
"&gt;="&amp;'Faturado mensal'!N$2,#REF!,
"&lt;"&amp;EOMONTH('Faturado mensal'!N$2,0))</f>
        <v>0</v>
      </c>
      <c r="O253" s="9">
        <f>SUMIFS(#REF!,#REF!,
$A253,#REF!,
"&gt;="&amp;'Faturado mensal'!O$2,#REF!,
"&lt;"&amp;EOMONTH('Faturado mensal'!O$2,0))</f>
        <v>0</v>
      </c>
      <c r="P253" s="9">
        <f>SUMIFS(#REF!,#REF!,
$A253,#REF!,
"&gt;="&amp;'Faturado mensal'!P$2,#REF!,
"&lt;"&amp;EOMONTH('Faturado mensal'!P$2,0))</f>
        <v>0</v>
      </c>
      <c r="Q253" s="9">
        <f>SUMIFS(#REF!,#REF!,
$A253,#REF!,
"&gt;="&amp;'Faturado mensal'!Q$2,#REF!,
"&lt;"&amp;EOMONTH('Faturado mensal'!Q$2,0))</f>
        <v>0</v>
      </c>
      <c r="R253" s="9">
        <f>SUMIFS(#REF!,#REF!,
$A253,#REF!,
"&gt;="&amp;'Faturado mensal'!R$2,#REF!,
"&lt;"&amp;EOMONTH('Faturado mensal'!R$2,0))</f>
        <v>0</v>
      </c>
      <c r="S253" s="9">
        <f>SUMIFS(#REF!,#REF!,
$A253,#REF!,
"&gt;="&amp;'Faturado mensal'!S$2,#REF!,
"&lt;"&amp;EOMONTH('Faturado mensal'!S$2,0))</f>
        <v>0</v>
      </c>
      <c r="T253" s="9">
        <f>SUMIFS(#REF!,#REF!,
$A253,#REF!,
"&gt;="&amp;'Faturado mensal'!T$2,#REF!,
"&lt;"&amp;EOMONTH('Faturado mensal'!T$2,0))</f>
        <v>0</v>
      </c>
      <c r="U253" s="9">
        <f>SUMIFS(#REF!,#REF!,
$A253,#REF!,
"&gt;="&amp;'Faturado mensal'!U$2,#REF!,
"&lt;"&amp;EOMONTH('Faturado mensal'!U$2,0))</f>
        <v>0</v>
      </c>
      <c r="V253" s="9">
        <f>SUMIFS(#REF!,#REF!,
$A253,#REF!,
"&gt;="&amp;'Faturado mensal'!V$2,#REF!,
"&lt;"&amp;EOMONTH('Faturado mensal'!V$2,0))</f>
        <v>0</v>
      </c>
      <c r="W253" s="9">
        <f>SUMIFS(#REF!,#REF!,
$A253,#REF!,
"&gt;="&amp;'Faturado mensal'!W$2,#REF!,
"&lt;"&amp;EOMONTH('Faturado mensal'!W$2,0))</f>
        <v>0</v>
      </c>
      <c r="X253" s="9">
        <f>SUMIFS(#REF!,#REF!,
$A253,#REF!,
"&gt;="&amp;'Faturado mensal'!X$2,#REF!,
"&lt;"&amp;EOMONTH('Faturado mensal'!X$2,0))</f>
        <v>0</v>
      </c>
      <c r="Y253" s="11">
        <f>SUMIFS(#REF!,#REF!,
$A253,#REF!,
"&gt;="&amp;'Faturado mensal'!M$2,#REF!,
"&lt;"&amp;EOMONTH('Faturado mensal'!M$2,12))</f>
        <v>0</v>
      </c>
      <c r="Z253" s="9">
        <f>SUMIFS(#REF!,#REF!,
$A253,#REF!,
"&gt;="&amp;'Faturado mensal'!Z$2,#REF!,
"&lt;"&amp;EOMONTH('Faturado mensal'!Z$2,0))</f>
        <v>0</v>
      </c>
      <c r="AA253" s="9">
        <f>SUMIFS(#REF!,#REF!,
$A253,#REF!,
"&gt;="&amp;'Faturado mensal'!AA$2,#REF!,
"&lt;"&amp;EOMONTH('Faturado mensal'!AA$2,0))</f>
        <v>0</v>
      </c>
      <c r="AB253" s="9">
        <f>SUMIFS(#REF!,#REF!,
$A253,#REF!,
"&gt;="&amp;'Faturado mensal'!AB$2,#REF!,
"&lt;"&amp;EOMONTH('Faturado mensal'!AB$2,0))</f>
        <v>0</v>
      </c>
      <c r="AC253" s="9">
        <f>SUMIFS(#REF!,#REF!,
$A253,#REF!,
"&gt;="&amp;'Faturado mensal'!AC$2,#REF!,
"&lt;"&amp;EOMONTH('Faturado mensal'!AC$2,0))</f>
        <v>0</v>
      </c>
      <c r="AD253" s="9">
        <f>SUMIFS(#REF!,#REF!,
$A253,#REF!,
"&gt;="&amp;'Faturado mensal'!AD$2,#REF!,
"&lt;"&amp;EOMONTH('Faturado mensal'!AD$2,0))</f>
        <v>0</v>
      </c>
      <c r="AE253" s="9">
        <f>SUMIFS(#REF!,#REF!,
$A253,#REF!,
"&gt;="&amp;'Faturado mensal'!AE$2,#REF!,
"&lt;"&amp;EOMONTH('Faturado mensal'!AE$2,0))</f>
        <v>0</v>
      </c>
      <c r="AF253" s="9">
        <f>SUMIFS(#REF!,#REF!,
$A253,#REF!,
"&gt;="&amp;'Faturado mensal'!AF$2,#REF!,
"&lt;"&amp;EOMONTH('Faturado mensal'!AF$2,0))</f>
        <v>0</v>
      </c>
      <c r="AG253" s="9">
        <f>SUMIFS(#REF!,#REF!,
$A253,#REF!,
"&gt;="&amp;'Faturado mensal'!AG$2,#REF!,
"&lt;"&amp;EOMONTH('Faturado mensal'!AG$2,0))</f>
        <v>0</v>
      </c>
      <c r="AH253" s="9">
        <f>SUMIFS(#REF!,#REF!,
$A253,#REF!,
"&gt;="&amp;'Faturado mensal'!AH$2,#REF!,
"&lt;"&amp;EOMONTH('Faturado mensal'!AH$2,0))</f>
        <v>0</v>
      </c>
      <c r="AI253" s="9">
        <f>SUMIFS(#REF!,#REF!,
$A253,#REF!,
"&gt;="&amp;'Faturado mensal'!AI$2,#REF!,
"&lt;"&amp;EOMONTH('Faturado mensal'!AI$2,0))</f>
        <v>0</v>
      </c>
      <c r="AJ253" s="9">
        <f>SUMIFS(#REF!,#REF!,
$A253,#REF!,
"&gt;="&amp;'Faturado mensal'!AJ$2,#REF!,
"&lt;"&amp;EOMONTH('Faturado mensal'!AJ$2,0))</f>
        <v>0</v>
      </c>
      <c r="AK253" s="9">
        <f>SUMIFS(#REF!,#REF!,
$A253,#REF!,
"&gt;="&amp;'Faturado mensal'!AK$2,#REF!,
"&lt;"&amp;EOMONTH('Faturado mensal'!AK$2,0))</f>
        <v>0</v>
      </c>
      <c r="AL253" s="9">
        <f>SUMIFS(#REF!,#REF!,
$A253,#REF!,
"&gt;="&amp;Z$2,#REF!,
"&lt;"&amp;EOMONTH(AK$2,0))</f>
        <v>0</v>
      </c>
    </row>
    <row r="254" spans="1:38" x14ac:dyDescent="0.3">
      <c r="A254" t="s">
        <v>558</v>
      </c>
      <c r="B254" t="s">
        <v>559</v>
      </c>
      <c r="C254" t="s">
        <v>89</v>
      </c>
      <c r="D254" t="s">
        <v>209</v>
      </c>
      <c r="F254" t="s">
        <v>4783</v>
      </c>
      <c r="G254" t="s">
        <v>4853</v>
      </c>
      <c r="H254" t="s">
        <v>4771</v>
      </c>
      <c r="I254" t="s">
        <v>913</v>
      </c>
      <c r="J254" t="s">
        <v>710</v>
      </c>
      <c r="K254" t="s">
        <v>711</v>
      </c>
      <c r="L254" t="s">
        <v>712</v>
      </c>
      <c r="M254" s="9">
        <f>SUMIFS(#REF!,#REF!,
$A254,#REF!,
"&gt;="&amp;'Faturado mensal'!M$2,#REF!,
"&lt;"&amp;EOMONTH('Faturado mensal'!M$2,0))</f>
        <v>0</v>
      </c>
      <c r="N254" s="9">
        <f>SUMIFS(#REF!,#REF!,
$A254,#REF!,
"&gt;="&amp;'Faturado mensal'!N$2,#REF!,
"&lt;"&amp;EOMONTH('Faturado mensal'!N$2,0))</f>
        <v>0</v>
      </c>
      <c r="O254" s="9">
        <f>SUMIFS(#REF!,#REF!,
$A254,#REF!,
"&gt;="&amp;'Faturado mensal'!O$2,#REF!,
"&lt;"&amp;EOMONTH('Faturado mensal'!O$2,0))</f>
        <v>0</v>
      </c>
      <c r="P254" s="9">
        <f>SUMIFS(#REF!,#REF!,
$A254,#REF!,
"&gt;="&amp;'Faturado mensal'!P$2,#REF!,
"&lt;"&amp;EOMONTH('Faturado mensal'!P$2,0))</f>
        <v>0</v>
      </c>
      <c r="Q254" s="9">
        <f>SUMIFS(#REF!,#REF!,
$A254,#REF!,
"&gt;="&amp;'Faturado mensal'!Q$2,#REF!,
"&lt;"&amp;EOMONTH('Faturado mensal'!Q$2,0))</f>
        <v>0</v>
      </c>
      <c r="R254" s="9">
        <f>SUMIFS(#REF!,#REF!,
$A254,#REF!,
"&gt;="&amp;'Faturado mensal'!R$2,#REF!,
"&lt;"&amp;EOMONTH('Faturado mensal'!R$2,0))</f>
        <v>2703.21</v>
      </c>
      <c r="S254" s="9">
        <f>SUMIFS(#REF!,#REF!,
$A254,#REF!,
"&gt;="&amp;'Faturado mensal'!S$2,#REF!,
"&lt;"&amp;EOMONTH('Faturado mensal'!S$2,0))</f>
        <v>0</v>
      </c>
      <c r="T254" s="9">
        <f>SUMIFS(#REF!,#REF!,
$A254,#REF!,
"&gt;="&amp;'Faturado mensal'!T$2,#REF!,
"&lt;"&amp;EOMONTH('Faturado mensal'!T$2,0))</f>
        <v>0</v>
      </c>
      <c r="U254" s="9">
        <f>SUMIFS(#REF!,#REF!,
$A254,#REF!,
"&gt;="&amp;'Faturado mensal'!U$2,#REF!,
"&lt;"&amp;EOMONTH('Faturado mensal'!U$2,0))</f>
        <v>966.11</v>
      </c>
      <c r="V254" s="9">
        <f>SUMIFS(#REF!,#REF!,
$A254,#REF!,
"&gt;="&amp;'Faturado mensal'!V$2,#REF!,
"&lt;"&amp;EOMONTH('Faturado mensal'!V$2,0))</f>
        <v>0</v>
      </c>
      <c r="W254" s="9">
        <f>SUMIFS(#REF!,#REF!,
$A254,#REF!,
"&gt;="&amp;'Faturado mensal'!W$2,#REF!,
"&lt;"&amp;EOMONTH('Faturado mensal'!W$2,0))</f>
        <v>0</v>
      </c>
      <c r="X254" s="9">
        <f>SUMIFS(#REF!,#REF!,
$A254,#REF!,
"&gt;="&amp;'Faturado mensal'!X$2,#REF!,
"&lt;"&amp;EOMONTH('Faturado mensal'!X$2,0))</f>
        <v>0</v>
      </c>
      <c r="Y254" s="11">
        <f>SUMIFS(#REF!,#REF!,
$A254,#REF!,
"&gt;="&amp;'Faturado mensal'!M$2,#REF!,
"&lt;"&amp;EOMONTH('Faturado mensal'!M$2,12))</f>
        <v>3669.32</v>
      </c>
      <c r="Z254" s="9">
        <f>SUMIFS(#REF!,#REF!,
$A254,#REF!,
"&gt;="&amp;'Faturado mensal'!Z$2,#REF!,
"&lt;"&amp;EOMONTH('Faturado mensal'!Z$2,0))</f>
        <v>0</v>
      </c>
      <c r="AA254" s="9">
        <f>SUMIFS(#REF!,#REF!,
$A254,#REF!,
"&gt;="&amp;'Faturado mensal'!AA$2,#REF!,
"&lt;"&amp;EOMONTH('Faturado mensal'!AA$2,0))</f>
        <v>0</v>
      </c>
      <c r="AB254" s="9">
        <f>SUMIFS(#REF!,#REF!,
$A254,#REF!,
"&gt;="&amp;'Faturado mensal'!AB$2,#REF!,
"&lt;"&amp;EOMONTH('Faturado mensal'!AB$2,0))</f>
        <v>0</v>
      </c>
      <c r="AC254" s="9">
        <f>SUMIFS(#REF!,#REF!,
$A254,#REF!,
"&gt;="&amp;'Faturado mensal'!AC$2,#REF!,
"&lt;"&amp;EOMONTH('Faturado mensal'!AC$2,0))</f>
        <v>0</v>
      </c>
      <c r="AD254" s="9">
        <f>SUMIFS(#REF!,#REF!,
$A254,#REF!,
"&gt;="&amp;'Faturado mensal'!AD$2,#REF!,
"&lt;"&amp;EOMONTH('Faturado mensal'!AD$2,0))</f>
        <v>0</v>
      </c>
      <c r="AE254" s="9">
        <f>SUMIFS(#REF!,#REF!,
$A254,#REF!,
"&gt;="&amp;'Faturado mensal'!AE$2,#REF!,
"&lt;"&amp;EOMONTH('Faturado mensal'!AE$2,0))</f>
        <v>0</v>
      </c>
      <c r="AF254" s="9">
        <f>SUMIFS(#REF!,#REF!,
$A254,#REF!,
"&gt;="&amp;'Faturado mensal'!AF$2,#REF!,
"&lt;"&amp;EOMONTH('Faturado mensal'!AF$2,0))</f>
        <v>0</v>
      </c>
      <c r="AG254" s="9">
        <f>SUMIFS(#REF!,#REF!,
$A254,#REF!,
"&gt;="&amp;'Faturado mensal'!AG$2,#REF!,
"&lt;"&amp;EOMONTH('Faturado mensal'!AG$2,0))</f>
        <v>0</v>
      </c>
      <c r="AH254" s="9">
        <f>SUMIFS(#REF!,#REF!,
$A254,#REF!,
"&gt;="&amp;'Faturado mensal'!AH$2,#REF!,
"&lt;"&amp;EOMONTH('Faturado mensal'!AH$2,0))</f>
        <v>0</v>
      </c>
      <c r="AI254" s="9">
        <f>SUMIFS(#REF!,#REF!,
$A254,#REF!,
"&gt;="&amp;'Faturado mensal'!AI$2,#REF!,
"&lt;"&amp;EOMONTH('Faturado mensal'!AI$2,0))</f>
        <v>0</v>
      </c>
      <c r="AJ254" s="9">
        <f>SUMIFS(#REF!,#REF!,
$A254,#REF!,
"&gt;="&amp;'Faturado mensal'!AJ$2,#REF!,
"&lt;"&amp;EOMONTH('Faturado mensal'!AJ$2,0))</f>
        <v>0</v>
      </c>
      <c r="AK254" s="9">
        <f>SUMIFS(#REF!,#REF!,
$A254,#REF!,
"&gt;="&amp;'Faturado mensal'!AK$2,#REF!,
"&lt;"&amp;EOMONTH('Faturado mensal'!AK$2,0))</f>
        <v>0</v>
      </c>
      <c r="AL254" s="9">
        <f>SUMIFS(#REF!,#REF!,
$A254,#REF!,
"&gt;="&amp;Z$2,#REF!,
"&lt;"&amp;EOMONTH(AK$2,0))</f>
        <v>0</v>
      </c>
    </row>
    <row r="255" spans="1:38" x14ac:dyDescent="0.3">
      <c r="A255" t="s">
        <v>914</v>
      </c>
      <c r="B255" t="s">
        <v>915</v>
      </c>
      <c r="C255" t="s">
        <v>916</v>
      </c>
      <c r="D255" t="s">
        <v>209</v>
      </c>
      <c r="G255" t="s">
        <v>4852</v>
      </c>
      <c r="H255" t="s">
        <v>4771</v>
      </c>
      <c r="I255" t="s">
        <v>917</v>
      </c>
      <c r="J255" t="s">
        <v>710</v>
      </c>
      <c r="K255" t="s">
        <v>762</v>
      </c>
      <c r="L255" t="s">
        <v>763</v>
      </c>
      <c r="M255" s="9">
        <f>SUMIFS(#REF!,#REF!,
$A255,#REF!,
"&gt;="&amp;'Faturado mensal'!M$2,#REF!,
"&lt;"&amp;EOMONTH('Faturado mensal'!M$2,0))</f>
        <v>0</v>
      </c>
      <c r="N255" s="9">
        <f>SUMIFS(#REF!,#REF!,
$A255,#REF!,
"&gt;="&amp;'Faturado mensal'!N$2,#REF!,
"&lt;"&amp;EOMONTH('Faturado mensal'!N$2,0))</f>
        <v>0</v>
      </c>
      <c r="O255" s="9">
        <f>SUMIFS(#REF!,#REF!,
$A255,#REF!,
"&gt;="&amp;'Faturado mensal'!O$2,#REF!,
"&lt;"&amp;EOMONTH('Faturado mensal'!O$2,0))</f>
        <v>0</v>
      </c>
      <c r="P255" s="9">
        <f>SUMIFS(#REF!,#REF!,
$A255,#REF!,
"&gt;="&amp;'Faturado mensal'!P$2,#REF!,
"&lt;"&amp;EOMONTH('Faturado mensal'!P$2,0))</f>
        <v>0</v>
      </c>
      <c r="Q255" s="9">
        <f>SUMIFS(#REF!,#REF!,
$A255,#REF!,
"&gt;="&amp;'Faturado mensal'!Q$2,#REF!,
"&lt;"&amp;EOMONTH('Faturado mensal'!Q$2,0))</f>
        <v>0</v>
      </c>
      <c r="R255" s="9">
        <f>SUMIFS(#REF!,#REF!,
$A255,#REF!,
"&gt;="&amp;'Faturado mensal'!R$2,#REF!,
"&lt;"&amp;EOMONTH('Faturado mensal'!R$2,0))</f>
        <v>0</v>
      </c>
      <c r="S255" s="9">
        <f>SUMIFS(#REF!,#REF!,
$A255,#REF!,
"&gt;="&amp;'Faturado mensal'!S$2,#REF!,
"&lt;"&amp;EOMONTH('Faturado mensal'!S$2,0))</f>
        <v>0</v>
      </c>
      <c r="T255" s="9">
        <f>SUMIFS(#REF!,#REF!,
$A255,#REF!,
"&gt;="&amp;'Faturado mensal'!T$2,#REF!,
"&lt;"&amp;EOMONTH('Faturado mensal'!T$2,0))</f>
        <v>0</v>
      </c>
      <c r="U255" s="9">
        <f>SUMIFS(#REF!,#REF!,
$A255,#REF!,
"&gt;="&amp;'Faturado mensal'!U$2,#REF!,
"&lt;"&amp;EOMONTH('Faturado mensal'!U$2,0))</f>
        <v>0</v>
      </c>
      <c r="V255" s="9">
        <f>SUMIFS(#REF!,#REF!,
$A255,#REF!,
"&gt;="&amp;'Faturado mensal'!V$2,#REF!,
"&lt;"&amp;EOMONTH('Faturado mensal'!V$2,0))</f>
        <v>0</v>
      </c>
      <c r="W255" s="9">
        <f>SUMIFS(#REF!,#REF!,
$A255,#REF!,
"&gt;="&amp;'Faturado mensal'!W$2,#REF!,
"&lt;"&amp;EOMONTH('Faturado mensal'!W$2,0))</f>
        <v>0</v>
      </c>
      <c r="X255" s="9">
        <f>SUMIFS(#REF!,#REF!,
$A255,#REF!,
"&gt;="&amp;'Faturado mensal'!X$2,#REF!,
"&lt;"&amp;EOMONTH('Faturado mensal'!X$2,0))</f>
        <v>0</v>
      </c>
      <c r="Y255" s="11">
        <f>SUMIFS(#REF!,#REF!,
$A255,#REF!,
"&gt;="&amp;'Faturado mensal'!M$2,#REF!,
"&lt;"&amp;EOMONTH('Faturado mensal'!M$2,12))</f>
        <v>0</v>
      </c>
      <c r="Z255" s="9">
        <f>SUMIFS(#REF!,#REF!,
$A255,#REF!,
"&gt;="&amp;'Faturado mensal'!Z$2,#REF!,
"&lt;"&amp;EOMONTH('Faturado mensal'!Z$2,0))</f>
        <v>0</v>
      </c>
      <c r="AA255" s="9">
        <f>SUMIFS(#REF!,#REF!,
$A255,#REF!,
"&gt;="&amp;'Faturado mensal'!AA$2,#REF!,
"&lt;"&amp;EOMONTH('Faturado mensal'!AA$2,0))</f>
        <v>0</v>
      </c>
      <c r="AB255" s="9">
        <f>SUMIFS(#REF!,#REF!,
$A255,#REF!,
"&gt;="&amp;'Faturado mensal'!AB$2,#REF!,
"&lt;"&amp;EOMONTH('Faturado mensal'!AB$2,0))</f>
        <v>0</v>
      </c>
      <c r="AC255" s="9">
        <f>SUMIFS(#REF!,#REF!,
$A255,#REF!,
"&gt;="&amp;'Faturado mensal'!AC$2,#REF!,
"&lt;"&amp;EOMONTH('Faturado mensal'!AC$2,0))</f>
        <v>0</v>
      </c>
      <c r="AD255" s="9">
        <f>SUMIFS(#REF!,#REF!,
$A255,#REF!,
"&gt;="&amp;'Faturado mensal'!AD$2,#REF!,
"&lt;"&amp;EOMONTH('Faturado mensal'!AD$2,0))</f>
        <v>0</v>
      </c>
      <c r="AE255" s="9">
        <f>SUMIFS(#REF!,#REF!,
$A255,#REF!,
"&gt;="&amp;'Faturado mensal'!AE$2,#REF!,
"&lt;"&amp;EOMONTH('Faturado mensal'!AE$2,0))</f>
        <v>0</v>
      </c>
      <c r="AF255" s="9">
        <f>SUMIFS(#REF!,#REF!,
$A255,#REF!,
"&gt;="&amp;'Faturado mensal'!AF$2,#REF!,
"&lt;"&amp;EOMONTH('Faturado mensal'!AF$2,0))</f>
        <v>0</v>
      </c>
      <c r="AG255" s="9">
        <f>SUMIFS(#REF!,#REF!,
$A255,#REF!,
"&gt;="&amp;'Faturado mensal'!AG$2,#REF!,
"&lt;"&amp;EOMONTH('Faturado mensal'!AG$2,0))</f>
        <v>0</v>
      </c>
      <c r="AH255" s="9">
        <f>SUMIFS(#REF!,#REF!,
$A255,#REF!,
"&gt;="&amp;'Faturado mensal'!AH$2,#REF!,
"&lt;"&amp;EOMONTH('Faturado mensal'!AH$2,0))</f>
        <v>0</v>
      </c>
      <c r="AI255" s="9">
        <f>SUMIFS(#REF!,#REF!,
$A255,#REF!,
"&gt;="&amp;'Faturado mensal'!AI$2,#REF!,
"&lt;"&amp;EOMONTH('Faturado mensal'!AI$2,0))</f>
        <v>0</v>
      </c>
      <c r="AJ255" s="9">
        <f>SUMIFS(#REF!,#REF!,
$A255,#REF!,
"&gt;="&amp;'Faturado mensal'!AJ$2,#REF!,
"&lt;"&amp;EOMONTH('Faturado mensal'!AJ$2,0))</f>
        <v>0</v>
      </c>
      <c r="AK255" s="9">
        <f>SUMIFS(#REF!,#REF!,
$A255,#REF!,
"&gt;="&amp;'Faturado mensal'!AK$2,#REF!,
"&lt;"&amp;EOMONTH('Faturado mensal'!AK$2,0))</f>
        <v>0</v>
      </c>
      <c r="AL255" s="9">
        <f>SUMIFS(#REF!,#REF!,
$A255,#REF!,
"&gt;="&amp;Z$2,#REF!,
"&lt;"&amp;EOMONTH(AK$2,0))</f>
        <v>0</v>
      </c>
    </row>
    <row r="256" spans="1:38" x14ac:dyDescent="0.3">
      <c r="A256" t="s">
        <v>560</v>
      </c>
      <c r="B256" t="s">
        <v>561</v>
      </c>
      <c r="C256" t="s">
        <v>121</v>
      </c>
      <c r="D256" t="s">
        <v>204</v>
      </c>
      <c r="E256" t="s">
        <v>1040</v>
      </c>
      <c r="F256" t="s">
        <v>4777</v>
      </c>
      <c r="G256" t="s">
        <v>4856</v>
      </c>
      <c r="H256" t="s">
        <v>4771</v>
      </c>
      <c r="I256" t="s">
        <v>918</v>
      </c>
      <c r="J256" t="s">
        <v>818</v>
      </c>
      <c r="K256" t="s">
        <v>748</v>
      </c>
      <c r="L256" t="s">
        <v>749</v>
      </c>
      <c r="M256" s="9">
        <f>SUMIFS(#REF!,#REF!,
$A256,#REF!,
"&gt;="&amp;'Faturado mensal'!M$2,#REF!,
"&lt;"&amp;EOMONTH('Faturado mensal'!M$2,0))</f>
        <v>6700</v>
      </c>
      <c r="N256" s="9">
        <f>SUMIFS(#REF!,#REF!,
$A256,#REF!,
"&gt;="&amp;'Faturado mensal'!N$2,#REF!,
"&lt;"&amp;EOMONTH('Faturado mensal'!N$2,0))</f>
        <v>6700</v>
      </c>
      <c r="O256" s="9">
        <f>SUMIFS(#REF!,#REF!,
$A256,#REF!,
"&gt;="&amp;'Faturado mensal'!O$2,#REF!,
"&lt;"&amp;EOMONTH('Faturado mensal'!O$2,0))</f>
        <v>6700</v>
      </c>
      <c r="P256" s="9">
        <f>SUMIFS(#REF!,#REF!,
$A256,#REF!,
"&gt;="&amp;'Faturado mensal'!P$2,#REF!,
"&lt;"&amp;EOMONTH('Faturado mensal'!P$2,0))</f>
        <v>6700</v>
      </c>
      <c r="Q256" s="9">
        <f>SUMIFS(#REF!,#REF!,
$A256,#REF!,
"&gt;="&amp;'Faturado mensal'!Q$2,#REF!,
"&lt;"&amp;EOMONTH('Faturado mensal'!Q$2,0))</f>
        <v>6700</v>
      </c>
      <c r="R256" s="9">
        <f>SUMIFS(#REF!,#REF!,
$A256,#REF!,
"&gt;="&amp;'Faturado mensal'!R$2,#REF!,
"&lt;"&amp;EOMONTH('Faturado mensal'!R$2,0))</f>
        <v>6700</v>
      </c>
      <c r="S256" s="9">
        <f>SUMIFS(#REF!,#REF!,
$A256,#REF!,
"&gt;="&amp;'Faturado mensal'!S$2,#REF!,
"&lt;"&amp;EOMONTH('Faturado mensal'!S$2,0))</f>
        <v>6700</v>
      </c>
      <c r="T256" s="9">
        <f>SUMIFS(#REF!,#REF!,
$A256,#REF!,
"&gt;="&amp;'Faturado mensal'!T$2,#REF!,
"&lt;"&amp;EOMONTH('Faturado mensal'!T$2,0))</f>
        <v>6700</v>
      </c>
      <c r="U256" s="9">
        <f>SUMIFS(#REF!,#REF!,
$A256,#REF!,
"&gt;="&amp;'Faturado mensal'!U$2,#REF!,
"&lt;"&amp;EOMONTH('Faturado mensal'!U$2,0))</f>
        <v>11920</v>
      </c>
      <c r="V256" s="9">
        <f>SUMIFS(#REF!,#REF!,
$A256,#REF!,
"&gt;="&amp;'Faturado mensal'!V$2,#REF!,
"&lt;"&amp;EOMONTH('Faturado mensal'!V$2,0))</f>
        <v>13950</v>
      </c>
      <c r="W256" s="9">
        <f>SUMIFS(#REF!,#REF!,
$A256,#REF!,
"&gt;="&amp;'Faturado mensal'!W$2,#REF!,
"&lt;"&amp;EOMONTH('Faturado mensal'!W$2,0))</f>
        <v>13950</v>
      </c>
      <c r="X256" s="9">
        <f>SUMIFS(#REF!,#REF!,
$A256,#REF!,
"&gt;="&amp;'Faturado mensal'!X$2,#REF!,
"&lt;"&amp;EOMONTH('Faturado mensal'!X$2,0))</f>
        <v>6700</v>
      </c>
      <c r="Y256" s="11">
        <f>SUMIFS(#REF!,#REF!,
$A256,#REF!,
"&gt;="&amp;'Faturado mensal'!M$2,#REF!,
"&lt;"&amp;EOMONTH('Faturado mensal'!M$2,12))</f>
        <v>114220</v>
      </c>
      <c r="Z256" s="9">
        <f>SUMIFS(#REF!,#REF!,
$A256,#REF!,
"&gt;="&amp;'Faturado mensal'!Z$2,#REF!,
"&lt;"&amp;EOMONTH('Faturado mensal'!Z$2,0))</f>
        <v>14100</v>
      </c>
      <c r="AA256" s="9">
        <f>SUMIFS(#REF!,#REF!,
$A256,#REF!,
"&gt;="&amp;'Faturado mensal'!AA$2,#REF!,
"&lt;"&amp;EOMONTH('Faturado mensal'!AA$2,0))</f>
        <v>14100</v>
      </c>
      <c r="AB256" s="9">
        <f>SUMIFS(#REF!,#REF!,
$A256,#REF!,
"&gt;="&amp;'Faturado mensal'!AB$2,#REF!,
"&lt;"&amp;EOMONTH('Faturado mensal'!AB$2,0))</f>
        <v>14100</v>
      </c>
      <c r="AC256" s="9">
        <f>SUMIFS(#REF!,#REF!,
$A256,#REF!,
"&gt;="&amp;'Faturado mensal'!AC$2,#REF!,
"&lt;"&amp;EOMONTH('Faturado mensal'!AC$2,0))</f>
        <v>14100</v>
      </c>
      <c r="AD256" s="9">
        <f>SUMIFS(#REF!,#REF!,
$A256,#REF!,
"&gt;="&amp;'Faturado mensal'!AD$2,#REF!,
"&lt;"&amp;EOMONTH('Faturado mensal'!AD$2,0))</f>
        <v>14100</v>
      </c>
      <c r="AE256" s="9">
        <f>SUMIFS(#REF!,#REF!,
$A256,#REF!,
"&gt;="&amp;'Faturado mensal'!AE$2,#REF!,
"&lt;"&amp;EOMONTH('Faturado mensal'!AE$2,0))</f>
        <v>14100</v>
      </c>
      <c r="AF256" s="9">
        <f>SUMIFS(#REF!,#REF!,
$A256,#REF!,
"&gt;="&amp;'Faturado mensal'!AF$2,#REF!,
"&lt;"&amp;EOMONTH('Faturado mensal'!AF$2,0))</f>
        <v>0</v>
      </c>
      <c r="AG256" s="9">
        <f>SUMIFS(#REF!,#REF!,
$A256,#REF!,
"&gt;="&amp;'Faturado mensal'!AG$2,#REF!,
"&lt;"&amp;EOMONTH('Faturado mensal'!AG$2,0))</f>
        <v>0</v>
      </c>
      <c r="AH256" s="9">
        <f>SUMIFS(#REF!,#REF!,
$A256,#REF!,
"&gt;="&amp;'Faturado mensal'!AH$2,#REF!,
"&lt;"&amp;EOMONTH('Faturado mensal'!AH$2,0))</f>
        <v>0</v>
      </c>
      <c r="AI256" s="9">
        <f>SUMIFS(#REF!,#REF!,
$A256,#REF!,
"&gt;="&amp;'Faturado mensal'!AI$2,#REF!,
"&lt;"&amp;EOMONTH('Faturado mensal'!AI$2,0))</f>
        <v>0</v>
      </c>
      <c r="AJ256" s="9">
        <f>SUMIFS(#REF!,#REF!,
$A256,#REF!,
"&gt;="&amp;'Faturado mensal'!AJ$2,#REF!,
"&lt;"&amp;EOMONTH('Faturado mensal'!AJ$2,0))</f>
        <v>0</v>
      </c>
      <c r="AK256" s="9">
        <f>SUMIFS(#REF!,#REF!,
$A256,#REF!,
"&gt;="&amp;'Faturado mensal'!AK$2,#REF!,
"&lt;"&amp;EOMONTH('Faturado mensal'!AK$2,0))</f>
        <v>0</v>
      </c>
      <c r="AL256" s="9">
        <f>SUMIFS(#REF!,#REF!,
$A256,#REF!,
"&gt;="&amp;Z$2,#REF!,
"&lt;"&amp;EOMONTH(AK$2,0))</f>
        <v>84600</v>
      </c>
    </row>
    <row r="257" spans="1:38" x14ac:dyDescent="0.3">
      <c r="A257" t="s">
        <v>562</v>
      </c>
      <c r="B257" t="s">
        <v>563</v>
      </c>
      <c r="C257" t="s">
        <v>63</v>
      </c>
      <c r="D257" t="s">
        <v>209</v>
      </c>
      <c r="G257" t="s">
        <v>4845</v>
      </c>
      <c r="H257" t="s">
        <v>4772</v>
      </c>
      <c r="I257" t="s">
        <v>919</v>
      </c>
      <c r="J257" t="s">
        <v>710</v>
      </c>
      <c r="K257" t="s">
        <v>762</v>
      </c>
      <c r="L257" t="s">
        <v>763</v>
      </c>
      <c r="M257" s="9">
        <f>SUMIFS(#REF!,#REF!,
$A257,#REF!,
"&gt;="&amp;'Faturado mensal'!M$2,#REF!,
"&lt;"&amp;EOMONTH('Faturado mensal'!M$2,0))</f>
        <v>9814</v>
      </c>
      <c r="N257" s="9">
        <f>SUMIFS(#REF!,#REF!,
$A257,#REF!,
"&gt;="&amp;'Faturado mensal'!N$2,#REF!,
"&lt;"&amp;EOMONTH('Faturado mensal'!N$2,0))</f>
        <v>76.23</v>
      </c>
      <c r="O257" s="9">
        <f>SUMIFS(#REF!,#REF!,
$A257,#REF!,
"&gt;="&amp;'Faturado mensal'!O$2,#REF!,
"&lt;"&amp;EOMONTH('Faturado mensal'!O$2,0))</f>
        <v>76.23</v>
      </c>
      <c r="P257" s="9">
        <f>SUMIFS(#REF!,#REF!,
$A257,#REF!,
"&gt;="&amp;'Faturado mensal'!P$2,#REF!,
"&lt;"&amp;EOMONTH('Faturado mensal'!P$2,0))</f>
        <v>0</v>
      </c>
      <c r="Q257" s="9">
        <f>SUMIFS(#REF!,#REF!,
$A257,#REF!,
"&gt;="&amp;'Faturado mensal'!Q$2,#REF!,
"&lt;"&amp;EOMONTH('Faturado mensal'!Q$2,0))</f>
        <v>0</v>
      </c>
      <c r="R257" s="9">
        <f>SUMIFS(#REF!,#REF!,
$A257,#REF!,
"&gt;="&amp;'Faturado mensal'!R$2,#REF!,
"&lt;"&amp;EOMONTH('Faturado mensal'!R$2,0))</f>
        <v>0</v>
      </c>
      <c r="S257" s="9">
        <f>SUMIFS(#REF!,#REF!,
$A257,#REF!,
"&gt;="&amp;'Faturado mensal'!S$2,#REF!,
"&lt;"&amp;EOMONTH('Faturado mensal'!S$2,0))</f>
        <v>0</v>
      </c>
      <c r="T257" s="9">
        <f>SUMIFS(#REF!,#REF!,
$A257,#REF!,
"&gt;="&amp;'Faturado mensal'!T$2,#REF!,
"&lt;"&amp;EOMONTH('Faturado mensal'!T$2,0))</f>
        <v>0</v>
      </c>
      <c r="U257" s="9">
        <f>SUMIFS(#REF!,#REF!,
$A257,#REF!,
"&gt;="&amp;'Faturado mensal'!U$2,#REF!,
"&lt;"&amp;EOMONTH('Faturado mensal'!U$2,0))</f>
        <v>0</v>
      </c>
      <c r="V257" s="9">
        <f>SUMIFS(#REF!,#REF!,
$A257,#REF!,
"&gt;="&amp;'Faturado mensal'!V$2,#REF!,
"&lt;"&amp;EOMONTH('Faturado mensal'!V$2,0))</f>
        <v>0</v>
      </c>
      <c r="W257" s="9">
        <f>SUMIFS(#REF!,#REF!,
$A257,#REF!,
"&gt;="&amp;'Faturado mensal'!W$2,#REF!,
"&lt;"&amp;EOMONTH('Faturado mensal'!W$2,0))</f>
        <v>0</v>
      </c>
      <c r="X257" s="9">
        <f>SUMIFS(#REF!,#REF!,
$A257,#REF!,
"&gt;="&amp;'Faturado mensal'!X$2,#REF!,
"&lt;"&amp;EOMONTH('Faturado mensal'!X$2,0))</f>
        <v>0</v>
      </c>
      <c r="Y257" s="11">
        <f>SUMIFS(#REF!,#REF!,
$A257,#REF!,
"&gt;="&amp;'Faturado mensal'!M$2,#REF!,
"&lt;"&amp;EOMONTH('Faturado mensal'!M$2,12))</f>
        <v>13064.189999999999</v>
      </c>
      <c r="Z257" s="9">
        <f>SUMIFS(#REF!,#REF!,
$A257,#REF!,
"&gt;="&amp;'Faturado mensal'!Z$2,#REF!,
"&lt;"&amp;EOMONTH('Faturado mensal'!Z$2,0))</f>
        <v>0</v>
      </c>
      <c r="AA257" s="9">
        <f>SUMIFS(#REF!,#REF!,
$A257,#REF!,
"&gt;="&amp;'Faturado mensal'!AA$2,#REF!,
"&lt;"&amp;EOMONTH('Faturado mensal'!AA$2,0))</f>
        <v>0</v>
      </c>
      <c r="AB257" s="9">
        <f>SUMIFS(#REF!,#REF!,
$A257,#REF!,
"&gt;="&amp;'Faturado mensal'!AB$2,#REF!,
"&lt;"&amp;EOMONTH('Faturado mensal'!AB$2,0))</f>
        <v>0</v>
      </c>
      <c r="AC257" s="9">
        <f>SUMIFS(#REF!,#REF!,
$A257,#REF!,
"&gt;="&amp;'Faturado mensal'!AC$2,#REF!,
"&lt;"&amp;EOMONTH('Faturado mensal'!AC$2,0))</f>
        <v>0</v>
      </c>
      <c r="AD257" s="9">
        <f>SUMIFS(#REF!,#REF!,
$A257,#REF!,
"&gt;="&amp;'Faturado mensal'!AD$2,#REF!,
"&lt;"&amp;EOMONTH('Faturado mensal'!AD$2,0))</f>
        <v>0</v>
      </c>
      <c r="AE257" s="9">
        <f>SUMIFS(#REF!,#REF!,
$A257,#REF!,
"&gt;="&amp;'Faturado mensal'!AE$2,#REF!,
"&lt;"&amp;EOMONTH('Faturado mensal'!AE$2,0))</f>
        <v>0</v>
      </c>
      <c r="AF257" s="9">
        <f>SUMIFS(#REF!,#REF!,
$A257,#REF!,
"&gt;="&amp;'Faturado mensal'!AF$2,#REF!,
"&lt;"&amp;EOMONTH('Faturado mensal'!AF$2,0))</f>
        <v>0</v>
      </c>
      <c r="AG257" s="9">
        <f>SUMIFS(#REF!,#REF!,
$A257,#REF!,
"&gt;="&amp;'Faturado mensal'!AG$2,#REF!,
"&lt;"&amp;EOMONTH('Faturado mensal'!AG$2,0))</f>
        <v>0</v>
      </c>
      <c r="AH257" s="9">
        <f>SUMIFS(#REF!,#REF!,
$A257,#REF!,
"&gt;="&amp;'Faturado mensal'!AH$2,#REF!,
"&lt;"&amp;EOMONTH('Faturado mensal'!AH$2,0))</f>
        <v>0</v>
      </c>
      <c r="AI257" s="9">
        <f>SUMIFS(#REF!,#REF!,
$A257,#REF!,
"&gt;="&amp;'Faturado mensal'!AI$2,#REF!,
"&lt;"&amp;EOMONTH('Faturado mensal'!AI$2,0))</f>
        <v>0</v>
      </c>
      <c r="AJ257" s="9">
        <f>SUMIFS(#REF!,#REF!,
$A257,#REF!,
"&gt;="&amp;'Faturado mensal'!AJ$2,#REF!,
"&lt;"&amp;EOMONTH('Faturado mensal'!AJ$2,0))</f>
        <v>0</v>
      </c>
      <c r="AK257" s="9">
        <f>SUMIFS(#REF!,#REF!,
$A257,#REF!,
"&gt;="&amp;'Faturado mensal'!AK$2,#REF!,
"&lt;"&amp;EOMONTH('Faturado mensal'!AK$2,0))</f>
        <v>0</v>
      </c>
      <c r="AL257" s="9">
        <f>SUMIFS(#REF!,#REF!,
$A257,#REF!,
"&gt;="&amp;Z$2,#REF!,
"&lt;"&amp;EOMONTH(AK$2,0))</f>
        <v>0</v>
      </c>
    </row>
    <row r="258" spans="1:38" x14ac:dyDescent="0.3">
      <c r="A258" t="s">
        <v>564</v>
      </c>
      <c r="B258" t="s">
        <v>565</v>
      </c>
      <c r="C258" t="s">
        <v>113</v>
      </c>
      <c r="D258" t="s">
        <v>204</v>
      </c>
      <c r="E258" t="s">
        <v>4843</v>
      </c>
      <c r="F258" t="s">
        <v>4777</v>
      </c>
      <c r="G258" t="s">
        <v>4854</v>
      </c>
      <c r="H258" t="s">
        <v>4771</v>
      </c>
      <c r="I258" t="s">
        <v>920</v>
      </c>
      <c r="J258" t="s">
        <v>710</v>
      </c>
      <c r="K258" t="s">
        <v>720</v>
      </c>
      <c r="L258" t="s">
        <v>721</v>
      </c>
      <c r="M258" s="9">
        <f>SUMIFS(#REF!,#REF!,
$A258,#REF!,
"&gt;="&amp;'Faturado mensal'!M$2,#REF!,
"&lt;"&amp;EOMONTH('Faturado mensal'!M$2,0))</f>
        <v>5200</v>
      </c>
      <c r="N258" s="9">
        <f>SUMIFS(#REF!,#REF!,
$A258,#REF!,
"&gt;="&amp;'Faturado mensal'!N$2,#REF!,
"&lt;"&amp;EOMONTH('Faturado mensal'!N$2,0))</f>
        <v>5200</v>
      </c>
      <c r="O258" s="9">
        <f>SUMIFS(#REF!,#REF!,
$A258,#REF!,
"&gt;="&amp;'Faturado mensal'!O$2,#REF!,
"&lt;"&amp;EOMONTH('Faturado mensal'!O$2,0))</f>
        <v>5200</v>
      </c>
      <c r="P258" s="9">
        <f>SUMIFS(#REF!,#REF!,
$A258,#REF!,
"&gt;="&amp;'Faturado mensal'!P$2,#REF!,
"&lt;"&amp;EOMONTH('Faturado mensal'!P$2,0))</f>
        <v>5200</v>
      </c>
      <c r="Q258" s="9">
        <f>SUMIFS(#REF!,#REF!,
$A258,#REF!,
"&gt;="&amp;'Faturado mensal'!Q$2,#REF!,
"&lt;"&amp;EOMONTH('Faturado mensal'!Q$2,0))</f>
        <v>5200</v>
      </c>
      <c r="R258" s="9">
        <f>SUMIFS(#REF!,#REF!,
$A258,#REF!,
"&gt;="&amp;'Faturado mensal'!R$2,#REF!,
"&lt;"&amp;EOMONTH('Faturado mensal'!R$2,0))</f>
        <v>5200</v>
      </c>
      <c r="S258" s="9">
        <f>SUMIFS(#REF!,#REF!,
$A258,#REF!,
"&gt;="&amp;'Faturado mensal'!S$2,#REF!,
"&lt;"&amp;EOMONTH('Faturado mensal'!S$2,0))</f>
        <v>5200</v>
      </c>
      <c r="T258" s="9">
        <f>SUMIFS(#REF!,#REF!,
$A258,#REF!,
"&gt;="&amp;'Faturado mensal'!T$2,#REF!,
"&lt;"&amp;EOMONTH('Faturado mensal'!T$2,0))</f>
        <v>0</v>
      </c>
      <c r="U258" s="9">
        <f>SUMIFS(#REF!,#REF!,
$A258,#REF!,
"&gt;="&amp;'Faturado mensal'!U$2,#REF!,
"&lt;"&amp;EOMONTH('Faturado mensal'!U$2,0))</f>
        <v>10400</v>
      </c>
      <c r="V258" s="9">
        <f>SUMIFS(#REF!,#REF!,
$A258,#REF!,
"&gt;="&amp;'Faturado mensal'!V$2,#REF!,
"&lt;"&amp;EOMONTH('Faturado mensal'!V$2,0))</f>
        <v>5200</v>
      </c>
      <c r="W258" s="9">
        <f>SUMIFS(#REF!,#REF!,
$A258,#REF!,
"&gt;="&amp;'Faturado mensal'!W$2,#REF!,
"&lt;"&amp;EOMONTH('Faturado mensal'!W$2,0))</f>
        <v>5200</v>
      </c>
      <c r="X258" s="9">
        <f>SUMIFS(#REF!,#REF!,
$A258,#REF!,
"&gt;="&amp;'Faturado mensal'!X$2,#REF!,
"&lt;"&amp;EOMONTH('Faturado mensal'!X$2,0))</f>
        <v>5200</v>
      </c>
      <c r="Y258" s="11">
        <f>SUMIFS(#REF!,#REF!,
$A258,#REF!,
"&gt;="&amp;'Faturado mensal'!M$2,#REF!,
"&lt;"&amp;EOMONTH('Faturado mensal'!M$2,12))</f>
        <v>67600</v>
      </c>
      <c r="Z258" s="9">
        <f>SUMIFS(#REF!,#REF!,
$A258,#REF!,
"&gt;="&amp;'Faturado mensal'!Z$2,#REF!,
"&lt;"&amp;EOMONTH('Faturado mensal'!Z$2,0))</f>
        <v>5200</v>
      </c>
      <c r="AA258" s="9">
        <f>SUMIFS(#REF!,#REF!,
$A258,#REF!,
"&gt;="&amp;'Faturado mensal'!AA$2,#REF!,
"&lt;"&amp;EOMONTH('Faturado mensal'!AA$2,0))</f>
        <v>5200</v>
      </c>
      <c r="AB258" s="9">
        <f>SUMIFS(#REF!,#REF!,
$A258,#REF!,
"&gt;="&amp;'Faturado mensal'!AB$2,#REF!,
"&lt;"&amp;EOMONTH('Faturado mensal'!AB$2,0))</f>
        <v>5200</v>
      </c>
      <c r="AC258" s="9">
        <f>SUMIFS(#REF!,#REF!,
$A258,#REF!,
"&gt;="&amp;'Faturado mensal'!AC$2,#REF!,
"&lt;"&amp;EOMONTH('Faturado mensal'!AC$2,0))</f>
        <v>5200</v>
      </c>
      <c r="AD258" s="9">
        <f>SUMIFS(#REF!,#REF!,
$A258,#REF!,
"&gt;="&amp;'Faturado mensal'!AD$2,#REF!,
"&lt;"&amp;EOMONTH('Faturado mensal'!AD$2,0))</f>
        <v>5200</v>
      </c>
      <c r="AE258" s="9">
        <f>SUMIFS(#REF!,#REF!,
$A258,#REF!,
"&gt;="&amp;'Faturado mensal'!AE$2,#REF!,
"&lt;"&amp;EOMONTH('Faturado mensal'!AE$2,0))</f>
        <v>0</v>
      </c>
      <c r="AF258" s="9">
        <f>SUMIFS(#REF!,#REF!,
$A258,#REF!,
"&gt;="&amp;'Faturado mensal'!AF$2,#REF!,
"&lt;"&amp;EOMONTH('Faturado mensal'!AF$2,0))</f>
        <v>0</v>
      </c>
      <c r="AG258" s="9">
        <f>SUMIFS(#REF!,#REF!,
$A258,#REF!,
"&gt;="&amp;'Faturado mensal'!AG$2,#REF!,
"&lt;"&amp;EOMONTH('Faturado mensal'!AG$2,0))</f>
        <v>0</v>
      </c>
      <c r="AH258" s="9">
        <f>SUMIFS(#REF!,#REF!,
$A258,#REF!,
"&gt;="&amp;'Faturado mensal'!AH$2,#REF!,
"&lt;"&amp;EOMONTH('Faturado mensal'!AH$2,0))</f>
        <v>0</v>
      </c>
      <c r="AI258" s="9">
        <f>SUMIFS(#REF!,#REF!,
$A258,#REF!,
"&gt;="&amp;'Faturado mensal'!AI$2,#REF!,
"&lt;"&amp;EOMONTH('Faturado mensal'!AI$2,0))</f>
        <v>0</v>
      </c>
      <c r="AJ258" s="9">
        <f>SUMIFS(#REF!,#REF!,
$A258,#REF!,
"&gt;="&amp;'Faturado mensal'!AJ$2,#REF!,
"&lt;"&amp;EOMONTH('Faturado mensal'!AJ$2,0))</f>
        <v>0</v>
      </c>
      <c r="AK258" s="9">
        <f>SUMIFS(#REF!,#REF!,
$A258,#REF!,
"&gt;="&amp;'Faturado mensal'!AK$2,#REF!,
"&lt;"&amp;EOMONTH('Faturado mensal'!AK$2,0))</f>
        <v>0</v>
      </c>
      <c r="AL258" s="9">
        <f>SUMIFS(#REF!,#REF!,
$A258,#REF!,
"&gt;="&amp;Z$2,#REF!,
"&lt;"&amp;EOMONTH(AK$2,0))</f>
        <v>26000</v>
      </c>
    </row>
    <row r="259" spans="1:38" x14ac:dyDescent="0.3">
      <c r="A259" t="s">
        <v>566</v>
      </c>
      <c r="B259" t="s">
        <v>567</v>
      </c>
      <c r="C259" t="s">
        <v>49</v>
      </c>
      <c r="D259" t="s">
        <v>209</v>
      </c>
      <c r="G259" t="s">
        <v>4858</v>
      </c>
      <c r="H259" t="s">
        <v>4771</v>
      </c>
      <c r="I259" t="s">
        <v>921</v>
      </c>
      <c r="J259" t="s">
        <v>814</v>
      </c>
      <c r="K259" t="s">
        <v>762</v>
      </c>
      <c r="L259" t="s">
        <v>763</v>
      </c>
      <c r="M259" s="9">
        <f>SUMIFS(#REF!,#REF!,
$A259,#REF!,
"&gt;="&amp;'Faturado mensal'!M$2,#REF!,
"&lt;"&amp;EOMONTH('Faturado mensal'!M$2,0))</f>
        <v>0</v>
      </c>
      <c r="N259" s="9">
        <f>SUMIFS(#REF!,#REF!,
$A259,#REF!,
"&gt;="&amp;'Faturado mensal'!N$2,#REF!,
"&lt;"&amp;EOMONTH('Faturado mensal'!N$2,0))</f>
        <v>0</v>
      </c>
      <c r="O259" s="9">
        <f>SUMIFS(#REF!,#REF!,
$A259,#REF!,
"&gt;="&amp;'Faturado mensal'!O$2,#REF!,
"&lt;"&amp;EOMONTH('Faturado mensal'!O$2,0))</f>
        <v>0</v>
      </c>
      <c r="P259" s="9">
        <f>SUMIFS(#REF!,#REF!,
$A259,#REF!,
"&gt;="&amp;'Faturado mensal'!P$2,#REF!,
"&lt;"&amp;EOMONTH('Faturado mensal'!P$2,0))</f>
        <v>0</v>
      </c>
      <c r="Q259" s="9">
        <f>SUMIFS(#REF!,#REF!,
$A259,#REF!,
"&gt;="&amp;'Faturado mensal'!Q$2,#REF!,
"&lt;"&amp;EOMONTH('Faturado mensal'!Q$2,0))</f>
        <v>0</v>
      </c>
      <c r="R259" s="9">
        <f>SUMIFS(#REF!,#REF!,
$A259,#REF!,
"&gt;="&amp;'Faturado mensal'!R$2,#REF!,
"&lt;"&amp;EOMONTH('Faturado mensal'!R$2,0))</f>
        <v>0</v>
      </c>
      <c r="S259" s="9">
        <f>SUMIFS(#REF!,#REF!,
$A259,#REF!,
"&gt;="&amp;'Faturado mensal'!S$2,#REF!,
"&lt;"&amp;EOMONTH('Faturado mensal'!S$2,0))</f>
        <v>0</v>
      </c>
      <c r="T259" s="9">
        <f>SUMIFS(#REF!,#REF!,
$A259,#REF!,
"&gt;="&amp;'Faturado mensal'!T$2,#REF!,
"&lt;"&amp;EOMONTH('Faturado mensal'!T$2,0))</f>
        <v>0</v>
      </c>
      <c r="U259" s="9">
        <f>SUMIFS(#REF!,#REF!,
$A259,#REF!,
"&gt;="&amp;'Faturado mensal'!U$2,#REF!,
"&lt;"&amp;EOMONTH('Faturado mensal'!U$2,0))</f>
        <v>0</v>
      </c>
      <c r="V259" s="9">
        <f>SUMIFS(#REF!,#REF!,
$A259,#REF!,
"&gt;="&amp;'Faturado mensal'!V$2,#REF!,
"&lt;"&amp;EOMONTH('Faturado mensal'!V$2,0))</f>
        <v>0</v>
      </c>
      <c r="W259" s="9">
        <f>SUMIFS(#REF!,#REF!,
$A259,#REF!,
"&gt;="&amp;'Faturado mensal'!W$2,#REF!,
"&lt;"&amp;EOMONTH('Faturado mensal'!W$2,0))</f>
        <v>0</v>
      </c>
      <c r="X259" s="9">
        <f>SUMIFS(#REF!,#REF!,
$A259,#REF!,
"&gt;="&amp;'Faturado mensal'!X$2,#REF!,
"&lt;"&amp;EOMONTH('Faturado mensal'!X$2,0))</f>
        <v>0</v>
      </c>
      <c r="Y259" s="11">
        <f>SUMIFS(#REF!,#REF!,
$A259,#REF!,
"&gt;="&amp;'Faturado mensal'!M$2,#REF!,
"&lt;"&amp;EOMONTH('Faturado mensal'!M$2,12))</f>
        <v>0</v>
      </c>
      <c r="Z259" s="9">
        <f>SUMIFS(#REF!,#REF!,
$A259,#REF!,
"&gt;="&amp;'Faturado mensal'!Z$2,#REF!,
"&lt;"&amp;EOMONTH('Faturado mensal'!Z$2,0))</f>
        <v>0</v>
      </c>
      <c r="AA259" s="9">
        <f>SUMIFS(#REF!,#REF!,
$A259,#REF!,
"&gt;="&amp;'Faturado mensal'!AA$2,#REF!,
"&lt;"&amp;EOMONTH('Faturado mensal'!AA$2,0))</f>
        <v>0</v>
      </c>
      <c r="AB259" s="9">
        <f>SUMIFS(#REF!,#REF!,
$A259,#REF!,
"&gt;="&amp;'Faturado mensal'!AB$2,#REF!,
"&lt;"&amp;EOMONTH('Faturado mensal'!AB$2,0))</f>
        <v>0</v>
      </c>
      <c r="AC259" s="9">
        <f>SUMIFS(#REF!,#REF!,
$A259,#REF!,
"&gt;="&amp;'Faturado mensal'!AC$2,#REF!,
"&lt;"&amp;EOMONTH('Faturado mensal'!AC$2,0))</f>
        <v>0</v>
      </c>
      <c r="AD259" s="9">
        <f>SUMIFS(#REF!,#REF!,
$A259,#REF!,
"&gt;="&amp;'Faturado mensal'!AD$2,#REF!,
"&lt;"&amp;EOMONTH('Faturado mensal'!AD$2,0))</f>
        <v>0</v>
      </c>
      <c r="AE259" s="9">
        <f>SUMIFS(#REF!,#REF!,
$A259,#REF!,
"&gt;="&amp;'Faturado mensal'!AE$2,#REF!,
"&lt;"&amp;EOMONTH('Faturado mensal'!AE$2,0))</f>
        <v>0</v>
      </c>
      <c r="AF259" s="9">
        <f>SUMIFS(#REF!,#REF!,
$A259,#REF!,
"&gt;="&amp;'Faturado mensal'!AF$2,#REF!,
"&lt;"&amp;EOMONTH('Faturado mensal'!AF$2,0))</f>
        <v>0</v>
      </c>
      <c r="AG259" s="9">
        <f>SUMIFS(#REF!,#REF!,
$A259,#REF!,
"&gt;="&amp;'Faturado mensal'!AG$2,#REF!,
"&lt;"&amp;EOMONTH('Faturado mensal'!AG$2,0))</f>
        <v>0</v>
      </c>
      <c r="AH259" s="9">
        <f>SUMIFS(#REF!,#REF!,
$A259,#REF!,
"&gt;="&amp;'Faturado mensal'!AH$2,#REF!,
"&lt;"&amp;EOMONTH('Faturado mensal'!AH$2,0))</f>
        <v>0</v>
      </c>
      <c r="AI259" s="9">
        <f>SUMIFS(#REF!,#REF!,
$A259,#REF!,
"&gt;="&amp;'Faturado mensal'!AI$2,#REF!,
"&lt;"&amp;EOMONTH('Faturado mensal'!AI$2,0))</f>
        <v>0</v>
      </c>
      <c r="AJ259" s="9">
        <f>SUMIFS(#REF!,#REF!,
$A259,#REF!,
"&gt;="&amp;'Faturado mensal'!AJ$2,#REF!,
"&lt;"&amp;EOMONTH('Faturado mensal'!AJ$2,0))</f>
        <v>0</v>
      </c>
      <c r="AK259" s="9">
        <f>SUMIFS(#REF!,#REF!,
$A259,#REF!,
"&gt;="&amp;'Faturado mensal'!AK$2,#REF!,
"&lt;"&amp;EOMONTH('Faturado mensal'!AK$2,0))</f>
        <v>0</v>
      </c>
      <c r="AL259" s="9">
        <f>SUMIFS(#REF!,#REF!,
$A259,#REF!,
"&gt;="&amp;Z$2,#REF!,
"&lt;"&amp;EOMONTH(AK$2,0))</f>
        <v>0</v>
      </c>
    </row>
    <row r="260" spans="1:38" x14ac:dyDescent="0.3">
      <c r="A260" t="s">
        <v>569</v>
      </c>
      <c r="B260" t="s">
        <v>550</v>
      </c>
      <c r="C260" t="s">
        <v>189</v>
      </c>
      <c r="D260" t="s">
        <v>204</v>
      </c>
      <c r="E260" t="s">
        <v>4832</v>
      </c>
      <c r="F260" t="s">
        <v>4792</v>
      </c>
      <c r="G260" t="s">
        <v>4845</v>
      </c>
      <c r="H260" t="s">
        <v>4772</v>
      </c>
      <c r="I260" t="s">
        <v>904</v>
      </c>
      <c r="J260" t="s">
        <v>710</v>
      </c>
      <c r="K260" t="s">
        <v>768</v>
      </c>
      <c r="L260" t="s">
        <v>769</v>
      </c>
      <c r="M260" s="9">
        <f>SUMIFS(#REF!,#REF!,
$A260,#REF!,
"&gt;="&amp;'Faturado mensal'!M$2,#REF!,
"&lt;"&amp;EOMONTH('Faturado mensal'!M$2,0))</f>
        <v>21944.240000000002</v>
      </c>
      <c r="N260" s="9">
        <f>SUMIFS(#REF!,#REF!,
$A260,#REF!,
"&gt;="&amp;'Faturado mensal'!N$2,#REF!,
"&lt;"&amp;EOMONTH('Faturado mensal'!N$2,0))</f>
        <v>21944.240000000002</v>
      </c>
      <c r="O260" s="9">
        <f>SUMIFS(#REF!,#REF!,
$A260,#REF!,
"&gt;="&amp;'Faturado mensal'!O$2,#REF!,
"&lt;"&amp;EOMONTH('Faturado mensal'!O$2,0))</f>
        <v>2986.33</v>
      </c>
      <c r="P260" s="9">
        <f>SUMIFS(#REF!,#REF!,
$A260,#REF!,
"&gt;="&amp;'Faturado mensal'!P$2,#REF!,
"&lt;"&amp;EOMONTH('Faturado mensal'!P$2,0))</f>
        <v>46874.8</v>
      </c>
      <c r="Q260" s="9">
        <f>SUMIFS(#REF!,#REF!,
$A260,#REF!,
"&gt;="&amp;'Faturado mensal'!Q$2,#REF!,
"&lt;"&amp;EOMONTH('Faturado mensal'!Q$2,0))</f>
        <v>23437.4</v>
      </c>
      <c r="R260" s="9">
        <f>SUMIFS(#REF!,#REF!,
$A260,#REF!,
"&gt;="&amp;'Faturado mensal'!R$2,#REF!,
"&lt;"&amp;EOMONTH('Faturado mensal'!R$2,0))</f>
        <v>23437.4</v>
      </c>
      <c r="S260" s="9">
        <f>SUMIFS(#REF!,#REF!,
$A260,#REF!,
"&gt;="&amp;'Faturado mensal'!S$2,#REF!,
"&lt;"&amp;EOMONTH('Faturado mensal'!S$2,0))</f>
        <v>23437.4</v>
      </c>
      <c r="T260" s="9">
        <f>SUMIFS(#REF!,#REF!,
$A260,#REF!,
"&gt;="&amp;'Faturado mensal'!T$2,#REF!,
"&lt;"&amp;EOMONTH('Faturado mensal'!T$2,0))</f>
        <v>23437.4</v>
      </c>
      <c r="U260" s="9">
        <f>SUMIFS(#REF!,#REF!,
$A260,#REF!,
"&gt;="&amp;'Faturado mensal'!U$2,#REF!,
"&lt;"&amp;EOMONTH('Faturado mensal'!U$2,0))</f>
        <v>23437.4</v>
      </c>
      <c r="V260" s="9">
        <f>SUMIFS(#REF!,#REF!,
$A260,#REF!,
"&gt;="&amp;'Faturado mensal'!V$2,#REF!,
"&lt;"&amp;EOMONTH('Faturado mensal'!V$2,0))</f>
        <v>23437.4</v>
      </c>
      <c r="W260" s="9">
        <f>SUMIFS(#REF!,#REF!,
$A260,#REF!,
"&gt;="&amp;'Faturado mensal'!W$2,#REF!,
"&lt;"&amp;EOMONTH('Faturado mensal'!W$2,0))</f>
        <v>23437.4</v>
      </c>
      <c r="X260" s="9">
        <f>SUMIFS(#REF!,#REF!,
$A260,#REF!,
"&gt;="&amp;'Faturado mensal'!X$2,#REF!,
"&lt;"&amp;EOMONTH('Faturado mensal'!X$2,0))</f>
        <v>23437.4</v>
      </c>
      <c r="Y260" s="11">
        <f>SUMIFS(#REF!,#REF!,
$A260,#REF!,
"&gt;="&amp;'Faturado mensal'!M$2,#REF!,
"&lt;"&amp;EOMONTH('Faturado mensal'!M$2,12))</f>
        <v>304686.21000000002</v>
      </c>
      <c r="Z260" s="9">
        <f>SUMIFS(#REF!,#REF!,
$A260,#REF!,
"&gt;="&amp;'Faturado mensal'!Z$2,#REF!,
"&lt;"&amp;EOMONTH('Faturado mensal'!Z$2,0))</f>
        <v>23437.4</v>
      </c>
      <c r="AA260" s="9">
        <f>SUMIFS(#REF!,#REF!,
$A260,#REF!,
"&gt;="&amp;'Faturado mensal'!AA$2,#REF!,
"&lt;"&amp;EOMONTH('Faturado mensal'!AA$2,0))</f>
        <v>0</v>
      </c>
      <c r="AB260" s="9">
        <f>SUMIFS(#REF!,#REF!,
$A260,#REF!,
"&gt;="&amp;'Faturado mensal'!AB$2,#REF!,
"&lt;"&amp;EOMONTH('Faturado mensal'!AB$2,0))</f>
        <v>23437.4</v>
      </c>
      <c r="AC260" s="9">
        <f>SUMIFS(#REF!,#REF!,
$A260,#REF!,
"&gt;="&amp;'Faturado mensal'!AC$2,#REF!,
"&lt;"&amp;EOMONTH('Faturado mensal'!AC$2,0))</f>
        <v>34124.83</v>
      </c>
      <c r="AD260" s="9">
        <f>SUMIFS(#REF!,#REF!,
$A260,#REF!,
"&gt;="&amp;'Faturado mensal'!AD$2,#REF!,
"&lt;"&amp;EOMONTH('Faturado mensal'!AD$2,0))</f>
        <v>23437.4</v>
      </c>
      <c r="AE260" s="9">
        <f>SUMIFS(#REF!,#REF!,
$A260,#REF!,
"&gt;="&amp;'Faturado mensal'!AE$2,#REF!,
"&lt;"&amp;EOMONTH('Faturado mensal'!AE$2,0))</f>
        <v>26109.26</v>
      </c>
      <c r="AF260" s="9">
        <f>SUMIFS(#REF!,#REF!,
$A260,#REF!,
"&gt;="&amp;'Faturado mensal'!AF$2,#REF!,
"&lt;"&amp;EOMONTH('Faturado mensal'!AF$2,0))</f>
        <v>0</v>
      </c>
      <c r="AG260" s="9">
        <f>SUMIFS(#REF!,#REF!,
$A260,#REF!,
"&gt;="&amp;'Faturado mensal'!AG$2,#REF!,
"&lt;"&amp;EOMONTH('Faturado mensal'!AG$2,0))</f>
        <v>0</v>
      </c>
      <c r="AH260" s="9">
        <f>SUMIFS(#REF!,#REF!,
$A260,#REF!,
"&gt;="&amp;'Faturado mensal'!AH$2,#REF!,
"&lt;"&amp;EOMONTH('Faturado mensal'!AH$2,0))</f>
        <v>0</v>
      </c>
      <c r="AI260" s="9">
        <f>SUMIFS(#REF!,#REF!,
$A260,#REF!,
"&gt;="&amp;'Faturado mensal'!AI$2,#REF!,
"&lt;"&amp;EOMONTH('Faturado mensal'!AI$2,0))</f>
        <v>0</v>
      </c>
      <c r="AJ260" s="9">
        <f>SUMIFS(#REF!,#REF!,
$A260,#REF!,
"&gt;="&amp;'Faturado mensal'!AJ$2,#REF!,
"&lt;"&amp;EOMONTH('Faturado mensal'!AJ$2,0))</f>
        <v>0</v>
      </c>
      <c r="AK260" s="9">
        <f>SUMIFS(#REF!,#REF!,
$A260,#REF!,
"&gt;="&amp;'Faturado mensal'!AK$2,#REF!,
"&lt;"&amp;EOMONTH('Faturado mensal'!AK$2,0))</f>
        <v>0</v>
      </c>
      <c r="AL260" s="9">
        <f>SUMIFS(#REF!,#REF!,
$A260,#REF!,
"&gt;="&amp;Z$2,#REF!,
"&lt;"&amp;EOMONTH(AK$2,0))</f>
        <v>130546.29</v>
      </c>
    </row>
    <row r="261" spans="1:38" x14ac:dyDescent="0.3">
      <c r="A261" t="s">
        <v>570</v>
      </c>
      <c r="B261" t="s">
        <v>230</v>
      </c>
      <c r="C261" t="s">
        <v>85</v>
      </c>
      <c r="D261" t="s">
        <v>204</v>
      </c>
      <c r="E261" t="s">
        <v>4835</v>
      </c>
      <c r="F261" t="s">
        <v>4781</v>
      </c>
      <c r="G261" t="s">
        <v>4852</v>
      </c>
      <c r="H261" t="s">
        <v>4771</v>
      </c>
      <c r="I261" t="s">
        <v>922</v>
      </c>
      <c r="J261" t="s">
        <v>719</v>
      </c>
      <c r="K261" t="s">
        <v>717</v>
      </c>
      <c r="L261" t="s">
        <v>718</v>
      </c>
      <c r="M261" s="9">
        <f>SUMIFS(#REF!,#REF!,
$A261,#REF!,
"&gt;="&amp;'Faturado mensal'!M$2,#REF!,
"&lt;"&amp;EOMONTH('Faturado mensal'!M$2,0))</f>
        <v>477000</v>
      </c>
      <c r="N261" s="9">
        <f>SUMIFS(#REF!,#REF!,
$A261,#REF!,
"&gt;="&amp;'Faturado mensal'!N$2,#REF!,
"&lt;"&amp;EOMONTH('Faturado mensal'!N$2,0))</f>
        <v>508195.8</v>
      </c>
      <c r="O261" s="9">
        <f>SUMIFS(#REF!,#REF!,
$A261,#REF!,
"&gt;="&amp;'Faturado mensal'!O$2,#REF!,
"&lt;"&amp;EOMONTH('Faturado mensal'!O$2,0))</f>
        <v>508195.8</v>
      </c>
      <c r="P261" s="9">
        <f>SUMIFS(#REF!,#REF!,
$A261,#REF!,
"&gt;="&amp;'Faturado mensal'!P$2,#REF!,
"&lt;"&amp;EOMONTH('Faturado mensal'!P$2,0))</f>
        <v>508195.8</v>
      </c>
      <c r="Q261" s="9">
        <f>SUMIFS(#REF!,#REF!,
$A261,#REF!,
"&gt;="&amp;'Faturado mensal'!Q$2,#REF!,
"&lt;"&amp;EOMONTH('Faturado mensal'!Q$2,0))</f>
        <v>508195.8</v>
      </c>
      <c r="R261" s="9">
        <f>SUMIFS(#REF!,#REF!,
$A261,#REF!,
"&gt;="&amp;'Faturado mensal'!R$2,#REF!,
"&lt;"&amp;EOMONTH('Faturado mensal'!R$2,0))</f>
        <v>508195.8</v>
      </c>
      <c r="S261" s="9">
        <f>SUMIFS(#REF!,#REF!,
$A261,#REF!,
"&gt;="&amp;'Faturado mensal'!S$2,#REF!,
"&lt;"&amp;EOMONTH('Faturado mensal'!S$2,0))</f>
        <v>508195.8</v>
      </c>
      <c r="T261" s="9">
        <f>SUMIFS(#REF!,#REF!,
$A261,#REF!,
"&gt;="&amp;'Faturado mensal'!T$2,#REF!,
"&lt;"&amp;EOMONTH('Faturado mensal'!T$2,0))</f>
        <v>508195.8</v>
      </c>
      <c r="U261" s="9">
        <f>SUMIFS(#REF!,#REF!,
$A261,#REF!,
"&gt;="&amp;'Faturado mensal'!U$2,#REF!,
"&lt;"&amp;EOMONTH('Faturado mensal'!U$2,0))</f>
        <v>508195.8</v>
      </c>
      <c r="V261" s="9">
        <f>SUMIFS(#REF!,#REF!,
$A261,#REF!,
"&gt;="&amp;'Faturado mensal'!V$2,#REF!,
"&lt;"&amp;EOMONTH('Faturado mensal'!V$2,0))</f>
        <v>508195.8</v>
      </c>
      <c r="W261" s="9">
        <f>SUMIFS(#REF!,#REF!,
$A261,#REF!,
"&gt;="&amp;'Faturado mensal'!W$2,#REF!,
"&lt;"&amp;EOMONTH('Faturado mensal'!W$2,0))</f>
        <v>508195.8</v>
      </c>
      <c r="X261" s="9">
        <f>SUMIFS(#REF!,#REF!,
$A261,#REF!,
"&gt;="&amp;'Faturado mensal'!X$2,#REF!,
"&lt;"&amp;EOMONTH('Faturado mensal'!X$2,0))</f>
        <v>508195.8</v>
      </c>
      <c r="Y261" s="11">
        <f>SUMIFS(#REF!,#REF!,
$A261,#REF!,
"&gt;="&amp;'Faturado mensal'!M$2,#REF!,
"&lt;"&amp;EOMONTH('Faturado mensal'!M$2,12))</f>
        <v>6575349.5999999987</v>
      </c>
      <c r="Z261" s="9">
        <f>SUMIFS(#REF!,#REF!,
$A261,#REF!,
"&gt;="&amp;'Faturado mensal'!Z$2,#REF!,
"&lt;"&amp;EOMONTH('Faturado mensal'!Z$2,0))</f>
        <v>508195.8</v>
      </c>
      <c r="AA261" s="9">
        <f>SUMIFS(#REF!,#REF!,
$A261,#REF!,
"&gt;="&amp;'Faturado mensal'!AA$2,#REF!,
"&lt;"&amp;EOMONTH('Faturado mensal'!AA$2,0))</f>
        <v>508195.8</v>
      </c>
      <c r="AB261" s="9">
        <f>SUMIFS(#REF!,#REF!,
$A261,#REF!,
"&gt;="&amp;'Faturado mensal'!AB$2,#REF!,
"&lt;"&amp;EOMONTH('Faturado mensal'!AB$2,0))</f>
        <v>508195.8</v>
      </c>
      <c r="AC261" s="9">
        <f>SUMIFS(#REF!,#REF!,
$A261,#REF!,
"&gt;="&amp;'Faturado mensal'!AC$2,#REF!,
"&lt;"&amp;EOMONTH('Faturado mensal'!AC$2,0))</f>
        <v>508195.8</v>
      </c>
      <c r="AD261" s="9">
        <f>SUMIFS(#REF!,#REF!,
$A261,#REF!,
"&gt;="&amp;'Faturado mensal'!AD$2,#REF!,
"&lt;"&amp;EOMONTH('Faturado mensal'!AD$2,0))</f>
        <v>508195.8</v>
      </c>
      <c r="AE261" s="9">
        <f>SUMIFS(#REF!,#REF!,
$A261,#REF!,
"&gt;="&amp;'Faturado mensal'!AE$2,#REF!,
"&lt;"&amp;EOMONTH('Faturado mensal'!AE$2,0))</f>
        <v>508195.8</v>
      </c>
      <c r="AF261" s="9">
        <f>SUMIFS(#REF!,#REF!,
$A261,#REF!,
"&gt;="&amp;'Faturado mensal'!AF$2,#REF!,
"&lt;"&amp;EOMONTH('Faturado mensal'!AF$2,0))</f>
        <v>0</v>
      </c>
      <c r="AG261" s="9">
        <f>SUMIFS(#REF!,#REF!,
$A261,#REF!,
"&gt;="&amp;'Faturado mensal'!AG$2,#REF!,
"&lt;"&amp;EOMONTH('Faturado mensal'!AG$2,0))</f>
        <v>0</v>
      </c>
      <c r="AH261" s="9">
        <f>SUMIFS(#REF!,#REF!,
$A261,#REF!,
"&gt;="&amp;'Faturado mensal'!AH$2,#REF!,
"&lt;"&amp;EOMONTH('Faturado mensal'!AH$2,0))</f>
        <v>0</v>
      </c>
      <c r="AI261" s="9">
        <f>SUMIFS(#REF!,#REF!,
$A261,#REF!,
"&gt;="&amp;'Faturado mensal'!AI$2,#REF!,
"&lt;"&amp;EOMONTH('Faturado mensal'!AI$2,0))</f>
        <v>0</v>
      </c>
      <c r="AJ261" s="9">
        <f>SUMIFS(#REF!,#REF!,
$A261,#REF!,
"&gt;="&amp;'Faturado mensal'!AJ$2,#REF!,
"&lt;"&amp;EOMONTH('Faturado mensal'!AJ$2,0))</f>
        <v>0</v>
      </c>
      <c r="AK261" s="9">
        <f>SUMIFS(#REF!,#REF!,
$A261,#REF!,
"&gt;="&amp;'Faturado mensal'!AK$2,#REF!,
"&lt;"&amp;EOMONTH('Faturado mensal'!AK$2,0))</f>
        <v>0</v>
      </c>
      <c r="AL261" s="9">
        <f>SUMIFS(#REF!,#REF!,
$A261,#REF!,
"&gt;="&amp;Z$2,#REF!,
"&lt;"&amp;EOMONTH(AK$2,0))</f>
        <v>3049174.8</v>
      </c>
    </row>
    <row r="262" spans="1:38" x14ac:dyDescent="0.3">
      <c r="A262" t="s">
        <v>571</v>
      </c>
      <c r="B262" t="s">
        <v>572</v>
      </c>
      <c r="C262" t="s">
        <v>43</v>
      </c>
      <c r="D262" t="s">
        <v>204</v>
      </c>
      <c r="E262" t="s">
        <v>4843</v>
      </c>
      <c r="F262" t="s">
        <v>4782</v>
      </c>
      <c r="G262" t="s">
        <v>4854</v>
      </c>
      <c r="H262" t="s">
        <v>4771</v>
      </c>
      <c r="I262" t="s">
        <v>923</v>
      </c>
      <c r="J262" t="s">
        <v>814</v>
      </c>
      <c r="K262" t="s">
        <v>720</v>
      </c>
      <c r="L262" t="s">
        <v>721</v>
      </c>
      <c r="M262" s="9">
        <f>SUMIFS(#REF!,#REF!,
$A262,#REF!,
"&gt;="&amp;'Faturado mensal'!M$2,#REF!,
"&lt;"&amp;EOMONTH('Faturado mensal'!M$2,0))</f>
        <v>13286.38</v>
      </c>
      <c r="N262" s="9">
        <f>SUMIFS(#REF!,#REF!,
$A262,#REF!,
"&gt;="&amp;'Faturado mensal'!N$2,#REF!,
"&lt;"&amp;EOMONTH('Faturado mensal'!N$2,0))</f>
        <v>20333.68</v>
      </c>
      <c r="O262" s="9">
        <f>SUMIFS(#REF!,#REF!,
$A262,#REF!,
"&gt;="&amp;'Faturado mensal'!O$2,#REF!,
"&lt;"&amp;EOMONTH('Faturado mensal'!O$2,0))</f>
        <v>61182</v>
      </c>
      <c r="P262" s="9">
        <f>SUMIFS(#REF!,#REF!,
$A262,#REF!,
"&gt;="&amp;'Faturado mensal'!P$2,#REF!,
"&lt;"&amp;EOMONTH('Faturado mensal'!P$2,0))</f>
        <v>0</v>
      </c>
      <c r="Q262" s="9">
        <f>SUMIFS(#REF!,#REF!,
$A262,#REF!,
"&gt;="&amp;'Faturado mensal'!Q$2,#REF!,
"&lt;"&amp;EOMONTH('Faturado mensal'!Q$2,0))</f>
        <v>12249</v>
      </c>
      <c r="R262" s="9">
        <f>SUMIFS(#REF!,#REF!,
$A262,#REF!,
"&gt;="&amp;'Faturado mensal'!R$2,#REF!,
"&lt;"&amp;EOMONTH('Faturado mensal'!R$2,0))</f>
        <v>19322.59</v>
      </c>
      <c r="S262" s="9">
        <f>SUMIFS(#REF!,#REF!,
$A262,#REF!,
"&gt;="&amp;'Faturado mensal'!S$2,#REF!,
"&lt;"&amp;EOMONTH('Faturado mensal'!S$2,0))</f>
        <v>12085</v>
      </c>
      <c r="T262" s="9">
        <f>SUMIFS(#REF!,#REF!,
$A262,#REF!,
"&gt;="&amp;'Faturado mensal'!T$2,#REF!,
"&lt;"&amp;EOMONTH('Faturado mensal'!T$2,0))</f>
        <v>30591</v>
      </c>
      <c r="U262" s="9">
        <f>SUMIFS(#REF!,#REF!,
$A262,#REF!,
"&gt;="&amp;'Faturado mensal'!U$2,#REF!,
"&lt;"&amp;EOMONTH('Faturado mensal'!U$2,0))</f>
        <v>24935</v>
      </c>
      <c r="V262" s="9">
        <f>SUMIFS(#REF!,#REF!,
$A262,#REF!,
"&gt;="&amp;'Faturado mensal'!V$2,#REF!,
"&lt;"&amp;EOMONTH('Faturado mensal'!V$2,0))</f>
        <v>10005.1</v>
      </c>
      <c r="W262" s="9">
        <f>SUMIFS(#REF!,#REF!,
$A262,#REF!,
"&gt;="&amp;'Faturado mensal'!W$2,#REF!,
"&lt;"&amp;EOMONTH('Faturado mensal'!W$2,0))</f>
        <v>12838</v>
      </c>
      <c r="X262" s="9">
        <f>SUMIFS(#REF!,#REF!,
$A262,#REF!,
"&gt;="&amp;'Faturado mensal'!X$2,#REF!,
"&lt;"&amp;EOMONTH('Faturado mensal'!X$2,0))</f>
        <v>20242.379999999997</v>
      </c>
      <c r="Y262" s="11">
        <f>SUMIFS(#REF!,#REF!,
$A262,#REF!,
"&gt;="&amp;'Faturado mensal'!M$2,#REF!,
"&lt;"&amp;EOMONTH('Faturado mensal'!M$2,12))</f>
        <v>237070.13</v>
      </c>
      <c r="Z262" s="9">
        <f>SUMIFS(#REF!,#REF!,
$A262,#REF!,
"&gt;="&amp;'Faturado mensal'!Z$2,#REF!,
"&lt;"&amp;EOMONTH('Faturado mensal'!Z$2,0))</f>
        <v>0</v>
      </c>
      <c r="AA262" s="9">
        <f>SUMIFS(#REF!,#REF!,
$A262,#REF!,
"&gt;="&amp;'Faturado mensal'!AA$2,#REF!,
"&lt;"&amp;EOMONTH('Faturado mensal'!AA$2,0))</f>
        <v>850</v>
      </c>
      <c r="AB262" s="9">
        <f>SUMIFS(#REF!,#REF!,
$A262,#REF!,
"&gt;="&amp;'Faturado mensal'!AB$2,#REF!,
"&lt;"&amp;EOMONTH('Faturado mensal'!AB$2,0))</f>
        <v>15387.2</v>
      </c>
      <c r="AC262" s="9">
        <f>SUMIFS(#REF!,#REF!,
$A262,#REF!,
"&gt;="&amp;'Faturado mensal'!AC$2,#REF!,
"&lt;"&amp;EOMONTH('Faturado mensal'!AC$2,0))</f>
        <v>13000</v>
      </c>
      <c r="AD262" s="9">
        <f>SUMIFS(#REF!,#REF!,
$A262,#REF!,
"&gt;="&amp;'Faturado mensal'!AD$2,#REF!,
"&lt;"&amp;EOMONTH('Faturado mensal'!AD$2,0))</f>
        <v>10900.87</v>
      </c>
      <c r="AE262" s="9">
        <f>SUMIFS(#REF!,#REF!,
$A262,#REF!,
"&gt;="&amp;'Faturado mensal'!AE$2,#REF!,
"&lt;"&amp;EOMONTH('Faturado mensal'!AE$2,0))</f>
        <v>12000</v>
      </c>
      <c r="AF262" s="9">
        <f>SUMIFS(#REF!,#REF!,
$A262,#REF!,
"&gt;="&amp;'Faturado mensal'!AF$2,#REF!,
"&lt;"&amp;EOMONTH('Faturado mensal'!AF$2,0))</f>
        <v>0</v>
      </c>
      <c r="AG262" s="9">
        <f>SUMIFS(#REF!,#REF!,
$A262,#REF!,
"&gt;="&amp;'Faturado mensal'!AG$2,#REF!,
"&lt;"&amp;EOMONTH('Faturado mensal'!AG$2,0))</f>
        <v>0</v>
      </c>
      <c r="AH262" s="9">
        <f>SUMIFS(#REF!,#REF!,
$A262,#REF!,
"&gt;="&amp;'Faturado mensal'!AH$2,#REF!,
"&lt;"&amp;EOMONTH('Faturado mensal'!AH$2,0))</f>
        <v>0</v>
      </c>
      <c r="AI262" s="9">
        <f>SUMIFS(#REF!,#REF!,
$A262,#REF!,
"&gt;="&amp;'Faturado mensal'!AI$2,#REF!,
"&lt;"&amp;EOMONTH('Faturado mensal'!AI$2,0))</f>
        <v>0</v>
      </c>
      <c r="AJ262" s="9">
        <f>SUMIFS(#REF!,#REF!,
$A262,#REF!,
"&gt;="&amp;'Faturado mensal'!AJ$2,#REF!,
"&lt;"&amp;EOMONTH('Faturado mensal'!AJ$2,0))</f>
        <v>0</v>
      </c>
      <c r="AK262" s="9">
        <f>SUMIFS(#REF!,#REF!,
$A262,#REF!,
"&gt;="&amp;'Faturado mensal'!AK$2,#REF!,
"&lt;"&amp;EOMONTH('Faturado mensal'!AK$2,0))</f>
        <v>0</v>
      </c>
      <c r="AL262" s="9">
        <f>SUMIFS(#REF!,#REF!,
$A262,#REF!,
"&gt;="&amp;Z$2,#REF!,
"&lt;"&amp;EOMONTH(AK$2,0))</f>
        <v>52138.07</v>
      </c>
    </row>
    <row r="263" spans="1:38" x14ac:dyDescent="0.3">
      <c r="A263" t="s">
        <v>924</v>
      </c>
      <c r="B263" t="s">
        <v>539</v>
      </c>
      <c r="C263" t="s">
        <v>189</v>
      </c>
      <c r="D263" t="s">
        <v>209</v>
      </c>
      <c r="G263" t="s">
        <v>807</v>
      </c>
      <c r="I263" t="s">
        <v>896</v>
      </c>
      <c r="J263" t="s">
        <v>890</v>
      </c>
      <c r="K263" t="s">
        <v>762</v>
      </c>
      <c r="L263" t="s">
        <v>763</v>
      </c>
      <c r="M263" s="9">
        <f>SUMIFS(#REF!,#REF!,
$A263,#REF!,
"&gt;="&amp;'Faturado mensal'!M$2,#REF!,
"&lt;"&amp;EOMONTH('Faturado mensal'!M$2,0))</f>
        <v>0</v>
      </c>
      <c r="N263" s="9">
        <f>SUMIFS(#REF!,#REF!,
$A263,#REF!,
"&gt;="&amp;'Faturado mensal'!N$2,#REF!,
"&lt;"&amp;EOMONTH('Faturado mensal'!N$2,0))</f>
        <v>0</v>
      </c>
      <c r="O263" s="9">
        <f>SUMIFS(#REF!,#REF!,
$A263,#REF!,
"&gt;="&amp;'Faturado mensal'!O$2,#REF!,
"&lt;"&amp;EOMONTH('Faturado mensal'!O$2,0))</f>
        <v>0</v>
      </c>
      <c r="P263" s="9">
        <f>SUMIFS(#REF!,#REF!,
$A263,#REF!,
"&gt;="&amp;'Faturado mensal'!P$2,#REF!,
"&lt;"&amp;EOMONTH('Faturado mensal'!P$2,0))</f>
        <v>0</v>
      </c>
      <c r="Q263" s="9">
        <f>SUMIFS(#REF!,#REF!,
$A263,#REF!,
"&gt;="&amp;'Faturado mensal'!Q$2,#REF!,
"&lt;"&amp;EOMONTH('Faturado mensal'!Q$2,0))</f>
        <v>0</v>
      </c>
      <c r="R263" s="9">
        <f>SUMIFS(#REF!,#REF!,
$A263,#REF!,
"&gt;="&amp;'Faturado mensal'!R$2,#REF!,
"&lt;"&amp;EOMONTH('Faturado mensal'!R$2,0))</f>
        <v>0</v>
      </c>
      <c r="S263" s="9">
        <f>SUMIFS(#REF!,#REF!,
$A263,#REF!,
"&gt;="&amp;'Faturado mensal'!S$2,#REF!,
"&lt;"&amp;EOMONTH('Faturado mensal'!S$2,0))</f>
        <v>0</v>
      </c>
      <c r="T263" s="9">
        <f>SUMIFS(#REF!,#REF!,
$A263,#REF!,
"&gt;="&amp;'Faturado mensal'!T$2,#REF!,
"&lt;"&amp;EOMONTH('Faturado mensal'!T$2,0))</f>
        <v>0</v>
      </c>
      <c r="U263" s="9">
        <f>SUMIFS(#REF!,#REF!,
$A263,#REF!,
"&gt;="&amp;'Faturado mensal'!U$2,#REF!,
"&lt;"&amp;EOMONTH('Faturado mensal'!U$2,0))</f>
        <v>0</v>
      </c>
      <c r="V263" s="9">
        <f>SUMIFS(#REF!,#REF!,
$A263,#REF!,
"&gt;="&amp;'Faturado mensal'!V$2,#REF!,
"&lt;"&amp;EOMONTH('Faturado mensal'!V$2,0))</f>
        <v>0</v>
      </c>
      <c r="W263" s="9">
        <f>SUMIFS(#REF!,#REF!,
$A263,#REF!,
"&gt;="&amp;'Faturado mensal'!W$2,#REF!,
"&lt;"&amp;EOMONTH('Faturado mensal'!W$2,0))</f>
        <v>0</v>
      </c>
      <c r="X263" s="9">
        <f>SUMIFS(#REF!,#REF!,
$A263,#REF!,
"&gt;="&amp;'Faturado mensal'!X$2,#REF!,
"&lt;"&amp;EOMONTH('Faturado mensal'!X$2,0))</f>
        <v>0</v>
      </c>
      <c r="Y263" s="11">
        <f>SUMIFS(#REF!,#REF!,
$A263,#REF!,
"&gt;="&amp;'Faturado mensal'!M$2,#REF!,
"&lt;"&amp;EOMONTH('Faturado mensal'!M$2,12))</f>
        <v>0</v>
      </c>
      <c r="Z263" s="9">
        <f>SUMIFS(#REF!,#REF!,
$A263,#REF!,
"&gt;="&amp;'Faturado mensal'!Z$2,#REF!,
"&lt;"&amp;EOMONTH('Faturado mensal'!Z$2,0))</f>
        <v>0</v>
      </c>
      <c r="AA263" s="9">
        <f>SUMIFS(#REF!,#REF!,
$A263,#REF!,
"&gt;="&amp;'Faturado mensal'!AA$2,#REF!,
"&lt;"&amp;EOMONTH('Faturado mensal'!AA$2,0))</f>
        <v>0</v>
      </c>
      <c r="AB263" s="9">
        <f>SUMIFS(#REF!,#REF!,
$A263,#REF!,
"&gt;="&amp;'Faturado mensal'!AB$2,#REF!,
"&lt;"&amp;EOMONTH('Faturado mensal'!AB$2,0))</f>
        <v>0</v>
      </c>
      <c r="AC263" s="9">
        <f>SUMIFS(#REF!,#REF!,
$A263,#REF!,
"&gt;="&amp;'Faturado mensal'!AC$2,#REF!,
"&lt;"&amp;EOMONTH('Faturado mensal'!AC$2,0))</f>
        <v>0</v>
      </c>
      <c r="AD263" s="9">
        <f>SUMIFS(#REF!,#REF!,
$A263,#REF!,
"&gt;="&amp;'Faturado mensal'!AD$2,#REF!,
"&lt;"&amp;EOMONTH('Faturado mensal'!AD$2,0))</f>
        <v>0</v>
      </c>
      <c r="AE263" s="9">
        <f>SUMIFS(#REF!,#REF!,
$A263,#REF!,
"&gt;="&amp;'Faturado mensal'!AE$2,#REF!,
"&lt;"&amp;EOMONTH('Faturado mensal'!AE$2,0))</f>
        <v>0</v>
      </c>
      <c r="AF263" s="9">
        <f>SUMIFS(#REF!,#REF!,
$A263,#REF!,
"&gt;="&amp;'Faturado mensal'!AF$2,#REF!,
"&lt;"&amp;EOMONTH('Faturado mensal'!AF$2,0))</f>
        <v>0</v>
      </c>
      <c r="AG263" s="9">
        <f>SUMIFS(#REF!,#REF!,
$A263,#REF!,
"&gt;="&amp;'Faturado mensal'!AG$2,#REF!,
"&lt;"&amp;EOMONTH('Faturado mensal'!AG$2,0))</f>
        <v>0</v>
      </c>
      <c r="AH263" s="9">
        <f>SUMIFS(#REF!,#REF!,
$A263,#REF!,
"&gt;="&amp;'Faturado mensal'!AH$2,#REF!,
"&lt;"&amp;EOMONTH('Faturado mensal'!AH$2,0))</f>
        <v>0</v>
      </c>
      <c r="AI263" s="9">
        <f>SUMIFS(#REF!,#REF!,
$A263,#REF!,
"&gt;="&amp;'Faturado mensal'!AI$2,#REF!,
"&lt;"&amp;EOMONTH('Faturado mensal'!AI$2,0))</f>
        <v>0</v>
      </c>
      <c r="AJ263" s="9">
        <f>SUMIFS(#REF!,#REF!,
$A263,#REF!,
"&gt;="&amp;'Faturado mensal'!AJ$2,#REF!,
"&lt;"&amp;EOMONTH('Faturado mensal'!AJ$2,0))</f>
        <v>0</v>
      </c>
      <c r="AK263" s="9">
        <f>SUMIFS(#REF!,#REF!,
$A263,#REF!,
"&gt;="&amp;'Faturado mensal'!AK$2,#REF!,
"&lt;"&amp;EOMONTH('Faturado mensal'!AK$2,0))</f>
        <v>0</v>
      </c>
      <c r="AL263" s="9">
        <f>SUMIFS(#REF!,#REF!,
$A263,#REF!,
"&gt;="&amp;Z$2,#REF!,
"&lt;"&amp;EOMONTH(AK$2,0))</f>
        <v>0</v>
      </c>
    </row>
    <row r="264" spans="1:38" x14ac:dyDescent="0.3">
      <c r="A264" t="s">
        <v>573</v>
      </c>
      <c r="B264" t="s">
        <v>539</v>
      </c>
      <c r="C264" t="s">
        <v>189</v>
      </c>
      <c r="D264" t="s">
        <v>209</v>
      </c>
      <c r="G264" t="s">
        <v>807</v>
      </c>
      <c r="I264" t="s">
        <v>896</v>
      </c>
      <c r="J264" t="s">
        <v>890</v>
      </c>
      <c r="K264" t="s">
        <v>762</v>
      </c>
      <c r="L264" t="s">
        <v>763</v>
      </c>
      <c r="M264" s="9">
        <f>SUMIFS(#REF!,#REF!,
$A264,#REF!,
"&gt;="&amp;'Faturado mensal'!M$2,#REF!,
"&lt;"&amp;EOMONTH('Faturado mensal'!M$2,0))</f>
        <v>5004.6400000000003</v>
      </c>
      <c r="N264" s="9">
        <f>SUMIFS(#REF!,#REF!,
$A264,#REF!,
"&gt;="&amp;'Faturado mensal'!N$2,#REF!,
"&lt;"&amp;EOMONTH('Faturado mensal'!N$2,0))</f>
        <v>727.67</v>
      </c>
      <c r="O264" s="9">
        <f>SUMIFS(#REF!,#REF!,
$A264,#REF!,
"&gt;="&amp;'Faturado mensal'!O$2,#REF!,
"&lt;"&amp;EOMONTH('Faturado mensal'!O$2,0))</f>
        <v>5004.6400000000003</v>
      </c>
      <c r="P264" s="9">
        <f>SUMIFS(#REF!,#REF!,
$A264,#REF!,
"&gt;="&amp;'Faturado mensal'!P$2,#REF!,
"&lt;"&amp;EOMONTH('Faturado mensal'!P$2,0))</f>
        <v>5761.85</v>
      </c>
      <c r="Q264" s="9">
        <f>SUMIFS(#REF!,#REF!,
$A264,#REF!,
"&gt;="&amp;'Faturado mensal'!Q$2,#REF!,
"&lt;"&amp;EOMONTH('Faturado mensal'!Q$2,0))</f>
        <v>10999.2</v>
      </c>
      <c r="R264" s="9">
        <f>SUMIFS(#REF!,#REF!,
$A264,#REF!,
"&gt;="&amp;'Faturado mensal'!R$2,#REF!,
"&lt;"&amp;EOMONTH('Faturado mensal'!R$2,0))</f>
        <v>5499.6</v>
      </c>
      <c r="S264" s="9">
        <f>SUMIFS(#REF!,#REF!,
$A264,#REF!,
"&gt;="&amp;'Faturado mensal'!S$2,#REF!,
"&lt;"&amp;EOMONTH('Faturado mensal'!S$2,0))</f>
        <v>5732.31</v>
      </c>
      <c r="T264" s="9">
        <f>SUMIFS(#REF!,#REF!,
$A264,#REF!,
"&gt;="&amp;'Faturado mensal'!T$2,#REF!,
"&lt;"&amp;EOMONTH('Faturado mensal'!T$2,0))</f>
        <v>7158.1100000000006</v>
      </c>
      <c r="U264" s="9">
        <f>SUMIFS(#REF!,#REF!,
$A264,#REF!,
"&gt;="&amp;'Faturado mensal'!U$2,#REF!,
"&lt;"&amp;EOMONTH('Faturado mensal'!U$2,0))</f>
        <v>5732.31</v>
      </c>
      <c r="V264" s="9">
        <f>SUMIFS(#REF!,#REF!,
$A264,#REF!,
"&gt;="&amp;'Faturado mensal'!V$2,#REF!,
"&lt;"&amp;EOMONTH('Faturado mensal'!V$2,0))</f>
        <v>5732.31</v>
      </c>
      <c r="W264" s="9">
        <f>SUMIFS(#REF!,#REF!,
$A264,#REF!,
"&gt;="&amp;'Faturado mensal'!W$2,#REF!,
"&lt;"&amp;EOMONTH('Faturado mensal'!W$2,0))</f>
        <v>5732.31</v>
      </c>
      <c r="X264" s="9">
        <f>SUMIFS(#REF!,#REF!,
$A264,#REF!,
"&gt;="&amp;'Faturado mensal'!X$2,#REF!,
"&lt;"&amp;EOMONTH('Faturado mensal'!X$2,0))</f>
        <v>5732.31</v>
      </c>
      <c r="Y264" s="11">
        <f>SUMIFS(#REF!,#REF!,
$A264,#REF!,
"&gt;="&amp;'Faturado mensal'!M$2,#REF!,
"&lt;"&amp;EOMONTH('Faturado mensal'!M$2,12))</f>
        <v>68817.259999999995</v>
      </c>
      <c r="Z264" s="9">
        <f>SUMIFS(#REF!,#REF!,
$A264,#REF!,
"&gt;="&amp;'Faturado mensal'!Z$2,#REF!,
"&lt;"&amp;EOMONTH('Faturado mensal'!Z$2,0))</f>
        <v>0</v>
      </c>
      <c r="AA264" s="9">
        <f>SUMIFS(#REF!,#REF!,
$A264,#REF!,
"&gt;="&amp;'Faturado mensal'!AA$2,#REF!,
"&lt;"&amp;EOMONTH('Faturado mensal'!AA$2,0))</f>
        <v>0</v>
      </c>
      <c r="AB264" s="9">
        <f>SUMIFS(#REF!,#REF!,
$A264,#REF!,
"&gt;="&amp;'Faturado mensal'!AB$2,#REF!,
"&lt;"&amp;EOMONTH('Faturado mensal'!AB$2,0))</f>
        <v>0</v>
      </c>
      <c r="AC264" s="9">
        <f>SUMIFS(#REF!,#REF!,
$A264,#REF!,
"&gt;="&amp;'Faturado mensal'!AC$2,#REF!,
"&lt;"&amp;EOMONTH('Faturado mensal'!AC$2,0))</f>
        <v>0</v>
      </c>
      <c r="AD264" s="9">
        <f>SUMIFS(#REF!,#REF!,
$A264,#REF!,
"&gt;="&amp;'Faturado mensal'!AD$2,#REF!,
"&lt;"&amp;EOMONTH('Faturado mensal'!AD$2,0))</f>
        <v>0</v>
      </c>
      <c r="AE264" s="9">
        <f>SUMIFS(#REF!,#REF!,
$A264,#REF!,
"&gt;="&amp;'Faturado mensal'!AE$2,#REF!,
"&lt;"&amp;EOMONTH('Faturado mensal'!AE$2,0))</f>
        <v>0</v>
      </c>
      <c r="AF264" s="9">
        <f>SUMIFS(#REF!,#REF!,
$A264,#REF!,
"&gt;="&amp;'Faturado mensal'!AF$2,#REF!,
"&lt;"&amp;EOMONTH('Faturado mensal'!AF$2,0))</f>
        <v>0</v>
      </c>
      <c r="AG264" s="9">
        <f>SUMIFS(#REF!,#REF!,
$A264,#REF!,
"&gt;="&amp;'Faturado mensal'!AG$2,#REF!,
"&lt;"&amp;EOMONTH('Faturado mensal'!AG$2,0))</f>
        <v>0</v>
      </c>
      <c r="AH264" s="9">
        <f>SUMIFS(#REF!,#REF!,
$A264,#REF!,
"&gt;="&amp;'Faturado mensal'!AH$2,#REF!,
"&lt;"&amp;EOMONTH('Faturado mensal'!AH$2,0))</f>
        <v>0</v>
      </c>
      <c r="AI264" s="9">
        <f>SUMIFS(#REF!,#REF!,
$A264,#REF!,
"&gt;="&amp;'Faturado mensal'!AI$2,#REF!,
"&lt;"&amp;EOMONTH('Faturado mensal'!AI$2,0))</f>
        <v>0</v>
      </c>
      <c r="AJ264" s="9">
        <f>SUMIFS(#REF!,#REF!,
$A264,#REF!,
"&gt;="&amp;'Faturado mensal'!AJ$2,#REF!,
"&lt;"&amp;EOMONTH('Faturado mensal'!AJ$2,0))</f>
        <v>0</v>
      </c>
      <c r="AK264" s="9">
        <f>SUMIFS(#REF!,#REF!,
$A264,#REF!,
"&gt;="&amp;'Faturado mensal'!AK$2,#REF!,
"&lt;"&amp;EOMONTH('Faturado mensal'!AK$2,0))</f>
        <v>0</v>
      </c>
      <c r="AL264" s="9">
        <f>SUMIFS(#REF!,#REF!,
$A264,#REF!,
"&gt;="&amp;Z$2,#REF!,
"&lt;"&amp;EOMONTH(AK$2,0))</f>
        <v>0</v>
      </c>
    </row>
    <row r="265" spans="1:38" x14ac:dyDescent="0.3">
      <c r="A265" t="s">
        <v>574</v>
      </c>
      <c r="B265" t="s">
        <v>575</v>
      </c>
      <c r="C265" t="s">
        <v>174</v>
      </c>
      <c r="D265" t="s">
        <v>204</v>
      </c>
      <c r="E265" t="s">
        <v>4851</v>
      </c>
      <c r="F265" t="s">
        <v>4776</v>
      </c>
      <c r="G265" t="s">
        <v>4854</v>
      </c>
      <c r="H265" t="s">
        <v>4771</v>
      </c>
      <c r="I265" t="s">
        <v>921</v>
      </c>
      <c r="J265" t="s">
        <v>890</v>
      </c>
      <c r="K265" t="s">
        <v>720</v>
      </c>
      <c r="L265" t="s">
        <v>721</v>
      </c>
      <c r="M265" s="9">
        <f>SUMIFS(#REF!,#REF!,
$A265,#REF!,
"&gt;="&amp;'Faturado mensal'!M$2,#REF!,
"&lt;"&amp;EOMONTH('Faturado mensal'!M$2,0))</f>
        <v>1497.67</v>
      </c>
      <c r="N265" s="9">
        <f>SUMIFS(#REF!,#REF!,
$A265,#REF!,
"&gt;="&amp;'Faturado mensal'!N$2,#REF!,
"&lt;"&amp;EOMONTH('Faturado mensal'!N$2,0))</f>
        <v>929.17</v>
      </c>
      <c r="O265" s="9">
        <f>SUMIFS(#REF!,#REF!,
$A265,#REF!,
"&gt;="&amp;'Faturado mensal'!O$2,#REF!,
"&lt;"&amp;EOMONTH('Faturado mensal'!O$2,0))</f>
        <v>120</v>
      </c>
      <c r="P265" s="9">
        <f>SUMIFS(#REF!,#REF!,
$A265,#REF!,
"&gt;="&amp;'Faturado mensal'!P$2,#REF!,
"&lt;"&amp;EOMONTH('Faturado mensal'!P$2,0))</f>
        <v>9515</v>
      </c>
      <c r="Q265" s="9">
        <f>SUMIFS(#REF!,#REF!,
$A265,#REF!,
"&gt;="&amp;'Faturado mensal'!Q$2,#REF!,
"&lt;"&amp;EOMONTH('Faturado mensal'!Q$2,0))</f>
        <v>0</v>
      </c>
      <c r="R265" s="9">
        <f>SUMIFS(#REF!,#REF!,
$A265,#REF!,
"&gt;="&amp;'Faturado mensal'!R$2,#REF!,
"&lt;"&amp;EOMONTH('Faturado mensal'!R$2,0))</f>
        <v>3540</v>
      </c>
      <c r="S265" s="9">
        <f>SUMIFS(#REF!,#REF!,
$A265,#REF!,
"&gt;="&amp;'Faturado mensal'!S$2,#REF!,
"&lt;"&amp;EOMONTH('Faturado mensal'!S$2,0))</f>
        <v>14475.02</v>
      </c>
      <c r="T265" s="9">
        <f>SUMIFS(#REF!,#REF!,
$A265,#REF!,
"&gt;="&amp;'Faturado mensal'!T$2,#REF!,
"&lt;"&amp;EOMONTH('Faturado mensal'!T$2,0))</f>
        <v>5320</v>
      </c>
      <c r="U265" s="9">
        <f>SUMIFS(#REF!,#REF!,
$A265,#REF!,
"&gt;="&amp;'Faturado mensal'!U$2,#REF!,
"&lt;"&amp;EOMONTH('Faturado mensal'!U$2,0))</f>
        <v>14692.71</v>
      </c>
      <c r="V265" s="9">
        <f>SUMIFS(#REF!,#REF!,
$A265,#REF!,
"&gt;="&amp;'Faturado mensal'!V$2,#REF!,
"&lt;"&amp;EOMONTH('Faturado mensal'!V$2,0))</f>
        <v>12677.92</v>
      </c>
      <c r="W265" s="9">
        <f>SUMIFS(#REF!,#REF!,
$A265,#REF!,
"&gt;="&amp;'Faturado mensal'!W$2,#REF!,
"&lt;"&amp;EOMONTH('Faturado mensal'!W$2,0))</f>
        <v>8316.0400000000009</v>
      </c>
      <c r="X265" s="9">
        <f>SUMIFS(#REF!,#REF!,
$A265,#REF!,
"&gt;="&amp;'Faturado mensal'!X$2,#REF!,
"&lt;"&amp;EOMONTH('Faturado mensal'!X$2,0))</f>
        <v>15655.46</v>
      </c>
      <c r="Y265" s="11">
        <f>SUMIFS(#REF!,#REF!,
$A265,#REF!,
"&gt;="&amp;'Faturado mensal'!M$2,#REF!,
"&lt;"&amp;EOMONTH('Faturado mensal'!M$2,12))</f>
        <v>92905.029999999984</v>
      </c>
      <c r="Z265" s="9">
        <f>SUMIFS(#REF!,#REF!,
$A265,#REF!,
"&gt;="&amp;'Faturado mensal'!Z$2,#REF!,
"&lt;"&amp;EOMONTH('Faturado mensal'!Z$2,0))</f>
        <v>6166.04</v>
      </c>
      <c r="AA265" s="9">
        <f>SUMIFS(#REF!,#REF!,
$A265,#REF!,
"&gt;="&amp;'Faturado mensal'!AA$2,#REF!,
"&lt;"&amp;EOMONTH('Faturado mensal'!AA$2,0))</f>
        <v>10333.539999999999</v>
      </c>
      <c r="AB265" s="9">
        <f>SUMIFS(#REF!,#REF!,
$A265,#REF!,
"&gt;="&amp;'Faturado mensal'!AB$2,#REF!,
"&lt;"&amp;EOMONTH('Faturado mensal'!AB$2,0))</f>
        <v>0</v>
      </c>
      <c r="AC265" s="9">
        <f>SUMIFS(#REF!,#REF!,
$A265,#REF!,
"&gt;="&amp;'Faturado mensal'!AC$2,#REF!,
"&lt;"&amp;EOMONTH('Faturado mensal'!AC$2,0))</f>
        <v>26428.33</v>
      </c>
      <c r="AD265" s="9">
        <f>SUMIFS(#REF!,#REF!,
$A265,#REF!,
"&gt;="&amp;'Faturado mensal'!AD$2,#REF!,
"&lt;"&amp;EOMONTH('Faturado mensal'!AD$2,0))</f>
        <v>0</v>
      </c>
      <c r="AE265" s="9">
        <f>SUMIFS(#REF!,#REF!,
$A265,#REF!,
"&gt;="&amp;'Faturado mensal'!AE$2,#REF!,
"&lt;"&amp;EOMONTH('Faturado mensal'!AE$2,0))</f>
        <v>7003.13</v>
      </c>
      <c r="AF265" s="9">
        <f>SUMIFS(#REF!,#REF!,
$A265,#REF!,
"&gt;="&amp;'Faturado mensal'!AF$2,#REF!,
"&lt;"&amp;EOMONTH('Faturado mensal'!AF$2,0))</f>
        <v>0</v>
      </c>
      <c r="AG265" s="9">
        <f>SUMIFS(#REF!,#REF!,
$A265,#REF!,
"&gt;="&amp;'Faturado mensal'!AG$2,#REF!,
"&lt;"&amp;EOMONTH('Faturado mensal'!AG$2,0))</f>
        <v>0</v>
      </c>
      <c r="AH265" s="9">
        <f>SUMIFS(#REF!,#REF!,
$A265,#REF!,
"&gt;="&amp;'Faturado mensal'!AH$2,#REF!,
"&lt;"&amp;EOMONTH('Faturado mensal'!AH$2,0))</f>
        <v>0</v>
      </c>
      <c r="AI265" s="9">
        <f>SUMIFS(#REF!,#REF!,
$A265,#REF!,
"&gt;="&amp;'Faturado mensal'!AI$2,#REF!,
"&lt;"&amp;EOMONTH('Faturado mensal'!AI$2,0))</f>
        <v>0</v>
      </c>
      <c r="AJ265" s="9">
        <f>SUMIFS(#REF!,#REF!,
$A265,#REF!,
"&gt;="&amp;'Faturado mensal'!AJ$2,#REF!,
"&lt;"&amp;EOMONTH('Faturado mensal'!AJ$2,0))</f>
        <v>0</v>
      </c>
      <c r="AK265" s="9">
        <f>SUMIFS(#REF!,#REF!,
$A265,#REF!,
"&gt;="&amp;'Faturado mensal'!AK$2,#REF!,
"&lt;"&amp;EOMONTH('Faturado mensal'!AK$2,0))</f>
        <v>0</v>
      </c>
      <c r="AL265" s="9">
        <f>SUMIFS(#REF!,#REF!,
$A265,#REF!,
"&gt;="&amp;Z$2,#REF!,
"&lt;"&amp;EOMONTH(AK$2,0))</f>
        <v>49931.040000000001</v>
      </c>
    </row>
    <row r="266" spans="1:38" x14ac:dyDescent="0.3">
      <c r="A266" t="s">
        <v>576</v>
      </c>
      <c r="B266" t="s">
        <v>568</v>
      </c>
      <c r="C266" t="s">
        <v>64</v>
      </c>
      <c r="D266" t="s">
        <v>209</v>
      </c>
      <c r="E266" t="s">
        <v>4843</v>
      </c>
      <c r="F266" t="s">
        <v>4782</v>
      </c>
      <c r="G266" t="s">
        <v>4858</v>
      </c>
      <c r="H266" t="s">
        <v>4771</v>
      </c>
      <c r="I266" t="s">
        <v>921</v>
      </c>
      <c r="J266" t="s">
        <v>710</v>
      </c>
      <c r="K266" t="s">
        <v>762</v>
      </c>
      <c r="L266" t="s">
        <v>763</v>
      </c>
      <c r="M266" s="9">
        <f>SUMIFS(#REF!,#REF!,
$A266,#REF!,
"&gt;="&amp;'Faturado mensal'!M$2,#REF!,
"&lt;"&amp;EOMONTH('Faturado mensal'!M$2,0))</f>
        <v>8400</v>
      </c>
      <c r="N266" s="9">
        <f>SUMIFS(#REF!,#REF!,
$A266,#REF!,
"&gt;="&amp;'Faturado mensal'!N$2,#REF!,
"&lt;"&amp;EOMONTH('Faturado mensal'!N$2,0))</f>
        <v>0</v>
      </c>
      <c r="O266" s="9">
        <f>SUMIFS(#REF!,#REF!,
$A266,#REF!,
"&gt;="&amp;'Faturado mensal'!O$2,#REF!,
"&lt;"&amp;EOMONTH('Faturado mensal'!O$2,0))</f>
        <v>18454.53</v>
      </c>
      <c r="P266" s="9">
        <f>SUMIFS(#REF!,#REF!,
$A266,#REF!,
"&gt;="&amp;'Faturado mensal'!P$2,#REF!,
"&lt;"&amp;EOMONTH('Faturado mensal'!P$2,0))</f>
        <v>0</v>
      </c>
      <c r="Q266" s="9">
        <f>SUMIFS(#REF!,#REF!,
$A266,#REF!,
"&gt;="&amp;'Faturado mensal'!Q$2,#REF!,
"&lt;"&amp;EOMONTH('Faturado mensal'!Q$2,0))</f>
        <v>0</v>
      </c>
      <c r="R266" s="9">
        <f>SUMIFS(#REF!,#REF!,
$A266,#REF!,
"&gt;="&amp;'Faturado mensal'!R$2,#REF!,
"&lt;"&amp;EOMONTH('Faturado mensal'!R$2,0))</f>
        <v>2500</v>
      </c>
      <c r="S266" s="9">
        <f>SUMIFS(#REF!,#REF!,
$A266,#REF!,
"&gt;="&amp;'Faturado mensal'!S$2,#REF!,
"&lt;"&amp;EOMONTH('Faturado mensal'!S$2,0))</f>
        <v>0</v>
      </c>
      <c r="T266" s="9">
        <f>SUMIFS(#REF!,#REF!,
$A266,#REF!,
"&gt;="&amp;'Faturado mensal'!T$2,#REF!,
"&lt;"&amp;EOMONTH('Faturado mensal'!T$2,0))</f>
        <v>0</v>
      </c>
      <c r="U266" s="9">
        <f>SUMIFS(#REF!,#REF!,
$A266,#REF!,
"&gt;="&amp;'Faturado mensal'!U$2,#REF!,
"&lt;"&amp;EOMONTH('Faturado mensal'!U$2,0))</f>
        <v>0</v>
      </c>
      <c r="V266" s="9">
        <f>SUMIFS(#REF!,#REF!,
$A266,#REF!,
"&gt;="&amp;'Faturado mensal'!V$2,#REF!,
"&lt;"&amp;EOMONTH('Faturado mensal'!V$2,0))</f>
        <v>1740</v>
      </c>
      <c r="W266" s="9">
        <f>SUMIFS(#REF!,#REF!,
$A266,#REF!,
"&gt;="&amp;'Faturado mensal'!W$2,#REF!,
"&lt;"&amp;EOMONTH('Faturado mensal'!W$2,0))</f>
        <v>0</v>
      </c>
      <c r="X266" s="9">
        <f>SUMIFS(#REF!,#REF!,
$A266,#REF!,
"&gt;="&amp;'Faturado mensal'!X$2,#REF!,
"&lt;"&amp;EOMONTH('Faturado mensal'!X$2,0))</f>
        <v>1000</v>
      </c>
      <c r="Y266" s="11">
        <f>SUMIFS(#REF!,#REF!,
$A266,#REF!,
"&gt;="&amp;'Faturado mensal'!M$2,#REF!,
"&lt;"&amp;EOMONTH('Faturado mensal'!M$2,12))</f>
        <v>32094.53</v>
      </c>
      <c r="Z266" s="9">
        <f>SUMIFS(#REF!,#REF!,
$A266,#REF!,
"&gt;="&amp;'Faturado mensal'!Z$2,#REF!,
"&lt;"&amp;EOMONTH('Faturado mensal'!Z$2,0))</f>
        <v>0</v>
      </c>
      <c r="AA266" s="9">
        <f>SUMIFS(#REF!,#REF!,
$A266,#REF!,
"&gt;="&amp;'Faturado mensal'!AA$2,#REF!,
"&lt;"&amp;EOMONTH('Faturado mensal'!AA$2,0))</f>
        <v>0</v>
      </c>
      <c r="AB266" s="9">
        <f>SUMIFS(#REF!,#REF!,
$A266,#REF!,
"&gt;="&amp;'Faturado mensal'!AB$2,#REF!,
"&lt;"&amp;EOMONTH('Faturado mensal'!AB$2,0))</f>
        <v>0</v>
      </c>
      <c r="AC266" s="9">
        <f>SUMIFS(#REF!,#REF!,
$A266,#REF!,
"&gt;="&amp;'Faturado mensal'!AC$2,#REF!,
"&lt;"&amp;EOMONTH('Faturado mensal'!AC$2,0))</f>
        <v>0</v>
      </c>
      <c r="AD266" s="9">
        <f>SUMIFS(#REF!,#REF!,
$A266,#REF!,
"&gt;="&amp;'Faturado mensal'!AD$2,#REF!,
"&lt;"&amp;EOMONTH('Faturado mensal'!AD$2,0))</f>
        <v>0</v>
      </c>
      <c r="AE266" s="9">
        <f>SUMIFS(#REF!,#REF!,
$A266,#REF!,
"&gt;="&amp;'Faturado mensal'!AE$2,#REF!,
"&lt;"&amp;EOMONTH('Faturado mensal'!AE$2,0))</f>
        <v>0</v>
      </c>
      <c r="AF266" s="9">
        <f>SUMIFS(#REF!,#REF!,
$A266,#REF!,
"&gt;="&amp;'Faturado mensal'!AF$2,#REF!,
"&lt;"&amp;EOMONTH('Faturado mensal'!AF$2,0))</f>
        <v>0</v>
      </c>
      <c r="AG266" s="9">
        <f>SUMIFS(#REF!,#REF!,
$A266,#REF!,
"&gt;="&amp;'Faturado mensal'!AG$2,#REF!,
"&lt;"&amp;EOMONTH('Faturado mensal'!AG$2,0))</f>
        <v>0</v>
      </c>
      <c r="AH266" s="9">
        <f>SUMIFS(#REF!,#REF!,
$A266,#REF!,
"&gt;="&amp;'Faturado mensal'!AH$2,#REF!,
"&lt;"&amp;EOMONTH('Faturado mensal'!AH$2,0))</f>
        <v>0</v>
      </c>
      <c r="AI266" s="9">
        <f>SUMIFS(#REF!,#REF!,
$A266,#REF!,
"&gt;="&amp;'Faturado mensal'!AI$2,#REF!,
"&lt;"&amp;EOMONTH('Faturado mensal'!AI$2,0))</f>
        <v>0</v>
      </c>
      <c r="AJ266" s="9">
        <f>SUMIFS(#REF!,#REF!,
$A266,#REF!,
"&gt;="&amp;'Faturado mensal'!AJ$2,#REF!,
"&lt;"&amp;EOMONTH('Faturado mensal'!AJ$2,0))</f>
        <v>0</v>
      </c>
      <c r="AK266" s="9">
        <f>SUMIFS(#REF!,#REF!,
$A266,#REF!,
"&gt;="&amp;'Faturado mensal'!AK$2,#REF!,
"&lt;"&amp;EOMONTH('Faturado mensal'!AK$2,0))</f>
        <v>0</v>
      </c>
      <c r="AL266" s="9">
        <f>SUMIFS(#REF!,#REF!,
$A266,#REF!,
"&gt;="&amp;Z$2,#REF!,
"&lt;"&amp;EOMONTH(AK$2,0))</f>
        <v>0</v>
      </c>
    </row>
    <row r="267" spans="1:38" x14ac:dyDescent="0.3">
      <c r="A267" t="s">
        <v>577</v>
      </c>
      <c r="B267" t="s">
        <v>227</v>
      </c>
      <c r="C267" t="s">
        <v>191</v>
      </c>
      <c r="D267" t="s">
        <v>204</v>
      </c>
      <c r="E267" t="s">
        <v>4832</v>
      </c>
      <c r="F267" t="s">
        <v>4792</v>
      </c>
      <c r="G267" t="s">
        <v>4845</v>
      </c>
      <c r="H267" t="s">
        <v>4772</v>
      </c>
      <c r="I267" t="s">
        <v>191</v>
      </c>
      <c r="J267" t="s">
        <v>809</v>
      </c>
      <c r="K267" t="s">
        <v>762</v>
      </c>
      <c r="L267" t="s">
        <v>763</v>
      </c>
      <c r="M267" s="9">
        <f>SUMIFS(#REF!,#REF!,
$A267,#REF!,
"&gt;="&amp;'Faturado mensal'!M$2,#REF!,
"&lt;"&amp;EOMONTH('Faturado mensal'!M$2,0))</f>
        <v>0</v>
      </c>
      <c r="N267" s="9">
        <f>SUMIFS(#REF!,#REF!,
$A267,#REF!,
"&gt;="&amp;'Faturado mensal'!N$2,#REF!,
"&lt;"&amp;EOMONTH('Faturado mensal'!N$2,0))</f>
        <v>46022.51</v>
      </c>
      <c r="O267" s="9">
        <f>SUMIFS(#REF!,#REF!,
$A267,#REF!,
"&gt;="&amp;'Faturado mensal'!O$2,#REF!,
"&lt;"&amp;EOMONTH('Faturado mensal'!O$2,0))</f>
        <v>46022.51</v>
      </c>
      <c r="P267" s="9">
        <f>SUMIFS(#REF!,#REF!,
$A267,#REF!,
"&gt;="&amp;'Faturado mensal'!P$2,#REF!,
"&lt;"&amp;EOMONTH('Faturado mensal'!P$2,0))</f>
        <v>68702.27</v>
      </c>
      <c r="Q267" s="9">
        <f>SUMIFS(#REF!,#REF!,
$A267,#REF!,
"&gt;="&amp;'Faturado mensal'!Q$2,#REF!,
"&lt;"&amp;EOMONTH('Faturado mensal'!Q$2,0))</f>
        <v>0</v>
      </c>
      <c r="R267" s="9">
        <f>SUMIFS(#REF!,#REF!,
$A267,#REF!,
"&gt;="&amp;'Faturado mensal'!R$2,#REF!,
"&lt;"&amp;EOMONTH('Faturado mensal'!R$2,0))</f>
        <v>124945</v>
      </c>
      <c r="S267" s="9">
        <f>SUMIFS(#REF!,#REF!,
$A267,#REF!,
"&gt;="&amp;'Faturado mensal'!S$2,#REF!,
"&lt;"&amp;EOMONTH('Faturado mensal'!S$2,0))</f>
        <v>62472.5</v>
      </c>
      <c r="T267" s="9">
        <f>SUMIFS(#REF!,#REF!,
$A267,#REF!,
"&gt;="&amp;'Faturado mensal'!T$2,#REF!,
"&lt;"&amp;EOMONTH('Faturado mensal'!T$2,0))</f>
        <v>62472.5</v>
      </c>
      <c r="U267" s="9">
        <f>SUMIFS(#REF!,#REF!,
$A267,#REF!,
"&gt;="&amp;'Faturado mensal'!U$2,#REF!,
"&lt;"&amp;EOMONTH('Faturado mensal'!U$2,0))</f>
        <v>62472.5</v>
      </c>
      <c r="V267" s="9">
        <f>SUMIFS(#REF!,#REF!,
$A267,#REF!,
"&gt;="&amp;'Faturado mensal'!V$2,#REF!,
"&lt;"&amp;EOMONTH('Faturado mensal'!V$2,0))</f>
        <v>62472.5</v>
      </c>
      <c r="W267" s="9">
        <f>SUMIFS(#REF!,#REF!,
$A267,#REF!,
"&gt;="&amp;'Faturado mensal'!W$2,#REF!,
"&lt;"&amp;EOMONTH('Faturado mensal'!W$2,0))</f>
        <v>63721.97</v>
      </c>
      <c r="X267" s="9">
        <f>SUMIFS(#REF!,#REF!,
$A267,#REF!,
"&gt;="&amp;'Faturado mensal'!X$2,#REF!,
"&lt;"&amp;EOMONTH('Faturado mensal'!X$2,0))</f>
        <v>2398.75</v>
      </c>
      <c r="Y267" s="11">
        <f>SUMIFS(#REF!,#REF!,
$A267,#REF!,
"&gt;="&amp;'Faturado mensal'!M$2,#REF!,
"&lt;"&amp;EOMONTH('Faturado mensal'!M$2,12))</f>
        <v>647725.52</v>
      </c>
      <c r="Z267" s="9">
        <f>SUMIFS(#REF!,#REF!,
$A267,#REF!,
"&gt;="&amp;'Faturado mensal'!Z$2,#REF!,
"&lt;"&amp;EOMONTH('Faturado mensal'!Z$2,0))</f>
        <v>0</v>
      </c>
      <c r="AA267" s="9">
        <f>SUMIFS(#REF!,#REF!,
$A267,#REF!,
"&gt;="&amp;'Faturado mensal'!AA$2,#REF!,
"&lt;"&amp;EOMONTH('Faturado mensal'!AA$2,0))</f>
        <v>71952.38</v>
      </c>
      <c r="AB267" s="9">
        <f>SUMIFS(#REF!,#REF!,
$A267,#REF!,
"&gt;="&amp;'Faturado mensal'!AB$2,#REF!,
"&lt;"&amp;EOMONTH('Faturado mensal'!AB$2,0))</f>
        <v>35318.379999999997</v>
      </c>
      <c r="AC267" s="9">
        <f>SUMIFS(#REF!,#REF!,
$A267,#REF!,
"&gt;="&amp;'Faturado mensal'!AC$2,#REF!,
"&lt;"&amp;EOMONTH('Faturado mensal'!AC$2,0))</f>
        <v>35318.379999999997</v>
      </c>
      <c r="AD267" s="9">
        <f>SUMIFS(#REF!,#REF!,
$A267,#REF!,
"&gt;="&amp;'Faturado mensal'!AD$2,#REF!,
"&lt;"&amp;EOMONTH('Faturado mensal'!AD$2,0))</f>
        <v>35318.379999999997</v>
      </c>
      <c r="AE267" s="9">
        <f>SUMIFS(#REF!,#REF!,
$A267,#REF!,
"&gt;="&amp;'Faturado mensal'!AE$2,#REF!,
"&lt;"&amp;EOMONTH('Faturado mensal'!AE$2,0))</f>
        <v>39265.200000000004</v>
      </c>
      <c r="AF267" s="9">
        <f>SUMIFS(#REF!,#REF!,
$A267,#REF!,
"&gt;="&amp;'Faturado mensal'!AF$2,#REF!,
"&lt;"&amp;EOMONTH('Faturado mensal'!AF$2,0))</f>
        <v>0</v>
      </c>
      <c r="AG267" s="9">
        <f>SUMIFS(#REF!,#REF!,
$A267,#REF!,
"&gt;="&amp;'Faturado mensal'!AG$2,#REF!,
"&lt;"&amp;EOMONTH('Faturado mensal'!AG$2,0))</f>
        <v>0</v>
      </c>
      <c r="AH267" s="9">
        <f>SUMIFS(#REF!,#REF!,
$A267,#REF!,
"&gt;="&amp;'Faturado mensal'!AH$2,#REF!,
"&lt;"&amp;EOMONTH('Faturado mensal'!AH$2,0))</f>
        <v>0</v>
      </c>
      <c r="AI267" s="9">
        <f>SUMIFS(#REF!,#REF!,
$A267,#REF!,
"&gt;="&amp;'Faturado mensal'!AI$2,#REF!,
"&lt;"&amp;EOMONTH('Faturado mensal'!AI$2,0))</f>
        <v>0</v>
      </c>
      <c r="AJ267" s="9">
        <f>SUMIFS(#REF!,#REF!,
$A267,#REF!,
"&gt;="&amp;'Faturado mensal'!AJ$2,#REF!,
"&lt;"&amp;EOMONTH('Faturado mensal'!AJ$2,0))</f>
        <v>0</v>
      </c>
      <c r="AK267" s="9">
        <f>SUMIFS(#REF!,#REF!,
$A267,#REF!,
"&gt;="&amp;'Faturado mensal'!AK$2,#REF!,
"&lt;"&amp;EOMONTH('Faturado mensal'!AK$2,0))</f>
        <v>0</v>
      </c>
      <c r="AL267" s="9">
        <f>SUMIFS(#REF!,#REF!,
$A267,#REF!,
"&gt;="&amp;Z$2,#REF!,
"&lt;"&amp;EOMONTH(AK$2,0))</f>
        <v>217172.72000000003</v>
      </c>
    </row>
    <row r="268" spans="1:38" x14ac:dyDescent="0.3">
      <c r="A268" t="s">
        <v>578</v>
      </c>
      <c r="B268" t="s">
        <v>228</v>
      </c>
      <c r="C268" t="s">
        <v>188</v>
      </c>
      <c r="D268" t="s">
        <v>209</v>
      </c>
      <c r="I268" t="s">
        <v>188</v>
      </c>
      <c r="J268" t="s">
        <v>710</v>
      </c>
      <c r="K268" t="s">
        <v>762</v>
      </c>
      <c r="L268" t="s">
        <v>763</v>
      </c>
      <c r="M268" s="9">
        <f>SUMIFS(#REF!,#REF!,
$A268,#REF!,
"&gt;="&amp;'Faturado mensal'!M$2,#REF!,
"&lt;"&amp;EOMONTH('Faturado mensal'!M$2,0))</f>
        <v>0</v>
      </c>
      <c r="N268" s="9">
        <f>SUMIFS(#REF!,#REF!,
$A268,#REF!,
"&gt;="&amp;'Faturado mensal'!N$2,#REF!,
"&lt;"&amp;EOMONTH('Faturado mensal'!N$2,0))</f>
        <v>0</v>
      </c>
      <c r="O268" s="9">
        <f>SUMIFS(#REF!,#REF!,
$A268,#REF!,
"&gt;="&amp;'Faturado mensal'!O$2,#REF!,
"&lt;"&amp;EOMONTH('Faturado mensal'!O$2,0))</f>
        <v>0</v>
      </c>
      <c r="P268" s="9">
        <f>SUMIFS(#REF!,#REF!,
$A268,#REF!,
"&gt;="&amp;'Faturado mensal'!P$2,#REF!,
"&lt;"&amp;EOMONTH('Faturado mensal'!P$2,0))</f>
        <v>0</v>
      </c>
      <c r="Q268" s="9">
        <f>SUMIFS(#REF!,#REF!,
$A268,#REF!,
"&gt;="&amp;'Faturado mensal'!Q$2,#REF!,
"&lt;"&amp;EOMONTH('Faturado mensal'!Q$2,0))</f>
        <v>0</v>
      </c>
      <c r="R268" s="9">
        <f>SUMIFS(#REF!,#REF!,
$A268,#REF!,
"&gt;="&amp;'Faturado mensal'!R$2,#REF!,
"&lt;"&amp;EOMONTH('Faturado mensal'!R$2,0))</f>
        <v>0</v>
      </c>
      <c r="S268" s="9">
        <f>SUMIFS(#REF!,#REF!,
$A268,#REF!,
"&gt;="&amp;'Faturado mensal'!S$2,#REF!,
"&lt;"&amp;EOMONTH('Faturado mensal'!S$2,0))</f>
        <v>0</v>
      </c>
      <c r="T268" s="9">
        <f>SUMIFS(#REF!,#REF!,
$A268,#REF!,
"&gt;="&amp;'Faturado mensal'!T$2,#REF!,
"&lt;"&amp;EOMONTH('Faturado mensal'!T$2,0))</f>
        <v>0</v>
      </c>
      <c r="U268" s="9">
        <f>SUMIFS(#REF!,#REF!,
$A268,#REF!,
"&gt;="&amp;'Faturado mensal'!U$2,#REF!,
"&lt;"&amp;EOMONTH('Faturado mensal'!U$2,0))</f>
        <v>0</v>
      </c>
      <c r="V268" s="9">
        <f>SUMIFS(#REF!,#REF!,
$A268,#REF!,
"&gt;="&amp;'Faturado mensal'!V$2,#REF!,
"&lt;"&amp;EOMONTH('Faturado mensal'!V$2,0))</f>
        <v>0</v>
      </c>
      <c r="W268" s="9">
        <f>SUMIFS(#REF!,#REF!,
$A268,#REF!,
"&gt;="&amp;'Faturado mensal'!W$2,#REF!,
"&lt;"&amp;EOMONTH('Faturado mensal'!W$2,0))</f>
        <v>0</v>
      </c>
      <c r="X268" s="9">
        <f>SUMIFS(#REF!,#REF!,
$A268,#REF!,
"&gt;="&amp;'Faturado mensal'!X$2,#REF!,
"&lt;"&amp;EOMONTH('Faturado mensal'!X$2,0))</f>
        <v>0</v>
      </c>
      <c r="Y268" s="11">
        <f>SUMIFS(#REF!,#REF!,
$A268,#REF!,
"&gt;="&amp;'Faturado mensal'!M$2,#REF!,
"&lt;"&amp;EOMONTH('Faturado mensal'!M$2,12))</f>
        <v>0</v>
      </c>
      <c r="Z268" s="9">
        <f>SUMIFS(#REF!,#REF!,
$A268,#REF!,
"&gt;="&amp;'Faturado mensal'!Z$2,#REF!,
"&lt;"&amp;EOMONTH('Faturado mensal'!Z$2,0))</f>
        <v>0</v>
      </c>
      <c r="AA268" s="9">
        <f>SUMIFS(#REF!,#REF!,
$A268,#REF!,
"&gt;="&amp;'Faturado mensal'!AA$2,#REF!,
"&lt;"&amp;EOMONTH('Faturado mensal'!AA$2,0))</f>
        <v>0</v>
      </c>
      <c r="AB268" s="9">
        <f>SUMIFS(#REF!,#REF!,
$A268,#REF!,
"&gt;="&amp;'Faturado mensal'!AB$2,#REF!,
"&lt;"&amp;EOMONTH('Faturado mensal'!AB$2,0))</f>
        <v>0</v>
      </c>
      <c r="AC268" s="9">
        <f>SUMIFS(#REF!,#REF!,
$A268,#REF!,
"&gt;="&amp;'Faturado mensal'!AC$2,#REF!,
"&lt;"&amp;EOMONTH('Faturado mensal'!AC$2,0))</f>
        <v>0</v>
      </c>
      <c r="AD268" s="9">
        <f>SUMIFS(#REF!,#REF!,
$A268,#REF!,
"&gt;="&amp;'Faturado mensal'!AD$2,#REF!,
"&lt;"&amp;EOMONTH('Faturado mensal'!AD$2,0))</f>
        <v>0</v>
      </c>
      <c r="AE268" s="9">
        <f>SUMIFS(#REF!,#REF!,
$A268,#REF!,
"&gt;="&amp;'Faturado mensal'!AE$2,#REF!,
"&lt;"&amp;EOMONTH('Faturado mensal'!AE$2,0))</f>
        <v>0</v>
      </c>
      <c r="AF268" s="9">
        <f>SUMIFS(#REF!,#REF!,
$A268,#REF!,
"&gt;="&amp;'Faturado mensal'!AF$2,#REF!,
"&lt;"&amp;EOMONTH('Faturado mensal'!AF$2,0))</f>
        <v>0</v>
      </c>
      <c r="AG268" s="9">
        <f>SUMIFS(#REF!,#REF!,
$A268,#REF!,
"&gt;="&amp;'Faturado mensal'!AG$2,#REF!,
"&lt;"&amp;EOMONTH('Faturado mensal'!AG$2,0))</f>
        <v>0</v>
      </c>
      <c r="AH268" s="9">
        <f>SUMIFS(#REF!,#REF!,
$A268,#REF!,
"&gt;="&amp;'Faturado mensal'!AH$2,#REF!,
"&lt;"&amp;EOMONTH('Faturado mensal'!AH$2,0))</f>
        <v>0</v>
      </c>
      <c r="AI268" s="9">
        <f>SUMIFS(#REF!,#REF!,
$A268,#REF!,
"&gt;="&amp;'Faturado mensal'!AI$2,#REF!,
"&lt;"&amp;EOMONTH('Faturado mensal'!AI$2,0))</f>
        <v>0</v>
      </c>
      <c r="AJ268" s="9">
        <f>SUMIFS(#REF!,#REF!,
$A268,#REF!,
"&gt;="&amp;'Faturado mensal'!AJ$2,#REF!,
"&lt;"&amp;EOMONTH('Faturado mensal'!AJ$2,0))</f>
        <v>0</v>
      </c>
      <c r="AK268" s="9">
        <f>SUMIFS(#REF!,#REF!,
$A268,#REF!,
"&gt;="&amp;'Faturado mensal'!AK$2,#REF!,
"&lt;"&amp;EOMONTH('Faturado mensal'!AK$2,0))</f>
        <v>0</v>
      </c>
      <c r="AL268" s="9">
        <f>SUMIFS(#REF!,#REF!,
$A268,#REF!,
"&gt;="&amp;Z$2,#REF!,
"&lt;"&amp;EOMONTH(AK$2,0))</f>
        <v>0</v>
      </c>
    </row>
    <row r="269" spans="1:38" x14ac:dyDescent="0.3">
      <c r="A269" t="s">
        <v>579</v>
      </c>
      <c r="B269" t="s">
        <v>580</v>
      </c>
      <c r="C269" t="s">
        <v>149</v>
      </c>
      <c r="D269" t="s">
        <v>209</v>
      </c>
      <c r="G269" t="s">
        <v>4852</v>
      </c>
      <c r="H269" t="s">
        <v>4773</v>
      </c>
      <c r="I269" t="s">
        <v>925</v>
      </c>
      <c r="J269" t="s">
        <v>710</v>
      </c>
      <c r="K269" t="s">
        <v>762</v>
      </c>
      <c r="L269" t="s">
        <v>763</v>
      </c>
      <c r="M269" s="9">
        <f>SUMIFS(#REF!,#REF!,
$A269,#REF!,
"&gt;="&amp;'Faturado mensal'!M$2,#REF!,
"&lt;"&amp;EOMONTH('Faturado mensal'!M$2,0))</f>
        <v>0</v>
      </c>
      <c r="N269" s="9">
        <f>SUMIFS(#REF!,#REF!,
$A269,#REF!,
"&gt;="&amp;'Faturado mensal'!N$2,#REF!,
"&lt;"&amp;EOMONTH('Faturado mensal'!N$2,0))</f>
        <v>0</v>
      </c>
      <c r="O269" s="9">
        <f>SUMIFS(#REF!,#REF!,
$A269,#REF!,
"&gt;="&amp;'Faturado mensal'!O$2,#REF!,
"&lt;"&amp;EOMONTH('Faturado mensal'!O$2,0))</f>
        <v>0</v>
      </c>
      <c r="P269" s="9">
        <f>SUMIFS(#REF!,#REF!,
$A269,#REF!,
"&gt;="&amp;'Faturado mensal'!P$2,#REF!,
"&lt;"&amp;EOMONTH('Faturado mensal'!P$2,0))</f>
        <v>0</v>
      </c>
      <c r="Q269" s="9">
        <f>SUMIFS(#REF!,#REF!,
$A269,#REF!,
"&gt;="&amp;'Faturado mensal'!Q$2,#REF!,
"&lt;"&amp;EOMONTH('Faturado mensal'!Q$2,0))</f>
        <v>0</v>
      </c>
      <c r="R269" s="9">
        <f>SUMIFS(#REF!,#REF!,
$A269,#REF!,
"&gt;="&amp;'Faturado mensal'!R$2,#REF!,
"&lt;"&amp;EOMONTH('Faturado mensal'!R$2,0))</f>
        <v>0</v>
      </c>
      <c r="S269" s="9">
        <f>SUMIFS(#REF!,#REF!,
$A269,#REF!,
"&gt;="&amp;'Faturado mensal'!S$2,#REF!,
"&lt;"&amp;EOMONTH('Faturado mensal'!S$2,0))</f>
        <v>0</v>
      </c>
      <c r="T269" s="9">
        <f>SUMIFS(#REF!,#REF!,
$A269,#REF!,
"&gt;="&amp;'Faturado mensal'!T$2,#REF!,
"&lt;"&amp;EOMONTH('Faturado mensal'!T$2,0))</f>
        <v>0</v>
      </c>
      <c r="U269" s="9">
        <f>SUMIFS(#REF!,#REF!,
$A269,#REF!,
"&gt;="&amp;'Faturado mensal'!U$2,#REF!,
"&lt;"&amp;EOMONTH('Faturado mensal'!U$2,0))</f>
        <v>0</v>
      </c>
      <c r="V269" s="9">
        <f>SUMIFS(#REF!,#REF!,
$A269,#REF!,
"&gt;="&amp;'Faturado mensal'!V$2,#REF!,
"&lt;"&amp;EOMONTH('Faturado mensal'!V$2,0))</f>
        <v>0</v>
      </c>
      <c r="W269" s="9">
        <f>SUMIFS(#REF!,#REF!,
$A269,#REF!,
"&gt;="&amp;'Faturado mensal'!W$2,#REF!,
"&lt;"&amp;EOMONTH('Faturado mensal'!W$2,0))</f>
        <v>0</v>
      </c>
      <c r="X269" s="9">
        <f>SUMIFS(#REF!,#REF!,
$A269,#REF!,
"&gt;="&amp;'Faturado mensal'!X$2,#REF!,
"&lt;"&amp;EOMONTH('Faturado mensal'!X$2,0))</f>
        <v>0</v>
      </c>
      <c r="Y269" s="11">
        <f>SUMIFS(#REF!,#REF!,
$A269,#REF!,
"&gt;="&amp;'Faturado mensal'!M$2,#REF!,
"&lt;"&amp;EOMONTH('Faturado mensal'!M$2,12))</f>
        <v>0</v>
      </c>
      <c r="Z269" s="9">
        <f>SUMIFS(#REF!,#REF!,
$A269,#REF!,
"&gt;="&amp;'Faturado mensal'!Z$2,#REF!,
"&lt;"&amp;EOMONTH('Faturado mensal'!Z$2,0))</f>
        <v>0</v>
      </c>
      <c r="AA269" s="9">
        <f>SUMIFS(#REF!,#REF!,
$A269,#REF!,
"&gt;="&amp;'Faturado mensal'!AA$2,#REF!,
"&lt;"&amp;EOMONTH('Faturado mensal'!AA$2,0))</f>
        <v>0</v>
      </c>
      <c r="AB269" s="9">
        <f>SUMIFS(#REF!,#REF!,
$A269,#REF!,
"&gt;="&amp;'Faturado mensal'!AB$2,#REF!,
"&lt;"&amp;EOMONTH('Faturado mensal'!AB$2,0))</f>
        <v>0</v>
      </c>
      <c r="AC269" s="9">
        <f>SUMIFS(#REF!,#REF!,
$A269,#REF!,
"&gt;="&amp;'Faturado mensal'!AC$2,#REF!,
"&lt;"&amp;EOMONTH('Faturado mensal'!AC$2,0))</f>
        <v>0</v>
      </c>
      <c r="AD269" s="9">
        <f>SUMIFS(#REF!,#REF!,
$A269,#REF!,
"&gt;="&amp;'Faturado mensal'!AD$2,#REF!,
"&lt;"&amp;EOMONTH('Faturado mensal'!AD$2,0))</f>
        <v>0</v>
      </c>
      <c r="AE269" s="9">
        <f>SUMIFS(#REF!,#REF!,
$A269,#REF!,
"&gt;="&amp;'Faturado mensal'!AE$2,#REF!,
"&lt;"&amp;EOMONTH('Faturado mensal'!AE$2,0))</f>
        <v>0</v>
      </c>
      <c r="AF269" s="9">
        <f>SUMIFS(#REF!,#REF!,
$A269,#REF!,
"&gt;="&amp;'Faturado mensal'!AF$2,#REF!,
"&lt;"&amp;EOMONTH('Faturado mensal'!AF$2,0))</f>
        <v>0</v>
      </c>
      <c r="AG269" s="9">
        <f>SUMIFS(#REF!,#REF!,
$A269,#REF!,
"&gt;="&amp;'Faturado mensal'!AG$2,#REF!,
"&lt;"&amp;EOMONTH('Faturado mensal'!AG$2,0))</f>
        <v>0</v>
      </c>
      <c r="AH269" s="9">
        <f>SUMIFS(#REF!,#REF!,
$A269,#REF!,
"&gt;="&amp;'Faturado mensal'!AH$2,#REF!,
"&lt;"&amp;EOMONTH('Faturado mensal'!AH$2,0))</f>
        <v>0</v>
      </c>
      <c r="AI269" s="9">
        <f>SUMIFS(#REF!,#REF!,
$A269,#REF!,
"&gt;="&amp;'Faturado mensal'!AI$2,#REF!,
"&lt;"&amp;EOMONTH('Faturado mensal'!AI$2,0))</f>
        <v>0</v>
      </c>
      <c r="AJ269" s="9">
        <f>SUMIFS(#REF!,#REF!,
$A269,#REF!,
"&gt;="&amp;'Faturado mensal'!AJ$2,#REF!,
"&lt;"&amp;EOMONTH('Faturado mensal'!AJ$2,0))</f>
        <v>0</v>
      </c>
      <c r="AK269" s="9">
        <f>SUMIFS(#REF!,#REF!,
$A269,#REF!,
"&gt;="&amp;'Faturado mensal'!AK$2,#REF!,
"&lt;"&amp;EOMONTH('Faturado mensal'!AK$2,0))</f>
        <v>0</v>
      </c>
      <c r="AL269" s="9">
        <f>SUMIFS(#REF!,#REF!,
$A269,#REF!,
"&gt;="&amp;Z$2,#REF!,
"&lt;"&amp;EOMONTH(AK$2,0))</f>
        <v>0</v>
      </c>
    </row>
    <row r="270" spans="1:38" x14ac:dyDescent="0.3">
      <c r="A270" t="s">
        <v>581</v>
      </c>
      <c r="B270" t="s">
        <v>546</v>
      </c>
      <c r="C270" t="s">
        <v>75</v>
      </c>
      <c r="D270" t="s">
        <v>204</v>
      </c>
      <c r="E270" t="s">
        <v>4843</v>
      </c>
      <c r="F270" t="s">
        <v>4779</v>
      </c>
      <c r="G270" t="s">
        <v>4852</v>
      </c>
      <c r="H270" t="s">
        <v>4773</v>
      </c>
      <c r="I270" t="s">
        <v>926</v>
      </c>
      <c r="J270" t="s">
        <v>814</v>
      </c>
      <c r="K270" t="s">
        <v>720</v>
      </c>
      <c r="L270" t="s">
        <v>721</v>
      </c>
      <c r="M270" s="9">
        <f>SUMIFS(#REF!,#REF!,
$A270,#REF!,
"&gt;="&amp;'Faturado mensal'!M$2,#REF!,
"&lt;"&amp;EOMONTH('Faturado mensal'!M$2,0))</f>
        <v>2850</v>
      </c>
      <c r="N270" s="9">
        <f>SUMIFS(#REF!,#REF!,
$A270,#REF!,
"&gt;="&amp;'Faturado mensal'!N$2,#REF!,
"&lt;"&amp;EOMONTH('Faturado mensal'!N$2,0))</f>
        <v>5700</v>
      </c>
      <c r="O270" s="9">
        <f>SUMIFS(#REF!,#REF!,
$A270,#REF!,
"&gt;="&amp;'Faturado mensal'!O$2,#REF!,
"&lt;"&amp;EOMONTH('Faturado mensal'!O$2,0))</f>
        <v>0</v>
      </c>
      <c r="P270" s="9">
        <f>SUMIFS(#REF!,#REF!,
$A270,#REF!,
"&gt;="&amp;'Faturado mensal'!P$2,#REF!,
"&lt;"&amp;EOMONTH('Faturado mensal'!P$2,0))</f>
        <v>18218.989999999998</v>
      </c>
      <c r="Q270" s="9">
        <f>SUMIFS(#REF!,#REF!,
$A270,#REF!,
"&gt;="&amp;'Faturado mensal'!Q$2,#REF!,
"&lt;"&amp;EOMONTH('Faturado mensal'!Q$2,0))</f>
        <v>3090.55</v>
      </c>
      <c r="R270" s="9">
        <f>SUMIFS(#REF!,#REF!,
$A270,#REF!,
"&gt;="&amp;'Faturado mensal'!R$2,#REF!,
"&lt;"&amp;EOMONTH('Faturado mensal'!R$2,0))</f>
        <v>0</v>
      </c>
      <c r="S270" s="9">
        <f>SUMIFS(#REF!,#REF!,
$A270,#REF!,
"&gt;="&amp;'Faturado mensal'!S$2,#REF!,
"&lt;"&amp;EOMONTH('Faturado mensal'!S$2,0))</f>
        <v>6181.1</v>
      </c>
      <c r="T270" s="9">
        <f>SUMIFS(#REF!,#REF!,
$A270,#REF!,
"&gt;="&amp;'Faturado mensal'!T$2,#REF!,
"&lt;"&amp;EOMONTH('Faturado mensal'!T$2,0))</f>
        <v>3090.55</v>
      </c>
      <c r="U270" s="9">
        <f>SUMIFS(#REF!,#REF!,
$A270,#REF!,
"&gt;="&amp;'Faturado mensal'!U$2,#REF!,
"&lt;"&amp;EOMONTH('Faturado mensal'!U$2,0))</f>
        <v>3090.55</v>
      </c>
      <c r="V270" s="9">
        <f>SUMIFS(#REF!,#REF!,
$A270,#REF!,
"&gt;="&amp;'Faturado mensal'!V$2,#REF!,
"&lt;"&amp;EOMONTH('Faturado mensal'!V$2,0))</f>
        <v>3090.55</v>
      </c>
      <c r="W270" s="9">
        <f>SUMIFS(#REF!,#REF!,
$A270,#REF!,
"&gt;="&amp;'Faturado mensal'!W$2,#REF!,
"&lt;"&amp;EOMONTH('Faturado mensal'!W$2,0))</f>
        <v>15081.099999999999</v>
      </c>
      <c r="X270" s="9">
        <f>SUMIFS(#REF!,#REF!,
$A270,#REF!,
"&gt;="&amp;'Faturado mensal'!X$2,#REF!,
"&lt;"&amp;EOMONTH('Faturado mensal'!X$2,0))</f>
        <v>3650</v>
      </c>
      <c r="Y270" s="11">
        <f>SUMIFS(#REF!,#REF!,
$A270,#REF!,
"&gt;="&amp;'Faturado mensal'!M$2,#REF!,
"&lt;"&amp;EOMONTH('Faturado mensal'!M$2,12))</f>
        <v>70783.940000000017</v>
      </c>
      <c r="Z270" s="9">
        <f>SUMIFS(#REF!,#REF!,
$A270,#REF!,
"&gt;="&amp;'Faturado mensal'!Z$2,#REF!,
"&lt;"&amp;EOMONTH('Faturado mensal'!Z$2,0))</f>
        <v>6740.55</v>
      </c>
      <c r="AA270" s="9">
        <f>SUMIFS(#REF!,#REF!,
$A270,#REF!,
"&gt;="&amp;'Faturado mensal'!AA$2,#REF!,
"&lt;"&amp;EOMONTH('Faturado mensal'!AA$2,0))</f>
        <v>6740.55</v>
      </c>
      <c r="AB270" s="9">
        <f>SUMIFS(#REF!,#REF!,
$A270,#REF!,
"&gt;="&amp;'Faturado mensal'!AB$2,#REF!,
"&lt;"&amp;EOMONTH('Faturado mensal'!AB$2,0))</f>
        <v>6740.55</v>
      </c>
      <c r="AC270" s="9">
        <f>SUMIFS(#REF!,#REF!,
$A270,#REF!,
"&gt;="&amp;'Faturado mensal'!AC$2,#REF!,
"&lt;"&amp;EOMONTH('Faturado mensal'!AC$2,0))</f>
        <v>6740.55</v>
      </c>
      <c r="AD270" s="9">
        <f>SUMIFS(#REF!,#REF!,
$A270,#REF!,
"&gt;="&amp;'Faturado mensal'!AD$2,#REF!,
"&lt;"&amp;EOMONTH('Faturado mensal'!AD$2,0))</f>
        <v>6740.55</v>
      </c>
      <c r="AE270" s="9">
        <f>SUMIFS(#REF!,#REF!,
$A270,#REF!,
"&gt;="&amp;'Faturado mensal'!AE$2,#REF!,
"&lt;"&amp;EOMONTH('Faturado mensal'!AE$2,0))</f>
        <v>6740.55</v>
      </c>
      <c r="AF270" s="9">
        <f>SUMIFS(#REF!,#REF!,
$A270,#REF!,
"&gt;="&amp;'Faturado mensal'!AF$2,#REF!,
"&lt;"&amp;EOMONTH('Faturado mensal'!AF$2,0))</f>
        <v>0</v>
      </c>
      <c r="AG270" s="9">
        <f>SUMIFS(#REF!,#REF!,
$A270,#REF!,
"&gt;="&amp;'Faturado mensal'!AG$2,#REF!,
"&lt;"&amp;EOMONTH('Faturado mensal'!AG$2,0))</f>
        <v>0</v>
      </c>
      <c r="AH270" s="9">
        <f>SUMIFS(#REF!,#REF!,
$A270,#REF!,
"&gt;="&amp;'Faturado mensal'!AH$2,#REF!,
"&lt;"&amp;EOMONTH('Faturado mensal'!AH$2,0))</f>
        <v>0</v>
      </c>
      <c r="AI270" s="9">
        <f>SUMIFS(#REF!,#REF!,
$A270,#REF!,
"&gt;="&amp;'Faturado mensal'!AI$2,#REF!,
"&lt;"&amp;EOMONTH('Faturado mensal'!AI$2,0))</f>
        <v>0</v>
      </c>
      <c r="AJ270" s="9">
        <f>SUMIFS(#REF!,#REF!,
$A270,#REF!,
"&gt;="&amp;'Faturado mensal'!AJ$2,#REF!,
"&lt;"&amp;EOMONTH('Faturado mensal'!AJ$2,0))</f>
        <v>0</v>
      </c>
      <c r="AK270" s="9">
        <f>SUMIFS(#REF!,#REF!,
$A270,#REF!,
"&gt;="&amp;'Faturado mensal'!AK$2,#REF!,
"&lt;"&amp;EOMONTH('Faturado mensal'!AK$2,0))</f>
        <v>0</v>
      </c>
      <c r="AL270" s="9">
        <f>SUMIFS(#REF!,#REF!,
$A270,#REF!,
"&gt;="&amp;Z$2,#REF!,
"&lt;"&amp;EOMONTH(AK$2,0))</f>
        <v>40443.300000000003</v>
      </c>
    </row>
    <row r="271" spans="1:38" x14ac:dyDescent="0.3">
      <c r="A271" t="s">
        <v>582</v>
      </c>
      <c r="B271" t="s">
        <v>550</v>
      </c>
      <c r="C271" t="s">
        <v>189</v>
      </c>
      <c r="D271" t="s">
        <v>204</v>
      </c>
      <c r="E271" t="s">
        <v>4832</v>
      </c>
      <c r="F271" t="s">
        <v>4792</v>
      </c>
      <c r="G271" t="s">
        <v>4845</v>
      </c>
      <c r="H271" t="s">
        <v>4772</v>
      </c>
      <c r="I271" t="s">
        <v>905</v>
      </c>
      <c r="J271" t="s">
        <v>710</v>
      </c>
      <c r="K271" t="s">
        <v>717</v>
      </c>
      <c r="L271" t="s">
        <v>718</v>
      </c>
      <c r="M271" s="9">
        <f>SUMIFS(#REF!,#REF!,
$A271,#REF!,
"&gt;="&amp;'Faturado mensal'!M$2,#REF!,
"&lt;"&amp;EOMONTH('Faturado mensal'!M$2,0))</f>
        <v>25574.29</v>
      </c>
      <c r="N271" s="9">
        <f>SUMIFS(#REF!,#REF!,
$A271,#REF!,
"&gt;="&amp;'Faturado mensal'!N$2,#REF!,
"&lt;"&amp;EOMONTH('Faturado mensal'!N$2,0))</f>
        <v>25574.29</v>
      </c>
      <c r="O271" s="9">
        <f>SUMIFS(#REF!,#REF!,
$A271,#REF!,
"&gt;="&amp;'Faturado mensal'!O$2,#REF!,
"&lt;"&amp;EOMONTH('Faturado mensal'!O$2,0))</f>
        <v>3453.65</v>
      </c>
      <c r="P271" s="9">
        <f>SUMIFS(#REF!,#REF!,
$A271,#REF!,
"&gt;="&amp;'Faturado mensal'!P$2,#REF!,
"&lt;"&amp;EOMONTH('Faturado mensal'!P$2,0))</f>
        <v>54602.22</v>
      </c>
      <c r="Q271" s="9">
        <f>SUMIFS(#REF!,#REF!,
$A271,#REF!,
"&gt;="&amp;'Faturado mensal'!Q$2,#REF!,
"&lt;"&amp;EOMONTH('Faturado mensal'!Q$2,0))</f>
        <v>27301.11</v>
      </c>
      <c r="R271" s="9">
        <f>SUMIFS(#REF!,#REF!,
$A271,#REF!,
"&gt;="&amp;'Faturado mensal'!R$2,#REF!,
"&lt;"&amp;EOMONTH('Faturado mensal'!R$2,0))</f>
        <v>27301.11</v>
      </c>
      <c r="S271" s="9">
        <f>SUMIFS(#REF!,#REF!,
$A271,#REF!,
"&gt;="&amp;'Faturado mensal'!S$2,#REF!,
"&lt;"&amp;EOMONTH('Faturado mensal'!S$2,0))</f>
        <v>27301.11</v>
      </c>
      <c r="T271" s="9">
        <f>SUMIFS(#REF!,#REF!,
$A271,#REF!,
"&gt;="&amp;'Faturado mensal'!T$2,#REF!,
"&lt;"&amp;EOMONTH('Faturado mensal'!T$2,0))</f>
        <v>27301.11</v>
      </c>
      <c r="U271" s="9">
        <f>SUMIFS(#REF!,#REF!,
$A271,#REF!,
"&gt;="&amp;'Faturado mensal'!U$2,#REF!,
"&lt;"&amp;EOMONTH('Faturado mensal'!U$2,0))</f>
        <v>27301.11</v>
      </c>
      <c r="V271" s="9">
        <f>SUMIFS(#REF!,#REF!,
$A271,#REF!,
"&gt;="&amp;'Faturado mensal'!V$2,#REF!,
"&lt;"&amp;EOMONTH('Faturado mensal'!V$2,0))</f>
        <v>27301.11</v>
      </c>
      <c r="W271" s="9">
        <f>SUMIFS(#REF!,#REF!,
$A271,#REF!,
"&gt;="&amp;'Faturado mensal'!W$2,#REF!,
"&lt;"&amp;EOMONTH('Faturado mensal'!W$2,0))</f>
        <v>27301.11</v>
      </c>
      <c r="X271" s="9">
        <f>SUMIFS(#REF!,#REF!,
$A271,#REF!,
"&gt;="&amp;'Faturado mensal'!X$2,#REF!,
"&lt;"&amp;EOMONTH('Faturado mensal'!X$2,0))</f>
        <v>27301.11</v>
      </c>
      <c r="Y271" s="11">
        <f>SUMIFS(#REF!,#REF!,
$A271,#REF!,
"&gt;="&amp;'Faturado mensal'!M$2,#REF!,
"&lt;"&amp;EOMONTH('Faturado mensal'!M$2,12))</f>
        <v>354691.15999999992</v>
      </c>
      <c r="Z271" s="9">
        <f>SUMIFS(#REF!,#REF!,
$A271,#REF!,
"&gt;="&amp;'Faturado mensal'!Z$2,#REF!,
"&lt;"&amp;EOMONTH('Faturado mensal'!Z$2,0))</f>
        <v>27077.83</v>
      </c>
      <c r="AA271" s="9">
        <f>SUMIFS(#REF!,#REF!,
$A271,#REF!,
"&gt;="&amp;'Faturado mensal'!AA$2,#REF!,
"&lt;"&amp;EOMONTH('Faturado mensal'!AA$2,0))</f>
        <v>0</v>
      </c>
      <c r="AB271" s="9">
        <f>SUMIFS(#REF!,#REF!,
$A271,#REF!,
"&gt;="&amp;'Faturado mensal'!AB$2,#REF!,
"&lt;"&amp;EOMONTH('Faturado mensal'!AB$2,0))</f>
        <v>27301.11</v>
      </c>
      <c r="AC271" s="9">
        <f>SUMIFS(#REF!,#REF!,
$A271,#REF!,
"&gt;="&amp;'Faturado mensal'!AC$2,#REF!,
"&lt;"&amp;EOMONTH('Faturado mensal'!AC$2,0))</f>
        <v>67051.55</v>
      </c>
      <c r="AD271" s="9">
        <f>SUMIFS(#REF!,#REF!,
$A271,#REF!,
"&gt;="&amp;'Faturado mensal'!AD$2,#REF!,
"&lt;"&amp;EOMONTH('Faturado mensal'!AD$2,0))</f>
        <v>0</v>
      </c>
      <c r="AE271" s="9">
        <f>SUMIFS(#REF!,#REF!,
$A271,#REF!,
"&gt;="&amp;'Faturado mensal'!AE$2,#REF!,
"&lt;"&amp;EOMONTH('Faturado mensal'!AE$2,0))</f>
        <v>30413.439999999999</v>
      </c>
      <c r="AF271" s="9">
        <f>SUMIFS(#REF!,#REF!,
$A271,#REF!,
"&gt;="&amp;'Faturado mensal'!AF$2,#REF!,
"&lt;"&amp;EOMONTH('Faturado mensal'!AF$2,0))</f>
        <v>0</v>
      </c>
      <c r="AG271" s="9">
        <f>SUMIFS(#REF!,#REF!,
$A271,#REF!,
"&gt;="&amp;'Faturado mensal'!AG$2,#REF!,
"&lt;"&amp;EOMONTH('Faturado mensal'!AG$2,0))</f>
        <v>0</v>
      </c>
      <c r="AH271" s="9">
        <f>SUMIFS(#REF!,#REF!,
$A271,#REF!,
"&gt;="&amp;'Faturado mensal'!AH$2,#REF!,
"&lt;"&amp;EOMONTH('Faturado mensal'!AH$2,0))</f>
        <v>0</v>
      </c>
      <c r="AI271" s="9">
        <f>SUMIFS(#REF!,#REF!,
$A271,#REF!,
"&gt;="&amp;'Faturado mensal'!AI$2,#REF!,
"&lt;"&amp;EOMONTH('Faturado mensal'!AI$2,0))</f>
        <v>0</v>
      </c>
      <c r="AJ271" s="9">
        <f>SUMIFS(#REF!,#REF!,
$A271,#REF!,
"&gt;="&amp;'Faturado mensal'!AJ$2,#REF!,
"&lt;"&amp;EOMONTH('Faturado mensal'!AJ$2,0))</f>
        <v>0</v>
      </c>
      <c r="AK271" s="9">
        <f>SUMIFS(#REF!,#REF!,
$A271,#REF!,
"&gt;="&amp;'Faturado mensal'!AK$2,#REF!,
"&lt;"&amp;EOMONTH('Faturado mensal'!AK$2,0))</f>
        <v>0</v>
      </c>
      <c r="AL271" s="9">
        <f>SUMIFS(#REF!,#REF!,
$A271,#REF!,
"&gt;="&amp;Z$2,#REF!,
"&lt;"&amp;EOMONTH(AK$2,0))</f>
        <v>151843.93</v>
      </c>
    </row>
    <row r="272" spans="1:38" x14ac:dyDescent="0.3">
      <c r="A272" t="s">
        <v>583</v>
      </c>
      <c r="B272" t="s">
        <v>552</v>
      </c>
      <c r="C272" t="s">
        <v>190</v>
      </c>
      <c r="D272" t="s">
        <v>204</v>
      </c>
      <c r="E272" t="s">
        <v>4832</v>
      </c>
      <c r="F272" t="s">
        <v>4792</v>
      </c>
      <c r="G272" t="s">
        <v>4845</v>
      </c>
      <c r="H272" t="s">
        <v>4772</v>
      </c>
      <c r="I272" t="s">
        <v>906</v>
      </c>
      <c r="J272" t="s">
        <v>710</v>
      </c>
      <c r="K272" t="s">
        <v>717</v>
      </c>
      <c r="L272" t="s">
        <v>718</v>
      </c>
      <c r="M272" s="9">
        <f>SUMIFS(#REF!,#REF!,
$A272,#REF!,
"&gt;="&amp;'Faturado mensal'!M$2,#REF!,
"&lt;"&amp;EOMONTH('Faturado mensal'!M$2,0))</f>
        <v>32705.040000000001</v>
      </c>
      <c r="N272" s="9">
        <f>SUMIFS(#REF!,#REF!,
$A272,#REF!,
"&gt;="&amp;'Faturado mensal'!N$2,#REF!,
"&lt;"&amp;EOMONTH('Faturado mensal'!N$2,0))</f>
        <v>32705.040000000001</v>
      </c>
      <c r="O272" s="9">
        <f>SUMIFS(#REF!,#REF!,
$A272,#REF!,
"&gt;="&amp;'Faturado mensal'!O$2,#REF!,
"&lt;"&amp;EOMONTH('Faturado mensal'!O$2,0))</f>
        <v>3296.66</v>
      </c>
      <c r="P272" s="9">
        <f>SUMIFS(#REF!,#REF!,
$A272,#REF!,
"&gt;="&amp;'Faturado mensal'!P$2,#REF!,
"&lt;"&amp;EOMONTH('Faturado mensal'!P$2,0))</f>
        <v>128504.08</v>
      </c>
      <c r="Q272" s="9">
        <f>SUMIFS(#REF!,#REF!,
$A272,#REF!,
"&gt;="&amp;'Faturado mensal'!Q$2,#REF!,
"&lt;"&amp;EOMONTH('Faturado mensal'!Q$2,0))</f>
        <v>64252.04</v>
      </c>
      <c r="R272" s="9">
        <f>SUMIFS(#REF!,#REF!,
$A272,#REF!,
"&gt;="&amp;'Faturado mensal'!R$2,#REF!,
"&lt;"&amp;EOMONTH('Faturado mensal'!R$2,0))</f>
        <v>64252.04</v>
      </c>
      <c r="S272" s="9">
        <f>SUMIFS(#REF!,#REF!,
$A272,#REF!,
"&gt;="&amp;'Faturado mensal'!S$2,#REF!,
"&lt;"&amp;EOMONTH('Faturado mensal'!S$2,0))</f>
        <v>64252.04</v>
      </c>
      <c r="T272" s="9">
        <f>SUMIFS(#REF!,#REF!,
$A272,#REF!,
"&gt;="&amp;'Faturado mensal'!T$2,#REF!,
"&lt;"&amp;EOMONTH('Faturado mensal'!T$2,0))</f>
        <v>64252.04</v>
      </c>
      <c r="U272" s="9">
        <f>SUMIFS(#REF!,#REF!,
$A272,#REF!,
"&gt;="&amp;'Faturado mensal'!U$2,#REF!,
"&lt;"&amp;EOMONTH('Faturado mensal'!U$2,0))</f>
        <v>64252.04</v>
      </c>
      <c r="V272" s="9">
        <f>SUMIFS(#REF!,#REF!,
$A272,#REF!,
"&gt;="&amp;'Faturado mensal'!V$2,#REF!,
"&lt;"&amp;EOMONTH('Faturado mensal'!V$2,0))</f>
        <v>64252.04</v>
      </c>
      <c r="W272" s="9">
        <f>SUMIFS(#REF!,#REF!,
$A272,#REF!,
"&gt;="&amp;'Faturado mensal'!W$2,#REF!,
"&lt;"&amp;EOMONTH('Faturado mensal'!W$2,0))</f>
        <v>64252.04</v>
      </c>
      <c r="X272" s="9">
        <f>SUMIFS(#REF!,#REF!,
$A272,#REF!,
"&gt;="&amp;'Faturado mensal'!X$2,#REF!,
"&lt;"&amp;EOMONTH('Faturado mensal'!X$2,0))</f>
        <v>64045.55</v>
      </c>
      <c r="Y272" s="11">
        <f>SUMIFS(#REF!,#REF!,
$A272,#REF!,
"&gt;="&amp;'Faturado mensal'!M$2,#REF!,
"&lt;"&amp;EOMONTH('Faturado mensal'!M$2,12))</f>
        <v>775272.69000000006</v>
      </c>
      <c r="Z272" s="9">
        <f>SUMIFS(#REF!,#REF!,
$A272,#REF!,
"&gt;="&amp;'Faturado mensal'!Z$2,#REF!,
"&lt;"&amp;EOMONTH('Faturado mensal'!Z$2,0))</f>
        <v>64252.04</v>
      </c>
      <c r="AA272" s="9">
        <f>SUMIFS(#REF!,#REF!,
$A272,#REF!,
"&gt;="&amp;'Faturado mensal'!AA$2,#REF!,
"&lt;"&amp;EOMONTH('Faturado mensal'!AA$2,0))</f>
        <v>0</v>
      </c>
      <c r="AB272" s="9">
        <f>SUMIFS(#REF!,#REF!,
$A272,#REF!,
"&gt;="&amp;'Faturado mensal'!AB$2,#REF!,
"&lt;"&amp;EOMONTH('Faturado mensal'!AB$2,0))</f>
        <v>64252.04</v>
      </c>
      <c r="AC272" s="9">
        <f>SUMIFS(#REF!,#REF!,
$A272,#REF!,
"&gt;="&amp;'Faturado mensal'!AC$2,#REF!,
"&lt;"&amp;EOMONTH('Faturado mensal'!AC$2,0))</f>
        <v>147317.07999999999</v>
      </c>
      <c r="AD272" s="9">
        <f>SUMIFS(#REF!,#REF!,
$A272,#REF!,
"&gt;="&amp;'Faturado mensal'!AD$2,#REF!,
"&lt;"&amp;EOMONTH('Faturado mensal'!AD$2,0))</f>
        <v>0</v>
      </c>
      <c r="AE272" s="9">
        <f>SUMIFS(#REF!,#REF!,
$A272,#REF!,
"&gt;="&amp;'Faturado mensal'!AE$2,#REF!,
"&lt;"&amp;EOMONTH('Faturado mensal'!AE$2,0))</f>
        <v>68955.289999999994</v>
      </c>
      <c r="AF272" s="9">
        <f>SUMIFS(#REF!,#REF!,
$A272,#REF!,
"&gt;="&amp;'Faturado mensal'!AF$2,#REF!,
"&lt;"&amp;EOMONTH('Faturado mensal'!AF$2,0))</f>
        <v>0</v>
      </c>
      <c r="AG272" s="9">
        <f>SUMIFS(#REF!,#REF!,
$A272,#REF!,
"&gt;="&amp;'Faturado mensal'!AG$2,#REF!,
"&lt;"&amp;EOMONTH('Faturado mensal'!AG$2,0))</f>
        <v>0</v>
      </c>
      <c r="AH272" s="9">
        <f>SUMIFS(#REF!,#REF!,
$A272,#REF!,
"&gt;="&amp;'Faturado mensal'!AH$2,#REF!,
"&lt;"&amp;EOMONTH('Faturado mensal'!AH$2,0))</f>
        <v>0</v>
      </c>
      <c r="AI272" s="9">
        <f>SUMIFS(#REF!,#REF!,
$A272,#REF!,
"&gt;="&amp;'Faturado mensal'!AI$2,#REF!,
"&lt;"&amp;EOMONTH('Faturado mensal'!AI$2,0))</f>
        <v>0</v>
      </c>
      <c r="AJ272" s="9">
        <f>SUMIFS(#REF!,#REF!,
$A272,#REF!,
"&gt;="&amp;'Faturado mensal'!AJ$2,#REF!,
"&lt;"&amp;EOMONTH('Faturado mensal'!AJ$2,0))</f>
        <v>0</v>
      </c>
      <c r="AK272" s="9">
        <f>SUMIFS(#REF!,#REF!,
$A272,#REF!,
"&gt;="&amp;'Faturado mensal'!AK$2,#REF!,
"&lt;"&amp;EOMONTH('Faturado mensal'!AK$2,0))</f>
        <v>0</v>
      </c>
      <c r="AL272" s="9">
        <f>SUMIFS(#REF!,#REF!,
$A272,#REF!,
"&gt;="&amp;Z$2,#REF!,
"&lt;"&amp;EOMONTH(AK$2,0))</f>
        <v>344776.44999999995</v>
      </c>
    </row>
    <row r="273" spans="1:38" x14ac:dyDescent="0.3">
      <c r="A273" t="s">
        <v>584</v>
      </c>
      <c r="B273" t="s">
        <v>585</v>
      </c>
      <c r="C273" t="s">
        <v>179</v>
      </c>
      <c r="D273" t="s">
        <v>204</v>
      </c>
      <c r="E273" t="s">
        <v>4833</v>
      </c>
      <c r="F273" t="s">
        <v>4786</v>
      </c>
      <c r="G273" t="s">
        <v>4852</v>
      </c>
      <c r="H273" t="s">
        <v>4771</v>
      </c>
      <c r="I273" t="s">
        <v>927</v>
      </c>
      <c r="J273" t="s">
        <v>719</v>
      </c>
      <c r="K273" t="s">
        <v>717</v>
      </c>
      <c r="L273" t="s">
        <v>718</v>
      </c>
      <c r="M273" s="9">
        <f>SUMIFS(#REF!,#REF!,
$A273,#REF!,
"&gt;="&amp;'Faturado mensal'!M$2,#REF!,
"&lt;"&amp;EOMONTH('Faturado mensal'!M$2,0))</f>
        <v>1139.9000000000001</v>
      </c>
      <c r="N273" s="9">
        <f>SUMIFS(#REF!,#REF!,
$A273,#REF!,
"&gt;="&amp;'Faturado mensal'!N$2,#REF!,
"&lt;"&amp;EOMONTH('Faturado mensal'!N$2,0))</f>
        <v>1139.9000000000001</v>
      </c>
      <c r="O273" s="9">
        <f>SUMIFS(#REF!,#REF!,
$A273,#REF!,
"&gt;="&amp;'Faturado mensal'!O$2,#REF!,
"&lt;"&amp;EOMONTH('Faturado mensal'!O$2,0))</f>
        <v>0</v>
      </c>
      <c r="P273" s="9">
        <f>SUMIFS(#REF!,#REF!,
$A273,#REF!,
"&gt;="&amp;'Faturado mensal'!P$2,#REF!,
"&lt;"&amp;EOMONTH('Faturado mensal'!P$2,0))</f>
        <v>1139.9000000000001</v>
      </c>
      <c r="Q273" s="9">
        <f>SUMIFS(#REF!,#REF!,
$A273,#REF!,
"&gt;="&amp;'Faturado mensal'!Q$2,#REF!,
"&lt;"&amp;EOMONTH('Faturado mensal'!Q$2,0))</f>
        <v>1139.9000000000001</v>
      </c>
      <c r="R273" s="9">
        <f>SUMIFS(#REF!,#REF!,
$A273,#REF!,
"&gt;="&amp;'Faturado mensal'!R$2,#REF!,
"&lt;"&amp;EOMONTH('Faturado mensal'!R$2,0))</f>
        <v>1139.9000000000001</v>
      </c>
      <c r="S273" s="9">
        <f>SUMIFS(#REF!,#REF!,
$A273,#REF!,
"&gt;="&amp;'Faturado mensal'!S$2,#REF!,
"&lt;"&amp;EOMONTH('Faturado mensal'!S$2,0))</f>
        <v>1139.9000000000001</v>
      </c>
      <c r="T273" s="9">
        <f>SUMIFS(#REF!,#REF!,
$A273,#REF!,
"&gt;="&amp;'Faturado mensal'!T$2,#REF!,
"&lt;"&amp;EOMONTH('Faturado mensal'!T$2,0))</f>
        <v>1139.9000000000001</v>
      </c>
      <c r="U273" s="9">
        <f>SUMIFS(#REF!,#REF!,
$A273,#REF!,
"&gt;="&amp;'Faturado mensal'!U$2,#REF!,
"&lt;"&amp;EOMONTH('Faturado mensal'!U$2,0))</f>
        <v>1139.9000000000001</v>
      </c>
      <c r="V273" s="9">
        <f>SUMIFS(#REF!,#REF!,
$A273,#REF!,
"&gt;="&amp;'Faturado mensal'!V$2,#REF!,
"&lt;"&amp;EOMONTH('Faturado mensal'!V$2,0))</f>
        <v>1139.9000000000001</v>
      </c>
      <c r="W273" s="9">
        <f>SUMIFS(#REF!,#REF!,
$A273,#REF!,
"&gt;="&amp;'Faturado mensal'!W$2,#REF!,
"&lt;"&amp;EOMONTH('Faturado mensal'!W$2,0))</f>
        <v>1139.9000000000001</v>
      </c>
      <c r="X273" s="9">
        <f>SUMIFS(#REF!,#REF!,
$A273,#REF!,
"&gt;="&amp;'Faturado mensal'!X$2,#REF!,
"&lt;"&amp;EOMONTH('Faturado mensal'!X$2,0))</f>
        <v>1139.9000000000001</v>
      </c>
      <c r="Y273" s="11">
        <f>SUMIFS(#REF!,#REF!,
$A273,#REF!,
"&gt;="&amp;'Faturado mensal'!M$2,#REF!,
"&lt;"&amp;EOMONTH('Faturado mensal'!M$2,12))</f>
        <v>13678.799999999997</v>
      </c>
      <c r="Z273" s="9">
        <f>SUMIFS(#REF!,#REF!,
$A273,#REF!,
"&gt;="&amp;'Faturado mensal'!Z$2,#REF!,
"&lt;"&amp;EOMONTH('Faturado mensal'!Z$2,0))</f>
        <v>1139.9000000000001</v>
      </c>
      <c r="AA273" s="9">
        <f>SUMIFS(#REF!,#REF!,
$A273,#REF!,
"&gt;="&amp;'Faturado mensal'!AA$2,#REF!,
"&lt;"&amp;EOMONTH('Faturado mensal'!AA$2,0))</f>
        <v>1139.9000000000001</v>
      </c>
      <c r="AB273" s="9">
        <f>SUMIFS(#REF!,#REF!,
$A273,#REF!,
"&gt;="&amp;'Faturado mensal'!AB$2,#REF!,
"&lt;"&amp;EOMONTH('Faturado mensal'!AB$2,0))</f>
        <v>1139.9000000000001</v>
      </c>
      <c r="AC273" s="9">
        <f>SUMIFS(#REF!,#REF!,
$A273,#REF!,
"&gt;="&amp;'Faturado mensal'!AC$2,#REF!,
"&lt;"&amp;EOMONTH('Faturado mensal'!AC$2,0))</f>
        <v>1139.9000000000001</v>
      </c>
      <c r="AD273" s="9">
        <f>SUMIFS(#REF!,#REF!,
$A273,#REF!,
"&gt;="&amp;'Faturado mensal'!AD$2,#REF!,
"&lt;"&amp;EOMONTH('Faturado mensal'!AD$2,0))</f>
        <v>1139.9000000000001</v>
      </c>
      <c r="AE273" s="9">
        <f>SUMIFS(#REF!,#REF!,
$A273,#REF!,
"&gt;="&amp;'Faturado mensal'!AE$2,#REF!,
"&lt;"&amp;EOMONTH('Faturado mensal'!AE$2,0))</f>
        <v>1139.9000000000001</v>
      </c>
      <c r="AF273" s="9">
        <f>SUMIFS(#REF!,#REF!,
$A273,#REF!,
"&gt;="&amp;'Faturado mensal'!AF$2,#REF!,
"&lt;"&amp;EOMONTH('Faturado mensal'!AF$2,0))</f>
        <v>0</v>
      </c>
      <c r="AG273" s="9">
        <f>SUMIFS(#REF!,#REF!,
$A273,#REF!,
"&gt;="&amp;'Faturado mensal'!AG$2,#REF!,
"&lt;"&amp;EOMONTH('Faturado mensal'!AG$2,0))</f>
        <v>0</v>
      </c>
      <c r="AH273" s="9">
        <f>SUMIFS(#REF!,#REF!,
$A273,#REF!,
"&gt;="&amp;'Faturado mensal'!AH$2,#REF!,
"&lt;"&amp;EOMONTH('Faturado mensal'!AH$2,0))</f>
        <v>0</v>
      </c>
      <c r="AI273" s="9">
        <f>SUMIFS(#REF!,#REF!,
$A273,#REF!,
"&gt;="&amp;'Faturado mensal'!AI$2,#REF!,
"&lt;"&amp;EOMONTH('Faturado mensal'!AI$2,0))</f>
        <v>0</v>
      </c>
      <c r="AJ273" s="9">
        <f>SUMIFS(#REF!,#REF!,
$A273,#REF!,
"&gt;="&amp;'Faturado mensal'!AJ$2,#REF!,
"&lt;"&amp;EOMONTH('Faturado mensal'!AJ$2,0))</f>
        <v>0</v>
      </c>
      <c r="AK273" s="9">
        <f>SUMIFS(#REF!,#REF!,
$A273,#REF!,
"&gt;="&amp;'Faturado mensal'!AK$2,#REF!,
"&lt;"&amp;EOMONTH('Faturado mensal'!AK$2,0))</f>
        <v>0</v>
      </c>
      <c r="AL273" s="9">
        <f>SUMIFS(#REF!,#REF!,
$A273,#REF!,
"&gt;="&amp;Z$2,#REF!,
"&lt;"&amp;EOMONTH(AK$2,0))</f>
        <v>6839.4</v>
      </c>
    </row>
    <row r="274" spans="1:38" x14ac:dyDescent="0.3">
      <c r="A274" t="s">
        <v>586</v>
      </c>
      <c r="B274" t="s">
        <v>585</v>
      </c>
      <c r="C274" t="s">
        <v>179</v>
      </c>
      <c r="D274" t="s">
        <v>204</v>
      </c>
      <c r="E274" t="s">
        <v>4833</v>
      </c>
      <c r="F274" t="s">
        <v>4786</v>
      </c>
      <c r="G274" t="s">
        <v>4852</v>
      </c>
      <c r="H274" t="s">
        <v>4771</v>
      </c>
      <c r="I274" t="s">
        <v>927</v>
      </c>
      <c r="J274" t="s">
        <v>719</v>
      </c>
      <c r="K274" t="s">
        <v>768</v>
      </c>
      <c r="L274" t="s">
        <v>769</v>
      </c>
      <c r="M274" s="9">
        <f>SUMIFS(#REF!,#REF!,
$A274,#REF!,
"&gt;="&amp;'Faturado mensal'!M$2,#REF!,
"&lt;"&amp;EOMONTH('Faturado mensal'!M$2,0))</f>
        <v>1139.9000000000001</v>
      </c>
      <c r="N274" s="9">
        <f>SUMIFS(#REF!,#REF!,
$A274,#REF!,
"&gt;="&amp;'Faturado mensal'!N$2,#REF!,
"&lt;"&amp;EOMONTH('Faturado mensal'!N$2,0))</f>
        <v>1139.9000000000001</v>
      </c>
      <c r="O274" s="9">
        <f>SUMIFS(#REF!,#REF!,
$A274,#REF!,
"&gt;="&amp;'Faturado mensal'!O$2,#REF!,
"&lt;"&amp;EOMONTH('Faturado mensal'!O$2,0))</f>
        <v>0</v>
      </c>
      <c r="P274" s="9">
        <f>SUMIFS(#REF!,#REF!,
$A274,#REF!,
"&gt;="&amp;'Faturado mensal'!P$2,#REF!,
"&lt;"&amp;EOMONTH('Faturado mensal'!P$2,0))</f>
        <v>1139.9000000000001</v>
      </c>
      <c r="Q274" s="9">
        <f>SUMIFS(#REF!,#REF!,
$A274,#REF!,
"&gt;="&amp;'Faturado mensal'!Q$2,#REF!,
"&lt;"&amp;EOMONTH('Faturado mensal'!Q$2,0))</f>
        <v>1139.9000000000001</v>
      </c>
      <c r="R274" s="9">
        <f>SUMIFS(#REF!,#REF!,
$A274,#REF!,
"&gt;="&amp;'Faturado mensal'!R$2,#REF!,
"&lt;"&amp;EOMONTH('Faturado mensal'!R$2,0))</f>
        <v>1139.9000000000001</v>
      </c>
      <c r="S274" s="9">
        <f>SUMIFS(#REF!,#REF!,
$A274,#REF!,
"&gt;="&amp;'Faturado mensal'!S$2,#REF!,
"&lt;"&amp;EOMONTH('Faturado mensal'!S$2,0))</f>
        <v>1139.9000000000001</v>
      </c>
      <c r="T274" s="9">
        <f>SUMIFS(#REF!,#REF!,
$A274,#REF!,
"&gt;="&amp;'Faturado mensal'!T$2,#REF!,
"&lt;"&amp;EOMONTH('Faturado mensal'!T$2,0))</f>
        <v>1139.9000000000001</v>
      </c>
      <c r="U274" s="9">
        <f>SUMIFS(#REF!,#REF!,
$A274,#REF!,
"&gt;="&amp;'Faturado mensal'!U$2,#REF!,
"&lt;"&amp;EOMONTH('Faturado mensal'!U$2,0))</f>
        <v>1139.9000000000001</v>
      </c>
      <c r="V274" s="9">
        <f>SUMIFS(#REF!,#REF!,
$A274,#REF!,
"&gt;="&amp;'Faturado mensal'!V$2,#REF!,
"&lt;"&amp;EOMONTH('Faturado mensal'!V$2,0))</f>
        <v>1139.9000000000001</v>
      </c>
      <c r="W274" s="9">
        <f>SUMIFS(#REF!,#REF!,
$A274,#REF!,
"&gt;="&amp;'Faturado mensal'!W$2,#REF!,
"&lt;"&amp;EOMONTH('Faturado mensal'!W$2,0))</f>
        <v>1139.9000000000001</v>
      </c>
      <c r="X274" s="9">
        <f>SUMIFS(#REF!,#REF!,
$A274,#REF!,
"&gt;="&amp;'Faturado mensal'!X$2,#REF!,
"&lt;"&amp;EOMONTH('Faturado mensal'!X$2,0))</f>
        <v>1139.9000000000001</v>
      </c>
      <c r="Y274" s="11">
        <f>SUMIFS(#REF!,#REF!,
$A274,#REF!,
"&gt;="&amp;'Faturado mensal'!M$2,#REF!,
"&lt;"&amp;EOMONTH('Faturado mensal'!M$2,12))</f>
        <v>13678.799999999997</v>
      </c>
      <c r="Z274" s="9">
        <f>SUMIFS(#REF!,#REF!,
$A274,#REF!,
"&gt;="&amp;'Faturado mensal'!Z$2,#REF!,
"&lt;"&amp;EOMONTH('Faturado mensal'!Z$2,0))</f>
        <v>1139.9000000000001</v>
      </c>
      <c r="AA274" s="9">
        <f>SUMIFS(#REF!,#REF!,
$A274,#REF!,
"&gt;="&amp;'Faturado mensal'!AA$2,#REF!,
"&lt;"&amp;EOMONTH('Faturado mensal'!AA$2,0))</f>
        <v>1139.9000000000001</v>
      </c>
      <c r="AB274" s="9">
        <f>SUMIFS(#REF!,#REF!,
$A274,#REF!,
"&gt;="&amp;'Faturado mensal'!AB$2,#REF!,
"&lt;"&amp;EOMONTH('Faturado mensal'!AB$2,0))</f>
        <v>1139.9000000000001</v>
      </c>
      <c r="AC274" s="9">
        <f>SUMIFS(#REF!,#REF!,
$A274,#REF!,
"&gt;="&amp;'Faturado mensal'!AC$2,#REF!,
"&lt;"&amp;EOMONTH('Faturado mensal'!AC$2,0))</f>
        <v>1139.9000000000001</v>
      </c>
      <c r="AD274" s="9">
        <f>SUMIFS(#REF!,#REF!,
$A274,#REF!,
"&gt;="&amp;'Faturado mensal'!AD$2,#REF!,
"&lt;"&amp;EOMONTH('Faturado mensal'!AD$2,0))</f>
        <v>1139.9000000000001</v>
      </c>
      <c r="AE274" s="9">
        <f>SUMIFS(#REF!,#REF!,
$A274,#REF!,
"&gt;="&amp;'Faturado mensal'!AE$2,#REF!,
"&lt;"&amp;EOMONTH('Faturado mensal'!AE$2,0))</f>
        <v>1139.9000000000001</v>
      </c>
      <c r="AF274" s="9">
        <f>SUMIFS(#REF!,#REF!,
$A274,#REF!,
"&gt;="&amp;'Faturado mensal'!AF$2,#REF!,
"&lt;"&amp;EOMONTH('Faturado mensal'!AF$2,0))</f>
        <v>0</v>
      </c>
      <c r="AG274" s="9">
        <f>SUMIFS(#REF!,#REF!,
$A274,#REF!,
"&gt;="&amp;'Faturado mensal'!AG$2,#REF!,
"&lt;"&amp;EOMONTH('Faturado mensal'!AG$2,0))</f>
        <v>0</v>
      </c>
      <c r="AH274" s="9">
        <f>SUMIFS(#REF!,#REF!,
$A274,#REF!,
"&gt;="&amp;'Faturado mensal'!AH$2,#REF!,
"&lt;"&amp;EOMONTH('Faturado mensal'!AH$2,0))</f>
        <v>0</v>
      </c>
      <c r="AI274" s="9">
        <f>SUMIFS(#REF!,#REF!,
$A274,#REF!,
"&gt;="&amp;'Faturado mensal'!AI$2,#REF!,
"&lt;"&amp;EOMONTH('Faturado mensal'!AI$2,0))</f>
        <v>0</v>
      </c>
      <c r="AJ274" s="9">
        <f>SUMIFS(#REF!,#REF!,
$A274,#REF!,
"&gt;="&amp;'Faturado mensal'!AJ$2,#REF!,
"&lt;"&amp;EOMONTH('Faturado mensal'!AJ$2,0))</f>
        <v>0</v>
      </c>
      <c r="AK274" s="9">
        <f>SUMIFS(#REF!,#REF!,
$A274,#REF!,
"&gt;="&amp;'Faturado mensal'!AK$2,#REF!,
"&lt;"&amp;EOMONTH('Faturado mensal'!AK$2,0))</f>
        <v>0</v>
      </c>
      <c r="AL274" s="9">
        <f>SUMIFS(#REF!,#REF!,
$A274,#REF!,
"&gt;="&amp;Z$2,#REF!,
"&lt;"&amp;EOMONTH(AK$2,0))</f>
        <v>6839.4</v>
      </c>
    </row>
    <row r="275" spans="1:38" x14ac:dyDescent="0.3">
      <c r="A275" t="s">
        <v>587</v>
      </c>
      <c r="B275" t="s">
        <v>588</v>
      </c>
      <c r="C275" t="s">
        <v>136</v>
      </c>
      <c r="D275" t="s">
        <v>204</v>
      </c>
      <c r="E275" t="s">
        <v>4834</v>
      </c>
      <c r="F275" t="s">
        <v>4809</v>
      </c>
      <c r="G275" t="s">
        <v>4853</v>
      </c>
      <c r="H275" t="s">
        <v>4773</v>
      </c>
      <c r="I275" t="s">
        <v>137</v>
      </c>
      <c r="J275" t="s">
        <v>710</v>
      </c>
      <c r="K275" t="s">
        <v>711</v>
      </c>
      <c r="L275" t="s">
        <v>712</v>
      </c>
      <c r="M275" s="9">
        <f>SUMIFS(#REF!,#REF!,
$A275,#REF!,
"&gt;="&amp;'Faturado mensal'!M$2,#REF!,
"&lt;"&amp;EOMONTH('Faturado mensal'!M$2,0))</f>
        <v>0</v>
      </c>
      <c r="N275" s="9">
        <f>SUMIFS(#REF!,#REF!,
$A275,#REF!,
"&gt;="&amp;'Faturado mensal'!N$2,#REF!,
"&lt;"&amp;EOMONTH('Faturado mensal'!N$2,0))</f>
        <v>0</v>
      </c>
      <c r="O275" s="9">
        <f>SUMIFS(#REF!,#REF!,
$A275,#REF!,
"&gt;="&amp;'Faturado mensal'!O$2,#REF!,
"&lt;"&amp;EOMONTH('Faturado mensal'!O$2,0))</f>
        <v>0</v>
      </c>
      <c r="P275" s="9">
        <f>SUMIFS(#REF!,#REF!,
$A275,#REF!,
"&gt;="&amp;'Faturado mensal'!P$2,#REF!,
"&lt;"&amp;EOMONTH('Faturado mensal'!P$2,0))</f>
        <v>19339.05</v>
      </c>
      <c r="Q275" s="9">
        <f>SUMIFS(#REF!,#REF!,
$A275,#REF!,
"&gt;="&amp;'Faturado mensal'!Q$2,#REF!,
"&lt;"&amp;EOMONTH('Faturado mensal'!Q$2,0))</f>
        <v>0</v>
      </c>
      <c r="R275" s="9">
        <f>SUMIFS(#REF!,#REF!,
$A275,#REF!,
"&gt;="&amp;'Faturado mensal'!R$2,#REF!,
"&lt;"&amp;EOMONTH('Faturado mensal'!R$2,0))</f>
        <v>0</v>
      </c>
      <c r="S275" s="9">
        <f>SUMIFS(#REF!,#REF!,
$A275,#REF!,
"&gt;="&amp;'Faturado mensal'!S$2,#REF!,
"&lt;"&amp;EOMONTH('Faturado mensal'!S$2,0))</f>
        <v>0</v>
      </c>
      <c r="T275" s="9">
        <f>SUMIFS(#REF!,#REF!,
$A275,#REF!,
"&gt;="&amp;'Faturado mensal'!T$2,#REF!,
"&lt;"&amp;EOMONTH('Faturado mensal'!T$2,0))</f>
        <v>0</v>
      </c>
      <c r="U275" s="9">
        <f>SUMIFS(#REF!,#REF!,
$A275,#REF!,
"&gt;="&amp;'Faturado mensal'!U$2,#REF!,
"&lt;"&amp;EOMONTH('Faturado mensal'!U$2,0))</f>
        <v>0</v>
      </c>
      <c r="V275" s="9">
        <f>SUMIFS(#REF!,#REF!,
$A275,#REF!,
"&gt;="&amp;'Faturado mensal'!V$2,#REF!,
"&lt;"&amp;EOMONTH('Faturado mensal'!V$2,0))</f>
        <v>0</v>
      </c>
      <c r="W275" s="9">
        <f>SUMIFS(#REF!,#REF!,
$A275,#REF!,
"&gt;="&amp;'Faturado mensal'!W$2,#REF!,
"&lt;"&amp;EOMONTH('Faturado mensal'!W$2,0))</f>
        <v>0</v>
      </c>
      <c r="X275" s="9">
        <f>SUMIFS(#REF!,#REF!,
$A275,#REF!,
"&gt;="&amp;'Faturado mensal'!X$2,#REF!,
"&lt;"&amp;EOMONTH('Faturado mensal'!X$2,0))</f>
        <v>0</v>
      </c>
      <c r="Y275" s="11">
        <f>SUMIFS(#REF!,#REF!,
$A275,#REF!,
"&gt;="&amp;'Faturado mensal'!M$2,#REF!,
"&lt;"&amp;EOMONTH('Faturado mensal'!M$2,12))</f>
        <v>19339.05</v>
      </c>
      <c r="Z275" s="9">
        <f>SUMIFS(#REF!,#REF!,
$A275,#REF!,
"&gt;="&amp;'Faturado mensal'!Z$2,#REF!,
"&lt;"&amp;EOMONTH('Faturado mensal'!Z$2,0))</f>
        <v>0</v>
      </c>
      <c r="AA275" s="9">
        <f>SUMIFS(#REF!,#REF!,
$A275,#REF!,
"&gt;="&amp;'Faturado mensal'!AA$2,#REF!,
"&lt;"&amp;EOMONTH('Faturado mensal'!AA$2,0))</f>
        <v>0</v>
      </c>
      <c r="AB275" s="9">
        <f>SUMIFS(#REF!,#REF!,
$A275,#REF!,
"&gt;="&amp;'Faturado mensal'!AB$2,#REF!,
"&lt;"&amp;EOMONTH('Faturado mensal'!AB$2,0))</f>
        <v>0</v>
      </c>
      <c r="AC275" s="9">
        <f>SUMIFS(#REF!,#REF!,
$A275,#REF!,
"&gt;="&amp;'Faturado mensal'!AC$2,#REF!,
"&lt;"&amp;EOMONTH('Faturado mensal'!AC$2,0))</f>
        <v>10935.6</v>
      </c>
      <c r="AD275" s="9">
        <f>SUMIFS(#REF!,#REF!,
$A275,#REF!,
"&gt;="&amp;'Faturado mensal'!AD$2,#REF!,
"&lt;"&amp;EOMONTH('Faturado mensal'!AD$2,0))</f>
        <v>0</v>
      </c>
      <c r="AE275" s="9">
        <f>SUMIFS(#REF!,#REF!,
$A275,#REF!,
"&gt;="&amp;'Faturado mensal'!AE$2,#REF!,
"&lt;"&amp;EOMONTH('Faturado mensal'!AE$2,0))</f>
        <v>0</v>
      </c>
      <c r="AF275" s="9">
        <f>SUMIFS(#REF!,#REF!,
$A275,#REF!,
"&gt;="&amp;'Faturado mensal'!AF$2,#REF!,
"&lt;"&amp;EOMONTH('Faturado mensal'!AF$2,0))</f>
        <v>0</v>
      </c>
      <c r="AG275" s="9">
        <f>SUMIFS(#REF!,#REF!,
$A275,#REF!,
"&gt;="&amp;'Faturado mensal'!AG$2,#REF!,
"&lt;"&amp;EOMONTH('Faturado mensal'!AG$2,0))</f>
        <v>0</v>
      </c>
      <c r="AH275" s="9">
        <f>SUMIFS(#REF!,#REF!,
$A275,#REF!,
"&gt;="&amp;'Faturado mensal'!AH$2,#REF!,
"&lt;"&amp;EOMONTH('Faturado mensal'!AH$2,0))</f>
        <v>0</v>
      </c>
      <c r="AI275" s="9">
        <f>SUMIFS(#REF!,#REF!,
$A275,#REF!,
"&gt;="&amp;'Faturado mensal'!AI$2,#REF!,
"&lt;"&amp;EOMONTH('Faturado mensal'!AI$2,0))</f>
        <v>0</v>
      </c>
      <c r="AJ275" s="9">
        <f>SUMIFS(#REF!,#REF!,
$A275,#REF!,
"&gt;="&amp;'Faturado mensal'!AJ$2,#REF!,
"&lt;"&amp;EOMONTH('Faturado mensal'!AJ$2,0))</f>
        <v>0</v>
      </c>
      <c r="AK275" s="9">
        <f>SUMIFS(#REF!,#REF!,
$A275,#REF!,
"&gt;="&amp;'Faturado mensal'!AK$2,#REF!,
"&lt;"&amp;EOMONTH('Faturado mensal'!AK$2,0))</f>
        <v>0</v>
      </c>
      <c r="AL275" s="9">
        <f>SUMIFS(#REF!,#REF!,
$A275,#REF!,
"&gt;="&amp;Z$2,#REF!,
"&lt;"&amp;EOMONTH(AK$2,0))</f>
        <v>10935.6</v>
      </c>
    </row>
    <row r="276" spans="1:38" x14ac:dyDescent="0.3">
      <c r="A276" t="s">
        <v>928</v>
      </c>
      <c r="B276" t="s">
        <v>930</v>
      </c>
      <c r="C276" t="s">
        <v>931</v>
      </c>
      <c r="D276" t="s">
        <v>204</v>
      </c>
      <c r="E276" t="s">
        <v>4834</v>
      </c>
      <c r="F276" t="s">
        <v>4860</v>
      </c>
      <c r="G276" t="s">
        <v>4852</v>
      </c>
      <c r="H276" t="s">
        <v>4773</v>
      </c>
      <c r="I276" t="s">
        <v>929</v>
      </c>
      <c r="J276" t="s">
        <v>932</v>
      </c>
      <c r="K276" t="s">
        <v>839</v>
      </c>
      <c r="L276" t="s">
        <v>840</v>
      </c>
      <c r="M276" s="9">
        <f>SUMIFS(#REF!,#REF!,
$A276,#REF!,
"&gt;="&amp;'Faturado mensal'!M$2,#REF!,
"&lt;"&amp;EOMONTH('Faturado mensal'!M$2,0))</f>
        <v>0</v>
      </c>
      <c r="N276" s="9">
        <f>SUMIFS(#REF!,#REF!,
$A276,#REF!,
"&gt;="&amp;'Faturado mensal'!N$2,#REF!,
"&lt;"&amp;EOMONTH('Faturado mensal'!N$2,0))</f>
        <v>0</v>
      </c>
      <c r="O276" s="9">
        <f>SUMIFS(#REF!,#REF!,
$A276,#REF!,
"&gt;="&amp;'Faturado mensal'!O$2,#REF!,
"&lt;"&amp;EOMONTH('Faturado mensal'!O$2,0))</f>
        <v>0</v>
      </c>
      <c r="P276" s="9">
        <f>SUMIFS(#REF!,#REF!,
$A276,#REF!,
"&gt;="&amp;'Faturado mensal'!P$2,#REF!,
"&lt;"&amp;EOMONTH('Faturado mensal'!P$2,0))</f>
        <v>0</v>
      </c>
      <c r="Q276" s="9">
        <f>SUMIFS(#REF!,#REF!,
$A276,#REF!,
"&gt;="&amp;'Faturado mensal'!Q$2,#REF!,
"&lt;"&amp;EOMONTH('Faturado mensal'!Q$2,0))</f>
        <v>0</v>
      </c>
      <c r="R276" s="9">
        <f>SUMIFS(#REF!,#REF!,
$A276,#REF!,
"&gt;="&amp;'Faturado mensal'!R$2,#REF!,
"&lt;"&amp;EOMONTH('Faturado mensal'!R$2,0))</f>
        <v>0</v>
      </c>
      <c r="S276" s="9">
        <f>SUMIFS(#REF!,#REF!,
$A276,#REF!,
"&gt;="&amp;'Faturado mensal'!S$2,#REF!,
"&lt;"&amp;EOMONTH('Faturado mensal'!S$2,0))</f>
        <v>0</v>
      </c>
      <c r="T276" s="9">
        <f>SUMIFS(#REF!,#REF!,
$A276,#REF!,
"&gt;="&amp;'Faturado mensal'!T$2,#REF!,
"&lt;"&amp;EOMONTH('Faturado mensal'!T$2,0))</f>
        <v>0</v>
      </c>
      <c r="U276" s="9">
        <f>SUMIFS(#REF!,#REF!,
$A276,#REF!,
"&gt;="&amp;'Faturado mensal'!U$2,#REF!,
"&lt;"&amp;EOMONTH('Faturado mensal'!U$2,0))</f>
        <v>0</v>
      </c>
      <c r="V276" s="9">
        <f>SUMIFS(#REF!,#REF!,
$A276,#REF!,
"&gt;="&amp;'Faturado mensal'!V$2,#REF!,
"&lt;"&amp;EOMONTH('Faturado mensal'!V$2,0))</f>
        <v>0</v>
      </c>
      <c r="W276" s="9">
        <f>SUMIFS(#REF!,#REF!,
$A276,#REF!,
"&gt;="&amp;'Faturado mensal'!W$2,#REF!,
"&lt;"&amp;EOMONTH('Faturado mensal'!W$2,0))</f>
        <v>0</v>
      </c>
      <c r="X276" s="9">
        <f>SUMIFS(#REF!,#REF!,
$A276,#REF!,
"&gt;="&amp;'Faturado mensal'!X$2,#REF!,
"&lt;"&amp;EOMONTH('Faturado mensal'!X$2,0))</f>
        <v>0</v>
      </c>
      <c r="Y276" s="11">
        <f>SUMIFS(#REF!,#REF!,
$A276,#REF!,
"&gt;="&amp;'Faturado mensal'!M$2,#REF!,
"&lt;"&amp;EOMONTH('Faturado mensal'!M$2,12))</f>
        <v>0</v>
      </c>
      <c r="Z276" s="9">
        <f>SUMIFS(#REF!,#REF!,
$A276,#REF!,
"&gt;="&amp;'Faturado mensal'!Z$2,#REF!,
"&lt;"&amp;EOMONTH('Faturado mensal'!Z$2,0))</f>
        <v>0</v>
      </c>
      <c r="AA276" s="9">
        <f>SUMIFS(#REF!,#REF!,
$A276,#REF!,
"&gt;="&amp;'Faturado mensal'!AA$2,#REF!,
"&lt;"&amp;EOMONTH('Faturado mensal'!AA$2,0))</f>
        <v>0</v>
      </c>
      <c r="AB276" s="9">
        <f>SUMIFS(#REF!,#REF!,
$A276,#REF!,
"&gt;="&amp;'Faturado mensal'!AB$2,#REF!,
"&lt;"&amp;EOMONTH('Faturado mensal'!AB$2,0))</f>
        <v>0</v>
      </c>
      <c r="AC276" s="9">
        <f>SUMIFS(#REF!,#REF!,
$A276,#REF!,
"&gt;="&amp;'Faturado mensal'!AC$2,#REF!,
"&lt;"&amp;EOMONTH('Faturado mensal'!AC$2,0))</f>
        <v>0</v>
      </c>
      <c r="AD276" s="9">
        <f>SUMIFS(#REF!,#REF!,
$A276,#REF!,
"&gt;="&amp;'Faturado mensal'!AD$2,#REF!,
"&lt;"&amp;EOMONTH('Faturado mensal'!AD$2,0))</f>
        <v>0</v>
      </c>
      <c r="AE276" s="9">
        <f>SUMIFS(#REF!,#REF!,
$A276,#REF!,
"&gt;="&amp;'Faturado mensal'!AE$2,#REF!,
"&lt;"&amp;EOMONTH('Faturado mensal'!AE$2,0))</f>
        <v>0</v>
      </c>
      <c r="AF276" s="9">
        <f>SUMIFS(#REF!,#REF!,
$A276,#REF!,
"&gt;="&amp;'Faturado mensal'!AF$2,#REF!,
"&lt;"&amp;EOMONTH('Faturado mensal'!AF$2,0))</f>
        <v>0</v>
      </c>
      <c r="AG276" s="9">
        <f>SUMIFS(#REF!,#REF!,
$A276,#REF!,
"&gt;="&amp;'Faturado mensal'!AG$2,#REF!,
"&lt;"&amp;EOMONTH('Faturado mensal'!AG$2,0))</f>
        <v>0</v>
      </c>
      <c r="AH276" s="9">
        <f>SUMIFS(#REF!,#REF!,
$A276,#REF!,
"&gt;="&amp;'Faturado mensal'!AH$2,#REF!,
"&lt;"&amp;EOMONTH('Faturado mensal'!AH$2,0))</f>
        <v>0</v>
      </c>
      <c r="AI276" s="9">
        <f>SUMIFS(#REF!,#REF!,
$A276,#REF!,
"&gt;="&amp;'Faturado mensal'!AI$2,#REF!,
"&lt;"&amp;EOMONTH('Faturado mensal'!AI$2,0))</f>
        <v>0</v>
      </c>
      <c r="AJ276" s="9">
        <f>SUMIFS(#REF!,#REF!,
$A276,#REF!,
"&gt;="&amp;'Faturado mensal'!AJ$2,#REF!,
"&lt;"&amp;EOMONTH('Faturado mensal'!AJ$2,0))</f>
        <v>0</v>
      </c>
      <c r="AK276" s="9">
        <f>SUMIFS(#REF!,#REF!,
$A276,#REF!,
"&gt;="&amp;'Faturado mensal'!AK$2,#REF!,
"&lt;"&amp;EOMONTH('Faturado mensal'!AK$2,0))</f>
        <v>0</v>
      </c>
      <c r="AL276" s="9">
        <f>SUMIFS(#REF!,#REF!,
$A276,#REF!,
"&gt;="&amp;Z$2,#REF!,
"&lt;"&amp;EOMONTH(AK$2,0))</f>
        <v>0</v>
      </c>
    </row>
    <row r="277" spans="1:38" x14ac:dyDescent="0.3">
      <c r="A277" t="s">
        <v>933</v>
      </c>
      <c r="B277" t="s">
        <v>934</v>
      </c>
      <c r="C277" t="s">
        <v>935</v>
      </c>
      <c r="D277" t="s">
        <v>209</v>
      </c>
      <c r="G277" t="s">
        <v>4853</v>
      </c>
      <c r="H277" t="s">
        <v>4771</v>
      </c>
      <c r="I277" t="s">
        <v>936</v>
      </c>
      <c r="J277" t="s">
        <v>937</v>
      </c>
      <c r="K277" t="s">
        <v>711</v>
      </c>
      <c r="L277" t="s">
        <v>712</v>
      </c>
      <c r="M277" s="9">
        <f>SUMIFS(#REF!,#REF!,
$A277,#REF!,
"&gt;="&amp;'Faturado mensal'!M$2,#REF!,
"&lt;"&amp;EOMONTH('Faturado mensal'!M$2,0))</f>
        <v>0</v>
      </c>
      <c r="N277" s="9">
        <f>SUMIFS(#REF!,#REF!,
$A277,#REF!,
"&gt;="&amp;'Faturado mensal'!N$2,#REF!,
"&lt;"&amp;EOMONTH('Faturado mensal'!N$2,0))</f>
        <v>0</v>
      </c>
      <c r="O277" s="9">
        <f>SUMIFS(#REF!,#REF!,
$A277,#REF!,
"&gt;="&amp;'Faturado mensal'!O$2,#REF!,
"&lt;"&amp;EOMONTH('Faturado mensal'!O$2,0))</f>
        <v>0</v>
      </c>
      <c r="P277" s="9">
        <f>SUMIFS(#REF!,#REF!,
$A277,#REF!,
"&gt;="&amp;'Faturado mensal'!P$2,#REF!,
"&lt;"&amp;EOMONTH('Faturado mensal'!P$2,0))</f>
        <v>0</v>
      </c>
      <c r="Q277" s="9">
        <f>SUMIFS(#REF!,#REF!,
$A277,#REF!,
"&gt;="&amp;'Faturado mensal'!Q$2,#REF!,
"&lt;"&amp;EOMONTH('Faturado mensal'!Q$2,0))</f>
        <v>0</v>
      </c>
      <c r="R277" s="9">
        <f>SUMIFS(#REF!,#REF!,
$A277,#REF!,
"&gt;="&amp;'Faturado mensal'!R$2,#REF!,
"&lt;"&amp;EOMONTH('Faturado mensal'!R$2,0))</f>
        <v>0</v>
      </c>
      <c r="S277" s="9">
        <f>SUMIFS(#REF!,#REF!,
$A277,#REF!,
"&gt;="&amp;'Faturado mensal'!S$2,#REF!,
"&lt;"&amp;EOMONTH('Faturado mensal'!S$2,0))</f>
        <v>0</v>
      </c>
      <c r="T277" s="9">
        <f>SUMIFS(#REF!,#REF!,
$A277,#REF!,
"&gt;="&amp;'Faturado mensal'!T$2,#REF!,
"&lt;"&amp;EOMONTH('Faturado mensal'!T$2,0))</f>
        <v>0</v>
      </c>
      <c r="U277" s="9">
        <f>SUMIFS(#REF!,#REF!,
$A277,#REF!,
"&gt;="&amp;'Faturado mensal'!U$2,#REF!,
"&lt;"&amp;EOMONTH('Faturado mensal'!U$2,0))</f>
        <v>0</v>
      </c>
      <c r="V277" s="9">
        <f>SUMIFS(#REF!,#REF!,
$A277,#REF!,
"&gt;="&amp;'Faturado mensal'!V$2,#REF!,
"&lt;"&amp;EOMONTH('Faturado mensal'!V$2,0))</f>
        <v>0</v>
      </c>
      <c r="W277" s="9">
        <f>SUMIFS(#REF!,#REF!,
$A277,#REF!,
"&gt;="&amp;'Faturado mensal'!W$2,#REF!,
"&lt;"&amp;EOMONTH('Faturado mensal'!W$2,0))</f>
        <v>0</v>
      </c>
      <c r="X277" s="9">
        <f>SUMIFS(#REF!,#REF!,
$A277,#REF!,
"&gt;="&amp;'Faturado mensal'!X$2,#REF!,
"&lt;"&amp;EOMONTH('Faturado mensal'!X$2,0))</f>
        <v>0</v>
      </c>
      <c r="Y277" s="11">
        <f>SUMIFS(#REF!,#REF!,
$A277,#REF!,
"&gt;="&amp;'Faturado mensal'!M$2,#REF!,
"&lt;"&amp;EOMONTH('Faturado mensal'!M$2,12))</f>
        <v>0</v>
      </c>
      <c r="Z277" s="9">
        <f>SUMIFS(#REF!,#REF!,
$A277,#REF!,
"&gt;="&amp;'Faturado mensal'!Z$2,#REF!,
"&lt;"&amp;EOMONTH('Faturado mensal'!Z$2,0))</f>
        <v>0</v>
      </c>
      <c r="AA277" s="9">
        <f>SUMIFS(#REF!,#REF!,
$A277,#REF!,
"&gt;="&amp;'Faturado mensal'!AA$2,#REF!,
"&lt;"&amp;EOMONTH('Faturado mensal'!AA$2,0))</f>
        <v>0</v>
      </c>
      <c r="AB277" s="9">
        <f>SUMIFS(#REF!,#REF!,
$A277,#REF!,
"&gt;="&amp;'Faturado mensal'!AB$2,#REF!,
"&lt;"&amp;EOMONTH('Faturado mensal'!AB$2,0))</f>
        <v>0</v>
      </c>
      <c r="AC277" s="9">
        <f>SUMIFS(#REF!,#REF!,
$A277,#REF!,
"&gt;="&amp;'Faturado mensal'!AC$2,#REF!,
"&lt;"&amp;EOMONTH('Faturado mensal'!AC$2,0))</f>
        <v>0</v>
      </c>
      <c r="AD277" s="9">
        <f>SUMIFS(#REF!,#REF!,
$A277,#REF!,
"&gt;="&amp;'Faturado mensal'!AD$2,#REF!,
"&lt;"&amp;EOMONTH('Faturado mensal'!AD$2,0))</f>
        <v>0</v>
      </c>
      <c r="AE277" s="9">
        <f>SUMIFS(#REF!,#REF!,
$A277,#REF!,
"&gt;="&amp;'Faturado mensal'!AE$2,#REF!,
"&lt;"&amp;EOMONTH('Faturado mensal'!AE$2,0))</f>
        <v>0</v>
      </c>
      <c r="AF277" s="9">
        <f>SUMIFS(#REF!,#REF!,
$A277,#REF!,
"&gt;="&amp;'Faturado mensal'!AF$2,#REF!,
"&lt;"&amp;EOMONTH('Faturado mensal'!AF$2,0))</f>
        <v>0</v>
      </c>
      <c r="AG277" s="9">
        <f>SUMIFS(#REF!,#REF!,
$A277,#REF!,
"&gt;="&amp;'Faturado mensal'!AG$2,#REF!,
"&lt;"&amp;EOMONTH('Faturado mensal'!AG$2,0))</f>
        <v>0</v>
      </c>
      <c r="AH277" s="9">
        <f>SUMIFS(#REF!,#REF!,
$A277,#REF!,
"&gt;="&amp;'Faturado mensal'!AH$2,#REF!,
"&lt;"&amp;EOMONTH('Faturado mensal'!AH$2,0))</f>
        <v>0</v>
      </c>
      <c r="AI277" s="9">
        <f>SUMIFS(#REF!,#REF!,
$A277,#REF!,
"&gt;="&amp;'Faturado mensal'!AI$2,#REF!,
"&lt;"&amp;EOMONTH('Faturado mensal'!AI$2,0))</f>
        <v>0</v>
      </c>
      <c r="AJ277" s="9">
        <f>SUMIFS(#REF!,#REF!,
$A277,#REF!,
"&gt;="&amp;'Faturado mensal'!AJ$2,#REF!,
"&lt;"&amp;EOMONTH('Faturado mensal'!AJ$2,0))</f>
        <v>0</v>
      </c>
      <c r="AK277" s="9">
        <f>SUMIFS(#REF!,#REF!,
$A277,#REF!,
"&gt;="&amp;'Faturado mensal'!AK$2,#REF!,
"&lt;"&amp;EOMONTH('Faturado mensal'!AK$2,0))</f>
        <v>0</v>
      </c>
      <c r="AL277" s="9">
        <f>SUMIFS(#REF!,#REF!,
$A277,#REF!,
"&gt;="&amp;Z$2,#REF!,
"&lt;"&amp;EOMONTH(AK$2,0))</f>
        <v>0</v>
      </c>
    </row>
    <row r="278" spans="1:38" x14ac:dyDescent="0.3">
      <c r="A278" t="s">
        <v>589</v>
      </c>
      <c r="B278" t="s">
        <v>590</v>
      </c>
      <c r="C278" t="s">
        <v>79</v>
      </c>
      <c r="D278" t="s">
        <v>204</v>
      </c>
      <c r="E278" t="s">
        <v>4845</v>
      </c>
      <c r="F278" t="s">
        <v>4793</v>
      </c>
      <c r="G278" t="s">
        <v>4845</v>
      </c>
      <c r="H278" t="s">
        <v>4773</v>
      </c>
      <c r="I278" t="s">
        <v>938</v>
      </c>
      <c r="J278" t="s">
        <v>814</v>
      </c>
      <c r="K278" t="s">
        <v>717</v>
      </c>
      <c r="L278" t="s">
        <v>718</v>
      </c>
      <c r="M278" s="9">
        <f>SUMIFS(#REF!,#REF!,
$A278,#REF!,
"&gt;="&amp;'Faturado mensal'!M$2,#REF!,
"&lt;"&amp;EOMONTH('Faturado mensal'!M$2,0))</f>
        <v>120</v>
      </c>
      <c r="N278" s="9">
        <f>SUMIFS(#REF!,#REF!,
$A278,#REF!,
"&gt;="&amp;'Faturado mensal'!N$2,#REF!,
"&lt;"&amp;EOMONTH('Faturado mensal'!N$2,0))</f>
        <v>600</v>
      </c>
      <c r="O278" s="9">
        <f>SUMIFS(#REF!,#REF!,
$A278,#REF!,
"&gt;="&amp;'Faturado mensal'!O$2,#REF!,
"&lt;"&amp;EOMONTH('Faturado mensal'!O$2,0))</f>
        <v>180</v>
      </c>
      <c r="P278" s="9">
        <f>SUMIFS(#REF!,#REF!,
$A278,#REF!,
"&gt;="&amp;'Faturado mensal'!P$2,#REF!,
"&lt;"&amp;EOMONTH('Faturado mensal'!P$2,0))</f>
        <v>420</v>
      </c>
      <c r="Q278" s="9">
        <f>SUMIFS(#REF!,#REF!,
$A278,#REF!,
"&gt;="&amp;'Faturado mensal'!Q$2,#REF!,
"&lt;"&amp;EOMONTH('Faturado mensal'!Q$2,0))</f>
        <v>420</v>
      </c>
      <c r="R278" s="9">
        <f>SUMIFS(#REF!,#REF!,
$A278,#REF!,
"&gt;="&amp;'Faturado mensal'!R$2,#REF!,
"&lt;"&amp;EOMONTH('Faturado mensal'!R$2,0))</f>
        <v>1260</v>
      </c>
      <c r="S278" s="9">
        <f>SUMIFS(#REF!,#REF!,
$A278,#REF!,
"&gt;="&amp;'Faturado mensal'!S$2,#REF!,
"&lt;"&amp;EOMONTH('Faturado mensal'!S$2,0))</f>
        <v>1380</v>
      </c>
      <c r="T278" s="9">
        <f>SUMIFS(#REF!,#REF!,
$A278,#REF!,
"&gt;="&amp;'Faturado mensal'!T$2,#REF!,
"&lt;"&amp;EOMONTH('Faturado mensal'!T$2,0))</f>
        <v>500</v>
      </c>
      <c r="U278" s="9">
        <f>SUMIFS(#REF!,#REF!,
$A278,#REF!,
"&gt;="&amp;'Faturado mensal'!U$2,#REF!,
"&lt;"&amp;EOMONTH('Faturado mensal'!U$2,0))</f>
        <v>0</v>
      </c>
      <c r="V278" s="9">
        <f>SUMIFS(#REF!,#REF!,
$A278,#REF!,
"&gt;="&amp;'Faturado mensal'!V$2,#REF!,
"&lt;"&amp;EOMONTH('Faturado mensal'!V$2,0))</f>
        <v>2148</v>
      </c>
      <c r="W278" s="9">
        <f>SUMIFS(#REF!,#REF!,
$A278,#REF!,
"&gt;="&amp;'Faturado mensal'!W$2,#REF!,
"&lt;"&amp;EOMONTH('Faturado mensal'!W$2,0))</f>
        <v>500</v>
      </c>
      <c r="X278" s="9">
        <f>SUMIFS(#REF!,#REF!,
$A278,#REF!,
"&gt;="&amp;'Faturado mensal'!X$2,#REF!,
"&lt;"&amp;EOMONTH('Faturado mensal'!X$2,0))</f>
        <v>500</v>
      </c>
      <c r="Y278" s="11">
        <f>SUMIFS(#REF!,#REF!,
$A278,#REF!,
"&gt;="&amp;'Faturado mensal'!M$2,#REF!,
"&lt;"&amp;EOMONTH('Faturado mensal'!M$2,12))</f>
        <v>8828</v>
      </c>
      <c r="Z278" s="9">
        <f>SUMIFS(#REF!,#REF!,
$A278,#REF!,
"&gt;="&amp;'Faturado mensal'!Z$2,#REF!,
"&lt;"&amp;EOMONTH('Faturado mensal'!Z$2,0))</f>
        <v>800</v>
      </c>
      <c r="AA278" s="9">
        <f>SUMIFS(#REF!,#REF!,
$A278,#REF!,
"&gt;="&amp;'Faturado mensal'!AA$2,#REF!,
"&lt;"&amp;EOMONTH('Faturado mensal'!AA$2,0))</f>
        <v>860</v>
      </c>
      <c r="AB278" s="9">
        <f>SUMIFS(#REF!,#REF!,
$A278,#REF!,
"&gt;="&amp;'Faturado mensal'!AB$2,#REF!,
"&lt;"&amp;EOMONTH('Faturado mensal'!AB$2,0))</f>
        <v>500</v>
      </c>
      <c r="AC278" s="9">
        <f>SUMIFS(#REF!,#REF!,
$A278,#REF!,
"&gt;="&amp;'Faturado mensal'!AC$2,#REF!,
"&lt;"&amp;EOMONTH('Faturado mensal'!AC$2,0))</f>
        <v>1976</v>
      </c>
      <c r="AD278" s="9">
        <f>SUMIFS(#REF!,#REF!,
$A278,#REF!,
"&gt;="&amp;'Faturado mensal'!AD$2,#REF!,
"&lt;"&amp;EOMONTH('Faturado mensal'!AD$2,0))</f>
        <v>866</v>
      </c>
      <c r="AE278" s="9">
        <f>SUMIFS(#REF!,#REF!,
$A278,#REF!,
"&gt;="&amp;'Faturado mensal'!AE$2,#REF!,
"&lt;"&amp;EOMONTH('Faturado mensal'!AE$2,0))</f>
        <v>1238</v>
      </c>
      <c r="AF278" s="9">
        <f>SUMIFS(#REF!,#REF!,
$A278,#REF!,
"&gt;="&amp;'Faturado mensal'!AF$2,#REF!,
"&lt;"&amp;EOMONTH('Faturado mensal'!AF$2,0))</f>
        <v>0</v>
      </c>
      <c r="AG278" s="9">
        <f>SUMIFS(#REF!,#REF!,
$A278,#REF!,
"&gt;="&amp;'Faturado mensal'!AG$2,#REF!,
"&lt;"&amp;EOMONTH('Faturado mensal'!AG$2,0))</f>
        <v>0</v>
      </c>
      <c r="AH278" s="9">
        <f>SUMIFS(#REF!,#REF!,
$A278,#REF!,
"&gt;="&amp;'Faturado mensal'!AH$2,#REF!,
"&lt;"&amp;EOMONTH('Faturado mensal'!AH$2,0))</f>
        <v>0</v>
      </c>
      <c r="AI278" s="9">
        <f>SUMIFS(#REF!,#REF!,
$A278,#REF!,
"&gt;="&amp;'Faturado mensal'!AI$2,#REF!,
"&lt;"&amp;EOMONTH('Faturado mensal'!AI$2,0))</f>
        <v>0</v>
      </c>
      <c r="AJ278" s="9">
        <f>SUMIFS(#REF!,#REF!,
$A278,#REF!,
"&gt;="&amp;'Faturado mensal'!AJ$2,#REF!,
"&lt;"&amp;EOMONTH('Faturado mensal'!AJ$2,0))</f>
        <v>0</v>
      </c>
      <c r="AK278" s="9">
        <f>SUMIFS(#REF!,#REF!,
$A278,#REF!,
"&gt;="&amp;'Faturado mensal'!AK$2,#REF!,
"&lt;"&amp;EOMONTH('Faturado mensal'!AK$2,0))</f>
        <v>0</v>
      </c>
      <c r="AL278" s="9">
        <f>SUMIFS(#REF!,#REF!,
$A278,#REF!,
"&gt;="&amp;Z$2,#REF!,
"&lt;"&amp;EOMONTH(AK$2,0))</f>
        <v>6240</v>
      </c>
    </row>
    <row r="279" spans="1:38" x14ac:dyDescent="0.3">
      <c r="A279" t="s">
        <v>591</v>
      </c>
      <c r="B279" t="s">
        <v>939</v>
      </c>
      <c r="C279" t="s">
        <v>7</v>
      </c>
      <c r="D279" t="s">
        <v>209</v>
      </c>
      <c r="G279" t="s">
        <v>807</v>
      </c>
      <c r="I279" t="s">
        <v>940</v>
      </c>
      <c r="J279" t="s">
        <v>890</v>
      </c>
      <c r="K279" t="s">
        <v>762</v>
      </c>
      <c r="L279" t="s">
        <v>763</v>
      </c>
      <c r="M279" s="9">
        <f>SUMIFS(#REF!,#REF!,
$A279,#REF!,
"&gt;="&amp;'Faturado mensal'!M$2,#REF!,
"&lt;"&amp;EOMONTH('Faturado mensal'!M$2,0))</f>
        <v>940</v>
      </c>
      <c r="N279" s="9">
        <f>SUMIFS(#REF!,#REF!,
$A279,#REF!,
"&gt;="&amp;'Faturado mensal'!N$2,#REF!,
"&lt;"&amp;EOMONTH('Faturado mensal'!N$2,0))</f>
        <v>940</v>
      </c>
      <c r="O279" s="9">
        <f>SUMIFS(#REF!,#REF!,
$A279,#REF!,
"&gt;="&amp;'Faturado mensal'!O$2,#REF!,
"&lt;"&amp;EOMONTH('Faturado mensal'!O$2,0))</f>
        <v>1052.8</v>
      </c>
      <c r="P279" s="9">
        <f>SUMIFS(#REF!,#REF!,
$A279,#REF!,
"&gt;="&amp;'Faturado mensal'!P$2,#REF!,
"&lt;"&amp;EOMONTH('Faturado mensal'!P$2,0))</f>
        <v>0</v>
      </c>
      <c r="Q279" s="9">
        <f>SUMIFS(#REF!,#REF!,
$A279,#REF!,
"&gt;="&amp;'Faturado mensal'!Q$2,#REF!,
"&lt;"&amp;EOMONTH('Faturado mensal'!Q$2,0))</f>
        <v>0</v>
      </c>
      <c r="R279" s="9">
        <f>SUMIFS(#REF!,#REF!,
$A279,#REF!,
"&gt;="&amp;'Faturado mensal'!R$2,#REF!,
"&lt;"&amp;EOMONTH('Faturado mensal'!R$2,0))</f>
        <v>0</v>
      </c>
      <c r="S279" s="9">
        <f>SUMIFS(#REF!,#REF!,
$A279,#REF!,
"&gt;="&amp;'Faturado mensal'!S$2,#REF!,
"&lt;"&amp;EOMONTH('Faturado mensal'!S$2,0))</f>
        <v>0</v>
      </c>
      <c r="T279" s="9">
        <f>SUMIFS(#REF!,#REF!,
$A279,#REF!,
"&gt;="&amp;'Faturado mensal'!T$2,#REF!,
"&lt;"&amp;EOMONTH('Faturado mensal'!T$2,0))</f>
        <v>0</v>
      </c>
      <c r="U279" s="9">
        <f>SUMIFS(#REF!,#REF!,
$A279,#REF!,
"&gt;="&amp;'Faturado mensal'!U$2,#REF!,
"&lt;"&amp;EOMONTH('Faturado mensal'!U$2,0))</f>
        <v>0</v>
      </c>
      <c r="V279" s="9">
        <f>SUMIFS(#REF!,#REF!,
$A279,#REF!,
"&gt;="&amp;'Faturado mensal'!V$2,#REF!,
"&lt;"&amp;EOMONTH('Faturado mensal'!V$2,0))</f>
        <v>0</v>
      </c>
      <c r="W279" s="9">
        <f>SUMIFS(#REF!,#REF!,
$A279,#REF!,
"&gt;="&amp;'Faturado mensal'!W$2,#REF!,
"&lt;"&amp;EOMONTH('Faturado mensal'!W$2,0))</f>
        <v>0</v>
      </c>
      <c r="X279" s="9">
        <f>SUMIFS(#REF!,#REF!,
$A279,#REF!,
"&gt;="&amp;'Faturado mensal'!X$2,#REF!,
"&lt;"&amp;EOMONTH('Faturado mensal'!X$2,0))</f>
        <v>0</v>
      </c>
      <c r="Y279" s="11">
        <f>SUMIFS(#REF!,#REF!,
$A279,#REF!,
"&gt;="&amp;'Faturado mensal'!M$2,#REF!,
"&lt;"&amp;EOMONTH('Faturado mensal'!M$2,12))</f>
        <v>2932.8</v>
      </c>
      <c r="Z279" s="9">
        <f>SUMIFS(#REF!,#REF!,
$A279,#REF!,
"&gt;="&amp;'Faturado mensal'!Z$2,#REF!,
"&lt;"&amp;EOMONTH('Faturado mensal'!Z$2,0))</f>
        <v>0</v>
      </c>
      <c r="AA279" s="9">
        <f>SUMIFS(#REF!,#REF!,
$A279,#REF!,
"&gt;="&amp;'Faturado mensal'!AA$2,#REF!,
"&lt;"&amp;EOMONTH('Faturado mensal'!AA$2,0))</f>
        <v>0</v>
      </c>
      <c r="AB279" s="9">
        <f>SUMIFS(#REF!,#REF!,
$A279,#REF!,
"&gt;="&amp;'Faturado mensal'!AB$2,#REF!,
"&lt;"&amp;EOMONTH('Faturado mensal'!AB$2,0))</f>
        <v>0</v>
      </c>
      <c r="AC279" s="9">
        <f>SUMIFS(#REF!,#REF!,
$A279,#REF!,
"&gt;="&amp;'Faturado mensal'!AC$2,#REF!,
"&lt;"&amp;EOMONTH('Faturado mensal'!AC$2,0))</f>
        <v>0</v>
      </c>
      <c r="AD279" s="9">
        <f>SUMIFS(#REF!,#REF!,
$A279,#REF!,
"&gt;="&amp;'Faturado mensal'!AD$2,#REF!,
"&lt;"&amp;EOMONTH('Faturado mensal'!AD$2,0))</f>
        <v>0</v>
      </c>
      <c r="AE279" s="9">
        <f>SUMIFS(#REF!,#REF!,
$A279,#REF!,
"&gt;="&amp;'Faturado mensal'!AE$2,#REF!,
"&lt;"&amp;EOMONTH('Faturado mensal'!AE$2,0))</f>
        <v>0</v>
      </c>
      <c r="AF279" s="9">
        <f>SUMIFS(#REF!,#REF!,
$A279,#REF!,
"&gt;="&amp;'Faturado mensal'!AF$2,#REF!,
"&lt;"&amp;EOMONTH('Faturado mensal'!AF$2,0))</f>
        <v>0</v>
      </c>
      <c r="AG279" s="9">
        <f>SUMIFS(#REF!,#REF!,
$A279,#REF!,
"&gt;="&amp;'Faturado mensal'!AG$2,#REF!,
"&lt;"&amp;EOMONTH('Faturado mensal'!AG$2,0))</f>
        <v>0</v>
      </c>
      <c r="AH279" s="9">
        <f>SUMIFS(#REF!,#REF!,
$A279,#REF!,
"&gt;="&amp;'Faturado mensal'!AH$2,#REF!,
"&lt;"&amp;EOMONTH('Faturado mensal'!AH$2,0))</f>
        <v>0</v>
      </c>
      <c r="AI279" s="9">
        <f>SUMIFS(#REF!,#REF!,
$A279,#REF!,
"&gt;="&amp;'Faturado mensal'!AI$2,#REF!,
"&lt;"&amp;EOMONTH('Faturado mensal'!AI$2,0))</f>
        <v>0</v>
      </c>
      <c r="AJ279" s="9">
        <f>SUMIFS(#REF!,#REF!,
$A279,#REF!,
"&gt;="&amp;'Faturado mensal'!AJ$2,#REF!,
"&lt;"&amp;EOMONTH('Faturado mensal'!AJ$2,0))</f>
        <v>0</v>
      </c>
      <c r="AK279" s="9">
        <f>SUMIFS(#REF!,#REF!,
$A279,#REF!,
"&gt;="&amp;'Faturado mensal'!AK$2,#REF!,
"&lt;"&amp;EOMONTH('Faturado mensal'!AK$2,0))</f>
        <v>0</v>
      </c>
      <c r="AL279" s="9">
        <f>SUMIFS(#REF!,#REF!,
$A279,#REF!,
"&gt;="&amp;Z$2,#REF!,
"&lt;"&amp;EOMONTH(AK$2,0))</f>
        <v>0</v>
      </c>
    </row>
    <row r="280" spans="1:38" x14ac:dyDescent="0.3">
      <c r="A280" t="s">
        <v>593</v>
      </c>
      <c r="B280" t="s">
        <v>594</v>
      </c>
      <c r="C280" t="s">
        <v>27</v>
      </c>
      <c r="D280" t="s">
        <v>204</v>
      </c>
      <c r="E280" t="s">
        <v>1037</v>
      </c>
      <c r="F280" t="s">
        <v>4794</v>
      </c>
      <c r="G280" t="s">
        <v>4852</v>
      </c>
      <c r="H280" t="s">
        <v>4772</v>
      </c>
      <c r="I280" t="s">
        <v>941</v>
      </c>
      <c r="J280" t="s">
        <v>814</v>
      </c>
      <c r="K280" t="s">
        <v>762</v>
      </c>
      <c r="L280" t="s">
        <v>763</v>
      </c>
      <c r="M280" s="9">
        <f>SUMIFS(#REF!,#REF!,
$A280,#REF!,
"&gt;="&amp;'Faturado mensal'!M$2,#REF!,
"&lt;"&amp;EOMONTH('Faturado mensal'!M$2,0))</f>
        <v>320720.98</v>
      </c>
      <c r="N280" s="9">
        <f>SUMIFS(#REF!,#REF!,
$A280,#REF!,
"&gt;="&amp;'Faturado mensal'!N$2,#REF!,
"&lt;"&amp;EOMONTH('Faturado mensal'!N$2,0))</f>
        <v>346581.72</v>
      </c>
      <c r="O280" s="9">
        <f>SUMIFS(#REF!,#REF!,
$A280,#REF!,
"&gt;="&amp;'Faturado mensal'!O$2,#REF!,
"&lt;"&amp;EOMONTH('Faturado mensal'!O$2,0))</f>
        <v>337375.92</v>
      </c>
      <c r="P280" s="9">
        <f>SUMIFS(#REF!,#REF!,
$A280,#REF!,
"&gt;="&amp;'Faturado mensal'!P$2,#REF!,
"&lt;"&amp;EOMONTH('Faturado mensal'!P$2,0))</f>
        <v>337394.19</v>
      </c>
      <c r="Q280" s="9">
        <f>SUMIFS(#REF!,#REF!,
$A280,#REF!,
"&gt;="&amp;'Faturado mensal'!Q$2,#REF!,
"&lt;"&amp;EOMONTH('Faturado mensal'!Q$2,0))</f>
        <v>340227.07</v>
      </c>
      <c r="R280" s="9">
        <f>SUMIFS(#REF!,#REF!,
$A280,#REF!,
"&gt;="&amp;'Faturado mensal'!R$2,#REF!,
"&lt;"&amp;EOMONTH('Faturado mensal'!R$2,0))</f>
        <v>0</v>
      </c>
      <c r="S280" s="9">
        <f>SUMIFS(#REF!,#REF!,
$A280,#REF!,
"&gt;="&amp;'Faturado mensal'!S$2,#REF!,
"&lt;"&amp;EOMONTH('Faturado mensal'!S$2,0))</f>
        <v>347330.04</v>
      </c>
      <c r="T280" s="9">
        <f>SUMIFS(#REF!,#REF!,
$A280,#REF!,
"&gt;="&amp;'Faturado mensal'!T$2,#REF!,
"&lt;"&amp;EOMONTH('Faturado mensal'!T$2,0))</f>
        <v>0</v>
      </c>
      <c r="U280" s="9">
        <f>SUMIFS(#REF!,#REF!,
$A280,#REF!,
"&gt;="&amp;'Faturado mensal'!U$2,#REF!,
"&lt;"&amp;EOMONTH('Faturado mensal'!U$2,0))</f>
        <v>876982.11</v>
      </c>
      <c r="V280" s="9">
        <f>SUMIFS(#REF!,#REF!,
$A280,#REF!,
"&gt;="&amp;'Faturado mensal'!V$2,#REF!,
"&lt;"&amp;EOMONTH('Faturado mensal'!V$2,0))</f>
        <v>820594.38</v>
      </c>
      <c r="W280" s="9">
        <f>SUMIFS(#REF!,#REF!,
$A280,#REF!,
"&gt;="&amp;'Faturado mensal'!W$2,#REF!,
"&lt;"&amp;EOMONTH('Faturado mensal'!W$2,0))</f>
        <v>405688.39</v>
      </c>
      <c r="X280" s="9">
        <f>SUMIFS(#REF!,#REF!,
$A280,#REF!,
"&gt;="&amp;'Faturado mensal'!X$2,#REF!,
"&lt;"&amp;EOMONTH('Faturado mensal'!X$2,0))</f>
        <v>473788.41</v>
      </c>
      <c r="Y280" s="11">
        <f>SUMIFS(#REF!,#REF!,
$A280,#REF!,
"&gt;="&amp;'Faturado mensal'!M$2,#REF!,
"&lt;"&amp;EOMONTH('Faturado mensal'!M$2,12))</f>
        <v>5042292.6100000003</v>
      </c>
      <c r="Z280" s="9">
        <f>SUMIFS(#REF!,#REF!,
$A280,#REF!,
"&gt;="&amp;'Faturado mensal'!Z$2,#REF!,
"&lt;"&amp;EOMONTH('Faturado mensal'!Z$2,0))</f>
        <v>435609.4</v>
      </c>
      <c r="AA280" s="9">
        <f>SUMIFS(#REF!,#REF!,
$A280,#REF!,
"&gt;="&amp;'Faturado mensal'!AA$2,#REF!,
"&lt;"&amp;EOMONTH('Faturado mensal'!AA$2,0))</f>
        <v>425670.71</v>
      </c>
      <c r="AB280" s="9">
        <f>SUMIFS(#REF!,#REF!,
$A280,#REF!,
"&gt;="&amp;'Faturado mensal'!AB$2,#REF!,
"&lt;"&amp;EOMONTH('Faturado mensal'!AB$2,0))</f>
        <v>451559.38</v>
      </c>
      <c r="AC280" s="9">
        <f>SUMIFS(#REF!,#REF!,
$A280,#REF!,
"&gt;="&amp;'Faturado mensal'!AC$2,#REF!,
"&lt;"&amp;EOMONTH('Faturado mensal'!AC$2,0))</f>
        <v>443426.37</v>
      </c>
      <c r="AD280" s="9">
        <f>SUMIFS(#REF!,#REF!,
$A280,#REF!,
"&gt;="&amp;'Faturado mensal'!AD$2,#REF!,
"&lt;"&amp;EOMONTH('Faturado mensal'!AD$2,0))</f>
        <v>447825.81</v>
      </c>
      <c r="AE280" s="9">
        <f>SUMIFS(#REF!,#REF!,
$A280,#REF!,
"&gt;="&amp;'Faturado mensal'!AE$2,#REF!,
"&lt;"&amp;EOMONTH('Faturado mensal'!AE$2,0))</f>
        <v>0</v>
      </c>
      <c r="AF280" s="9">
        <f>SUMIFS(#REF!,#REF!,
$A280,#REF!,
"&gt;="&amp;'Faturado mensal'!AF$2,#REF!,
"&lt;"&amp;EOMONTH('Faturado mensal'!AF$2,0))</f>
        <v>0</v>
      </c>
      <c r="AG280" s="9">
        <f>SUMIFS(#REF!,#REF!,
$A280,#REF!,
"&gt;="&amp;'Faturado mensal'!AG$2,#REF!,
"&lt;"&amp;EOMONTH('Faturado mensal'!AG$2,0))</f>
        <v>0</v>
      </c>
      <c r="AH280" s="9">
        <f>SUMIFS(#REF!,#REF!,
$A280,#REF!,
"&gt;="&amp;'Faturado mensal'!AH$2,#REF!,
"&lt;"&amp;EOMONTH('Faturado mensal'!AH$2,0))</f>
        <v>0</v>
      </c>
      <c r="AI280" s="9">
        <f>SUMIFS(#REF!,#REF!,
$A280,#REF!,
"&gt;="&amp;'Faturado mensal'!AI$2,#REF!,
"&lt;"&amp;EOMONTH('Faturado mensal'!AI$2,0))</f>
        <v>0</v>
      </c>
      <c r="AJ280" s="9">
        <f>SUMIFS(#REF!,#REF!,
$A280,#REF!,
"&gt;="&amp;'Faturado mensal'!AJ$2,#REF!,
"&lt;"&amp;EOMONTH('Faturado mensal'!AJ$2,0))</f>
        <v>0</v>
      </c>
      <c r="AK280" s="9">
        <f>SUMIFS(#REF!,#REF!,
$A280,#REF!,
"&gt;="&amp;'Faturado mensal'!AK$2,#REF!,
"&lt;"&amp;EOMONTH('Faturado mensal'!AK$2,0))</f>
        <v>0</v>
      </c>
      <c r="AL280" s="9">
        <f>SUMIFS(#REF!,#REF!,
$A280,#REF!,
"&gt;="&amp;Z$2,#REF!,
"&lt;"&amp;EOMONTH(AK$2,0))</f>
        <v>2204091.6700000004</v>
      </c>
    </row>
    <row r="281" spans="1:38" x14ac:dyDescent="0.3">
      <c r="A281" t="s">
        <v>595</v>
      </c>
      <c r="B281" t="s">
        <v>594</v>
      </c>
      <c r="C281" t="s">
        <v>27</v>
      </c>
      <c r="D281" t="s">
        <v>204</v>
      </c>
      <c r="E281" t="s">
        <v>1037</v>
      </c>
      <c r="F281" t="s">
        <v>4794</v>
      </c>
      <c r="G281" t="s">
        <v>4852</v>
      </c>
      <c r="H281" t="s">
        <v>4772</v>
      </c>
      <c r="I281" t="s">
        <v>942</v>
      </c>
      <c r="J281" t="s">
        <v>814</v>
      </c>
      <c r="K281" t="s">
        <v>717</v>
      </c>
      <c r="L281" t="s">
        <v>718</v>
      </c>
      <c r="M281" s="9">
        <f>SUMIFS(#REF!,#REF!,
$A281,#REF!,
"&gt;="&amp;'Faturado mensal'!M$2,#REF!,
"&lt;"&amp;EOMONTH('Faturado mensal'!M$2,0))</f>
        <v>65528.74</v>
      </c>
      <c r="N281" s="9">
        <f>SUMIFS(#REF!,#REF!,
$A281,#REF!,
"&gt;="&amp;'Faturado mensal'!N$2,#REF!,
"&lt;"&amp;EOMONTH('Faturado mensal'!N$2,0))</f>
        <v>59001.74</v>
      </c>
      <c r="O281" s="9">
        <f>SUMIFS(#REF!,#REF!,
$A281,#REF!,
"&gt;="&amp;'Faturado mensal'!O$2,#REF!,
"&lt;"&amp;EOMONTH('Faturado mensal'!O$2,0))</f>
        <v>58476.66</v>
      </c>
      <c r="P281" s="9">
        <f>SUMIFS(#REF!,#REF!,
$A281,#REF!,
"&gt;="&amp;'Faturado mensal'!P$2,#REF!,
"&lt;"&amp;EOMONTH('Faturado mensal'!P$2,0))</f>
        <v>58723.58</v>
      </c>
      <c r="Q281" s="9">
        <f>SUMIFS(#REF!,#REF!,
$A281,#REF!,
"&gt;="&amp;'Faturado mensal'!Q$2,#REF!,
"&lt;"&amp;EOMONTH('Faturado mensal'!Q$2,0))</f>
        <v>60755.27</v>
      </c>
      <c r="R281" s="9">
        <f>SUMIFS(#REF!,#REF!,
$A281,#REF!,
"&gt;="&amp;'Faturado mensal'!R$2,#REF!,
"&lt;"&amp;EOMONTH('Faturado mensal'!R$2,0))</f>
        <v>0</v>
      </c>
      <c r="S281" s="9">
        <f>SUMIFS(#REF!,#REF!,
$A281,#REF!,
"&gt;="&amp;'Faturado mensal'!S$2,#REF!,
"&lt;"&amp;EOMONTH('Faturado mensal'!S$2,0))</f>
        <v>58417.72</v>
      </c>
      <c r="T281" s="9">
        <f>SUMIFS(#REF!,#REF!,
$A281,#REF!,
"&gt;="&amp;'Faturado mensal'!T$2,#REF!,
"&lt;"&amp;EOMONTH('Faturado mensal'!T$2,0))</f>
        <v>0</v>
      </c>
      <c r="U281" s="9">
        <f>SUMIFS(#REF!,#REF!,
$A281,#REF!,
"&gt;="&amp;'Faturado mensal'!U$2,#REF!,
"&lt;"&amp;EOMONTH('Faturado mensal'!U$2,0))</f>
        <v>154946.41999999998</v>
      </c>
      <c r="V281" s="9">
        <f>SUMIFS(#REF!,#REF!,
$A281,#REF!,
"&gt;="&amp;'Faturado mensal'!V$2,#REF!,
"&lt;"&amp;EOMONTH('Faturado mensal'!V$2,0))</f>
        <v>143157.34000000003</v>
      </c>
      <c r="W281" s="9">
        <f>SUMIFS(#REF!,#REF!,
$A281,#REF!,
"&gt;="&amp;'Faturado mensal'!W$2,#REF!,
"&lt;"&amp;EOMONTH('Faturado mensal'!W$2,0))</f>
        <v>0</v>
      </c>
      <c r="X281" s="9">
        <f>SUMIFS(#REF!,#REF!,
$A281,#REF!,
"&gt;="&amp;'Faturado mensal'!X$2,#REF!,
"&lt;"&amp;EOMONTH('Faturado mensal'!X$2,0))</f>
        <v>0</v>
      </c>
      <c r="Y281" s="11">
        <f>SUMIFS(#REF!,#REF!,
$A281,#REF!,
"&gt;="&amp;'Faturado mensal'!M$2,#REF!,
"&lt;"&amp;EOMONTH('Faturado mensal'!M$2,12))</f>
        <v>674054.6100000001</v>
      </c>
      <c r="Z281" s="9">
        <f>SUMIFS(#REF!,#REF!,
$A281,#REF!,
"&gt;="&amp;'Faturado mensal'!Z$2,#REF!,
"&lt;"&amp;EOMONTH('Faturado mensal'!Z$2,0))</f>
        <v>15047.14</v>
      </c>
      <c r="AA281" s="9">
        <f>SUMIFS(#REF!,#REF!,
$A281,#REF!,
"&gt;="&amp;'Faturado mensal'!AA$2,#REF!,
"&lt;"&amp;EOMONTH('Faturado mensal'!AA$2,0))</f>
        <v>20014.669999999998</v>
      </c>
      <c r="AB281" s="9">
        <f>SUMIFS(#REF!,#REF!,
$A281,#REF!,
"&gt;="&amp;'Faturado mensal'!AB$2,#REF!,
"&lt;"&amp;EOMONTH('Faturado mensal'!AB$2,0))</f>
        <v>0</v>
      </c>
      <c r="AC281" s="9">
        <f>SUMIFS(#REF!,#REF!,
$A281,#REF!,
"&gt;="&amp;'Faturado mensal'!AC$2,#REF!,
"&lt;"&amp;EOMONTH('Faturado mensal'!AC$2,0))</f>
        <v>13166.04</v>
      </c>
      <c r="AD281" s="9">
        <f>SUMIFS(#REF!,#REF!,
$A281,#REF!,
"&gt;="&amp;'Faturado mensal'!AD$2,#REF!,
"&lt;"&amp;EOMONTH('Faturado mensal'!AD$2,0))</f>
        <v>10469.040000000001</v>
      </c>
      <c r="AE281" s="9">
        <f>SUMIFS(#REF!,#REF!,
$A281,#REF!,
"&gt;="&amp;'Faturado mensal'!AE$2,#REF!,
"&lt;"&amp;EOMONTH('Faturado mensal'!AE$2,0))</f>
        <v>0</v>
      </c>
      <c r="AF281" s="9">
        <f>SUMIFS(#REF!,#REF!,
$A281,#REF!,
"&gt;="&amp;'Faturado mensal'!AF$2,#REF!,
"&lt;"&amp;EOMONTH('Faturado mensal'!AF$2,0))</f>
        <v>0</v>
      </c>
      <c r="AG281" s="9">
        <f>SUMIFS(#REF!,#REF!,
$A281,#REF!,
"&gt;="&amp;'Faturado mensal'!AG$2,#REF!,
"&lt;"&amp;EOMONTH('Faturado mensal'!AG$2,0))</f>
        <v>0</v>
      </c>
      <c r="AH281" s="9">
        <f>SUMIFS(#REF!,#REF!,
$A281,#REF!,
"&gt;="&amp;'Faturado mensal'!AH$2,#REF!,
"&lt;"&amp;EOMONTH('Faturado mensal'!AH$2,0))</f>
        <v>0</v>
      </c>
      <c r="AI281" s="9">
        <f>SUMIFS(#REF!,#REF!,
$A281,#REF!,
"&gt;="&amp;'Faturado mensal'!AI$2,#REF!,
"&lt;"&amp;EOMONTH('Faturado mensal'!AI$2,0))</f>
        <v>0</v>
      </c>
      <c r="AJ281" s="9">
        <f>SUMIFS(#REF!,#REF!,
$A281,#REF!,
"&gt;="&amp;'Faturado mensal'!AJ$2,#REF!,
"&lt;"&amp;EOMONTH('Faturado mensal'!AJ$2,0))</f>
        <v>0</v>
      </c>
      <c r="AK281" s="9">
        <f>SUMIFS(#REF!,#REF!,
$A281,#REF!,
"&gt;="&amp;'Faturado mensal'!AK$2,#REF!,
"&lt;"&amp;EOMONTH('Faturado mensal'!AK$2,0))</f>
        <v>0</v>
      </c>
      <c r="AL281" s="9">
        <f>SUMIFS(#REF!,#REF!,
$A281,#REF!,
"&gt;="&amp;Z$2,#REF!,
"&lt;"&amp;EOMONTH(AK$2,0))</f>
        <v>58696.89</v>
      </c>
    </row>
    <row r="282" spans="1:38" x14ac:dyDescent="0.3">
      <c r="A282" t="s">
        <v>596</v>
      </c>
      <c r="B282" t="s">
        <v>594</v>
      </c>
      <c r="C282" t="s">
        <v>27</v>
      </c>
      <c r="D282" t="s">
        <v>204</v>
      </c>
      <c r="E282" t="s">
        <v>1037</v>
      </c>
      <c r="F282" t="s">
        <v>4794</v>
      </c>
      <c r="G282" t="s">
        <v>4852</v>
      </c>
      <c r="H282" t="s">
        <v>4772</v>
      </c>
      <c r="I282" t="s">
        <v>943</v>
      </c>
      <c r="J282" t="s">
        <v>814</v>
      </c>
      <c r="K282" t="s">
        <v>768</v>
      </c>
      <c r="L282" t="s">
        <v>769</v>
      </c>
      <c r="M282" s="9">
        <f>SUMIFS(#REF!,#REF!,
$A282,#REF!,
"&gt;="&amp;'Faturado mensal'!M$2,#REF!,
"&lt;"&amp;EOMONTH('Faturado mensal'!M$2,0))</f>
        <v>11755.9</v>
      </c>
      <c r="N282" s="9">
        <f>SUMIFS(#REF!,#REF!,
$A282,#REF!,
"&gt;="&amp;'Faturado mensal'!N$2,#REF!,
"&lt;"&amp;EOMONTH('Faturado mensal'!N$2,0))</f>
        <v>11977.37</v>
      </c>
      <c r="O282" s="9">
        <f>SUMIFS(#REF!,#REF!,
$A282,#REF!,
"&gt;="&amp;'Faturado mensal'!O$2,#REF!,
"&lt;"&amp;EOMONTH('Faturado mensal'!O$2,0))</f>
        <v>11685.05</v>
      </c>
      <c r="P282" s="9">
        <f>SUMIFS(#REF!,#REF!,
$A282,#REF!,
"&gt;="&amp;'Faturado mensal'!P$2,#REF!,
"&lt;"&amp;EOMONTH('Faturado mensal'!P$2,0))</f>
        <v>12690.28</v>
      </c>
      <c r="Q282" s="9">
        <f>SUMIFS(#REF!,#REF!,
$A282,#REF!,
"&gt;="&amp;'Faturado mensal'!Q$2,#REF!,
"&lt;"&amp;EOMONTH('Faturado mensal'!Q$2,0))</f>
        <v>11994.41</v>
      </c>
      <c r="R282" s="9">
        <f>SUMIFS(#REF!,#REF!,
$A282,#REF!,
"&gt;="&amp;'Faturado mensal'!R$2,#REF!,
"&lt;"&amp;EOMONTH('Faturado mensal'!R$2,0))</f>
        <v>0</v>
      </c>
      <c r="S282" s="9">
        <f>SUMIFS(#REF!,#REF!,
$A282,#REF!,
"&gt;="&amp;'Faturado mensal'!S$2,#REF!,
"&lt;"&amp;EOMONTH('Faturado mensal'!S$2,0))</f>
        <v>12200.17</v>
      </c>
      <c r="T282" s="9">
        <f>SUMIFS(#REF!,#REF!,
$A282,#REF!,
"&gt;="&amp;'Faturado mensal'!T$2,#REF!,
"&lt;"&amp;EOMONTH('Faturado mensal'!T$2,0))</f>
        <v>0</v>
      </c>
      <c r="U282" s="9">
        <f>SUMIFS(#REF!,#REF!,
$A282,#REF!,
"&gt;="&amp;'Faturado mensal'!U$2,#REF!,
"&lt;"&amp;EOMONTH('Faturado mensal'!U$2,0))</f>
        <v>31906.52</v>
      </c>
      <c r="V282" s="9">
        <f>SUMIFS(#REF!,#REF!,
$A282,#REF!,
"&gt;="&amp;'Faturado mensal'!V$2,#REF!,
"&lt;"&amp;EOMONTH('Faturado mensal'!V$2,0))</f>
        <v>28806.620000000003</v>
      </c>
      <c r="W282" s="9">
        <f>SUMIFS(#REF!,#REF!,
$A282,#REF!,
"&gt;="&amp;'Faturado mensal'!W$2,#REF!,
"&lt;"&amp;EOMONTH('Faturado mensal'!W$2,0))</f>
        <v>14414.11</v>
      </c>
      <c r="X282" s="9">
        <f>SUMIFS(#REF!,#REF!,
$A282,#REF!,
"&gt;="&amp;'Faturado mensal'!X$2,#REF!,
"&lt;"&amp;EOMONTH('Faturado mensal'!X$2,0))</f>
        <v>14746.14</v>
      </c>
      <c r="Y282" s="11">
        <f>SUMIFS(#REF!,#REF!,
$A282,#REF!,
"&gt;="&amp;'Faturado mensal'!M$2,#REF!,
"&lt;"&amp;EOMONTH('Faturado mensal'!M$2,12))</f>
        <v>176173.41</v>
      </c>
      <c r="Z282" s="9">
        <f>SUMIFS(#REF!,#REF!,
$A282,#REF!,
"&gt;="&amp;'Faturado mensal'!Z$2,#REF!,
"&lt;"&amp;EOMONTH('Faturado mensal'!Z$2,0))</f>
        <v>13996.84</v>
      </c>
      <c r="AA282" s="9">
        <f>SUMIFS(#REF!,#REF!,
$A282,#REF!,
"&gt;="&amp;'Faturado mensal'!AA$2,#REF!,
"&lt;"&amp;EOMONTH('Faturado mensal'!AA$2,0))</f>
        <v>14161.43</v>
      </c>
      <c r="AB282" s="9">
        <f>SUMIFS(#REF!,#REF!,
$A282,#REF!,
"&gt;="&amp;'Faturado mensal'!AB$2,#REF!,
"&lt;"&amp;EOMONTH('Faturado mensal'!AB$2,0))</f>
        <v>0</v>
      </c>
      <c r="AC282" s="9">
        <f>SUMIFS(#REF!,#REF!,
$A282,#REF!,
"&gt;="&amp;'Faturado mensal'!AC$2,#REF!,
"&lt;"&amp;EOMONTH('Faturado mensal'!AC$2,0))</f>
        <v>29116.47</v>
      </c>
      <c r="AD282" s="9">
        <f>SUMIFS(#REF!,#REF!,
$A282,#REF!,
"&gt;="&amp;'Faturado mensal'!AD$2,#REF!,
"&lt;"&amp;EOMONTH('Faturado mensal'!AD$2,0))</f>
        <v>14259.53</v>
      </c>
      <c r="AE282" s="9">
        <f>SUMIFS(#REF!,#REF!,
$A282,#REF!,
"&gt;="&amp;'Faturado mensal'!AE$2,#REF!,
"&lt;"&amp;EOMONTH('Faturado mensal'!AE$2,0))</f>
        <v>0</v>
      </c>
      <c r="AF282" s="9">
        <f>SUMIFS(#REF!,#REF!,
$A282,#REF!,
"&gt;="&amp;'Faturado mensal'!AF$2,#REF!,
"&lt;"&amp;EOMONTH('Faturado mensal'!AF$2,0))</f>
        <v>0</v>
      </c>
      <c r="AG282" s="9">
        <f>SUMIFS(#REF!,#REF!,
$A282,#REF!,
"&gt;="&amp;'Faturado mensal'!AG$2,#REF!,
"&lt;"&amp;EOMONTH('Faturado mensal'!AG$2,0))</f>
        <v>0</v>
      </c>
      <c r="AH282" s="9">
        <f>SUMIFS(#REF!,#REF!,
$A282,#REF!,
"&gt;="&amp;'Faturado mensal'!AH$2,#REF!,
"&lt;"&amp;EOMONTH('Faturado mensal'!AH$2,0))</f>
        <v>0</v>
      </c>
      <c r="AI282" s="9">
        <f>SUMIFS(#REF!,#REF!,
$A282,#REF!,
"&gt;="&amp;'Faturado mensal'!AI$2,#REF!,
"&lt;"&amp;EOMONTH('Faturado mensal'!AI$2,0))</f>
        <v>0</v>
      </c>
      <c r="AJ282" s="9">
        <f>SUMIFS(#REF!,#REF!,
$A282,#REF!,
"&gt;="&amp;'Faturado mensal'!AJ$2,#REF!,
"&lt;"&amp;EOMONTH('Faturado mensal'!AJ$2,0))</f>
        <v>0</v>
      </c>
      <c r="AK282" s="9">
        <f>SUMIFS(#REF!,#REF!,
$A282,#REF!,
"&gt;="&amp;'Faturado mensal'!AK$2,#REF!,
"&lt;"&amp;EOMONTH('Faturado mensal'!AK$2,0))</f>
        <v>0</v>
      </c>
      <c r="AL282" s="9">
        <f>SUMIFS(#REF!,#REF!,
$A282,#REF!,
"&gt;="&amp;Z$2,#REF!,
"&lt;"&amp;EOMONTH(AK$2,0))</f>
        <v>71534.27</v>
      </c>
    </row>
    <row r="283" spans="1:38" x14ac:dyDescent="0.3">
      <c r="A283" t="s">
        <v>944</v>
      </c>
      <c r="B283" t="s">
        <v>598</v>
      </c>
      <c r="C283" t="s">
        <v>128</v>
      </c>
      <c r="D283" t="s">
        <v>209</v>
      </c>
      <c r="E283" t="s">
        <v>1037</v>
      </c>
      <c r="F283" t="s">
        <v>4794</v>
      </c>
      <c r="G283" t="s">
        <v>4852</v>
      </c>
      <c r="H283" t="s">
        <v>4772</v>
      </c>
      <c r="I283" t="s">
        <v>945</v>
      </c>
      <c r="J283" t="s">
        <v>710</v>
      </c>
      <c r="K283" t="s">
        <v>762</v>
      </c>
      <c r="L283" t="s">
        <v>763</v>
      </c>
      <c r="M283" s="9">
        <f>SUMIFS(#REF!,#REF!,
$A283,#REF!,
"&gt;="&amp;'Faturado mensal'!M$2,#REF!,
"&lt;"&amp;EOMONTH('Faturado mensal'!M$2,0))</f>
        <v>0</v>
      </c>
      <c r="N283" s="9">
        <f>SUMIFS(#REF!,#REF!,
$A283,#REF!,
"&gt;="&amp;'Faturado mensal'!N$2,#REF!,
"&lt;"&amp;EOMONTH('Faturado mensal'!N$2,0))</f>
        <v>0</v>
      </c>
      <c r="O283" s="9">
        <f>SUMIFS(#REF!,#REF!,
$A283,#REF!,
"&gt;="&amp;'Faturado mensal'!O$2,#REF!,
"&lt;"&amp;EOMONTH('Faturado mensal'!O$2,0))</f>
        <v>0</v>
      </c>
      <c r="P283" s="9">
        <f>SUMIFS(#REF!,#REF!,
$A283,#REF!,
"&gt;="&amp;'Faturado mensal'!P$2,#REF!,
"&lt;"&amp;EOMONTH('Faturado mensal'!P$2,0))</f>
        <v>0</v>
      </c>
      <c r="Q283" s="9">
        <f>SUMIFS(#REF!,#REF!,
$A283,#REF!,
"&gt;="&amp;'Faturado mensal'!Q$2,#REF!,
"&lt;"&amp;EOMONTH('Faturado mensal'!Q$2,0))</f>
        <v>0</v>
      </c>
      <c r="R283" s="9">
        <f>SUMIFS(#REF!,#REF!,
$A283,#REF!,
"&gt;="&amp;'Faturado mensal'!R$2,#REF!,
"&lt;"&amp;EOMONTH('Faturado mensal'!R$2,0))</f>
        <v>0</v>
      </c>
      <c r="S283" s="9">
        <f>SUMIFS(#REF!,#REF!,
$A283,#REF!,
"&gt;="&amp;'Faturado mensal'!S$2,#REF!,
"&lt;"&amp;EOMONTH('Faturado mensal'!S$2,0))</f>
        <v>0</v>
      </c>
      <c r="T283" s="9">
        <f>SUMIFS(#REF!,#REF!,
$A283,#REF!,
"&gt;="&amp;'Faturado mensal'!T$2,#REF!,
"&lt;"&amp;EOMONTH('Faturado mensal'!T$2,0))</f>
        <v>0</v>
      </c>
      <c r="U283" s="9">
        <f>SUMIFS(#REF!,#REF!,
$A283,#REF!,
"&gt;="&amp;'Faturado mensal'!U$2,#REF!,
"&lt;"&amp;EOMONTH('Faturado mensal'!U$2,0))</f>
        <v>0</v>
      </c>
      <c r="V283" s="9">
        <f>SUMIFS(#REF!,#REF!,
$A283,#REF!,
"&gt;="&amp;'Faturado mensal'!V$2,#REF!,
"&lt;"&amp;EOMONTH('Faturado mensal'!V$2,0))</f>
        <v>0</v>
      </c>
      <c r="W283" s="9">
        <f>SUMIFS(#REF!,#REF!,
$A283,#REF!,
"&gt;="&amp;'Faturado mensal'!W$2,#REF!,
"&lt;"&amp;EOMONTH('Faturado mensal'!W$2,0))</f>
        <v>0</v>
      </c>
      <c r="X283" s="9">
        <f>SUMIFS(#REF!,#REF!,
$A283,#REF!,
"&gt;="&amp;'Faturado mensal'!X$2,#REF!,
"&lt;"&amp;EOMONTH('Faturado mensal'!X$2,0))</f>
        <v>0</v>
      </c>
      <c r="Y283" s="11">
        <f>SUMIFS(#REF!,#REF!,
$A283,#REF!,
"&gt;="&amp;'Faturado mensal'!M$2,#REF!,
"&lt;"&amp;EOMONTH('Faturado mensal'!M$2,12))</f>
        <v>0</v>
      </c>
      <c r="Z283" s="9">
        <f>SUMIFS(#REF!,#REF!,
$A283,#REF!,
"&gt;="&amp;'Faturado mensal'!Z$2,#REF!,
"&lt;"&amp;EOMONTH('Faturado mensal'!Z$2,0))</f>
        <v>0</v>
      </c>
      <c r="AA283" s="9">
        <f>SUMIFS(#REF!,#REF!,
$A283,#REF!,
"&gt;="&amp;'Faturado mensal'!AA$2,#REF!,
"&lt;"&amp;EOMONTH('Faturado mensal'!AA$2,0))</f>
        <v>0</v>
      </c>
      <c r="AB283" s="9">
        <f>SUMIFS(#REF!,#REF!,
$A283,#REF!,
"&gt;="&amp;'Faturado mensal'!AB$2,#REF!,
"&lt;"&amp;EOMONTH('Faturado mensal'!AB$2,0))</f>
        <v>0</v>
      </c>
      <c r="AC283" s="9">
        <f>SUMIFS(#REF!,#REF!,
$A283,#REF!,
"&gt;="&amp;'Faturado mensal'!AC$2,#REF!,
"&lt;"&amp;EOMONTH('Faturado mensal'!AC$2,0))</f>
        <v>0</v>
      </c>
      <c r="AD283" s="9">
        <f>SUMIFS(#REF!,#REF!,
$A283,#REF!,
"&gt;="&amp;'Faturado mensal'!AD$2,#REF!,
"&lt;"&amp;EOMONTH('Faturado mensal'!AD$2,0))</f>
        <v>0</v>
      </c>
      <c r="AE283" s="9">
        <f>SUMIFS(#REF!,#REF!,
$A283,#REF!,
"&gt;="&amp;'Faturado mensal'!AE$2,#REF!,
"&lt;"&amp;EOMONTH('Faturado mensal'!AE$2,0))</f>
        <v>0</v>
      </c>
      <c r="AF283" s="9">
        <f>SUMIFS(#REF!,#REF!,
$A283,#REF!,
"&gt;="&amp;'Faturado mensal'!AF$2,#REF!,
"&lt;"&amp;EOMONTH('Faturado mensal'!AF$2,0))</f>
        <v>0</v>
      </c>
      <c r="AG283" s="9">
        <f>SUMIFS(#REF!,#REF!,
$A283,#REF!,
"&gt;="&amp;'Faturado mensal'!AG$2,#REF!,
"&lt;"&amp;EOMONTH('Faturado mensal'!AG$2,0))</f>
        <v>0</v>
      </c>
      <c r="AH283" s="9">
        <f>SUMIFS(#REF!,#REF!,
$A283,#REF!,
"&gt;="&amp;'Faturado mensal'!AH$2,#REF!,
"&lt;"&amp;EOMONTH('Faturado mensal'!AH$2,0))</f>
        <v>0</v>
      </c>
      <c r="AI283" s="9">
        <f>SUMIFS(#REF!,#REF!,
$A283,#REF!,
"&gt;="&amp;'Faturado mensal'!AI$2,#REF!,
"&lt;"&amp;EOMONTH('Faturado mensal'!AI$2,0))</f>
        <v>0</v>
      </c>
      <c r="AJ283" s="9">
        <f>SUMIFS(#REF!,#REF!,
$A283,#REF!,
"&gt;="&amp;'Faturado mensal'!AJ$2,#REF!,
"&lt;"&amp;EOMONTH('Faturado mensal'!AJ$2,0))</f>
        <v>0</v>
      </c>
      <c r="AK283" s="9">
        <f>SUMIFS(#REF!,#REF!,
$A283,#REF!,
"&gt;="&amp;'Faturado mensal'!AK$2,#REF!,
"&lt;"&amp;EOMONTH('Faturado mensal'!AK$2,0))</f>
        <v>0</v>
      </c>
      <c r="AL283" s="9">
        <f>SUMIFS(#REF!,#REF!,
$A283,#REF!,
"&gt;="&amp;Z$2,#REF!,
"&lt;"&amp;EOMONTH(AK$2,0))</f>
        <v>0</v>
      </c>
    </row>
    <row r="284" spans="1:38" x14ac:dyDescent="0.3">
      <c r="A284" t="s">
        <v>597</v>
      </c>
      <c r="B284" t="s">
        <v>598</v>
      </c>
      <c r="C284" t="s">
        <v>128</v>
      </c>
      <c r="D284" t="s">
        <v>204</v>
      </c>
      <c r="E284" t="s">
        <v>1037</v>
      </c>
      <c r="F284" t="s">
        <v>4794</v>
      </c>
      <c r="G284" t="s">
        <v>4852</v>
      </c>
      <c r="H284" t="s">
        <v>4772</v>
      </c>
      <c r="I284" t="s">
        <v>946</v>
      </c>
      <c r="J284" t="s">
        <v>710</v>
      </c>
      <c r="K284" t="s">
        <v>717</v>
      </c>
      <c r="L284" t="s">
        <v>718</v>
      </c>
      <c r="M284" s="9">
        <f>SUMIFS(#REF!,#REF!,
$A284,#REF!,
"&gt;="&amp;'Faturado mensal'!M$2,#REF!,
"&lt;"&amp;EOMONTH('Faturado mensal'!M$2,0))</f>
        <v>4034.71</v>
      </c>
      <c r="N284" s="9">
        <f>SUMIFS(#REF!,#REF!,
$A284,#REF!,
"&gt;="&amp;'Faturado mensal'!N$2,#REF!,
"&lt;"&amp;EOMONTH('Faturado mensal'!N$2,0))</f>
        <v>5092.16</v>
      </c>
      <c r="O284" s="9">
        <f>SUMIFS(#REF!,#REF!,
$A284,#REF!,
"&gt;="&amp;'Faturado mensal'!O$2,#REF!,
"&lt;"&amp;EOMONTH('Faturado mensal'!O$2,0))</f>
        <v>3989.83</v>
      </c>
      <c r="P284" s="9">
        <f>SUMIFS(#REF!,#REF!,
$A284,#REF!,
"&gt;="&amp;'Faturado mensal'!P$2,#REF!,
"&lt;"&amp;EOMONTH('Faturado mensal'!P$2,0))</f>
        <v>4509.6000000000004</v>
      </c>
      <c r="Q284" s="9">
        <f>SUMIFS(#REF!,#REF!,
$A284,#REF!,
"&gt;="&amp;'Faturado mensal'!Q$2,#REF!,
"&lt;"&amp;EOMONTH('Faturado mensal'!Q$2,0))</f>
        <v>4461.6899999999996</v>
      </c>
      <c r="R284" s="9">
        <f>SUMIFS(#REF!,#REF!,
$A284,#REF!,
"&gt;="&amp;'Faturado mensal'!R$2,#REF!,
"&lt;"&amp;EOMONTH('Faturado mensal'!R$2,0))</f>
        <v>0</v>
      </c>
      <c r="S284" s="9">
        <f>SUMIFS(#REF!,#REF!,
$A284,#REF!,
"&gt;="&amp;'Faturado mensal'!S$2,#REF!,
"&lt;"&amp;EOMONTH('Faturado mensal'!S$2,0))</f>
        <v>5205.96</v>
      </c>
      <c r="T284" s="9">
        <f>SUMIFS(#REF!,#REF!,
$A284,#REF!,
"&gt;="&amp;'Faturado mensal'!T$2,#REF!,
"&lt;"&amp;EOMONTH('Faturado mensal'!T$2,0))</f>
        <v>5075.9799999999996</v>
      </c>
      <c r="U284" s="9">
        <f>SUMIFS(#REF!,#REF!,
$A284,#REF!,
"&gt;="&amp;'Faturado mensal'!U$2,#REF!,
"&lt;"&amp;EOMONTH('Faturado mensal'!U$2,0))</f>
        <v>4619.53</v>
      </c>
      <c r="V284" s="9">
        <f>SUMIFS(#REF!,#REF!,
$A284,#REF!,
"&gt;="&amp;'Faturado mensal'!V$2,#REF!,
"&lt;"&amp;EOMONTH('Faturado mensal'!V$2,0))</f>
        <v>4640.57</v>
      </c>
      <c r="W284" s="9">
        <f>SUMIFS(#REF!,#REF!,
$A284,#REF!,
"&gt;="&amp;'Faturado mensal'!W$2,#REF!,
"&lt;"&amp;EOMONTH('Faturado mensal'!W$2,0))</f>
        <v>4929.2</v>
      </c>
      <c r="X284" s="9">
        <f>SUMIFS(#REF!,#REF!,
$A284,#REF!,
"&gt;="&amp;'Faturado mensal'!X$2,#REF!,
"&lt;"&amp;EOMONTH('Faturado mensal'!X$2,0))</f>
        <v>4659.55</v>
      </c>
      <c r="Y284" s="11">
        <f>SUMIFS(#REF!,#REF!,
$A284,#REF!,
"&gt;="&amp;'Faturado mensal'!M$2,#REF!,
"&lt;"&amp;EOMONTH('Faturado mensal'!M$2,12))</f>
        <v>63451.78</v>
      </c>
      <c r="Z284" s="9">
        <f>SUMIFS(#REF!,#REF!,
$A284,#REF!,
"&gt;="&amp;'Faturado mensal'!Z$2,#REF!,
"&lt;"&amp;EOMONTH('Faturado mensal'!Z$2,0))</f>
        <v>5022</v>
      </c>
      <c r="AA284" s="9">
        <f>SUMIFS(#REF!,#REF!,
$A284,#REF!,
"&gt;="&amp;'Faturado mensal'!AA$2,#REF!,
"&lt;"&amp;EOMONTH('Faturado mensal'!AA$2,0))</f>
        <v>4262.2700000000004</v>
      </c>
      <c r="AB284" s="9">
        <f>SUMIFS(#REF!,#REF!,
$A284,#REF!,
"&gt;="&amp;'Faturado mensal'!AB$2,#REF!,
"&lt;"&amp;EOMONTH('Faturado mensal'!AB$2,0))</f>
        <v>5513.82</v>
      </c>
      <c r="AC284" s="9">
        <f>SUMIFS(#REF!,#REF!,
$A284,#REF!,
"&gt;="&amp;'Faturado mensal'!AC$2,#REF!,
"&lt;"&amp;EOMONTH('Faturado mensal'!AC$2,0))</f>
        <v>5721.69</v>
      </c>
      <c r="AD284" s="9">
        <f>SUMIFS(#REF!,#REF!,
$A284,#REF!,
"&gt;="&amp;'Faturado mensal'!AD$2,#REF!,
"&lt;"&amp;EOMONTH('Faturado mensal'!AD$2,0))</f>
        <v>5053.42</v>
      </c>
      <c r="AE284" s="9">
        <f>SUMIFS(#REF!,#REF!,
$A284,#REF!,
"&gt;="&amp;'Faturado mensal'!AE$2,#REF!,
"&lt;"&amp;EOMONTH('Faturado mensal'!AE$2,0))</f>
        <v>0</v>
      </c>
      <c r="AF284" s="9">
        <f>SUMIFS(#REF!,#REF!,
$A284,#REF!,
"&gt;="&amp;'Faturado mensal'!AF$2,#REF!,
"&lt;"&amp;EOMONTH('Faturado mensal'!AF$2,0))</f>
        <v>0</v>
      </c>
      <c r="AG284" s="9">
        <f>SUMIFS(#REF!,#REF!,
$A284,#REF!,
"&gt;="&amp;'Faturado mensal'!AG$2,#REF!,
"&lt;"&amp;EOMONTH('Faturado mensal'!AG$2,0))</f>
        <v>0</v>
      </c>
      <c r="AH284" s="9">
        <f>SUMIFS(#REF!,#REF!,
$A284,#REF!,
"&gt;="&amp;'Faturado mensal'!AH$2,#REF!,
"&lt;"&amp;EOMONTH('Faturado mensal'!AH$2,0))</f>
        <v>0</v>
      </c>
      <c r="AI284" s="9">
        <f>SUMIFS(#REF!,#REF!,
$A284,#REF!,
"&gt;="&amp;'Faturado mensal'!AI$2,#REF!,
"&lt;"&amp;EOMONTH('Faturado mensal'!AI$2,0))</f>
        <v>0</v>
      </c>
      <c r="AJ284" s="9">
        <f>SUMIFS(#REF!,#REF!,
$A284,#REF!,
"&gt;="&amp;'Faturado mensal'!AJ$2,#REF!,
"&lt;"&amp;EOMONTH('Faturado mensal'!AJ$2,0))</f>
        <v>0</v>
      </c>
      <c r="AK284" s="9">
        <f>SUMIFS(#REF!,#REF!,
$A284,#REF!,
"&gt;="&amp;'Faturado mensal'!AK$2,#REF!,
"&lt;"&amp;EOMONTH('Faturado mensal'!AK$2,0))</f>
        <v>0</v>
      </c>
      <c r="AL284" s="9">
        <f>SUMIFS(#REF!,#REF!,
$A284,#REF!,
"&gt;="&amp;Z$2,#REF!,
"&lt;"&amp;EOMONTH(AK$2,0))</f>
        <v>25573.199999999997</v>
      </c>
    </row>
    <row r="285" spans="1:38" x14ac:dyDescent="0.3">
      <c r="A285" t="s">
        <v>947</v>
      </c>
      <c r="B285" t="s">
        <v>598</v>
      </c>
      <c r="C285" t="s">
        <v>128</v>
      </c>
      <c r="D285" t="s">
        <v>209</v>
      </c>
      <c r="E285" t="s">
        <v>1037</v>
      </c>
      <c r="F285" t="s">
        <v>4794</v>
      </c>
      <c r="G285" t="s">
        <v>4852</v>
      </c>
      <c r="H285" t="s">
        <v>4772</v>
      </c>
      <c r="I285" t="s">
        <v>948</v>
      </c>
      <c r="J285" t="s">
        <v>710</v>
      </c>
      <c r="K285" t="s">
        <v>768</v>
      </c>
      <c r="L285" t="s">
        <v>769</v>
      </c>
      <c r="M285" s="9">
        <f>SUMIFS(#REF!,#REF!,
$A285,#REF!,
"&gt;="&amp;'Faturado mensal'!M$2,#REF!,
"&lt;"&amp;EOMONTH('Faturado mensal'!M$2,0))</f>
        <v>0</v>
      </c>
      <c r="N285" s="9">
        <f>SUMIFS(#REF!,#REF!,
$A285,#REF!,
"&gt;="&amp;'Faturado mensal'!N$2,#REF!,
"&lt;"&amp;EOMONTH('Faturado mensal'!N$2,0))</f>
        <v>0</v>
      </c>
      <c r="O285" s="9">
        <f>SUMIFS(#REF!,#REF!,
$A285,#REF!,
"&gt;="&amp;'Faturado mensal'!O$2,#REF!,
"&lt;"&amp;EOMONTH('Faturado mensal'!O$2,0))</f>
        <v>0</v>
      </c>
      <c r="P285" s="9">
        <f>SUMIFS(#REF!,#REF!,
$A285,#REF!,
"&gt;="&amp;'Faturado mensal'!P$2,#REF!,
"&lt;"&amp;EOMONTH('Faturado mensal'!P$2,0))</f>
        <v>0</v>
      </c>
      <c r="Q285" s="9">
        <f>SUMIFS(#REF!,#REF!,
$A285,#REF!,
"&gt;="&amp;'Faturado mensal'!Q$2,#REF!,
"&lt;"&amp;EOMONTH('Faturado mensal'!Q$2,0))</f>
        <v>0</v>
      </c>
      <c r="R285" s="9">
        <f>SUMIFS(#REF!,#REF!,
$A285,#REF!,
"&gt;="&amp;'Faturado mensal'!R$2,#REF!,
"&lt;"&amp;EOMONTH('Faturado mensal'!R$2,0))</f>
        <v>0</v>
      </c>
      <c r="S285" s="9">
        <f>SUMIFS(#REF!,#REF!,
$A285,#REF!,
"&gt;="&amp;'Faturado mensal'!S$2,#REF!,
"&lt;"&amp;EOMONTH('Faturado mensal'!S$2,0))</f>
        <v>0</v>
      </c>
      <c r="T285" s="9">
        <f>SUMIFS(#REF!,#REF!,
$A285,#REF!,
"&gt;="&amp;'Faturado mensal'!T$2,#REF!,
"&lt;"&amp;EOMONTH('Faturado mensal'!T$2,0))</f>
        <v>0</v>
      </c>
      <c r="U285" s="9">
        <f>SUMIFS(#REF!,#REF!,
$A285,#REF!,
"&gt;="&amp;'Faturado mensal'!U$2,#REF!,
"&lt;"&amp;EOMONTH('Faturado mensal'!U$2,0))</f>
        <v>0</v>
      </c>
      <c r="V285" s="9">
        <f>SUMIFS(#REF!,#REF!,
$A285,#REF!,
"&gt;="&amp;'Faturado mensal'!V$2,#REF!,
"&lt;"&amp;EOMONTH('Faturado mensal'!V$2,0))</f>
        <v>0</v>
      </c>
      <c r="W285" s="9">
        <f>SUMIFS(#REF!,#REF!,
$A285,#REF!,
"&gt;="&amp;'Faturado mensal'!W$2,#REF!,
"&lt;"&amp;EOMONTH('Faturado mensal'!W$2,0))</f>
        <v>0</v>
      </c>
      <c r="X285" s="9">
        <f>SUMIFS(#REF!,#REF!,
$A285,#REF!,
"&gt;="&amp;'Faturado mensal'!X$2,#REF!,
"&lt;"&amp;EOMONTH('Faturado mensal'!X$2,0))</f>
        <v>0</v>
      </c>
      <c r="Y285" s="11">
        <f>SUMIFS(#REF!,#REF!,
$A285,#REF!,
"&gt;="&amp;'Faturado mensal'!M$2,#REF!,
"&lt;"&amp;EOMONTH('Faturado mensal'!M$2,12))</f>
        <v>0</v>
      </c>
      <c r="Z285" s="9">
        <f>SUMIFS(#REF!,#REF!,
$A285,#REF!,
"&gt;="&amp;'Faturado mensal'!Z$2,#REF!,
"&lt;"&amp;EOMONTH('Faturado mensal'!Z$2,0))</f>
        <v>0</v>
      </c>
      <c r="AA285" s="9">
        <f>SUMIFS(#REF!,#REF!,
$A285,#REF!,
"&gt;="&amp;'Faturado mensal'!AA$2,#REF!,
"&lt;"&amp;EOMONTH('Faturado mensal'!AA$2,0))</f>
        <v>0</v>
      </c>
      <c r="AB285" s="9">
        <f>SUMIFS(#REF!,#REF!,
$A285,#REF!,
"&gt;="&amp;'Faturado mensal'!AB$2,#REF!,
"&lt;"&amp;EOMONTH('Faturado mensal'!AB$2,0))</f>
        <v>0</v>
      </c>
      <c r="AC285" s="9">
        <f>SUMIFS(#REF!,#REF!,
$A285,#REF!,
"&gt;="&amp;'Faturado mensal'!AC$2,#REF!,
"&lt;"&amp;EOMONTH('Faturado mensal'!AC$2,0))</f>
        <v>0</v>
      </c>
      <c r="AD285" s="9">
        <f>SUMIFS(#REF!,#REF!,
$A285,#REF!,
"&gt;="&amp;'Faturado mensal'!AD$2,#REF!,
"&lt;"&amp;EOMONTH('Faturado mensal'!AD$2,0))</f>
        <v>0</v>
      </c>
      <c r="AE285" s="9">
        <f>SUMIFS(#REF!,#REF!,
$A285,#REF!,
"&gt;="&amp;'Faturado mensal'!AE$2,#REF!,
"&lt;"&amp;EOMONTH('Faturado mensal'!AE$2,0))</f>
        <v>0</v>
      </c>
      <c r="AF285" s="9">
        <f>SUMIFS(#REF!,#REF!,
$A285,#REF!,
"&gt;="&amp;'Faturado mensal'!AF$2,#REF!,
"&lt;"&amp;EOMONTH('Faturado mensal'!AF$2,0))</f>
        <v>0</v>
      </c>
      <c r="AG285" s="9">
        <f>SUMIFS(#REF!,#REF!,
$A285,#REF!,
"&gt;="&amp;'Faturado mensal'!AG$2,#REF!,
"&lt;"&amp;EOMONTH('Faturado mensal'!AG$2,0))</f>
        <v>0</v>
      </c>
      <c r="AH285" s="9">
        <f>SUMIFS(#REF!,#REF!,
$A285,#REF!,
"&gt;="&amp;'Faturado mensal'!AH$2,#REF!,
"&lt;"&amp;EOMONTH('Faturado mensal'!AH$2,0))</f>
        <v>0</v>
      </c>
      <c r="AI285" s="9">
        <f>SUMIFS(#REF!,#REF!,
$A285,#REF!,
"&gt;="&amp;'Faturado mensal'!AI$2,#REF!,
"&lt;"&amp;EOMONTH('Faturado mensal'!AI$2,0))</f>
        <v>0</v>
      </c>
      <c r="AJ285" s="9">
        <f>SUMIFS(#REF!,#REF!,
$A285,#REF!,
"&gt;="&amp;'Faturado mensal'!AJ$2,#REF!,
"&lt;"&amp;EOMONTH('Faturado mensal'!AJ$2,0))</f>
        <v>0</v>
      </c>
      <c r="AK285" s="9">
        <f>SUMIFS(#REF!,#REF!,
$A285,#REF!,
"&gt;="&amp;'Faturado mensal'!AK$2,#REF!,
"&lt;"&amp;EOMONTH('Faturado mensal'!AK$2,0))</f>
        <v>0</v>
      </c>
      <c r="AL285" s="9">
        <f>SUMIFS(#REF!,#REF!,
$A285,#REF!,
"&gt;="&amp;Z$2,#REF!,
"&lt;"&amp;EOMONTH(AK$2,0))</f>
        <v>0</v>
      </c>
    </row>
    <row r="286" spans="1:38" x14ac:dyDescent="0.3">
      <c r="A286" t="s">
        <v>599</v>
      </c>
      <c r="B286" t="s">
        <v>598</v>
      </c>
      <c r="C286" t="s">
        <v>128</v>
      </c>
      <c r="D286" t="s">
        <v>204</v>
      </c>
      <c r="E286" t="s">
        <v>1037</v>
      </c>
      <c r="F286" t="s">
        <v>4794</v>
      </c>
      <c r="G286" t="s">
        <v>4852</v>
      </c>
      <c r="H286" t="s">
        <v>4772</v>
      </c>
      <c r="I286" t="s">
        <v>949</v>
      </c>
      <c r="J286" t="s">
        <v>710</v>
      </c>
      <c r="K286" t="s">
        <v>762</v>
      </c>
      <c r="L286" t="s">
        <v>763</v>
      </c>
      <c r="M286" s="9">
        <f>SUMIFS(#REF!,#REF!,
$A286,#REF!,
"&gt;="&amp;'Faturado mensal'!M$2,#REF!,
"&lt;"&amp;EOMONTH('Faturado mensal'!M$2,0))</f>
        <v>2991.14</v>
      </c>
      <c r="N286" s="9">
        <f>SUMIFS(#REF!,#REF!,
$A286,#REF!,
"&gt;="&amp;'Faturado mensal'!N$2,#REF!,
"&lt;"&amp;EOMONTH('Faturado mensal'!N$2,0))</f>
        <v>3649.05</v>
      </c>
      <c r="O286" s="9">
        <f>SUMIFS(#REF!,#REF!,
$A286,#REF!,
"&gt;="&amp;'Faturado mensal'!O$2,#REF!,
"&lt;"&amp;EOMONTH('Faturado mensal'!O$2,0))</f>
        <v>3314.19</v>
      </c>
      <c r="P286" s="9">
        <f>SUMIFS(#REF!,#REF!,
$A286,#REF!,
"&gt;="&amp;'Faturado mensal'!P$2,#REF!,
"&lt;"&amp;EOMONTH('Faturado mensal'!P$2,0))</f>
        <v>3537.56</v>
      </c>
      <c r="Q286" s="9">
        <f>SUMIFS(#REF!,#REF!,
$A286,#REF!,
"&gt;="&amp;'Faturado mensal'!Q$2,#REF!,
"&lt;"&amp;EOMONTH('Faturado mensal'!Q$2,0))</f>
        <v>3520.05</v>
      </c>
      <c r="R286" s="9">
        <f>SUMIFS(#REF!,#REF!,
$A286,#REF!,
"&gt;="&amp;'Faturado mensal'!R$2,#REF!,
"&lt;"&amp;EOMONTH('Faturado mensal'!R$2,0))</f>
        <v>0</v>
      </c>
      <c r="S286" s="9">
        <f>SUMIFS(#REF!,#REF!,
$A286,#REF!,
"&gt;="&amp;'Faturado mensal'!S$2,#REF!,
"&lt;"&amp;EOMONTH('Faturado mensal'!S$2,0))</f>
        <v>3976.04</v>
      </c>
      <c r="T286" s="9">
        <f>SUMIFS(#REF!,#REF!,
$A286,#REF!,
"&gt;="&amp;'Faturado mensal'!T$2,#REF!,
"&lt;"&amp;EOMONTH('Faturado mensal'!T$2,0))</f>
        <v>3854.66</v>
      </c>
      <c r="U286" s="9">
        <f>SUMIFS(#REF!,#REF!,
$A286,#REF!,
"&gt;="&amp;'Faturado mensal'!U$2,#REF!,
"&lt;"&amp;EOMONTH('Faturado mensal'!U$2,0))</f>
        <v>3661.91</v>
      </c>
      <c r="V286" s="9">
        <f>SUMIFS(#REF!,#REF!,
$A286,#REF!,
"&gt;="&amp;'Faturado mensal'!V$2,#REF!,
"&lt;"&amp;EOMONTH('Faturado mensal'!V$2,0))</f>
        <v>3765.03</v>
      </c>
      <c r="W286" s="9">
        <f>SUMIFS(#REF!,#REF!,
$A286,#REF!,
"&gt;="&amp;'Faturado mensal'!W$2,#REF!,
"&lt;"&amp;EOMONTH('Faturado mensal'!W$2,0))</f>
        <v>3987.73</v>
      </c>
      <c r="X286" s="9">
        <f>SUMIFS(#REF!,#REF!,
$A286,#REF!,
"&gt;="&amp;'Faturado mensal'!X$2,#REF!,
"&lt;"&amp;EOMONTH('Faturado mensal'!X$2,0))</f>
        <v>3989.06</v>
      </c>
      <c r="Y286" s="11">
        <f>SUMIFS(#REF!,#REF!,
$A286,#REF!,
"&gt;="&amp;'Faturado mensal'!M$2,#REF!,
"&lt;"&amp;EOMONTH('Faturado mensal'!M$2,12))</f>
        <v>49900.28</v>
      </c>
      <c r="Z286" s="9">
        <f>SUMIFS(#REF!,#REF!,
$A286,#REF!,
"&gt;="&amp;'Faturado mensal'!Z$2,#REF!,
"&lt;"&amp;EOMONTH('Faturado mensal'!Z$2,0))</f>
        <v>4048.27</v>
      </c>
      <c r="AA286" s="9">
        <f>SUMIFS(#REF!,#REF!,
$A286,#REF!,
"&gt;="&amp;'Faturado mensal'!AA$2,#REF!,
"&lt;"&amp;EOMONTH('Faturado mensal'!AA$2,0))</f>
        <v>3643.44</v>
      </c>
      <c r="AB286" s="9">
        <f>SUMIFS(#REF!,#REF!,
$A286,#REF!,
"&gt;="&amp;'Faturado mensal'!AB$2,#REF!,
"&lt;"&amp;EOMONTH('Faturado mensal'!AB$2,0))</f>
        <v>4473.8500000000004</v>
      </c>
      <c r="AC286" s="9">
        <f>SUMIFS(#REF!,#REF!,
$A286,#REF!,
"&gt;="&amp;'Faturado mensal'!AC$2,#REF!,
"&lt;"&amp;EOMONTH('Faturado mensal'!AC$2,0))</f>
        <v>4496.03</v>
      </c>
      <c r="AD286" s="9">
        <f>SUMIFS(#REF!,#REF!,
$A286,#REF!,
"&gt;="&amp;'Faturado mensal'!AD$2,#REF!,
"&lt;"&amp;EOMONTH('Faturado mensal'!AD$2,0))</f>
        <v>4285.2299999999996</v>
      </c>
      <c r="AE286" s="9">
        <f>SUMIFS(#REF!,#REF!,
$A286,#REF!,
"&gt;="&amp;'Faturado mensal'!AE$2,#REF!,
"&lt;"&amp;EOMONTH('Faturado mensal'!AE$2,0))</f>
        <v>0</v>
      </c>
      <c r="AF286" s="9">
        <f>SUMIFS(#REF!,#REF!,
$A286,#REF!,
"&gt;="&amp;'Faturado mensal'!AF$2,#REF!,
"&lt;"&amp;EOMONTH('Faturado mensal'!AF$2,0))</f>
        <v>0</v>
      </c>
      <c r="AG286" s="9">
        <f>SUMIFS(#REF!,#REF!,
$A286,#REF!,
"&gt;="&amp;'Faturado mensal'!AG$2,#REF!,
"&lt;"&amp;EOMONTH('Faturado mensal'!AG$2,0))</f>
        <v>0</v>
      </c>
      <c r="AH286" s="9">
        <f>SUMIFS(#REF!,#REF!,
$A286,#REF!,
"&gt;="&amp;'Faturado mensal'!AH$2,#REF!,
"&lt;"&amp;EOMONTH('Faturado mensal'!AH$2,0))</f>
        <v>0</v>
      </c>
      <c r="AI286" s="9">
        <f>SUMIFS(#REF!,#REF!,
$A286,#REF!,
"&gt;="&amp;'Faturado mensal'!AI$2,#REF!,
"&lt;"&amp;EOMONTH('Faturado mensal'!AI$2,0))</f>
        <v>0</v>
      </c>
      <c r="AJ286" s="9">
        <f>SUMIFS(#REF!,#REF!,
$A286,#REF!,
"&gt;="&amp;'Faturado mensal'!AJ$2,#REF!,
"&lt;"&amp;EOMONTH('Faturado mensal'!AJ$2,0))</f>
        <v>0</v>
      </c>
      <c r="AK286" s="9">
        <f>SUMIFS(#REF!,#REF!,
$A286,#REF!,
"&gt;="&amp;'Faturado mensal'!AK$2,#REF!,
"&lt;"&amp;EOMONTH('Faturado mensal'!AK$2,0))</f>
        <v>0</v>
      </c>
      <c r="AL286" s="9">
        <f>SUMIFS(#REF!,#REF!,
$A286,#REF!,
"&gt;="&amp;Z$2,#REF!,
"&lt;"&amp;EOMONTH(AK$2,0))</f>
        <v>20946.82</v>
      </c>
    </row>
    <row r="287" spans="1:38" x14ac:dyDescent="0.3">
      <c r="A287" t="s">
        <v>600</v>
      </c>
      <c r="B287" t="s">
        <v>598</v>
      </c>
      <c r="C287" t="s">
        <v>128</v>
      </c>
      <c r="D287" t="s">
        <v>204</v>
      </c>
      <c r="E287" t="s">
        <v>1037</v>
      </c>
      <c r="F287" t="s">
        <v>4794</v>
      </c>
      <c r="G287" t="s">
        <v>4852</v>
      </c>
      <c r="H287" t="s">
        <v>4772</v>
      </c>
      <c r="I287" t="s">
        <v>948</v>
      </c>
      <c r="J287" t="s">
        <v>710</v>
      </c>
      <c r="K287" t="s">
        <v>768</v>
      </c>
      <c r="L287" t="s">
        <v>769</v>
      </c>
      <c r="M287" s="9">
        <f>SUMIFS(#REF!,#REF!,
$A287,#REF!,
"&gt;="&amp;'Faturado mensal'!M$2,#REF!,
"&lt;"&amp;EOMONTH('Faturado mensal'!M$2,0))</f>
        <v>713.81</v>
      </c>
      <c r="N287" s="9">
        <f>SUMIFS(#REF!,#REF!,
$A287,#REF!,
"&gt;="&amp;'Faturado mensal'!N$2,#REF!,
"&lt;"&amp;EOMONTH('Faturado mensal'!N$2,0))</f>
        <v>1001.34</v>
      </c>
      <c r="O287" s="9">
        <f>SUMIFS(#REF!,#REF!,
$A287,#REF!,
"&gt;="&amp;'Faturado mensal'!O$2,#REF!,
"&lt;"&amp;EOMONTH('Faturado mensal'!O$2,0))</f>
        <v>920.49</v>
      </c>
      <c r="P287" s="9">
        <f>SUMIFS(#REF!,#REF!,
$A287,#REF!,
"&gt;="&amp;'Faturado mensal'!P$2,#REF!,
"&lt;"&amp;EOMONTH('Faturado mensal'!P$2,0))</f>
        <v>812.6</v>
      </c>
      <c r="Q287" s="9">
        <f>SUMIFS(#REF!,#REF!,
$A287,#REF!,
"&gt;="&amp;'Faturado mensal'!Q$2,#REF!,
"&lt;"&amp;EOMONTH('Faturado mensal'!Q$2,0))</f>
        <v>825.75</v>
      </c>
      <c r="R287" s="9">
        <f>SUMIFS(#REF!,#REF!,
$A287,#REF!,
"&gt;="&amp;'Faturado mensal'!R$2,#REF!,
"&lt;"&amp;EOMONTH('Faturado mensal'!R$2,0))</f>
        <v>0</v>
      </c>
      <c r="S287" s="9">
        <f>SUMIFS(#REF!,#REF!,
$A287,#REF!,
"&gt;="&amp;'Faturado mensal'!S$2,#REF!,
"&lt;"&amp;EOMONTH('Faturado mensal'!S$2,0))</f>
        <v>840.09</v>
      </c>
      <c r="T287" s="9">
        <f>SUMIFS(#REF!,#REF!,
$A287,#REF!,
"&gt;="&amp;'Faturado mensal'!T$2,#REF!,
"&lt;"&amp;EOMONTH('Faturado mensal'!T$2,0))</f>
        <v>834.12</v>
      </c>
      <c r="U287" s="9">
        <f>SUMIFS(#REF!,#REF!,
$A287,#REF!,
"&gt;="&amp;'Faturado mensal'!U$2,#REF!,
"&lt;"&amp;EOMONTH('Faturado mensal'!U$2,0))</f>
        <v>915.35</v>
      </c>
      <c r="V287" s="9">
        <f>SUMIFS(#REF!,#REF!,
$A287,#REF!,
"&gt;="&amp;'Faturado mensal'!V$2,#REF!,
"&lt;"&amp;EOMONTH('Faturado mensal'!V$2,0))</f>
        <v>975.91</v>
      </c>
      <c r="W287" s="9">
        <f>SUMIFS(#REF!,#REF!,
$A287,#REF!,
"&gt;="&amp;'Faturado mensal'!W$2,#REF!,
"&lt;"&amp;EOMONTH('Faturado mensal'!W$2,0))</f>
        <v>994.5</v>
      </c>
      <c r="X287" s="9">
        <f>SUMIFS(#REF!,#REF!,
$A287,#REF!,
"&gt;="&amp;'Faturado mensal'!X$2,#REF!,
"&lt;"&amp;EOMONTH('Faturado mensal'!X$2,0))</f>
        <v>914.94</v>
      </c>
      <c r="Y287" s="11">
        <f>SUMIFS(#REF!,#REF!,
$A287,#REF!,
"&gt;="&amp;'Faturado mensal'!M$2,#REF!,
"&lt;"&amp;EOMONTH('Faturado mensal'!M$2,12))</f>
        <v>12016.94</v>
      </c>
      <c r="Z287" s="9">
        <f>SUMIFS(#REF!,#REF!,
$A287,#REF!,
"&gt;="&amp;'Faturado mensal'!Z$2,#REF!,
"&lt;"&amp;EOMONTH('Faturado mensal'!Z$2,0))</f>
        <v>903.9</v>
      </c>
      <c r="AA287" s="9">
        <f>SUMIFS(#REF!,#REF!,
$A287,#REF!,
"&gt;="&amp;'Faturado mensal'!AA$2,#REF!,
"&lt;"&amp;EOMONTH('Faturado mensal'!AA$2,0))</f>
        <v>863.23</v>
      </c>
      <c r="AB287" s="9">
        <f>SUMIFS(#REF!,#REF!,
$A287,#REF!,
"&gt;="&amp;'Faturado mensal'!AB$2,#REF!,
"&lt;"&amp;EOMONTH('Faturado mensal'!AB$2,0))</f>
        <v>931.29</v>
      </c>
      <c r="AC287" s="9">
        <f>SUMIFS(#REF!,#REF!,
$A287,#REF!,
"&gt;="&amp;'Faturado mensal'!AC$2,#REF!,
"&lt;"&amp;EOMONTH('Faturado mensal'!AC$2,0))</f>
        <v>1206.6600000000001</v>
      </c>
      <c r="AD287" s="9">
        <f>SUMIFS(#REF!,#REF!,
$A287,#REF!,
"&gt;="&amp;'Faturado mensal'!AD$2,#REF!,
"&lt;"&amp;EOMONTH('Faturado mensal'!AD$2,0))</f>
        <v>1177.02</v>
      </c>
      <c r="AE287" s="9">
        <f>SUMIFS(#REF!,#REF!,
$A287,#REF!,
"&gt;="&amp;'Faturado mensal'!AE$2,#REF!,
"&lt;"&amp;EOMONTH('Faturado mensal'!AE$2,0))</f>
        <v>0</v>
      </c>
      <c r="AF287" s="9">
        <f>SUMIFS(#REF!,#REF!,
$A287,#REF!,
"&gt;="&amp;'Faturado mensal'!AF$2,#REF!,
"&lt;"&amp;EOMONTH('Faturado mensal'!AF$2,0))</f>
        <v>0</v>
      </c>
      <c r="AG287" s="9">
        <f>SUMIFS(#REF!,#REF!,
$A287,#REF!,
"&gt;="&amp;'Faturado mensal'!AG$2,#REF!,
"&lt;"&amp;EOMONTH('Faturado mensal'!AG$2,0))</f>
        <v>0</v>
      </c>
      <c r="AH287" s="9">
        <f>SUMIFS(#REF!,#REF!,
$A287,#REF!,
"&gt;="&amp;'Faturado mensal'!AH$2,#REF!,
"&lt;"&amp;EOMONTH('Faturado mensal'!AH$2,0))</f>
        <v>0</v>
      </c>
      <c r="AI287" s="9">
        <f>SUMIFS(#REF!,#REF!,
$A287,#REF!,
"&gt;="&amp;'Faturado mensal'!AI$2,#REF!,
"&lt;"&amp;EOMONTH('Faturado mensal'!AI$2,0))</f>
        <v>0</v>
      </c>
      <c r="AJ287" s="9">
        <f>SUMIFS(#REF!,#REF!,
$A287,#REF!,
"&gt;="&amp;'Faturado mensal'!AJ$2,#REF!,
"&lt;"&amp;EOMONTH('Faturado mensal'!AJ$2,0))</f>
        <v>0</v>
      </c>
      <c r="AK287" s="9">
        <f>SUMIFS(#REF!,#REF!,
$A287,#REF!,
"&gt;="&amp;'Faturado mensal'!AK$2,#REF!,
"&lt;"&amp;EOMONTH('Faturado mensal'!AK$2,0))</f>
        <v>0</v>
      </c>
      <c r="AL287" s="9">
        <f>SUMIFS(#REF!,#REF!,
$A287,#REF!,
"&gt;="&amp;Z$2,#REF!,
"&lt;"&amp;EOMONTH(AK$2,0))</f>
        <v>5082.1000000000004</v>
      </c>
    </row>
    <row r="288" spans="1:38" x14ac:dyDescent="0.3">
      <c r="A288" t="s">
        <v>601</v>
      </c>
      <c r="B288" t="s">
        <v>592</v>
      </c>
      <c r="C288" t="s">
        <v>8</v>
      </c>
      <c r="D288" t="s">
        <v>209</v>
      </c>
      <c r="E288" t="s">
        <v>4833</v>
      </c>
      <c r="F288" t="s">
        <v>950</v>
      </c>
      <c r="G288" t="s">
        <v>4852</v>
      </c>
      <c r="H288" t="s">
        <v>807</v>
      </c>
      <c r="I288" t="s">
        <v>951</v>
      </c>
      <c r="J288" t="s">
        <v>890</v>
      </c>
      <c r="K288" t="s">
        <v>762</v>
      </c>
      <c r="L288" t="s">
        <v>763</v>
      </c>
      <c r="M288" s="9">
        <f>SUMIFS(#REF!,#REF!,
$A288,#REF!,
"&gt;="&amp;'Faturado mensal'!M$2,#REF!,
"&lt;"&amp;EOMONTH('Faturado mensal'!M$2,0))</f>
        <v>0</v>
      </c>
      <c r="N288" s="9">
        <f>SUMIFS(#REF!,#REF!,
$A288,#REF!,
"&gt;="&amp;'Faturado mensal'!N$2,#REF!,
"&lt;"&amp;EOMONTH('Faturado mensal'!N$2,0))</f>
        <v>0</v>
      </c>
      <c r="O288" s="9">
        <f>SUMIFS(#REF!,#REF!,
$A288,#REF!,
"&gt;="&amp;'Faturado mensal'!O$2,#REF!,
"&lt;"&amp;EOMONTH('Faturado mensal'!O$2,0))</f>
        <v>0</v>
      </c>
      <c r="P288" s="9">
        <f>SUMIFS(#REF!,#REF!,
$A288,#REF!,
"&gt;="&amp;'Faturado mensal'!P$2,#REF!,
"&lt;"&amp;EOMONTH('Faturado mensal'!P$2,0))</f>
        <v>1052.8</v>
      </c>
      <c r="Q288" s="9">
        <f>SUMIFS(#REF!,#REF!,
$A288,#REF!,
"&gt;="&amp;'Faturado mensal'!Q$2,#REF!,
"&lt;"&amp;EOMONTH('Faturado mensal'!Q$2,0))</f>
        <v>1052.8</v>
      </c>
      <c r="R288" s="9">
        <f>SUMIFS(#REF!,#REF!,
$A288,#REF!,
"&gt;="&amp;'Faturado mensal'!R$2,#REF!,
"&lt;"&amp;EOMONTH('Faturado mensal'!R$2,0))</f>
        <v>1483.17</v>
      </c>
      <c r="S288" s="9">
        <f>SUMIFS(#REF!,#REF!,
$A288,#REF!,
"&gt;="&amp;'Faturado mensal'!S$2,#REF!,
"&lt;"&amp;EOMONTH('Faturado mensal'!S$2,0))</f>
        <v>1480.27</v>
      </c>
      <c r="T288" s="9">
        <f>SUMIFS(#REF!,#REF!,
$A288,#REF!,
"&gt;="&amp;'Faturado mensal'!T$2,#REF!,
"&lt;"&amp;EOMONTH('Faturado mensal'!T$2,0))</f>
        <v>1480.27</v>
      </c>
      <c r="U288" s="9">
        <f>SUMIFS(#REF!,#REF!,
$A288,#REF!,
"&gt;="&amp;'Faturado mensal'!U$2,#REF!,
"&lt;"&amp;EOMONTH('Faturado mensal'!U$2,0))</f>
        <v>612.84</v>
      </c>
      <c r="V288" s="9">
        <f>SUMIFS(#REF!,#REF!,
$A288,#REF!,
"&gt;="&amp;'Faturado mensal'!V$2,#REF!,
"&lt;"&amp;EOMONTH('Faturado mensal'!V$2,0))</f>
        <v>1872.94</v>
      </c>
      <c r="W288" s="9">
        <f>SUMIFS(#REF!,#REF!,
$A288,#REF!,
"&gt;="&amp;'Faturado mensal'!W$2,#REF!,
"&lt;"&amp;EOMONTH('Faturado mensal'!W$2,0))</f>
        <v>1913.08</v>
      </c>
      <c r="X288" s="9">
        <f>SUMIFS(#REF!,#REF!,
$A288,#REF!,
"&gt;="&amp;'Faturado mensal'!X$2,#REF!,
"&lt;"&amp;EOMONTH('Faturado mensal'!X$2,0))</f>
        <v>1913.08</v>
      </c>
      <c r="Y288" s="11">
        <f>SUMIFS(#REF!,#REF!,
$A288,#REF!,
"&gt;="&amp;'Faturado mensal'!M$2,#REF!,
"&lt;"&amp;EOMONTH('Faturado mensal'!M$2,12))</f>
        <v>12861.25</v>
      </c>
      <c r="Z288" s="9">
        <f>SUMIFS(#REF!,#REF!,
$A288,#REF!,
"&gt;="&amp;'Faturado mensal'!Z$2,#REF!,
"&lt;"&amp;EOMONTH('Faturado mensal'!Z$2,0))</f>
        <v>0</v>
      </c>
      <c r="AA288" s="9">
        <f>SUMIFS(#REF!,#REF!,
$A288,#REF!,
"&gt;="&amp;'Faturado mensal'!AA$2,#REF!,
"&lt;"&amp;EOMONTH('Faturado mensal'!AA$2,0))</f>
        <v>0</v>
      </c>
      <c r="AB288" s="9">
        <f>SUMIFS(#REF!,#REF!,
$A288,#REF!,
"&gt;="&amp;'Faturado mensal'!AB$2,#REF!,
"&lt;"&amp;EOMONTH('Faturado mensal'!AB$2,0))</f>
        <v>0</v>
      </c>
      <c r="AC288" s="9">
        <f>SUMIFS(#REF!,#REF!,
$A288,#REF!,
"&gt;="&amp;'Faturado mensal'!AC$2,#REF!,
"&lt;"&amp;EOMONTH('Faturado mensal'!AC$2,0))</f>
        <v>0</v>
      </c>
      <c r="AD288" s="9">
        <f>SUMIFS(#REF!,#REF!,
$A288,#REF!,
"&gt;="&amp;'Faturado mensal'!AD$2,#REF!,
"&lt;"&amp;EOMONTH('Faturado mensal'!AD$2,0))</f>
        <v>0</v>
      </c>
      <c r="AE288" s="9">
        <f>SUMIFS(#REF!,#REF!,
$A288,#REF!,
"&gt;="&amp;'Faturado mensal'!AE$2,#REF!,
"&lt;"&amp;EOMONTH('Faturado mensal'!AE$2,0))</f>
        <v>0</v>
      </c>
      <c r="AF288" s="9">
        <f>SUMIFS(#REF!,#REF!,
$A288,#REF!,
"&gt;="&amp;'Faturado mensal'!AF$2,#REF!,
"&lt;"&amp;EOMONTH('Faturado mensal'!AF$2,0))</f>
        <v>0</v>
      </c>
      <c r="AG288" s="9">
        <f>SUMIFS(#REF!,#REF!,
$A288,#REF!,
"&gt;="&amp;'Faturado mensal'!AG$2,#REF!,
"&lt;"&amp;EOMONTH('Faturado mensal'!AG$2,0))</f>
        <v>0</v>
      </c>
      <c r="AH288" s="9">
        <f>SUMIFS(#REF!,#REF!,
$A288,#REF!,
"&gt;="&amp;'Faturado mensal'!AH$2,#REF!,
"&lt;"&amp;EOMONTH('Faturado mensal'!AH$2,0))</f>
        <v>0</v>
      </c>
      <c r="AI288" s="9">
        <f>SUMIFS(#REF!,#REF!,
$A288,#REF!,
"&gt;="&amp;'Faturado mensal'!AI$2,#REF!,
"&lt;"&amp;EOMONTH('Faturado mensal'!AI$2,0))</f>
        <v>0</v>
      </c>
      <c r="AJ288" s="9">
        <f>SUMIFS(#REF!,#REF!,
$A288,#REF!,
"&gt;="&amp;'Faturado mensal'!AJ$2,#REF!,
"&lt;"&amp;EOMONTH('Faturado mensal'!AJ$2,0))</f>
        <v>0</v>
      </c>
      <c r="AK288" s="9">
        <f>SUMIFS(#REF!,#REF!,
$A288,#REF!,
"&gt;="&amp;'Faturado mensal'!AK$2,#REF!,
"&lt;"&amp;EOMONTH('Faturado mensal'!AK$2,0))</f>
        <v>0</v>
      </c>
      <c r="AL288" s="9">
        <f>SUMIFS(#REF!,#REF!,
$A288,#REF!,
"&gt;="&amp;Z$2,#REF!,
"&lt;"&amp;EOMONTH(AK$2,0))</f>
        <v>0</v>
      </c>
    </row>
    <row r="289" spans="1:38" x14ac:dyDescent="0.3">
      <c r="A289" t="s">
        <v>602</v>
      </c>
      <c r="B289" t="s">
        <v>603</v>
      </c>
      <c r="C289" t="s">
        <v>69</v>
      </c>
      <c r="D289" t="s">
        <v>209</v>
      </c>
      <c r="E289" t="s">
        <v>4834</v>
      </c>
      <c r="F289" t="s">
        <v>952</v>
      </c>
      <c r="G289" t="s">
        <v>4853</v>
      </c>
      <c r="H289" t="s">
        <v>4771</v>
      </c>
      <c r="I289" t="s">
        <v>953</v>
      </c>
      <c r="J289" t="s">
        <v>954</v>
      </c>
      <c r="K289" t="s">
        <v>720</v>
      </c>
      <c r="L289" t="s">
        <v>721</v>
      </c>
      <c r="M289" s="9">
        <f>SUMIFS(#REF!,#REF!,
$A289,#REF!,
"&gt;="&amp;'Faturado mensal'!M$2,#REF!,
"&lt;"&amp;EOMONTH('Faturado mensal'!M$2,0))</f>
        <v>2918.6</v>
      </c>
      <c r="N289" s="9">
        <f>SUMIFS(#REF!,#REF!,
$A289,#REF!,
"&gt;="&amp;'Faturado mensal'!N$2,#REF!,
"&lt;"&amp;EOMONTH('Faturado mensal'!N$2,0))</f>
        <v>2918.6</v>
      </c>
      <c r="O289" s="9">
        <f>SUMIFS(#REF!,#REF!,
$A289,#REF!,
"&gt;="&amp;'Faturado mensal'!O$2,#REF!,
"&lt;"&amp;EOMONTH('Faturado mensal'!O$2,0))</f>
        <v>2918.6</v>
      </c>
      <c r="P289" s="9">
        <f>SUMIFS(#REF!,#REF!,
$A289,#REF!,
"&gt;="&amp;'Faturado mensal'!P$2,#REF!,
"&lt;"&amp;EOMONTH('Faturado mensal'!P$2,0))</f>
        <v>0</v>
      </c>
      <c r="Q289" s="9">
        <f>SUMIFS(#REF!,#REF!,
$A289,#REF!,
"&gt;="&amp;'Faturado mensal'!Q$2,#REF!,
"&lt;"&amp;EOMONTH('Faturado mensal'!Q$2,0))</f>
        <v>5837.2</v>
      </c>
      <c r="R289" s="9">
        <f>SUMIFS(#REF!,#REF!,
$A289,#REF!,
"&gt;="&amp;'Faturado mensal'!R$2,#REF!,
"&lt;"&amp;EOMONTH('Faturado mensal'!R$2,0))</f>
        <v>2918.6</v>
      </c>
      <c r="S289" s="9">
        <f>SUMIFS(#REF!,#REF!,
$A289,#REF!,
"&gt;="&amp;'Faturado mensal'!S$2,#REF!,
"&lt;"&amp;EOMONTH('Faturado mensal'!S$2,0))</f>
        <v>2918.6</v>
      </c>
      <c r="T289" s="9">
        <f>SUMIFS(#REF!,#REF!,
$A289,#REF!,
"&gt;="&amp;'Faturado mensal'!T$2,#REF!,
"&lt;"&amp;EOMONTH('Faturado mensal'!T$2,0))</f>
        <v>2918.6</v>
      </c>
      <c r="U289" s="9">
        <f>SUMIFS(#REF!,#REF!,
$A289,#REF!,
"&gt;="&amp;'Faturado mensal'!U$2,#REF!,
"&lt;"&amp;EOMONTH('Faturado mensal'!U$2,0))</f>
        <v>0</v>
      </c>
      <c r="V289" s="9">
        <f>SUMIFS(#REF!,#REF!,
$A289,#REF!,
"&gt;="&amp;'Faturado mensal'!V$2,#REF!,
"&lt;"&amp;EOMONTH('Faturado mensal'!V$2,0))</f>
        <v>0</v>
      </c>
      <c r="W289" s="9">
        <f>SUMIFS(#REF!,#REF!,
$A289,#REF!,
"&gt;="&amp;'Faturado mensal'!W$2,#REF!,
"&lt;"&amp;EOMONTH('Faturado mensal'!W$2,0))</f>
        <v>7241.04</v>
      </c>
      <c r="X289" s="9">
        <f>SUMIFS(#REF!,#REF!,
$A289,#REF!,
"&gt;="&amp;'Faturado mensal'!X$2,#REF!,
"&lt;"&amp;EOMONTH('Faturado mensal'!X$2,0))</f>
        <v>2413.6799999999998</v>
      </c>
      <c r="Y289" s="11">
        <f>SUMIFS(#REF!,#REF!,
$A289,#REF!,
"&gt;="&amp;'Faturado mensal'!M$2,#REF!,
"&lt;"&amp;EOMONTH('Faturado mensal'!M$2,12))</f>
        <v>35417.199999999997</v>
      </c>
      <c r="Z289" s="9">
        <f>SUMIFS(#REF!,#REF!,
$A289,#REF!,
"&gt;="&amp;'Faturado mensal'!Z$2,#REF!,
"&lt;"&amp;EOMONTH('Faturado mensal'!Z$2,0))</f>
        <v>2413.6799999999998</v>
      </c>
      <c r="AA289" s="9">
        <f>SUMIFS(#REF!,#REF!,
$A289,#REF!,
"&gt;="&amp;'Faturado mensal'!AA$2,#REF!,
"&lt;"&amp;EOMONTH('Faturado mensal'!AA$2,0))</f>
        <v>0</v>
      </c>
      <c r="AB289" s="9">
        <f>SUMIFS(#REF!,#REF!,
$A289,#REF!,
"&gt;="&amp;'Faturado mensal'!AB$2,#REF!,
"&lt;"&amp;EOMONTH('Faturado mensal'!AB$2,0))</f>
        <v>0</v>
      </c>
      <c r="AC289" s="9">
        <f>SUMIFS(#REF!,#REF!,
$A289,#REF!,
"&gt;="&amp;'Faturado mensal'!AC$2,#REF!,
"&lt;"&amp;EOMONTH('Faturado mensal'!AC$2,0))</f>
        <v>0</v>
      </c>
      <c r="AD289" s="9">
        <f>SUMIFS(#REF!,#REF!,
$A289,#REF!,
"&gt;="&amp;'Faturado mensal'!AD$2,#REF!,
"&lt;"&amp;EOMONTH('Faturado mensal'!AD$2,0))</f>
        <v>0</v>
      </c>
      <c r="AE289" s="9">
        <f>SUMIFS(#REF!,#REF!,
$A289,#REF!,
"&gt;="&amp;'Faturado mensal'!AE$2,#REF!,
"&lt;"&amp;EOMONTH('Faturado mensal'!AE$2,0))</f>
        <v>0</v>
      </c>
      <c r="AF289" s="9">
        <f>SUMIFS(#REF!,#REF!,
$A289,#REF!,
"&gt;="&amp;'Faturado mensal'!AF$2,#REF!,
"&lt;"&amp;EOMONTH('Faturado mensal'!AF$2,0))</f>
        <v>0</v>
      </c>
      <c r="AG289" s="9">
        <f>SUMIFS(#REF!,#REF!,
$A289,#REF!,
"&gt;="&amp;'Faturado mensal'!AG$2,#REF!,
"&lt;"&amp;EOMONTH('Faturado mensal'!AG$2,0))</f>
        <v>0</v>
      </c>
      <c r="AH289" s="9">
        <f>SUMIFS(#REF!,#REF!,
$A289,#REF!,
"&gt;="&amp;'Faturado mensal'!AH$2,#REF!,
"&lt;"&amp;EOMONTH('Faturado mensal'!AH$2,0))</f>
        <v>0</v>
      </c>
      <c r="AI289" s="9">
        <f>SUMIFS(#REF!,#REF!,
$A289,#REF!,
"&gt;="&amp;'Faturado mensal'!AI$2,#REF!,
"&lt;"&amp;EOMONTH('Faturado mensal'!AI$2,0))</f>
        <v>0</v>
      </c>
      <c r="AJ289" s="9">
        <f>SUMIFS(#REF!,#REF!,
$A289,#REF!,
"&gt;="&amp;'Faturado mensal'!AJ$2,#REF!,
"&lt;"&amp;EOMONTH('Faturado mensal'!AJ$2,0))</f>
        <v>0</v>
      </c>
      <c r="AK289" s="9">
        <f>SUMIFS(#REF!,#REF!,
$A289,#REF!,
"&gt;="&amp;'Faturado mensal'!AK$2,#REF!,
"&lt;"&amp;EOMONTH('Faturado mensal'!AK$2,0))</f>
        <v>0</v>
      </c>
      <c r="AL289" s="9">
        <f>SUMIFS(#REF!,#REF!,
$A289,#REF!,
"&gt;="&amp;Z$2,#REF!,
"&lt;"&amp;EOMONTH(AK$2,0))</f>
        <v>2413.6799999999998</v>
      </c>
    </row>
    <row r="290" spans="1:38" x14ac:dyDescent="0.3">
      <c r="A290" t="s">
        <v>955</v>
      </c>
      <c r="B290" t="s">
        <v>208</v>
      </c>
      <c r="C290" t="s">
        <v>164</v>
      </c>
      <c r="D290" t="s">
        <v>209</v>
      </c>
      <c r="E290" t="s">
        <v>1036</v>
      </c>
      <c r="F290" t="s">
        <v>4784</v>
      </c>
      <c r="G290" t="s">
        <v>4853</v>
      </c>
      <c r="I290" t="s">
        <v>163</v>
      </c>
      <c r="J290" t="s">
        <v>710</v>
      </c>
      <c r="K290" t="s">
        <v>711</v>
      </c>
      <c r="L290" t="s">
        <v>712</v>
      </c>
      <c r="M290" s="9">
        <f>SUMIFS(#REF!,#REF!,
$A290,#REF!,
"&gt;="&amp;'Faturado mensal'!M$2,#REF!,
"&lt;"&amp;EOMONTH('Faturado mensal'!M$2,0))</f>
        <v>0</v>
      </c>
      <c r="N290" s="9">
        <f>SUMIFS(#REF!,#REF!,
$A290,#REF!,
"&gt;="&amp;'Faturado mensal'!N$2,#REF!,
"&lt;"&amp;EOMONTH('Faturado mensal'!N$2,0))</f>
        <v>0</v>
      </c>
      <c r="O290" s="9">
        <f>SUMIFS(#REF!,#REF!,
$A290,#REF!,
"&gt;="&amp;'Faturado mensal'!O$2,#REF!,
"&lt;"&amp;EOMONTH('Faturado mensal'!O$2,0))</f>
        <v>0</v>
      </c>
      <c r="P290" s="9">
        <f>SUMIFS(#REF!,#REF!,
$A290,#REF!,
"&gt;="&amp;'Faturado mensal'!P$2,#REF!,
"&lt;"&amp;EOMONTH('Faturado mensal'!P$2,0))</f>
        <v>0</v>
      </c>
      <c r="Q290" s="9">
        <f>SUMIFS(#REF!,#REF!,
$A290,#REF!,
"&gt;="&amp;'Faturado mensal'!Q$2,#REF!,
"&lt;"&amp;EOMONTH('Faturado mensal'!Q$2,0))</f>
        <v>0</v>
      </c>
      <c r="R290" s="9">
        <f>SUMIFS(#REF!,#REF!,
$A290,#REF!,
"&gt;="&amp;'Faturado mensal'!R$2,#REF!,
"&lt;"&amp;EOMONTH('Faturado mensal'!R$2,0))</f>
        <v>0</v>
      </c>
      <c r="S290" s="9">
        <f>SUMIFS(#REF!,#REF!,
$A290,#REF!,
"&gt;="&amp;'Faturado mensal'!S$2,#REF!,
"&lt;"&amp;EOMONTH('Faturado mensal'!S$2,0))</f>
        <v>0</v>
      </c>
      <c r="T290" s="9">
        <f>SUMIFS(#REF!,#REF!,
$A290,#REF!,
"&gt;="&amp;'Faturado mensal'!T$2,#REF!,
"&lt;"&amp;EOMONTH('Faturado mensal'!T$2,0))</f>
        <v>0</v>
      </c>
      <c r="U290" s="9">
        <f>SUMIFS(#REF!,#REF!,
$A290,#REF!,
"&gt;="&amp;'Faturado mensal'!U$2,#REF!,
"&lt;"&amp;EOMONTH('Faturado mensal'!U$2,0))</f>
        <v>0</v>
      </c>
      <c r="V290" s="9">
        <f>SUMIFS(#REF!,#REF!,
$A290,#REF!,
"&gt;="&amp;'Faturado mensal'!V$2,#REF!,
"&lt;"&amp;EOMONTH('Faturado mensal'!V$2,0))</f>
        <v>0</v>
      </c>
      <c r="W290" s="9">
        <f>SUMIFS(#REF!,#REF!,
$A290,#REF!,
"&gt;="&amp;'Faturado mensal'!W$2,#REF!,
"&lt;"&amp;EOMONTH('Faturado mensal'!W$2,0))</f>
        <v>0</v>
      </c>
      <c r="X290" s="9">
        <f>SUMIFS(#REF!,#REF!,
$A290,#REF!,
"&gt;="&amp;'Faturado mensal'!X$2,#REF!,
"&lt;"&amp;EOMONTH('Faturado mensal'!X$2,0))</f>
        <v>0</v>
      </c>
      <c r="Y290" s="11">
        <f>SUMIFS(#REF!,#REF!,
$A290,#REF!,
"&gt;="&amp;'Faturado mensal'!M$2,#REF!,
"&lt;"&amp;EOMONTH('Faturado mensal'!M$2,12))</f>
        <v>0</v>
      </c>
      <c r="Z290" s="9">
        <f>SUMIFS(#REF!,#REF!,
$A290,#REF!,
"&gt;="&amp;'Faturado mensal'!Z$2,#REF!,
"&lt;"&amp;EOMONTH('Faturado mensal'!Z$2,0))</f>
        <v>0</v>
      </c>
      <c r="AA290" s="9">
        <f>SUMIFS(#REF!,#REF!,
$A290,#REF!,
"&gt;="&amp;'Faturado mensal'!AA$2,#REF!,
"&lt;"&amp;EOMONTH('Faturado mensal'!AA$2,0))</f>
        <v>0</v>
      </c>
      <c r="AB290" s="9">
        <f>SUMIFS(#REF!,#REF!,
$A290,#REF!,
"&gt;="&amp;'Faturado mensal'!AB$2,#REF!,
"&lt;"&amp;EOMONTH('Faturado mensal'!AB$2,0))</f>
        <v>0</v>
      </c>
      <c r="AC290" s="9">
        <f>SUMIFS(#REF!,#REF!,
$A290,#REF!,
"&gt;="&amp;'Faturado mensal'!AC$2,#REF!,
"&lt;"&amp;EOMONTH('Faturado mensal'!AC$2,0))</f>
        <v>0</v>
      </c>
      <c r="AD290" s="9">
        <f>SUMIFS(#REF!,#REF!,
$A290,#REF!,
"&gt;="&amp;'Faturado mensal'!AD$2,#REF!,
"&lt;"&amp;EOMONTH('Faturado mensal'!AD$2,0))</f>
        <v>0</v>
      </c>
      <c r="AE290" s="9">
        <f>SUMIFS(#REF!,#REF!,
$A290,#REF!,
"&gt;="&amp;'Faturado mensal'!AE$2,#REF!,
"&lt;"&amp;EOMONTH('Faturado mensal'!AE$2,0))</f>
        <v>0</v>
      </c>
      <c r="AF290" s="9">
        <f>SUMIFS(#REF!,#REF!,
$A290,#REF!,
"&gt;="&amp;'Faturado mensal'!AF$2,#REF!,
"&lt;"&amp;EOMONTH('Faturado mensal'!AF$2,0))</f>
        <v>0</v>
      </c>
      <c r="AG290" s="9">
        <f>SUMIFS(#REF!,#REF!,
$A290,#REF!,
"&gt;="&amp;'Faturado mensal'!AG$2,#REF!,
"&lt;"&amp;EOMONTH('Faturado mensal'!AG$2,0))</f>
        <v>0</v>
      </c>
      <c r="AH290" s="9">
        <f>SUMIFS(#REF!,#REF!,
$A290,#REF!,
"&gt;="&amp;'Faturado mensal'!AH$2,#REF!,
"&lt;"&amp;EOMONTH('Faturado mensal'!AH$2,0))</f>
        <v>0</v>
      </c>
      <c r="AI290" s="9">
        <f>SUMIFS(#REF!,#REF!,
$A290,#REF!,
"&gt;="&amp;'Faturado mensal'!AI$2,#REF!,
"&lt;"&amp;EOMONTH('Faturado mensal'!AI$2,0))</f>
        <v>0</v>
      </c>
      <c r="AJ290" s="9">
        <f>SUMIFS(#REF!,#REF!,
$A290,#REF!,
"&gt;="&amp;'Faturado mensal'!AJ$2,#REF!,
"&lt;"&amp;EOMONTH('Faturado mensal'!AJ$2,0))</f>
        <v>0</v>
      </c>
      <c r="AK290" s="9">
        <f>SUMIFS(#REF!,#REF!,
$A290,#REF!,
"&gt;="&amp;'Faturado mensal'!AK$2,#REF!,
"&lt;"&amp;EOMONTH('Faturado mensal'!AK$2,0))</f>
        <v>0</v>
      </c>
      <c r="AL290" s="9">
        <f>SUMIFS(#REF!,#REF!,
$A290,#REF!,
"&gt;="&amp;Z$2,#REF!,
"&lt;"&amp;EOMONTH(AK$2,0))</f>
        <v>0</v>
      </c>
    </row>
    <row r="291" spans="1:38" x14ac:dyDescent="0.3">
      <c r="A291" t="s">
        <v>604</v>
      </c>
      <c r="B291" t="s">
        <v>208</v>
      </c>
      <c r="C291" t="s">
        <v>164</v>
      </c>
      <c r="D291" t="s">
        <v>204</v>
      </c>
      <c r="E291" t="s">
        <v>1036</v>
      </c>
      <c r="F291" t="s">
        <v>4784</v>
      </c>
      <c r="G291" t="s">
        <v>4853</v>
      </c>
      <c r="I291" t="s">
        <v>163</v>
      </c>
      <c r="J291" t="s">
        <v>710</v>
      </c>
      <c r="K291" t="s">
        <v>711</v>
      </c>
      <c r="L291" t="s">
        <v>712</v>
      </c>
      <c r="M291" s="9">
        <f>SUMIFS(#REF!,#REF!,
$A291,#REF!,
"&gt;="&amp;'Faturado mensal'!M$2,#REF!,
"&lt;"&amp;EOMONTH('Faturado mensal'!M$2,0))</f>
        <v>3198</v>
      </c>
      <c r="N291" s="9">
        <f>SUMIFS(#REF!,#REF!,
$A291,#REF!,
"&gt;="&amp;'Faturado mensal'!N$2,#REF!,
"&lt;"&amp;EOMONTH('Faturado mensal'!N$2,0))</f>
        <v>2280</v>
      </c>
      <c r="O291" s="9">
        <f>SUMIFS(#REF!,#REF!,
$A291,#REF!,
"&gt;="&amp;'Faturado mensal'!O$2,#REF!,
"&lt;"&amp;EOMONTH('Faturado mensal'!O$2,0))</f>
        <v>1160</v>
      </c>
      <c r="P291" s="9">
        <f>SUMIFS(#REF!,#REF!,
$A291,#REF!,
"&gt;="&amp;'Faturado mensal'!P$2,#REF!,
"&lt;"&amp;EOMONTH('Faturado mensal'!P$2,0))</f>
        <v>2320</v>
      </c>
      <c r="Q291" s="9">
        <f>SUMIFS(#REF!,#REF!,
$A291,#REF!,
"&gt;="&amp;'Faturado mensal'!Q$2,#REF!,
"&lt;"&amp;EOMONTH('Faturado mensal'!Q$2,0))</f>
        <v>1700</v>
      </c>
      <c r="R291" s="9">
        <f>SUMIFS(#REF!,#REF!,
$A291,#REF!,
"&gt;="&amp;'Faturado mensal'!R$2,#REF!,
"&lt;"&amp;EOMONTH('Faturado mensal'!R$2,0))</f>
        <v>2580</v>
      </c>
      <c r="S291" s="9">
        <f>SUMIFS(#REF!,#REF!,
$A291,#REF!,
"&gt;="&amp;'Faturado mensal'!S$2,#REF!,
"&lt;"&amp;EOMONTH('Faturado mensal'!S$2,0))</f>
        <v>1680</v>
      </c>
      <c r="T291" s="9">
        <f>SUMIFS(#REF!,#REF!,
$A291,#REF!,
"&gt;="&amp;'Faturado mensal'!T$2,#REF!,
"&lt;"&amp;EOMONTH('Faturado mensal'!T$2,0))</f>
        <v>2380</v>
      </c>
      <c r="U291" s="9">
        <f>SUMIFS(#REF!,#REF!,
$A291,#REF!,
"&gt;="&amp;'Faturado mensal'!U$2,#REF!,
"&lt;"&amp;EOMONTH('Faturado mensal'!U$2,0))</f>
        <v>0</v>
      </c>
      <c r="V291" s="9">
        <f>SUMIFS(#REF!,#REF!,
$A291,#REF!,
"&gt;="&amp;'Faturado mensal'!V$2,#REF!,
"&lt;"&amp;EOMONTH('Faturado mensal'!V$2,0))</f>
        <v>0</v>
      </c>
      <c r="W291" s="9">
        <f>SUMIFS(#REF!,#REF!,
$A291,#REF!,
"&gt;="&amp;'Faturado mensal'!W$2,#REF!,
"&lt;"&amp;EOMONTH('Faturado mensal'!W$2,0))</f>
        <v>1880</v>
      </c>
      <c r="X291" s="9">
        <f>SUMIFS(#REF!,#REF!,
$A291,#REF!,
"&gt;="&amp;'Faturado mensal'!X$2,#REF!,
"&lt;"&amp;EOMONTH('Faturado mensal'!X$2,0))</f>
        <v>340</v>
      </c>
      <c r="Y291" s="11">
        <f>SUMIFS(#REF!,#REF!,
$A291,#REF!,
"&gt;="&amp;'Faturado mensal'!M$2,#REF!,
"&lt;"&amp;EOMONTH('Faturado mensal'!M$2,12))</f>
        <v>20198</v>
      </c>
      <c r="Z291" s="9">
        <f>SUMIFS(#REF!,#REF!,
$A291,#REF!,
"&gt;="&amp;'Faturado mensal'!Z$2,#REF!,
"&lt;"&amp;EOMONTH('Faturado mensal'!Z$2,0))</f>
        <v>680</v>
      </c>
      <c r="AA291" s="9">
        <f>SUMIFS(#REF!,#REF!,
$A291,#REF!,
"&gt;="&amp;'Faturado mensal'!AA$2,#REF!,
"&lt;"&amp;EOMONTH('Faturado mensal'!AA$2,0))</f>
        <v>2100</v>
      </c>
      <c r="AB291" s="9">
        <f>SUMIFS(#REF!,#REF!,
$A291,#REF!,
"&gt;="&amp;'Faturado mensal'!AB$2,#REF!,
"&lt;"&amp;EOMONTH('Faturado mensal'!AB$2,0))</f>
        <v>0</v>
      </c>
      <c r="AC291" s="9">
        <f>SUMIFS(#REF!,#REF!,
$A291,#REF!,
"&gt;="&amp;'Faturado mensal'!AC$2,#REF!,
"&lt;"&amp;EOMONTH('Faturado mensal'!AC$2,0))</f>
        <v>0</v>
      </c>
      <c r="AD291" s="9">
        <f>SUMIFS(#REF!,#REF!,
$A291,#REF!,
"&gt;="&amp;'Faturado mensal'!AD$2,#REF!,
"&lt;"&amp;EOMONTH('Faturado mensal'!AD$2,0))</f>
        <v>5060</v>
      </c>
      <c r="AE291" s="9">
        <f>SUMIFS(#REF!,#REF!,
$A291,#REF!,
"&gt;="&amp;'Faturado mensal'!AE$2,#REF!,
"&lt;"&amp;EOMONTH('Faturado mensal'!AE$2,0))</f>
        <v>760</v>
      </c>
      <c r="AF291" s="9">
        <f>SUMIFS(#REF!,#REF!,
$A291,#REF!,
"&gt;="&amp;'Faturado mensal'!AF$2,#REF!,
"&lt;"&amp;EOMONTH('Faturado mensal'!AF$2,0))</f>
        <v>0</v>
      </c>
      <c r="AG291" s="9">
        <f>SUMIFS(#REF!,#REF!,
$A291,#REF!,
"&gt;="&amp;'Faturado mensal'!AG$2,#REF!,
"&lt;"&amp;EOMONTH('Faturado mensal'!AG$2,0))</f>
        <v>0</v>
      </c>
      <c r="AH291" s="9">
        <f>SUMIFS(#REF!,#REF!,
$A291,#REF!,
"&gt;="&amp;'Faturado mensal'!AH$2,#REF!,
"&lt;"&amp;EOMONTH('Faturado mensal'!AH$2,0))</f>
        <v>0</v>
      </c>
      <c r="AI291" s="9">
        <f>SUMIFS(#REF!,#REF!,
$A291,#REF!,
"&gt;="&amp;'Faturado mensal'!AI$2,#REF!,
"&lt;"&amp;EOMONTH('Faturado mensal'!AI$2,0))</f>
        <v>0</v>
      </c>
      <c r="AJ291" s="9">
        <f>SUMIFS(#REF!,#REF!,
$A291,#REF!,
"&gt;="&amp;'Faturado mensal'!AJ$2,#REF!,
"&lt;"&amp;EOMONTH('Faturado mensal'!AJ$2,0))</f>
        <v>0</v>
      </c>
      <c r="AK291" s="9">
        <f>SUMIFS(#REF!,#REF!,
$A291,#REF!,
"&gt;="&amp;'Faturado mensal'!AK$2,#REF!,
"&lt;"&amp;EOMONTH('Faturado mensal'!AK$2,0))</f>
        <v>0</v>
      </c>
      <c r="AL291" s="9">
        <f>SUMIFS(#REF!,#REF!,
$A291,#REF!,
"&gt;="&amp;Z$2,#REF!,
"&lt;"&amp;EOMONTH(AK$2,0))</f>
        <v>10100</v>
      </c>
    </row>
    <row r="292" spans="1:38" x14ac:dyDescent="0.3">
      <c r="A292" t="s">
        <v>605</v>
      </c>
      <c r="B292" t="s">
        <v>208</v>
      </c>
      <c r="C292" t="s">
        <v>164</v>
      </c>
      <c r="D292" t="s">
        <v>204</v>
      </c>
      <c r="E292" t="s">
        <v>1040</v>
      </c>
      <c r="F292" t="s">
        <v>4795</v>
      </c>
      <c r="G292" t="s">
        <v>4856</v>
      </c>
      <c r="I292" t="s">
        <v>163</v>
      </c>
      <c r="J292" t="s">
        <v>710</v>
      </c>
      <c r="K292" t="s">
        <v>748</v>
      </c>
      <c r="L292" t="s">
        <v>749</v>
      </c>
      <c r="M292" s="9">
        <f>SUMIFS(#REF!,#REF!,
$A292,#REF!,
"&gt;="&amp;'Faturado mensal'!M$2,#REF!,
"&lt;"&amp;EOMONTH('Faturado mensal'!M$2,0))</f>
        <v>0</v>
      </c>
      <c r="N292" s="9">
        <f>SUMIFS(#REF!,#REF!,
$A292,#REF!,
"&gt;="&amp;'Faturado mensal'!N$2,#REF!,
"&lt;"&amp;EOMONTH('Faturado mensal'!N$2,0))</f>
        <v>0</v>
      </c>
      <c r="O292" s="9">
        <f>SUMIFS(#REF!,#REF!,
$A292,#REF!,
"&gt;="&amp;'Faturado mensal'!O$2,#REF!,
"&lt;"&amp;EOMONTH('Faturado mensal'!O$2,0))</f>
        <v>0</v>
      </c>
      <c r="P292" s="9">
        <f>SUMIFS(#REF!,#REF!,
$A292,#REF!,
"&gt;="&amp;'Faturado mensal'!P$2,#REF!,
"&lt;"&amp;EOMONTH('Faturado mensal'!P$2,0))</f>
        <v>120</v>
      </c>
      <c r="Q292" s="9">
        <f>SUMIFS(#REF!,#REF!,
$A292,#REF!,
"&gt;="&amp;'Faturado mensal'!Q$2,#REF!,
"&lt;"&amp;EOMONTH('Faturado mensal'!Q$2,0))</f>
        <v>120</v>
      </c>
      <c r="R292" s="9">
        <f>SUMIFS(#REF!,#REF!,
$A292,#REF!,
"&gt;="&amp;'Faturado mensal'!R$2,#REF!,
"&lt;"&amp;EOMONTH('Faturado mensal'!R$2,0))</f>
        <v>120</v>
      </c>
      <c r="S292" s="9">
        <f>SUMIFS(#REF!,#REF!,
$A292,#REF!,
"&gt;="&amp;'Faturado mensal'!S$2,#REF!,
"&lt;"&amp;EOMONTH('Faturado mensal'!S$2,0))</f>
        <v>120</v>
      </c>
      <c r="T292" s="9">
        <f>SUMIFS(#REF!,#REF!,
$A292,#REF!,
"&gt;="&amp;'Faturado mensal'!T$2,#REF!,
"&lt;"&amp;EOMONTH('Faturado mensal'!T$2,0))</f>
        <v>120</v>
      </c>
      <c r="U292" s="9">
        <f>SUMIFS(#REF!,#REF!,
$A292,#REF!,
"&gt;="&amp;'Faturado mensal'!U$2,#REF!,
"&lt;"&amp;EOMONTH('Faturado mensal'!U$2,0))</f>
        <v>120</v>
      </c>
      <c r="V292" s="9">
        <f>SUMIFS(#REF!,#REF!,
$A292,#REF!,
"&gt;="&amp;'Faturado mensal'!V$2,#REF!,
"&lt;"&amp;EOMONTH('Faturado mensal'!V$2,0))</f>
        <v>120</v>
      </c>
      <c r="W292" s="9">
        <f>SUMIFS(#REF!,#REF!,
$A292,#REF!,
"&gt;="&amp;'Faturado mensal'!W$2,#REF!,
"&lt;"&amp;EOMONTH('Faturado mensal'!W$2,0))</f>
        <v>120</v>
      </c>
      <c r="X292" s="9">
        <f>SUMIFS(#REF!,#REF!,
$A292,#REF!,
"&gt;="&amp;'Faturado mensal'!X$2,#REF!,
"&lt;"&amp;EOMONTH('Faturado mensal'!X$2,0))</f>
        <v>120</v>
      </c>
      <c r="Y292" s="11">
        <f>SUMIFS(#REF!,#REF!,
$A292,#REF!,
"&gt;="&amp;'Faturado mensal'!M$2,#REF!,
"&lt;"&amp;EOMONTH('Faturado mensal'!M$2,12))</f>
        <v>1200</v>
      </c>
      <c r="Z292" s="9">
        <f>SUMIFS(#REF!,#REF!,
$A292,#REF!,
"&gt;="&amp;'Faturado mensal'!Z$2,#REF!,
"&lt;"&amp;EOMONTH('Faturado mensal'!Z$2,0))</f>
        <v>120</v>
      </c>
      <c r="AA292" s="9">
        <f>SUMIFS(#REF!,#REF!,
$A292,#REF!,
"&gt;="&amp;'Faturado mensal'!AA$2,#REF!,
"&lt;"&amp;EOMONTH('Faturado mensal'!AA$2,0))</f>
        <v>120</v>
      </c>
      <c r="AB292" s="9">
        <f>SUMIFS(#REF!,#REF!,
$A292,#REF!,
"&gt;="&amp;'Faturado mensal'!AB$2,#REF!,
"&lt;"&amp;EOMONTH('Faturado mensal'!AB$2,0))</f>
        <v>120</v>
      </c>
      <c r="AC292" s="9">
        <f>SUMIFS(#REF!,#REF!,
$A292,#REF!,
"&gt;="&amp;'Faturado mensal'!AC$2,#REF!,
"&lt;"&amp;EOMONTH('Faturado mensal'!AC$2,0))</f>
        <v>120</v>
      </c>
      <c r="AD292" s="9">
        <f>SUMIFS(#REF!,#REF!,
$A292,#REF!,
"&gt;="&amp;'Faturado mensal'!AD$2,#REF!,
"&lt;"&amp;EOMONTH('Faturado mensal'!AD$2,0))</f>
        <v>120</v>
      </c>
      <c r="AE292" s="9">
        <f>SUMIFS(#REF!,#REF!,
$A292,#REF!,
"&gt;="&amp;'Faturado mensal'!AE$2,#REF!,
"&lt;"&amp;EOMONTH('Faturado mensal'!AE$2,0))</f>
        <v>120</v>
      </c>
      <c r="AF292" s="9">
        <f>SUMIFS(#REF!,#REF!,
$A292,#REF!,
"&gt;="&amp;'Faturado mensal'!AF$2,#REF!,
"&lt;"&amp;EOMONTH('Faturado mensal'!AF$2,0))</f>
        <v>0</v>
      </c>
      <c r="AG292" s="9">
        <f>SUMIFS(#REF!,#REF!,
$A292,#REF!,
"&gt;="&amp;'Faturado mensal'!AG$2,#REF!,
"&lt;"&amp;EOMONTH('Faturado mensal'!AG$2,0))</f>
        <v>0</v>
      </c>
      <c r="AH292" s="9">
        <f>SUMIFS(#REF!,#REF!,
$A292,#REF!,
"&gt;="&amp;'Faturado mensal'!AH$2,#REF!,
"&lt;"&amp;EOMONTH('Faturado mensal'!AH$2,0))</f>
        <v>0</v>
      </c>
      <c r="AI292" s="9">
        <f>SUMIFS(#REF!,#REF!,
$A292,#REF!,
"&gt;="&amp;'Faturado mensal'!AI$2,#REF!,
"&lt;"&amp;EOMONTH('Faturado mensal'!AI$2,0))</f>
        <v>0</v>
      </c>
      <c r="AJ292" s="9">
        <f>SUMIFS(#REF!,#REF!,
$A292,#REF!,
"&gt;="&amp;'Faturado mensal'!AJ$2,#REF!,
"&lt;"&amp;EOMONTH('Faturado mensal'!AJ$2,0))</f>
        <v>0</v>
      </c>
      <c r="AK292" s="9">
        <f>SUMIFS(#REF!,#REF!,
$A292,#REF!,
"&gt;="&amp;'Faturado mensal'!AK$2,#REF!,
"&lt;"&amp;EOMONTH('Faturado mensal'!AK$2,0))</f>
        <v>0</v>
      </c>
      <c r="AL292" s="9">
        <f>SUMIFS(#REF!,#REF!,
$A292,#REF!,
"&gt;="&amp;Z$2,#REF!,
"&lt;"&amp;EOMONTH(AK$2,0))</f>
        <v>720</v>
      </c>
    </row>
    <row r="293" spans="1:38" x14ac:dyDescent="0.3">
      <c r="A293" t="s">
        <v>606</v>
      </c>
      <c r="B293" t="s">
        <v>607</v>
      </c>
      <c r="C293" t="s">
        <v>81</v>
      </c>
      <c r="D293" t="s">
        <v>204</v>
      </c>
      <c r="E293" t="s">
        <v>4843</v>
      </c>
      <c r="F293" t="s">
        <v>4777</v>
      </c>
      <c r="G293" t="s">
        <v>4854</v>
      </c>
      <c r="H293" t="s">
        <v>4773</v>
      </c>
      <c r="I293" t="s">
        <v>956</v>
      </c>
      <c r="J293" t="s">
        <v>710</v>
      </c>
      <c r="K293" t="s">
        <v>720</v>
      </c>
      <c r="L293" t="s">
        <v>721</v>
      </c>
      <c r="M293" s="9">
        <f>SUMIFS(#REF!,#REF!,
$A293,#REF!,
"&gt;="&amp;'Faturado mensal'!M$2,#REF!,
"&lt;"&amp;EOMONTH('Faturado mensal'!M$2,0))</f>
        <v>39300.57</v>
      </c>
      <c r="N293" s="9">
        <f>SUMIFS(#REF!,#REF!,
$A293,#REF!,
"&gt;="&amp;'Faturado mensal'!N$2,#REF!,
"&lt;"&amp;EOMONTH('Faturado mensal'!N$2,0))</f>
        <v>40762.699999999997</v>
      </c>
      <c r="O293" s="9">
        <f>SUMIFS(#REF!,#REF!,
$A293,#REF!,
"&gt;="&amp;'Faturado mensal'!O$2,#REF!,
"&lt;"&amp;EOMONTH('Faturado mensal'!O$2,0))</f>
        <v>32958.400000000001</v>
      </c>
      <c r="P293" s="9">
        <f>SUMIFS(#REF!,#REF!,
$A293,#REF!,
"&gt;="&amp;'Faturado mensal'!P$2,#REF!,
"&lt;"&amp;EOMONTH('Faturado mensal'!P$2,0))</f>
        <v>32227.360000000001</v>
      </c>
      <c r="Q293" s="9">
        <f>SUMIFS(#REF!,#REF!,
$A293,#REF!,
"&gt;="&amp;'Faturado mensal'!Q$2,#REF!,
"&lt;"&amp;EOMONTH('Faturado mensal'!Q$2,0))</f>
        <v>25287</v>
      </c>
      <c r="R293" s="9">
        <f>SUMIFS(#REF!,#REF!,
$A293,#REF!,
"&gt;="&amp;'Faturado mensal'!R$2,#REF!,
"&lt;"&amp;EOMONTH('Faturado mensal'!R$2,0))</f>
        <v>27951.1</v>
      </c>
      <c r="S293" s="9">
        <f>SUMIFS(#REF!,#REF!,
$A293,#REF!,
"&gt;="&amp;'Faturado mensal'!S$2,#REF!,
"&lt;"&amp;EOMONTH('Faturado mensal'!S$2,0))</f>
        <v>24514.66</v>
      </c>
      <c r="T293" s="9">
        <f>SUMIFS(#REF!,#REF!,
$A293,#REF!,
"&gt;="&amp;'Faturado mensal'!T$2,#REF!,
"&lt;"&amp;EOMONTH('Faturado mensal'!T$2,0))</f>
        <v>26776.080000000002</v>
      </c>
      <c r="U293" s="9">
        <f>SUMIFS(#REF!,#REF!,
$A293,#REF!,
"&gt;="&amp;'Faturado mensal'!U$2,#REF!,
"&lt;"&amp;EOMONTH('Faturado mensal'!U$2,0))</f>
        <v>27761.34</v>
      </c>
      <c r="V293" s="9">
        <f>SUMIFS(#REF!,#REF!,
$A293,#REF!,
"&gt;="&amp;'Faturado mensal'!V$2,#REF!,
"&lt;"&amp;EOMONTH('Faturado mensal'!V$2,0))</f>
        <v>24098.27</v>
      </c>
      <c r="W293" s="9">
        <f>SUMIFS(#REF!,#REF!,
$A293,#REF!,
"&gt;="&amp;'Faturado mensal'!W$2,#REF!,
"&lt;"&amp;EOMONTH('Faturado mensal'!W$2,0))</f>
        <v>26571.32</v>
      </c>
      <c r="X293" s="9">
        <f>SUMIFS(#REF!,#REF!,
$A293,#REF!,
"&gt;="&amp;'Faturado mensal'!X$2,#REF!,
"&lt;"&amp;EOMONTH('Faturado mensal'!X$2,0))</f>
        <v>19380.61</v>
      </c>
      <c r="Y293" s="11">
        <f>SUMIFS(#REF!,#REF!,
$A293,#REF!,
"&gt;="&amp;'Faturado mensal'!M$2,#REF!,
"&lt;"&amp;EOMONTH('Faturado mensal'!M$2,12))</f>
        <v>377543.86000000004</v>
      </c>
      <c r="Z293" s="9">
        <f>SUMIFS(#REF!,#REF!,
$A293,#REF!,
"&gt;="&amp;'Faturado mensal'!Z$2,#REF!,
"&lt;"&amp;EOMONTH('Faturado mensal'!Z$2,0))</f>
        <v>29954.45</v>
      </c>
      <c r="AA293" s="9">
        <f>SUMIFS(#REF!,#REF!,
$A293,#REF!,
"&gt;="&amp;'Faturado mensal'!AA$2,#REF!,
"&lt;"&amp;EOMONTH('Faturado mensal'!AA$2,0))</f>
        <v>33799.980000000003</v>
      </c>
      <c r="AB293" s="9">
        <f>SUMIFS(#REF!,#REF!,
$A293,#REF!,
"&gt;="&amp;'Faturado mensal'!AB$2,#REF!,
"&lt;"&amp;EOMONTH('Faturado mensal'!AB$2,0))</f>
        <v>28734.52</v>
      </c>
      <c r="AC293" s="9">
        <f>SUMIFS(#REF!,#REF!,
$A293,#REF!,
"&gt;="&amp;'Faturado mensal'!AC$2,#REF!,
"&lt;"&amp;EOMONTH('Faturado mensal'!AC$2,0))</f>
        <v>32299.11</v>
      </c>
      <c r="AD293" s="9">
        <f>SUMIFS(#REF!,#REF!,
$A293,#REF!,
"&gt;="&amp;'Faturado mensal'!AD$2,#REF!,
"&lt;"&amp;EOMONTH('Faturado mensal'!AD$2,0))</f>
        <v>19564.150000000001</v>
      </c>
      <c r="AE293" s="9">
        <f>SUMIFS(#REF!,#REF!,
$A293,#REF!,
"&gt;="&amp;'Faturado mensal'!AE$2,#REF!,
"&lt;"&amp;EOMONTH('Faturado mensal'!AE$2,0))</f>
        <v>19000</v>
      </c>
      <c r="AF293" s="9">
        <f>SUMIFS(#REF!,#REF!,
$A293,#REF!,
"&gt;="&amp;'Faturado mensal'!AF$2,#REF!,
"&lt;"&amp;EOMONTH('Faturado mensal'!AF$2,0))</f>
        <v>0</v>
      </c>
      <c r="AG293" s="9">
        <f>SUMIFS(#REF!,#REF!,
$A293,#REF!,
"&gt;="&amp;'Faturado mensal'!AG$2,#REF!,
"&lt;"&amp;EOMONTH('Faturado mensal'!AG$2,0))</f>
        <v>0</v>
      </c>
      <c r="AH293" s="9">
        <f>SUMIFS(#REF!,#REF!,
$A293,#REF!,
"&gt;="&amp;'Faturado mensal'!AH$2,#REF!,
"&lt;"&amp;EOMONTH('Faturado mensal'!AH$2,0))</f>
        <v>0</v>
      </c>
      <c r="AI293" s="9">
        <f>SUMIFS(#REF!,#REF!,
$A293,#REF!,
"&gt;="&amp;'Faturado mensal'!AI$2,#REF!,
"&lt;"&amp;EOMONTH('Faturado mensal'!AI$2,0))</f>
        <v>0</v>
      </c>
      <c r="AJ293" s="9">
        <f>SUMIFS(#REF!,#REF!,
$A293,#REF!,
"&gt;="&amp;'Faturado mensal'!AJ$2,#REF!,
"&lt;"&amp;EOMONTH('Faturado mensal'!AJ$2,0))</f>
        <v>0</v>
      </c>
      <c r="AK293" s="9">
        <f>SUMIFS(#REF!,#REF!,
$A293,#REF!,
"&gt;="&amp;'Faturado mensal'!AK$2,#REF!,
"&lt;"&amp;EOMONTH('Faturado mensal'!AK$2,0))</f>
        <v>0</v>
      </c>
      <c r="AL293" s="9">
        <f>SUMIFS(#REF!,#REF!,
$A293,#REF!,
"&gt;="&amp;Z$2,#REF!,
"&lt;"&amp;EOMONTH(AK$2,0))</f>
        <v>163352.21000000002</v>
      </c>
    </row>
    <row r="294" spans="1:38" x14ac:dyDescent="0.3">
      <c r="A294" t="s">
        <v>957</v>
      </c>
      <c r="B294" t="s">
        <v>372</v>
      </c>
      <c r="C294" t="s">
        <v>105</v>
      </c>
      <c r="D294" t="s">
        <v>209</v>
      </c>
      <c r="E294" t="s">
        <v>4843</v>
      </c>
      <c r="F294" t="s">
        <v>4777</v>
      </c>
      <c r="G294" t="s">
        <v>4858</v>
      </c>
      <c r="H294" t="s">
        <v>4773</v>
      </c>
      <c r="I294" t="s">
        <v>807</v>
      </c>
      <c r="J294" t="s">
        <v>710</v>
      </c>
      <c r="K294" t="s">
        <v>839</v>
      </c>
      <c r="L294" t="s">
        <v>840</v>
      </c>
      <c r="M294" s="9">
        <f>SUMIFS(#REF!,#REF!,
$A294,#REF!,
"&gt;="&amp;'Faturado mensal'!M$2,#REF!,
"&lt;"&amp;EOMONTH('Faturado mensal'!M$2,0))</f>
        <v>0</v>
      </c>
      <c r="N294" s="9">
        <f>SUMIFS(#REF!,#REF!,
$A294,#REF!,
"&gt;="&amp;'Faturado mensal'!N$2,#REF!,
"&lt;"&amp;EOMONTH('Faturado mensal'!N$2,0))</f>
        <v>0</v>
      </c>
      <c r="O294" s="9">
        <f>SUMIFS(#REF!,#REF!,
$A294,#REF!,
"&gt;="&amp;'Faturado mensal'!O$2,#REF!,
"&lt;"&amp;EOMONTH('Faturado mensal'!O$2,0))</f>
        <v>0</v>
      </c>
      <c r="P294" s="9">
        <f>SUMIFS(#REF!,#REF!,
$A294,#REF!,
"&gt;="&amp;'Faturado mensal'!P$2,#REF!,
"&lt;"&amp;EOMONTH('Faturado mensal'!P$2,0))</f>
        <v>0</v>
      </c>
      <c r="Q294" s="9">
        <f>SUMIFS(#REF!,#REF!,
$A294,#REF!,
"&gt;="&amp;'Faturado mensal'!Q$2,#REF!,
"&lt;"&amp;EOMONTH('Faturado mensal'!Q$2,0))</f>
        <v>0</v>
      </c>
      <c r="R294" s="9">
        <f>SUMIFS(#REF!,#REF!,
$A294,#REF!,
"&gt;="&amp;'Faturado mensal'!R$2,#REF!,
"&lt;"&amp;EOMONTH('Faturado mensal'!R$2,0))</f>
        <v>0</v>
      </c>
      <c r="S294" s="9">
        <f>SUMIFS(#REF!,#REF!,
$A294,#REF!,
"&gt;="&amp;'Faturado mensal'!S$2,#REF!,
"&lt;"&amp;EOMONTH('Faturado mensal'!S$2,0))</f>
        <v>0</v>
      </c>
      <c r="T294" s="9">
        <f>SUMIFS(#REF!,#REF!,
$A294,#REF!,
"&gt;="&amp;'Faturado mensal'!T$2,#REF!,
"&lt;"&amp;EOMONTH('Faturado mensal'!T$2,0))</f>
        <v>0</v>
      </c>
      <c r="U294" s="9">
        <f>SUMIFS(#REF!,#REF!,
$A294,#REF!,
"&gt;="&amp;'Faturado mensal'!U$2,#REF!,
"&lt;"&amp;EOMONTH('Faturado mensal'!U$2,0))</f>
        <v>0</v>
      </c>
      <c r="V294" s="9">
        <f>SUMIFS(#REF!,#REF!,
$A294,#REF!,
"&gt;="&amp;'Faturado mensal'!V$2,#REF!,
"&lt;"&amp;EOMONTH('Faturado mensal'!V$2,0))</f>
        <v>0</v>
      </c>
      <c r="W294" s="9">
        <f>SUMIFS(#REF!,#REF!,
$A294,#REF!,
"&gt;="&amp;'Faturado mensal'!W$2,#REF!,
"&lt;"&amp;EOMONTH('Faturado mensal'!W$2,0))</f>
        <v>0</v>
      </c>
      <c r="X294" s="9">
        <f>SUMIFS(#REF!,#REF!,
$A294,#REF!,
"&gt;="&amp;'Faturado mensal'!X$2,#REF!,
"&lt;"&amp;EOMONTH('Faturado mensal'!X$2,0))</f>
        <v>0</v>
      </c>
      <c r="Y294" s="11">
        <f>SUMIFS(#REF!,#REF!,
$A294,#REF!,
"&gt;="&amp;'Faturado mensal'!M$2,#REF!,
"&lt;"&amp;EOMONTH('Faturado mensal'!M$2,12))</f>
        <v>0</v>
      </c>
      <c r="Z294" s="9">
        <f>SUMIFS(#REF!,#REF!,
$A294,#REF!,
"&gt;="&amp;'Faturado mensal'!Z$2,#REF!,
"&lt;"&amp;EOMONTH('Faturado mensal'!Z$2,0))</f>
        <v>0</v>
      </c>
      <c r="AA294" s="9">
        <f>SUMIFS(#REF!,#REF!,
$A294,#REF!,
"&gt;="&amp;'Faturado mensal'!AA$2,#REF!,
"&lt;"&amp;EOMONTH('Faturado mensal'!AA$2,0))</f>
        <v>0</v>
      </c>
      <c r="AB294" s="9">
        <f>SUMIFS(#REF!,#REF!,
$A294,#REF!,
"&gt;="&amp;'Faturado mensal'!AB$2,#REF!,
"&lt;"&amp;EOMONTH('Faturado mensal'!AB$2,0))</f>
        <v>0</v>
      </c>
      <c r="AC294" s="9">
        <f>SUMIFS(#REF!,#REF!,
$A294,#REF!,
"&gt;="&amp;'Faturado mensal'!AC$2,#REF!,
"&lt;"&amp;EOMONTH('Faturado mensal'!AC$2,0))</f>
        <v>0</v>
      </c>
      <c r="AD294" s="9">
        <f>SUMIFS(#REF!,#REF!,
$A294,#REF!,
"&gt;="&amp;'Faturado mensal'!AD$2,#REF!,
"&lt;"&amp;EOMONTH('Faturado mensal'!AD$2,0))</f>
        <v>0</v>
      </c>
      <c r="AE294" s="9">
        <f>SUMIFS(#REF!,#REF!,
$A294,#REF!,
"&gt;="&amp;'Faturado mensal'!AE$2,#REF!,
"&lt;"&amp;EOMONTH('Faturado mensal'!AE$2,0))</f>
        <v>0</v>
      </c>
      <c r="AF294" s="9">
        <f>SUMIFS(#REF!,#REF!,
$A294,#REF!,
"&gt;="&amp;'Faturado mensal'!AF$2,#REF!,
"&lt;"&amp;EOMONTH('Faturado mensal'!AF$2,0))</f>
        <v>0</v>
      </c>
      <c r="AG294" s="9">
        <f>SUMIFS(#REF!,#REF!,
$A294,#REF!,
"&gt;="&amp;'Faturado mensal'!AG$2,#REF!,
"&lt;"&amp;EOMONTH('Faturado mensal'!AG$2,0))</f>
        <v>0</v>
      </c>
      <c r="AH294" s="9">
        <f>SUMIFS(#REF!,#REF!,
$A294,#REF!,
"&gt;="&amp;'Faturado mensal'!AH$2,#REF!,
"&lt;"&amp;EOMONTH('Faturado mensal'!AH$2,0))</f>
        <v>0</v>
      </c>
      <c r="AI294" s="9">
        <f>SUMIFS(#REF!,#REF!,
$A294,#REF!,
"&gt;="&amp;'Faturado mensal'!AI$2,#REF!,
"&lt;"&amp;EOMONTH('Faturado mensal'!AI$2,0))</f>
        <v>0</v>
      </c>
      <c r="AJ294" s="9">
        <f>SUMIFS(#REF!,#REF!,
$A294,#REF!,
"&gt;="&amp;'Faturado mensal'!AJ$2,#REF!,
"&lt;"&amp;EOMONTH('Faturado mensal'!AJ$2,0))</f>
        <v>0</v>
      </c>
      <c r="AK294" s="9">
        <f>SUMIFS(#REF!,#REF!,
$A294,#REF!,
"&gt;="&amp;'Faturado mensal'!AK$2,#REF!,
"&lt;"&amp;EOMONTH('Faturado mensal'!AK$2,0))</f>
        <v>0</v>
      </c>
      <c r="AL294" s="9">
        <f>SUMIFS(#REF!,#REF!,
$A294,#REF!,
"&gt;="&amp;Z$2,#REF!,
"&lt;"&amp;EOMONTH(AK$2,0))</f>
        <v>0</v>
      </c>
    </row>
    <row r="295" spans="1:38" x14ac:dyDescent="0.3">
      <c r="A295" t="s">
        <v>608</v>
      </c>
      <c r="B295" t="s">
        <v>609</v>
      </c>
      <c r="C295" t="s">
        <v>182</v>
      </c>
      <c r="D295" t="s">
        <v>204</v>
      </c>
      <c r="E295" t="s">
        <v>1037</v>
      </c>
      <c r="F295" t="s">
        <v>4794</v>
      </c>
      <c r="G295" t="s">
        <v>4852</v>
      </c>
      <c r="H295" t="s">
        <v>4772</v>
      </c>
      <c r="I295" t="s">
        <v>815</v>
      </c>
      <c r="J295" t="s">
        <v>719</v>
      </c>
      <c r="K295" t="s">
        <v>717</v>
      </c>
      <c r="L295" t="s">
        <v>718</v>
      </c>
      <c r="M295" s="9">
        <f>SUMIFS(#REF!,#REF!,
$A295,#REF!,
"&gt;="&amp;'Faturado mensal'!M$2,#REF!,
"&lt;"&amp;EOMONTH('Faturado mensal'!M$2,0))</f>
        <v>199721.13999999998</v>
      </c>
      <c r="N295" s="9">
        <f>SUMIFS(#REF!,#REF!,
$A295,#REF!,
"&gt;="&amp;'Faturado mensal'!N$2,#REF!,
"&lt;"&amp;EOMONTH('Faturado mensal'!N$2,0))</f>
        <v>197632.47</v>
      </c>
      <c r="O295" s="9">
        <f>SUMIFS(#REF!,#REF!,
$A295,#REF!,
"&gt;="&amp;'Faturado mensal'!O$2,#REF!,
"&lt;"&amp;EOMONTH('Faturado mensal'!O$2,0))</f>
        <v>206041.72</v>
      </c>
      <c r="P295" s="9">
        <f>SUMIFS(#REF!,#REF!,
$A295,#REF!,
"&gt;="&amp;'Faturado mensal'!P$2,#REF!,
"&lt;"&amp;EOMONTH('Faturado mensal'!P$2,0))</f>
        <v>197890.27000000002</v>
      </c>
      <c r="Q295" s="9">
        <f>SUMIFS(#REF!,#REF!,
$A295,#REF!,
"&gt;="&amp;'Faturado mensal'!Q$2,#REF!,
"&lt;"&amp;EOMONTH('Faturado mensal'!Q$2,0))</f>
        <v>199799.02</v>
      </c>
      <c r="R295" s="9">
        <f>SUMIFS(#REF!,#REF!,
$A295,#REF!,
"&gt;="&amp;'Faturado mensal'!R$2,#REF!,
"&lt;"&amp;EOMONTH('Faturado mensal'!R$2,0))</f>
        <v>200636.59</v>
      </c>
      <c r="S295" s="9">
        <f>SUMIFS(#REF!,#REF!,
$A295,#REF!,
"&gt;="&amp;'Faturado mensal'!S$2,#REF!,
"&lt;"&amp;EOMONTH('Faturado mensal'!S$2,0))</f>
        <v>205238.36000000002</v>
      </c>
      <c r="T295" s="9">
        <f>SUMIFS(#REF!,#REF!,
$A295,#REF!,
"&gt;="&amp;'Faturado mensal'!T$2,#REF!,
"&lt;"&amp;EOMONTH('Faturado mensal'!T$2,0))</f>
        <v>217504.9</v>
      </c>
      <c r="U295" s="9">
        <f>SUMIFS(#REF!,#REF!,
$A295,#REF!,
"&gt;="&amp;'Faturado mensal'!U$2,#REF!,
"&lt;"&amp;EOMONTH('Faturado mensal'!U$2,0))</f>
        <v>213503.97</v>
      </c>
      <c r="V295" s="9">
        <f>SUMIFS(#REF!,#REF!,
$A295,#REF!,
"&gt;="&amp;'Faturado mensal'!V$2,#REF!,
"&lt;"&amp;EOMONTH('Faturado mensal'!V$2,0))</f>
        <v>258532.28</v>
      </c>
      <c r="W295" s="9">
        <f>SUMIFS(#REF!,#REF!,
$A295,#REF!,
"&gt;="&amp;'Faturado mensal'!W$2,#REF!,
"&lt;"&amp;EOMONTH('Faturado mensal'!W$2,0))</f>
        <v>252035.25</v>
      </c>
      <c r="X295" s="9">
        <f>SUMIFS(#REF!,#REF!,
$A295,#REF!,
"&gt;="&amp;'Faturado mensal'!X$2,#REF!,
"&lt;"&amp;EOMONTH('Faturado mensal'!X$2,0))</f>
        <v>474919.34</v>
      </c>
      <c r="Y295" s="11">
        <f>SUMIFS(#REF!,#REF!,
$A295,#REF!,
"&gt;="&amp;'Faturado mensal'!M$2,#REF!,
"&lt;"&amp;EOMONTH('Faturado mensal'!M$2,12))</f>
        <v>2823455.3099999996</v>
      </c>
      <c r="Z295" s="9">
        <f>SUMIFS(#REF!,#REF!,
$A295,#REF!,
"&gt;="&amp;'Faturado mensal'!Z$2,#REF!,
"&lt;"&amp;EOMONTH('Faturado mensal'!Z$2,0))</f>
        <v>0</v>
      </c>
      <c r="AA295" s="9">
        <f>SUMIFS(#REF!,#REF!,
$A295,#REF!,
"&gt;="&amp;'Faturado mensal'!AA$2,#REF!,
"&lt;"&amp;EOMONTH('Faturado mensal'!AA$2,0))</f>
        <v>278211.95</v>
      </c>
      <c r="AB295" s="9">
        <f>SUMIFS(#REF!,#REF!,
$A295,#REF!,
"&gt;="&amp;'Faturado mensal'!AB$2,#REF!,
"&lt;"&amp;EOMONTH('Faturado mensal'!AB$2,0))</f>
        <v>261644.65000000002</v>
      </c>
      <c r="AC295" s="9">
        <f>SUMIFS(#REF!,#REF!,
$A295,#REF!,
"&gt;="&amp;'Faturado mensal'!AC$2,#REF!,
"&lt;"&amp;EOMONTH('Faturado mensal'!AC$2,0))</f>
        <v>280143.46999999997</v>
      </c>
      <c r="AD295" s="9">
        <f>SUMIFS(#REF!,#REF!,
$A295,#REF!,
"&gt;="&amp;'Faturado mensal'!AD$2,#REF!,
"&lt;"&amp;EOMONTH('Faturado mensal'!AD$2,0))</f>
        <v>292535.63</v>
      </c>
      <c r="AE295" s="9">
        <f>SUMIFS(#REF!,#REF!,
$A295,#REF!,
"&gt;="&amp;'Faturado mensal'!AE$2,#REF!,
"&lt;"&amp;EOMONTH('Faturado mensal'!AE$2,0))</f>
        <v>282810.48</v>
      </c>
      <c r="AF295" s="9">
        <f>SUMIFS(#REF!,#REF!,
$A295,#REF!,
"&gt;="&amp;'Faturado mensal'!AF$2,#REF!,
"&lt;"&amp;EOMONTH('Faturado mensal'!AF$2,0))</f>
        <v>0</v>
      </c>
      <c r="AG295" s="9">
        <f>SUMIFS(#REF!,#REF!,
$A295,#REF!,
"&gt;="&amp;'Faturado mensal'!AG$2,#REF!,
"&lt;"&amp;EOMONTH('Faturado mensal'!AG$2,0))</f>
        <v>0</v>
      </c>
      <c r="AH295" s="9">
        <f>SUMIFS(#REF!,#REF!,
$A295,#REF!,
"&gt;="&amp;'Faturado mensal'!AH$2,#REF!,
"&lt;"&amp;EOMONTH('Faturado mensal'!AH$2,0))</f>
        <v>0</v>
      </c>
      <c r="AI295" s="9">
        <f>SUMIFS(#REF!,#REF!,
$A295,#REF!,
"&gt;="&amp;'Faturado mensal'!AI$2,#REF!,
"&lt;"&amp;EOMONTH('Faturado mensal'!AI$2,0))</f>
        <v>0</v>
      </c>
      <c r="AJ295" s="9">
        <f>SUMIFS(#REF!,#REF!,
$A295,#REF!,
"&gt;="&amp;'Faturado mensal'!AJ$2,#REF!,
"&lt;"&amp;EOMONTH('Faturado mensal'!AJ$2,0))</f>
        <v>0</v>
      </c>
      <c r="AK295" s="9">
        <f>SUMIFS(#REF!,#REF!,
$A295,#REF!,
"&gt;="&amp;'Faturado mensal'!AK$2,#REF!,
"&lt;"&amp;EOMONTH('Faturado mensal'!AK$2,0))</f>
        <v>0</v>
      </c>
      <c r="AL295" s="9">
        <f>SUMIFS(#REF!,#REF!,
$A295,#REF!,
"&gt;="&amp;Z$2,#REF!,
"&lt;"&amp;EOMONTH(AK$2,0))</f>
        <v>1395346.18</v>
      </c>
    </row>
    <row r="296" spans="1:38" x14ac:dyDescent="0.3">
      <c r="A296" t="s">
        <v>610</v>
      </c>
      <c r="B296" t="s">
        <v>609</v>
      </c>
      <c r="C296" t="s">
        <v>182</v>
      </c>
      <c r="D296" t="s">
        <v>204</v>
      </c>
      <c r="E296" t="s">
        <v>1037</v>
      </c>
      <c r="F296" t="s">
        <v>4794</v>
      </c>
      <c r="G296" t="s">
        <v>4852</v>
      </c>
      <c r="H296" t="s">
        <v>4772</v>
      </c>
      <c r="I296" t="s">
        <v>815</v>
      </c>
      <c r="J296" t="s">
        <v>710</v>
      </c>
      <c r="K296" t="s">
        <v>768</v>
      </c>
      <c r="L296" t="s">
        <v>769</v>
      </c>
      <c r="M296" s="9">
        <f>SUMIFS(#REF!,#REF!,
$A296,#REF!,
"&gt;="&amp;'Faturado mensal'!M$2,#REF!,
"&lt;"&amp;EOMONTH('Faturado mensal'!M$2,0))</f>
        <v>49234.57</v>
      </c>
      <c r="N296" s="9">
        <f>SUMIFS(#REF!,#REF!,
$A296,#REF!,
"&gt;="&amp;'Faturado mensal'!N$2,#REF!,
"&lt;"&amp;EOMONTH('Faturado mensal'!N$2,0))</f>
        <v>49785.53</v>
      </c>
      <c r="O296" s="9">
        <f>SUMIFS(#REF!,#REF!,
$A296,#REF!,
"&gt;="&amp;'Faturado mensal'!O$2,#REF!,
"&lt;"&amp;EOMONTH('Faturado mensal'!O$2,0))</f>
        <v>47799.45</v>
      </c>
      <c r="P296" s="9">
        <f>SUMIFS(#REF!,#REF!,
$A296,#REF!,
"&gt;="&amp;'Faturado mensal'!P$2,#REF!,
"&lt;"&amp;EOMONTH('Faturado mensal'!P$2,0))</f>
        <v>50825.590000000004</v>
      </c>
      <c r="Q296" s="9">
        <f>SUMIFS(#REF!,#REF!,
$A296,#REF!,
"&gt;="&amp;'Faturado mensal'!Q$2,#REF!,
"&lt;"&amp;EOMONTH('Faturado mensal'!Q$2,0))</f>
        <v>50971.29</v>
      </c>
      <c r="R296" s="9">
        <f>SUMIFS(#REF!,#REF!,
$A296,#REF!,
"&gt;="&amp;'Faturado mensal'!R$2,#REF!,
"&lt;"&amp;EOMONTH('Faturado mensal'!R$2,0))</f>
        <v>50489.53</v>
      </c>
      <c r="S296" s="9">
        <f>SUMIFS(#REF!,#REF!,
$A296,#REF!,
"&gt;="&amp;'Faturado mensal'!S$2,#REF!,
"&lt;"&amp;EOMONTH('Faturado mensal'!S$2,0))</f>
        <v>51821.100000000006</v>
      </c>
      <c r="T296" s="9">
        <f>SUMIFS(#REF!,#REF!,
$A296,#REF!,
"&gt;="&amp;'Faturado mensal'!T$2,#REF!,
"&lt;"&amp;EOMONTH('Faturado mensal'!T$2,0))</f>
        <v>50637.74</v>
      </c>
      <c r="U296" s="9">
        <f>SUMIFS(#REF!,#REF!,
$A296,#REF!,
"&gt;="&amp;'Faturado mensal'!U$2,#REF!,
"&lt;"&amp;EOMONTH('Faturado mensal'!U$2,0))</f>
        <v>55814.53</v>
      </c>
      <c r="V296" s="9">
        <f>SUMIFS(#REF!,#REF!,
$A296,#REF!,
"&gt;="&amp;'Faturado mensal'!V$2,#REF!,
"&lt;"&amp;EOMONTH('Faturado mensal'!V$2,0))</f>
        <v>71232.5</v>
      </c>
      <c r="W296" s="9">
        <f>SUMIFS(#REF!,#REF!,
$A296,#REF!,
"&gt;="&amp;'Faturado mensal'!W$2,#REF!,
"&lt;"&amp;EOMONTH('Faturado mensal'!W$2,0))</f>
        <v>71008.09</v>
      </c>
      <c r="X296" s="9">
        <f>SUMIFS(#REF!,#REF!,
$A296,#REF!,
"&gt;="&amp;'Faturado mensal'!X$2,#REF!,
"&lt;"&amp;EOMONTH('Faturado mensal'!X$2,0))</f>
        <v>138629.08000000002</v>
      </c>
      <c r="Y296" s="11">
        <f>SUMIFS(#REF!,#REF!,
$A296,#REF!,
"&gt;="&amp;'Faturado mensal'!M$2,#REF!,
"&lt;"&amp;EOMONTH('Faturado mensal'!M$2,12))</f>
        <v>738249.00000000012</v>
      </c>
      <c r="Z296" s="9">
        <f>SUMIFS(#REF!,#REF!,
$A296,#REF!,
"&gt;="&amp;'Faturado mensal'!Z$2,#REF!,
"&lt;"&amp;EOMONTH('Faturado mensal'!Z$2,0))</f>
        <v>0</v>
      </c>
      <c r="AA296" s="9">
        <f>SUMIFS(#REF!,#REF!,
$A296,#REF!,
"&gt;="&amp;'Faturado mensal'!AA$2,#REF!,
"&lt;"&amp;EOMONTH('Faturado mensal'!AA$2,0))</f>
        <v>72391.63</v>
      </c>
      <c r="AB296" s="9">
        <f>SUMIFS(#REF!,#REF!,
$A296,#REF!,
"&gt;="&amp;'Faturado mensal'!AB$2,#REF!,
"&lt;"&amp;EOMONTH('Faturado mensal'!AB$2,0))</f>
        <v>76517.149999999994</v>
      </c>
      <c r="AC296" s="9">
        <f>SUMIFS(#REF!,#REF!,
$A296,#REF!,
"&gt;="&amp;'Faturado mensal'!AC$2,#REF!,
"&lt;"&amp;EOMONTH('Faturado mensal'!AC$2,0))</f>
        <v>73692.179999999993</v>
      </c>
      <c r="AD296" s="9">
        <f>SUMIFS(#REF!,#REF!,
$A296,#REF!,
"&gt;="&amp;'Faturado mensal'!AD$2,#REF!,
"&lt;"&amp;EOMONTH('Faturado mensal'!AD$2,0))</f>
        <v>74400.42</v>
      </c>
      <c r="AE296" s="9">
        <f>SUMIFS(#REF!,#REF!,
$A296,#REF!,
"&gt;="&amp;'Faturado mensal'!AE$2,#REF!,
"&lt;"&amp;EOMONTH('Faturado mensal'!AE$2,0))</f>
        <v>77402.649999999994</v>
      </c>
      <c r="AF296" s="9">
        <f>SUMIFS(#REF!,#REF!,
$A296,#REF!,
"&gt;="&amp;'Faturado mensal'!AF$2,#REF!,
"&lt;"&amp;EOMONTH('Faturado mensal'!AF$2,0))</f>
        <v>0</v>
      </c>
      <c r="AG296" s="9">
        <f>SUMIFS(#REF!,#REF!,
$A296,#REF!,
"&gt;="&amp;'Faturado mensal'!AG$2,#REF!,
"&lt;"&amp;EOMONTH('Faturado mensal'!AG$2,0))</f>
        <v>0</v>
      </c>
      <c r="AH296" s="9">
        <f>SUMIFS(#REF!,#REF!,
$A296,#REF!,
"&gt;="&amp;'Faturado mensal'!AH$2,#REF!,
"&lt;"&amp;EOMONTH('Faturado mensal'!AH$2,0))</f>
        <v>0</v>
      </c>
      <c r="AI296" s="9">
        <f>SUMIFS(#REF!,#REF!,
$A296,#REF!,
"&gt;="&amp;'Faturado mensal'!AI$2,#REF!,
"&lt;"&amp;EOMONTH('Faturado mensal'!AI$2,0))</f>
        <v>0</v>
      </c>
      <c r="AJ296" s="9">
        <f>SUMIFS(#REF!,#REF!,
$A296,#REF!,
"&gt;="&amp;'Faturado mensal'!AJ$2,#REF!,
"&lt;"&amp;EOMONTH('Faturado mensal'!AJ$2,0))</f>
        <v>0</v>
      </c>
      <c r="AK296" s="9">
        <f>SUMIFS(#REF!,#REF!,
$A296,#REF!,
"&gt;="&amp;'Faturado mensal'!AK$2,#REF!,
"&lt;"&amp;EOMONTH('Faturado mensal'!AK$2,0))</f>
        <v>0</v>
      </c>
      <c r="AL296" s="9">
        <f>SUMIFS(#REF!,#REF!,
$A296,#REF!,
"&gt;="&amp;Z$2,#REF!,
"&lt;"&amp;EOMONTH(AK$2,0))</f>
        <v>374404.03</v>
      </c>
    </row>
    <row r="297" spans="1:38" x14ac:dyDescent="0.3">
      <c r="A297" t="s">
        <v>958</v>
      </c>
      <c r="B297" t="s">
        <v>959</v>
      </c>
      <c r="C297" t="s">
        <v>960</v>
      </c>
      <c r="D297" t="s">
        <v>209</v>
      </c>
      <c r="G297" t="s">
        <v>807</v>
      </c>
      <c r="I297" t="s">
        <v>961</v>
      </c>
      <c r="J297" t="s">
        <v>890</v>
      </c>
      <c r="K297" t="s">
        <v>720</v>
      </c>
      <c r="L297" t="s">
        <v>721</v>
      </c>
      <c r="M297" s="9">
        <f>SUMIFS(#REF!,#REF!,
$A297,#REF!,
"&gt;="&amp;'Faturado mensal'!M$2,#REF!,
"&lt;"&amp;EOMONTH('Faturado mensal'!M$2,0))</f>
        <v>0</v>
      </c>
      <c r="N297" s="9">
        <f>SUMIFS(#REF!,#REF!,
$A297,#REF!,
"&gt;="&amp;'Faturado mensal'!N$2,#REF!,
"&lt;"&amp;EOMONTH('Faturado mensal'!N$2,0))</f>
        <v>0</v>
      </c>
      <c r="O297" s="9">
        <f>SUMIFS(#REF!,#REF!,
$A297,#REF!,
"&gt;="&amp;'Faturado mensal'!O$2,#REF!,
"&lt;"&amp;EOMONTH('Faturado mensal'!O$2,0))</f>
        <v>0</v>
      </c>
      <c r="P297" s="9">
        <f>SUMIFS(#REF!,#REF!,
$A297,#REF!,
"&gt;="&amp;'Faturado mensal'!P$2,#REF!,
"&lt;"&amp;EOMONTH('Faturado mensal'!P$2,0))</f>
        <v>0</v>
      </c>
      <c r="Q297" s="9">
        <f>SUMIFS(#REF!,#REF!,
$A297,#REF!,
"&gt;="&amp;'Faturado mensal'!Q$2,#REF!,
"&lt;"&amp;EOMONTH('Faturado mensal'!Q$2,0))</f>
        <v>0</v>
      </c>
      <c r="R297" s="9">
        <f>SUMIFS(#REF!,#REF!,
$A297,#REF!,
"&gt;="&amp;'Faturado mensal'!R$2,#REF!,
"&lt;"&amp;EOMONTH('Faturado mensal'!R$2,0))</f>
        <v>0</v>
      </c>
      <c r="S297" s="9">
        <f>SUMIFS(#REF!,#REF!,
$A297,#REF!,
"&gt;="&amp;'Faturado mensal'!S$2,#REF!,
"&lt;"&amp;EOMONTH('Faturado mensal'!S$2,0))</f>
        <v>0</v>
      </c>
      <c r="T297" s="9">
        <f>SUMIFS(#REF!,#REF!,
$A297,#REF!,
"&gt;="&amp;'Faturado mensal'!T$2,#REF!,
"&lt;"&amp;EOMONTH('Faturado mensal'!T$2,0))</f>
        <v>0</v>
      </c>
      <c r="U297" s="9">
        <f>SUMIFS(#REF!,#REF!,
$A297,#REF!,
"&gt;="&amp;'Faturado mensal'!U$2,#REF!,
"&lt;"&amp;EOMONTH('Faturado mensal'!U$2,0))</f>
        <v>0</v>
      </c>
      <c r="V297" s="9">
        <f>SUMIFS(#REF!,#REF!,
$A297,#REF!,
"&gt;="&amp;'Faturado mensal'!V$2,#REF!,
"&lt;"&amp;EOMONTH('Faturado mensal'!V$2,0))</f>
        <v>0</v>
      </c>
      <c r="W297" s="9">
        <f>SUMIFS(#REF!,#REF!,
$A297,#REF!,
"&gt;="&amp;'Faturado mensal'!W$2,#REF!,
"&lt;"&amp;EOMONTH('Faturado mensal'!W$2,0))</f>
        <v>0</v>
      </c>
      <c r="X297" s="9">
        <f>SUMIFS(#REF!,#REF!,
$A297,#REF!,
"&gt;="&amp;'Faturado mensal'!X$2,#REF!,
"&lt;"&amp;EOMONTH('Faturado mensal'!X$2,0))</f>
        <v>0</v>
      </c>
      <c r="Y297" s="11">
        <f>SUMIFS(#REF!,#REF!,
$A297,#REF!,
"&gt;="&amp;'Faturado mensal'!M$2,#REF!,
"&lt;"&amp;EOMONTH('Faturado mensal'!M$2,12))</f>
        <v>0</v>
      </c>
      <c r="Z297" s="9">
        <f>SUMIFS(#REF!,#REF!,
$A297,#REF!,
"&gt;="&amp;'Faturado mensal'!Z$2,#REF!,
"&lt;"&amp;EOMONTH('Faturado mensal'!Z$2,0))</f>
        <v>0</v>
      </c>
      <c r="AA297" s="9">
        <f>SUMIFS(#REF!,#REF!,
$A297,#REF!,
"&gt;="&amp;'Faturado mensal'!AA$2,#REF!,
"&lt;"&amp;EOMONTH('Faturado mensal'!AA$2,0))</f>
        <v>0</v>
      </c>
      <c r="AB297" s="9">
        <f>SUMIFS(#REF!,#REF!,
$A297,#REF!,
"&gt;="&amp;'Faturado mensal'!AB$2,#REF!,
"&lt;"&amp;EOMONTH('Faturado mensal'!AB$2,0))</f>
        <v>0</v>
      </c>
      <c r="AC297" s="9">
        <f>SUMIFS(#REF!,#REF!,
$A297,#REF!,
"&gt;="&amp;'Faturado mensal'!AC$2,#REF!,
"&lt;"&amp;EOMONTH('Faturado mensal'!AC$2,0))</f>
        <v>0</v>
      </c>
      <c r="AD297" s="9">
        <f>SUMIFS(#REF!,#REF!,
$A297,#REF!,
"&gt;="&amp;'Faturado mensal'!AD$2,#REF!,
"&lt;"&amp;EOMONTH('Faturado mensal'!AD$2,0))</f>
        <v>0</v>
      </c>
      <c r="AE297" s="9">
        <f>SUMIFS(#REF!,#REF!,
$A297,#REF!,
"&gt;="&amp;'Faturado mensal'!AE$2,#REF!,
"&lt;"&amp;EOMONTH('Faturado mensal'!AE$2,0))</f>
        <v>0</v>
      </c>
      <c r="AF297" s="9">
        <f>SUMIFS(#REF!,#REF!,
$A297,#REF!,
"&gt;="&amp;'Faturado mensal'!AF$2,#REF!,
"&lt;"&amp;EOMONTH('Faturado mensal'!AF$2,0))</f>
        <v>0</v>
      </c>
      <c r="AG297" s="9">
        <f>SUMIFS(#REF!,#REF!,
$A297,#REF!,
"&gt;="&amp;'Faturado mensal'!AG$2,#REF!,
"&lt;"&amp;EOMONTH('Faturado mensal'!AG$2,0))</f>
        <v>0</v>
      </c>
      <c r="AH297" s="9">
        <f>SUMIFS(#REF!,#REF!,
$A297,#REF!,
"&gt;="&amp;'Faturado mensal'!AH$2,#REF!,
"&lt;"&amp;EOMONTH('Faturado mensal'!AH$2,0))</f>
        <v>0</v>
      </c>
      <c r="AI297" s="9">
        <f>SUMIFS(#REF!,#REF!,
$A297,#REF!,
"&gt;="&amp;'Faturado mensal'!AI$2,#REF!,
"&lt;"&amp;EOMONTH('Faturado mensal'!AI$2,0))</f>
        <v>0</v>
      </c>
      <c r="AJ297" s="9">
        <f>SUMIFS(#REF!,#REF!,
$A297,#REF!,
"&gt;="&amp;'Faturado mensal'!AJ$2,#REF!,
"&lt;"&amp;EOMONTH('Faturado mensal'!AJ$2,0))</f>
        <v>0</v>
      </c>
      <c r="AK297" s="9">
        <f>SUMIFS(#REF!,#REF!,
$A297,#REF!,
"&gt;="&amp;'Faturado mensal'!AK$2,#REF!,
"&lt;"&amp;EOMONTH('Faturado mensal'!AK$2,0))</f>
        <v>0</v>
      </c>
      <c r="AL297" s="9">
        <f>SUMIFS(#REF!,#REF!,
$A297,#REF!,
"&gt;="&amp;Z$2,#REF!,
"&lt;"&amp;EOMONTH(AK$2,0))</f>
        <v>0</v>
      </c>
    </row>
    <row r="298" spans="1:38" x14ac:dyDescent="0.3">
      <c r="A298" t="s">
        <v>611</v>
      </c>
      <c r="B298" t="s">
        <v>612</v>
      </c>
      <c r="C298" t="s">
        <v>102</v>
      </c>
      <c r="D298" t="s">
        <v>209</v>
      </c>
      <c r="E298" t="s">
        <v>1037</v>
      </c>
      <c r="F298" t="s">
        <v>4777</v>
      </c>
      <c r="G298" t="s">
        <v>4852</v>
      </c>
      <c r="H298" t="s">
        <v>4773</v>
      </c>
      <c r="I298" t="s">
        <v>962</v>
      </c>
      <c r="J298" t="s">
        <v>710</v>
      </c>
      <c r="K298" t="s">
        <v>720</v>
      </c>
      <c r="L298" t="s">
        <v>721</v>
      </c>
      <c r="M298" s="9">
        <f>SUMIFS(#REF!,#REF!,
$A298,#REF!,
"&gt;="&amp;'Faturado mensal'!M$2,#REF!,
"&lt;"&amp;EOMONTH('Faturado mensal'!M$2,0))</f>
        <v>19266</v>
      </c>
      <c r="N298" s="9">
        <f>SUMIFS(#REF!,#REF!,
$A298,#REF!,
"&gt;="&amp;'Faturado mensal'!N$2,#REF!,
"&lt;"&amp;EOMONTH('Faturado mensal'!N$2,0))</f>
        <v>13832</v>
      </c>
      <c r="O298" s="9">
        <f>SUMIFS(#REF!,#REF!,
$A298,#REF!,
"&gt;="&amp;'Faturado mensal'!O$2,#REF!,
"&lt;"&amp;EOMONTH('Faturado mensal'!O$2,0))</f>
        <v>20748</v>
      </c>
      <c r="P298" s="9">
        <f>SUMIFS(#REF!,#REF!,
$A298,#REF!,
"&gt;="&amp;'Faturado mensal'!P$2,#REF!,
"&lt;"&amp;EOMONTH('Faturado mensal'!P$2,0))</f>
        <v>20748</v>
      </c>
      <c r="Q298" s="9">
        <f>SUMIFS(#REF!,#REF!,
$A298,#REF!,
"&gt;="&amp;'Faturado mensal'!Q$2,#REF!,
"&lt;"&amp;EOMONTH('Faturado mensal'!Q$2,0))</f>
        <v>20748</v>
      </c>
      <c r="R298" s="9">
        <f>SUMIFS(#REF!,#REF!,
$A298,#REF!,
"&gt;="&amp;'Faturado mensal'!R$2,#REF!,
"&lt;"&amp;EOMONTH('Faturado mensal'!R$2,0))</f>
        <v>20748</v>
      </c>
      <c r="S298" s="9">
        <f>SUMIFS(#REF!,#REF!,
$A298,#REF!,
"&gt;="&amp;'Faturado mensal'!S$2,#REF!,
"&lt;"&amp;EOMONTH('Faturado mensal'!S$2,0))</f>
        <v>20748</v>
      </c>
      <c r="T298" s="9">
        <f>SUMIFS(#REF!,#REF!,
$A298,#REF!,
"&gt;="&amp;'Faturado mensal'!T$2,#REF!,
"&lt;"&amp;EOMONTH('Faturado mensal'!T$2,0))</f>
        <v>20748</v>
      </c>
      <c r="U298" s="9">
        <f>SUMIFS(#REF!,#REF!,
$A298,#REF!,
"&gt;="&amp;'Faturado mensal'!U$2,#REF!,
"&lt;"&amp;EOMONTH('Faturado mensal'!U$2,0))</f>
        <v>20748</v>
      </c>
      <c r="V298" s="9">
        <f>SUMIFS(#REF!,#REF!,
$A298,#REF!,
"&gt;="&amp;'Faturado mensal'!V$2,#REF!,
"&lt;"&amp;EOMONTH('Faturado mensal'!V$2,0))</f>
        <v>20748</v>
      </c>
      <c r="W298" s="9">
        <f>SUMIFS(#REF!,#REF!,
$A298,#REF!,
"&gt;="&amp;'Faturado mensal'!W$2,#REF!,
"&lt;"&amp;EOMONTH('Faturado mensal'!W$2,0))</f>
        <v>20748</v>
      </c>
      <c r="X298" s="9">
        <f>SUMIFS(#REF!,#REF!,
$A298,#REF!,
"&gt;="&amp;'Faturado mensal'!X$2,#REF!,
"&lt;"&amp;EOMONTH('Faturado mensal'!X$2,0))</f>
        <v>20748</v>
      </c>
      <c r="Y298" s="11">
        <f>SUMIFS(#REF!,#REF!,
$A298,#REF!,
"&gt;="&amp;'Faturado mensal'!M$2,#REF!,
"&lt;"&amp;EOMONTH('Faturado mensal'!M$2,12))</f>
        <v>250952</v>
      </c>
      <c r="Z298" s="9">
        <f>SUMIFS(#REF!,#REF!,
$A298,#REF!,
"&gt;="&amp;'Faturado mensal'!Z$2,#REF!,
"&lt;"&amp;EOMONTH('Faturado mensal'!Z$2,0))</f>
        <v>10374</v>
      </c>
      <c r="AA298" s="9">
        <f>SUMIFS(#REF!,#REF!,
$A298,#REF!,
"&gt;="&amp;'Faturado mensal'!AA$2,#REF!,
"&lt;"&amp;EOMONTH('Faturado mensal'!AA$2,0))</f>
        <v>20748</v>
      </c>
      <c r="AB298" s="9">
        <f>SUMIFS(#REF!,#REF!,
$A298,#REF!,
"&gt;="&amp;'Faturado mensal'!AB$2,#REF!,
"&lt;"&amp;EOMONTH('Faturado mensal'!AB$2,0))</f>
        <v>20748</v>
      </c>
      <c r="AC298" s="9">
        <f>SUMIFS(#REF!,#REF!,
$A298,#REF!,
"&gt;="&amp;'Faturado mensal'!AC$2,#REF!,
"&lt;"&amp;EOMONTH('Faturado mensal'!AC$2,0))</f>
        <v>20748</v>
      </c>
      <c r="AD298" s="9">
        <f>SUMIFS(#REF!,#REF!,
$A298,#REF!,
"&gt;="&amp;'Faturado mensal'!AD$2,#REF!,
"&lt;"&amp;EOMONTH('Faturado mensal'!AD$2,0))</f>
        <v>20748</v>
      </c>
      <c r="AE298" s="9">
        <f>SUMIFS(#REF!,#REF!,
$A298,#REF!,
"&gt;="&amp;'Faturado mensal'!AE$2,#REF!,
"&lt;"&amp;EOMONTH('Faturado mensal'!AE$2,0))</f>
        <v>0</v>
      </c>
      <c r="AF298" s="9">
        <f>SUMIFS(#REF!,#REF!,
$A298,#REF!,
"&gt;="&amp;'Faturado mensal'!AF$2,#REF!,
"&lt;"&amp;EOMONTH('Faturado mensal'!AF$2,0))</f>
        <v>0</v>
      </c>
      <c r="AG298" s="9">
        <f>SUMIFS(#REF!,#REF!,
$A298,#REF!,
"&gt;="&amp;'Faturado mensal'!AG$2,#REF!,
"&lt;"&amp;EOMONTH('Faturado mensal'!AG$2,0))</f>
        <v>0</v>
      </c>
      <c r="AH298" s="9">
        <f>SUMIFS(#REF!,#REF!,
$A298,#REF!,
"&gt;="&amp;'Faturado mensal'!AH$2,#REF!,
"&lt;"&amp;EOMONTH('Faturado mensal'!AH$2,0))</f>
        <v>0</v>
      </c>
      <c r="AI298" s="9">
        <f>SUMIFS(#REF!,#REF!,
$A298,#REF!,
"&gt;="&amp;'Faturado mensal'!AI$2,#REF!,
"&lt;"&amp;EOMONTH('Faturado mensal'!AI$2,0))</f>
        <v>0</v>
      </c>
      <c r="AJ298" s="9">
        <f>SUMIFS(#REF!,#REF!,
$A298,#REF!,
"&gt;="&amp;'Faturado mensal'!AJ$2,#REF!,
"&lt;"&amp;EOMONTH('Faturado mensal'!AJ$2,0))</f>
        <v>0</v>
      </c>
      <c r="AK298" s="9">
        <f>SUMIFS(#REF!,#REF!,
$A298,#REF!,
"&gt;="&amp;'Faturado mensal'!AK$2,#REF!,
"&lt;"&amp;EOMONTH('Faturado mensal'!AK$2,0))</f>
        <v>0</v>
      </c>
      <c r="AL298" s="9">
        <f>SUMIFS(#REF!,#REF!,
$A298,#REF!,
"&gt;="&amp;Z$2,#REF!,
"&lt;"&amp;EOMONTH(AK$2,0))</f>
        <v>93366</v>
      </c>
    </row>
    <row r="299" spans="1:38" x14ac:dyDescent="0.3">
      <c r="A299" t="s">
        <v>613</v>
      </c>
      <c r="B299" t="s">
        <v>614</v>
      </c>
      <c r="C299" t="s">
        <v>74</v>
      </c>
      <c r="D299" t="s">
        <v>204</v>
      </c>
      <c r="E299" t="s">
        <v>4843</v>
      </c>
      <c r="F299" t="s">
        <v>4779</v>
      </c>
      <c r="G299" t="s">
        <v>4854</v>
      </c>
      <c r="H299" t="s">
        <v>4771</v>
      </c>
      <c r="I299" t="s">
        <v>963</v>
      </c>
      <c r="J299" t="s">
        <v>710</v>
      </c>
      <c r="K299" t="s">
        <v>720</v>
      </c>
      <c r="L299" t="s">
        <v>721</v>
      </c>
      <c r="M299" s="9">
        <f>SUMIFS(#REF!,#REF!,
$A299,#REF!,
"&gt;="&amp;'Faturado mensal'!M$2,#REF!,
"&lt;"&amp;EOMONTH('Faturado mensal'!M$2,0))</f>
        <v>0</v>
      </c>
      <c r="N299" s="9">
        <f>SUMIFS(#REF!,#REF!,
$A299,#REF!,
"&gt;="&amp;'Faturado mensal'!N$2,#REF!,
"&lt;"&amp;EOMONTH('Faturado mensal'!N$2,0))</f>
        <v>0</v>
      </c>
      <c r="O299" s="9">
        <f>SUMIFS(#REF!,#REF!,
$A299,#REF!,
"&gt;="&amp;'Faturado mensal'!O$2,#REF!,
"&lt;"&amp;EOMONTH('Faturado mensal'!O$2,0))</f>
        <v>4707.1099999999997</v>
      </c>
      <c r="P299" s="9">
        <f>SUMIFS(#REF!,#REF!,
$A299,#REF!,
"&gt;="&amp;'Faturado mensal'!P$2,#REF!,
"&lt;"&amp;EOMONTH('Faturado mensal'!P$2,0))</f>
        <v>1515</v>
      </c>
      <c r="Q299" s="9">
        <f>SUMIFS(#REF!,#REF!,
$A299,#REF!,
"&gt;="&amp;'Faturado mensal'!Q$2,#REF!,
"&lt;"&amp;EOMONTH('Faturado mensal'!Q$2,0))</f>
        <v>3030</v>
      </c>
      <c r="R299" s="9">
        <f>SUMIFS(#REF!,#REF!,
$A299,#REF!,
"&gt;="&amp;'Faturado mensal'!R$2,#REF!,
"&lt;"&amp;EOMONTH('Faturado mensal'!R$2,0))</f>
        <v>1515</v>
      </c>
      <c r="S299" s="9">
        <f>SUMIFS(#REF!,#REF!,
$A299,#REF!,
"&gt;="&amp;'Faturado mensal'!S$2,#REF!,
"&lt;"&amp;EOMONTH('Faturado mensal'!S$2,0))</f>
        <v>0</v>
      </c>
      <c r="T299" s="9">
        <f>SUMIFS(#REF!,#REF!,
$A299,#REF!,
"&gt;="&amp;'Faturado mensal'!T$2,#REF!,
"&lt;"&amp;EOMONTH('Faturado mensal'!T$2,0))</f>
        <v>1515</v>
      </c>
      <c r="U299" s="9">
        <f>SUMIFS(#REF!,#REF!,
$A299,#REF!,
"&gt;="&amp;'Faturado mensal'!U$2,#REF!,
"&lt;"&amp;EOMONTH('Faturado mensal'!U$2,0))</f>
        <v>1515</v>
      </c>
      <c r="V299" s="9">
        <f>SUMIFS(#REF!,#REF!,
$A299,#REF!,
"&gt;="&amp;'Faturado mensal'!V$2,#REF!,
"&lt;"&amp;EOMONTH('Faturado mensal'!V$2,0))</f>
        <v>1515</v>
      </c>
      <c r="W299" s="9">
        <f>SUMIFS(#REF!,#REF!,
$A299,#REF!,
"&gt;="&amp;'Faturado mensal'!W$2,#REF!,
"&lt;"&amp;EOMONTH('Faturado mensal'!W$2,0))</f>
        <v>1515</v>
      </c>
      <c r="X299" s="9">
        <f>SUMIFS(#REF!,#REF!,
$A299,#REF!,
"&gt;="&amp;'Faturado mensal'!X$2,#REF!,
"&lt;"&amp;EOMONTH('Faturado mensal'!X$2,0))</f>
        <v>1515</v>
      </c>
      <c r="Y299" s="11">
        <f>SUMIFS(#REF!,#REF!,
$A299,#REF!,
"&gt;="&amp;'Faturado mensal'!M$2,#REF!,
"&lt;"&amp;EOMONTH('Faturado mensal'!M$2,12))</f>
        <v>21372.11</v>
      </c>
      <c r="Z299" s="9">
        <f>SUMIFS(#REF!,#REF!,
$A299,#REF!,
"&gt;="&amp;'Faturado mensal'!Z$2,#REF!,
"&lt;"&amp;EOMONTH('Faturado mensal'!Z$2,0))</f>
        <v>3030</v>
      </c>
      <c r="AA299" s="9">
        <f>SUMIFS(#REF!,#REF!,
$A299,#REF!,
"&gt;="&amp;'Faturado mensal'!AA$2,#REF!,
"&lt;"&amp;EOMONTH('Faturado mensal'!AA$2,0))</f>
        <v>1515</v>
      </c>
      <c r="AB299" s="9">
        <f>SUMIFS(#REF!,#REF!,
$A299,#REF!,
"&gt;="&amp;'Faturado mensal'!AB$2,#REF!,
"&lt;"&amp;EOMONTH('Faturado mensal'!AB$2,0))</f>
        <v>1515</v>
      </c>
      <c r="AC299" s="9">
        <f>SUMIFS(#REF!,#REF!,
$A299,#REF!,
"&gt;="&amp;'Faturado mensal'!AC$2,#REF!,
"&lt;"&amp;EOMONTH('Faturado mensal'!AC$2,0))</f>
        <v>1515</v>
      </c>
      <c r="AD299" s="9">
        <f>SUMIFS(#REF!,#REF!,
$A299,#REF!,
"&gt;="&amp;'Faturado mensal'!AD$2,#REF!,
"&lt;"&amp;EOMONTH('Faturado mensal'!AD$2,0))</f>
        <v>1515</v>
      </c>
      <c r="AE299" s="9">
        <f>SUMIFS(#REF!,#REF!,
$A299,#REF!,
"&gt;="&amp;'Faturado mensal'!AE$2,#REF!,
"&lt;"&amp;EOMONTH('Faturado mensal'!AE$2,0))</f>
        <v>1515</v>
      </c>
      <c r="AF299" s="9">
        <f>SUMIFS(#REF!,#REF!,
$A299,#REF!,
"&gt;="&amp;'Faturado mensal'!AF$2,#REF!,
"&lt;"&amp;EOMONTH('Faturado mensal'!AF$2,0))</f>
        <v>0</v>
      </c>
      <c r="AG299" s="9">
        <f>SUMIFS(#REF!,#REF!,
$A299,#REF!,
"&gt;="&amp;'Faturado mensal'!AG$2,#REF!,
"&lt;"&amp;EOMONTH('Faturado mensal'!AG$2,0))</f>
        <v>0</v>
      </c>
      <c r="AH299" s="9">
        <f>SUMIFS(#REF!,#REF!,
$A299,#REF!,
"&gt;="&amp;'Faturado mensal'!AH$2,#REF!,
"&lt;"&amp;EOMONTH('Faturado mensal'!AH$2,0))</f>
        <v>0</v>
      </c>
      <c r="AI299" s="9">
        <f>SUMIFS(#REF!,#REF!,
$A299,#REF!,
"&gt;="&amp;'Faturado mensal'!AI$2,#REF!,
"&lt;"&amp;EOMONTH('Faturado mensal'!AI$2,0))</f>
        <v>0</v>
      </c>
      <c r="AJ299" s="9">
        <f>SUMIFS(#REF!,#REF!,
$A299,#REF!,
"&gt;="&amp;'Faturado mensal'!AJ$2,#REF!,
"&lt;"&amp;EOMONTH('Faturado mensal'!AJ$2,0))</f>
        <v>0</v>
      </c>
      <c r="AK299" s="9">
        <f>SUMIFS(#REF!,#REF!,
$A299,#REF!,
"&gt;="&amp;'Faturado mensal'!AK$2,#REF!,
"&lt;"&amp;EOMONTH('Faturado mensal'!AK$2,0))</f>
        <v>0</v>
      </c>
      <c r="AL299" s="9">
        <f>SUMIFS(#REF!,#REF!,
$A299,#REF!,
"&gt;="&amp;Z$2,#REF!,
"&lt;"&amp;EOMONTH(AK$2,0))</f>
        <v>10605</v>
      </c>
    </row>
    <row r="300" spans="1:38" x14ac:dyDescent="0.3">
      <c r="A300" t="s">
        <v>615</v>
      </c>
      <c r="B300" t="s">
        <v>616</v>
      </c>
      <c r="C300" t="s">
        <v>152</v>
      </c>
      <c r="D300" t="s">
        <v>204</v>
      </c>
      <c r="E300" t="s">
        <v>4834</v>
      </c>
      <c r="F300" t="s">
        <v>4776</v>
      </c>
      <c r="G300" t="s">
        <v>4845</v>
      </c>
      <c r="H300" t="s">
        <v>4772</v>
      </c>
      <c r="I300" t="s">
        <v>964</v>
      </c>
      <c r="J300" t="s">
        <v>710</v>
      </c>
      <c r="K300" t="s">
        <v>720</v>
      </c>
      <c r="L300" t="s">
        <v>721</v>
      </c>
      <c r="M300" s="9">
        <f>SUMIFS(#REF!,#REF!,
$A300,#REF!,
"&gt;="&amp;'Faturado mensal'!M$2,#REF!,
"&lt;"&amp;EOMONTH('Faturado mensal'!M$2,0))</f>
        <v>104357.91</v>
      </c>
      <c r="N300" s="9">
        <f>SUMIFS(#REF!,#REF!,
$A300,#REF!,
"&gt;="&amp;'Faturado mensal'!N$2,#REF!,
"&lt;"&amp;EOMONTH('Faturado mensal'!N$2,0))</f>
        <v>87050.44</v>
      </c>
      <c r="O300" s="9">
        <f>SUMIFS(#REF!,#REF!,
$A300,#REF!,
"&gt;="&amp;'Faturado mensal'!O$2,#REF!,
"&lt;"&amp;EOMONTH('Faturado mensal'!O$2,0))</f>
        <v>75497</v>
      </c>
      <c r="P300" s="9">
        <f>SUMIFS(#REF!,#REF!,
$A300,#REF!,
"&gt;="&amp;'Faturado mensal'!P$2,#REF!,
"&lt;"&amp;EOMONTH('Faturado mensal'!P$2,0))</f>
        <v>86710.77</v>
      </c>
      <c r="Q300" s="9">
        <f>SUMIFS(#REF!,#REF!,
$A300,#REF!,
"&gt;="&amp;'Faturado mensal'!Q$2,#REF!,
"&lt;"&amp;EOMONTH('Faturado mensal'!Q$2,0))</f>
        <v>0</v>
      </c>
      <c r="R300" s="9">
        <f>SUMIFS(#REF!,#REF!,
$A300,#REF!,
"&gt;="&amp;'Faturado mensal'!R$2,#REF!,
"&lt;"&amp;EOMONTH('Faturado mensal'!R$2,0))</f>
        <v>203575.16999999998</v>
      </c>
      <c r="S300" s="9">
        <f>SUMIFS(#REF!,#REF!,
$A300,#REF!,
"&gt;="&amp;'Faturado mensal'!S$2,#REF!,
"&lt;"&amp;EOMONTH('Faturado mensal'!S$2,0))</f>
        <v>101787.59</v>
      </c>
      <c r="T300" s="9">
        <f>SUMIFS(#REF!,#REF!,
$A300,#REF!,
"&gt;="&amp;'Faturado mensal'!T$2,#REF!,
"&lt;"&amp;EOMONTH('Faturado mensal'!T$2,0))</f>
        <v>0</v>
      </c>
      <c r="U300" s="9">
        <f>SUMIFS(#REF!,#REF!,
$A300,#REF!,
"&gt;="&amp;'Faturado mensal'!U$2,#REF!,
"&lt;"&amp;EOMONTH('Faturado mensal'!U$2,0))</f>
        <v>101787.59</v>
      </c>
      <c r="V300" s="9">
        <f>SUMIFS(#REF!,#REF!,
$A300,#REF!,
"&gt;="&amp;'Faturado mensal'!V$2,#REF!,
"&lt;"&amp;EOMONTH('Faturado mensal'!V$2,0))</f>
        <v>101787.59</v>
      </c>
      <c r="W300" s="9">
        <f>SUMIFS(#REF!,#REF!,
$A300,#REF!,
"&gt;="&amp;'Faturado mensal'!W$2,#REF!,
"&lt;"&amp;EOMONTH('Faturado mensal'!W$2,0))</f>
        <v>0</v>
      </c>
      <c r="X300" s="9">
        <f>SUMIFS(#REF!,#REF!,
$A300,#REF!,
"&gt;="&amp;'Faturado mensal'!X$2,#REF!,
"&lt;"&amp;EOMONTH('Faturado mensal'!X$2,0))</f>
        <v>101787.59</v>
      </c>
      <c r="Y300" s="11">
        <f>SUMIFS(#REF!,#REF!,
$A300,#REF!,
"&gt;="&amp;'Faturado mensal'!M$2,#REF!,
"&lt;"&amp;EOMONTH('Faturado mensal'!M$2,12))</f>
        <v>1141031.8400000001</v>
      </c>
      <c r="Z300" s="9">
        <f>SUMIFS(#REF!,#REF!,
$A300,#REF!,
"&gt;="&amp;'Faturado mensal'!Z$2,#REF!,
"&lt;"&amp;EOMONTH('Faturado mensal'!Z$2,0))</f>
        <v>74902.600000000006</v>
      </c>
      <c r="AA300" s="9">
        <f>SUMIFS(#REF!,#REF!,
$A300,#REF!,
"&gt;="&amp;'Faturado mensal'!AA$2,#REF!,
"&lt;"&amp;EOMONTH('Faturado mensal'!AA$2,0))</f>
        <v>184565.88</v>
      </c>
      <c r="AB300" s="9">
        <f>SUMIFS(#REF!,#REF!,
$A300,#REF!,
"&gt;="&amp;'Faturado mensal'!AB$2,#REF!,
"&lt;"&amp;EOMONTH('Faturado mensal'!AB$2,0))</f>
        <v>0</v>
      </c>
      <c r="AC300" s="9">
        <f>SUMIFS(#REF!,#REF!,
$A300,#REF!,
"&gt;="&amp;'Faturado mensal'!AC$2,#REF!,
"&lt;"&amp;EOMONTH('Faturado mensal'!AC$2,0))</f>
        <v>184565.88</v>
      </c>
      <c r="AD300" s="9">
        <f>SUMIFS(#REF!,#REF!,
$A300,#REF!,
"&gt;="&amp;'Faturado mensal'!AD$2,#REF!,
"&lt;"&amp;EOMONTH('Faturado mensal'!AD$2,0))</f>
        <v>92282.94</v>
      </c>
      <c r="AE300" s="9">
        <f>SUMIFS(#REF!,#REF!,
$A300,#REF!,
"&gt;="&amp;'Faturado mensal'!AE$2,#REF!,
"&lt;"&amp;EOMONTH('Faturado mensal'!AE$2,0))</f>
        <v>92282.94</v>
      </c>
      <c r="AF300" s="9">
        <f>SUMIFS(#REF!,#REF!,
$A300,#REF!,
"&gt;="&amp;'Faturado mensal'!AF$2,#REF!,
"&lt;"&amp;EOMONTH('Faturado mensal'!AF$2,0))</f>
        <v>0</v>
      </c>
      <c r="AG300" s="9">
        <f>SUMIFS(#REF!,#REF!,
$A300,#REF!,
"&gt;="&amp;'Faturado mensal'!AG$2,#REF!,
"&lt;"&amp;EOMONTH('Faturado mensal'!AG$2,0))</f>
        <v>0</v>
      </c>
      <c r="AH300" s="9">
        <f>SUMIFS(#REF!,#REF!,
$A300,#REF!,
"&gt;="&amp;'Faturado mensal'!AH$2,#REF!,
"&lt;"&amp;EOMONTH('Faturado mensal'!AH$2,0))</f>
        <v>0</v>
      </c>
      <c r="AI300" s="9">
        <f>SUMIFS(#REF!,#REF!,
$A300,#REF!,
"&gt;="&amp;'Faturado mensal'!AI$2,#REF!,
"&lt;"&amp;EOMONTH('Faturado mensal'!AI$2,0))</f>
        <v>0</v>
      </c>
      <c r="AJ300" s="9">
        <f>SUMIFS(#REF!,#REF!,
$A300,#REF!,
"&gt;="&amp;'Faturado mensal'!AJ$2,#REF!,
"&lt;"&amp;EOMONTH('Faturado mensal'!AJ$2,0))</f>
        <v>0</v>
      </c>
      <c r="AK300" s="9">
        <f>SUMIFS(#REF!,#REF!,
$A300,#REF!,
"&gt;="&amp;'Faturado mensal'!AK$2,#REF!,
"&lt;"&amp;EOMONTH('Faturado mensal'!AK$2,0))</f>
        <v>0</v>
      </c>
      <c r="AL300" s="9">
        <f>SUMIFS(#REF!,#REF!,
$A300,#REF!,
"&gt;="&amp;Z$2,#REF!,
"&lt;"&amp;EOMONTH(AK$2,0))</f>
        <v>628600.24</v>
      </c>
    </row>
    <row r="301" spans="1:38" x14ac:dyDescent="0.3">
      <c r="A301" t="s">
        <v>965</v>
      </c>
      <c r="B301" t="s">
        <v>618</v>
      </c>
      <c r="C301" t="s">
        <v>112</v>
      </c>
      <c r="D301" t="s">
        <v>209</v>
      </c>
      <c r="E301" t="s">
        <v>1036</v>
      </c>
      <c r="F301" t="s">
        <v>4776</v>
      </c>
      <c r="G301" t="s">
        <v>4853</v>
      </c>
      <c r="H301" t="s">
        <v>4771</v>
      </c>
      <c r="I301" t="s">
        <v>829</v>
      </c>
      <c r="J301" t="s">
        <v>818</v>
      </c>
      <c r="K301" t="s">
        <v>711</v>
      </c>
      <c r="L301" t="s">
        <v>712</v>
      </c>
      <c r="M301" s="9">
        <f>SUMIFS(#REF!,#REF!,
$A301,#REF!,
"&gt;="&amp;'Faturado mensal'!M$2,#REF!,
"&lt;"&amp;EOMONTH('Faturado mensal'!M$2,0))</f>
        <v>0</v>
      </c>
      <c r="N301" s="9">
        <f>SUMIFS(#REF!,#REF!,
$A301,#REF!,
"&gt;="&amp;'Faturado mensal'!N$2,#REF!,
"&lt;"&amp;EOMONTH('Faturado mensal'!N$2,0))</f>
        <v>0</v>
      </c>
      <c r="O301" s="9">
        <f>SUMIFS(#REF!,#REF!,
$A301,#REF!,
"&gt;="&amp;'Faturado mensal'!O$2,#REF!,
"&lt;"&amp;EOMONTH('Faturado mensal'!O$2,0))</f>
        <v>0</v>
      </c>
      <c r="P301" s="9">
        <f>SUMIFS(#REF!,#REF!,
$A301,#REF!,
"&gt;="&amp;'Faturado mensal'!P$2,#REF!,
"&lt;"&amp;EOMONTH('Faturado mensal'!P$2,0))</f>
        <v>0</v>
      </c>
      <c r="Q301" s="9">
        <f>SUMIFS(#REF!,#REF!,
$A301,#REF!,
"&gt;="&amp;'Faturado mensal'!Q$2,#REF!,
"&lt;"&amp;EOMONTH('Faturado mensal'!Q$2,0))</f>
        <v>0</v>
      </c>
      <c r="R301" s="9">
        <f>SUMIFS(#REF!,#REF!,
$A301,#REF!,
"&gt;="&amp;'Faturado mensal'!R$2,#REF!,
"&lt;"&amp;EOMONTH('Faturado mensal'!R$2,0))</f>
        <v>0</v>
      </c>
      <c r="S301" s="9">
        <f>SUMIFS(#REF!,#REF!,
$A301,#REF!,
"&gt;="&amp;'Faturado mensal'!S$2,#REF!,
"&lt;"&amp;EOMONTH('Faturado mensal'!S$2,0))</f>
        <v>0</v>
      </c>
      <c r="T301" s="9">
        <f>SUMIFS(#REF!,#REF!,
$A301,#REF!,
"&gt;="&amp;'Faturado mensal'!T$2,#REF!,
"&lt;"&amp;EOMONTH('Faturado mensal'!T$2,0))</f>
        <v>0</v>
      </c>
      <c r="U301" s="9">
        <f>SUMIFS(#REF!,#REF!,
$A301,#REF!,
"&gt;="&amp;'Faturado mensal'!U$2,#REF!,
"&lt;"&amp;EOMONTH('Faturado mensal'!U$2,0))</f>
        <v>0</v>
      </c>
      <c r="V301" s="9">
        <f>SUMIFS(#REF!,#REF!,
$A301,#REF!,
"&gt;="&amp;'Faturado mensal'!V$2,#REF!,
"&lt;"&amp;EOMONTH('Faturado mensal'!V$2,0))</f>
        <v>0</v>
      </c>
      <c r="W301" s="9">
        <f>SUMIFS(#REF!,#REF!,
$A301,#REF!,
"&gt;="&amp;'Faturado mensal'!W$2,#REF!,
"&lt;"&amp;EOMONTH('Faturado mensal'!W$2,0))</f>
        <v>0</v>
      </c>
      <c r="X301" s="9">
        <f>SUMIFS(#REF!,#REF!,
$A301,#REF!,
"&gt;="&amp;'Faturado mensal'!X$2,#REF!,
"&lt;"&amp;EOMONTH('Faturado mensal'!X$2,0))</f>
        <v>0</v>
      </c>
      <c r="Y301" s="11">
        <f>SUMIFS(#REF!,#REF!,
$A301,#REF!,
"&gt;="&amp;'Faturado mensal'!M$2,#REF!,
"&lt;"&amp;EOMONTH('Faturado mensal'!M$2,12))</f>
        <v>0</v>
      </c>
      <c r="Z301" s="9">
        <f>SUMIFS(#REF!,#REF!,
$A301,#REF!,
"&gt;="&amp;'Faturado mensal'!Z$2,#REF!,
"&lt;"&amp;EOMONTH('Faturado mensal'!Z$2,0))</f>
        <v>0</v>
      </c>
      <c r="AA301" s="9">
        <f>SUMIFS(#REF!,#REF!,
$A301,#REF!,
"&gt;="&amp;'Faturado mensal'!AA$2,#REF!,
"&lt;"&amp;EOMONTH('Faturado mensal'!AA$2,0))</f>
        <v>0</v>
      </c>
      <c r="AB301" s="9">
        <f>SUMIFS(#REF!,#REF!,
$A301,#REF!,
"&gt;="&amp;'Faturado mensal'!AB$2,#REF!,
"&lt;"&amp;EOMONTH('Faturado mensal'!AB$2,0))</f>
        <v>0</v>
      </c>
      <c r="AC301" s="9">
        <f>SUMIFS(#REF!,#REF!,
$A301,#REF!,
"&gt;="&amp;'Faturado mensal'!AC$2,#REF!,
"&lt;"&amp;EOMONTH('Faturado mensal'!AC$2,0))</f>
        <v>0</v>
      </c>
      <c r="AD301" s="9">
        <f>SUMIFS(#REF!,#REF!,
$A301,#REF!,
"&gt;="&amp;'Faturado mensal'!AD$2,#REF!,
"&lt;"&amp;EOMONTH('Faturado mensal'!AD$2,0))</f>
        <v>0</v>
      </c>
      <c r="AE301" s="9">
        <f>SUMIFS(#REF!,#REF!,
$A301,#REF!,
"&gt;="&amp;'Faturado mensal'!AE$2,#REF!,
"&lt;"&amp;EOMONTH('Faturado mensal'!AE$2,0))</f>
        <v>0</v>
      </c>
      <c r="AF301" s="9">
        <f>SUMIFS(#REF!,#REF!,
$A301,#REF!,
"&gt;="&amp;'Faturado mensal'!AF$2,#REF!,
"&lt;"&amp;EOMONTH('Faturado mensal'!AF$2,0))</f>
        <v>0</v>
      </c>
      <c r="AG301" s="9">
        <f>SUMIFS(#REF!,#REF!,
$A301,#REF!,
"&gt;="&amp;'Faturado mensal'!AG$2,#REF!,
"&lt;"&amp;EOMONTH('Faturado mensal'!AG$2,0))</f>
        <v>0</v>
      </c>
      <c r="AH301" s="9">
        <f>SUMIFS(#REF!,#REF!,
$A301,#REF!,
"&gt;="&amp;'Faturado mensal'!AH$2,#REF!,
"&lt;"&amp;EOMONTH('Faturado mensal'!AH$2,0))</f>
        <v>0</v>
      </c>
      <c r="AI301" s="9">
        <f>SUMIFS(#REF!,#REF!,
$A301,#REF!,
"&gt;="&amp;'Faturado mensal'!AI$2,#REF!,
"&lt;"&amp;EOMONTH('Faturado mensal'!AI$2,0))</f>
        <v>0</v>
      </c>
      <c r="AJ301" s="9">
        <f>SUMIFS(#REF!,#REF!,
$A301,#REF!,
"&gt;="&amp;'Faturado mensal'!AJ$2,#REF!,
"&lt;"&amp;EOMONTH('Faturado mensal'!AJ$2,0))</f>
        <v>0</v>
      </c>
      <c r="AK301" s="9">
        <f>SUMIFS(#REF!,#REF!,
$A301,#REF!,
"&gt;="&amp;'Faturado mensal'!AK$2,#REF!,
"&lt;"&amp;EOMONTH('Faturado mensal'!AK$2,0))</f>
        <v>0</v>
      </c>
      <c r="AL301" s="9">
        <f>SUMIFS(#REF!,#REF!,
$A301,#REF!,
"&gt;="&amp;Z$2,#REF!,
"&lt;"&amp;EOMONTH(AK$2,0))</f>
        <v>0</v>
      </c>
    </row>
    <row r="302" spans="1:38" x14ac:dyDescent="0.3">
      <c r="A302" t="s">
        <v>617</v>
      </c>
      <c r="B302" t="s">
        <v>618</v>
      </c>
      <c r="C302" t="s">
        <v>112</v>
      </c>
      <c r="D302" t="s">
        <v>204</v>
      </c>
      <c r="E302" t="s">
        <v>1036</v>
      </c>
      <c r="F302" t="s">
        <v>4776</v>
      </c>
      <c r="G302" t="s">
        <v>4853</v>
      </c>
      <c r="H302" t="s">
        <v>4771</v>
      </c>
      <c r="I302" t="s">
        <v>829</v>
      </c>
      <c r="J302" t="s">
        <v>818</v>
      </c>
      <c r="K302" t="s">
        <v>711</v>
      </c>
      <c r="L302" t="s">
        <v>712</v>
      </c>
      <c r="M302" s="9">
        <f>SUMIFS(#REF!,#REF!,
$A302,#REF!,
"&gt;="&amp;'Faturado mensal'!M$2,#REF!,
"&lt;"&amp;EOMONTH('Faturado mensal'!M$2,0))</f>
        <v>338.8</v>
      </c>
      <c r="N302" s="9">
        <f>SUMIFS(#REF!,#REF!,
$A302,#REF!,
"&gt;="&amp;'Faturado mensal'!N$2,#REF!,
"&lt;"&amp;EOMONTH('Faturado mensal'!N$2,0))</f>
        <v>214</v>
      </c>
      <c r="O302" s="9">
        <f>SUMIFS(#REF!,#REF!,
$A302,#REF!,
"&gt;="&amp;'Faturado mensal'!O$2,#REF!,
"&lt;"&amp;EOMONTH('Faturado mensal'!O$2,0))</f>
        <v>870.8</v>
      </c>
      <c r="P302" s="9">
        <f>SUMIFS(#REF!,#REF!,
$A302,#REF!,
"&gt;="&amp;'Faturado mensal'!P$2,#REF!,
"&lt;"&amp;EOMONTH('Faturado mensal'!P$2,0))</f>
        <v>1006.4</v>
      </c>
      <c r="Q302" s="9">
        <f>SUMIFS(#REF!,#REF!,
$A302,#REF!,
"&gt;="&amp;'Faturado mensal'!Q$2,#REF!,
"&lt;"&amp;EOMONTH('Faturado mensal'!Q$2,0))</f>
        <v>2308</v>
      </c>
      <c r="R302" s="9">
        <f>SUMIFS(#REF!,#REF!,
$A302,#REF!,
"&gt;="&amp;'Faturado mensal'!R$2,#REF!,
"&lt;"&amp;EOMONTH('Faturado mensal'!R$2,0))</f>
        <v>930</v>
      </c>
      <c r="S302" s="9">
        <f>SUMIFS(#REF!,#REF!,
$A302,#REF!,
"&gt;="&amp;'Faturado mensal'!S$2,#REF!,
"&lt;"&amp;EOMONTH('Faturado mensal'!S$2,0))</f>
        <v>1015</v>
      </c>
      <c r="T302" s="9">
        <f>SUMIFS(#REF!,#REF!,
$A302,#REF!,
"&gt;="&amp;'Faturado mensal'!T$2,#REF!,
"&lt;"&amp;EOMONTH('Faturado mensal'!T$2,0))</f>
        <v>2128</v>
      </c>
      <c r="U302" s="9">
        <f>SUMIFS(#REF!,#REF!,
$A302,#REF!,
"&gt;="&amp;'Faturado mensal'!U$2,#REF!,
"&lt;"&amp;EOMONTH('Faturado mensal'!U$2,0))</f>
        <v>1020</v>
      </c>
      <c r="V302" s="9">
        <f>SUMIFS(#REF!,#REF!,
$A302,#REF!,
"&gt;="&amp;'Faturado mensal'!V$2,#REF!,
"&lt;"&amp;EOMONTH('Faturado mensal'!V$2,0))</f>
        <v>713</v>
      </c>
      <c r="W302" s="9">
        <f>SUMIFS(#REF!,#REF!,
$A302,#REF!,
"&gt;="&amp;'Faturado mensal'!W$2,#REF!,
"&lt;"&amp;EOMONTH('Faturado mensal'!W$2,0))</f>
        <v>915</v>
      </c>
      <c r="X302" s="9">
        <f>SUMIFS(#REF!,#REF!,
$A302,#REF!,
"&gt;="&amp;'Faturado mensal'!X$2,#REF!,
"&lt;"&amp;EOMONTH('Faturado mensal'!X$2,0))</f>
        <v>830</v>
      </c>
      <c r="Y302" s="11">
        <f>SUMIFS(#REF!,#REF!,
$A302,#REF!,
"&gt;="&amp;'Faturado mensal'!M$2,#REF!,
"&lt;"&amp;EOMONTH('Faturado mensal'!M$2,12))</f>
        <v>12289</v>
      </c>
      <c r="Z302" s="9">
        <f>SUMIFS(#REF!,#REF!,
$A302,#REF!,
"&gt;="&amp;'Faturado mensal'!Z$2,#REF!,
"&lt;"&amp;EOMONTH('Faturado mensal'!Z$2,0))</f>
        <v>0</v>
      </c>
      <c r="AA302" s="9">
        <f>SUMIFS(#REF!,#REF!,
$A302,#REF!,
"&gt;="&amp;'Faturado mensal'!AA$2,#REF!,
"&lt;"&amp;EOMONTH('Faturado mensal'!AA$2,0))</f>
        <v>1280</v>
      </c>
      <c r="AB302" s="9">
        <f>SUMIFS(#REF!,#REF!,
$A302,#REF!,
"&gt;="&amp;'Faturado mensal'!AB$2,#REF!,
"&lt;"&amp;EOMONTH('Faturado mensal'!AB$2,0))</f>
        <v>790</v>
      </c>
      <c r="AC302" s="9">
        <f>SUMIFS(#REF!,#REF!,
$A302,#REF!,
"&gt;="&amp;'Faturado mensal'!AC$2,#REF!,
"&lt;"&amp;EOMONTH('Faturado mensal'!AC$2,0))</f>
        <v>1450</v>
      </c>
      <c r="AD302" s="9">
        <f>SUMIFS(#REF!,#REF!,
$A302,#REF!,
"&gt;="&amp;'Faturado mensal'!AD$2,#REF!,
"&lt;"&amp;EOMONTH('Faturado mensal'!AD$2,0))</f>
        <v>575</v>
      </c>
      <c r="AE302" s="9">
        <f>SUMIFS(#REF!,#REF!,
$A302,#REF!,
"&gt;="&amp;'Faturado mensal'!AE$2,#REF!,
"&lt;"&amp;EOMONTH('Faturado mensal'!AE$2,0))</f>
        <v>1205</v>
      </c>
      <c r="AF302" s="9">
        <f>SUMIFS(#REF!,#REF!,
$A302,#REF!,
"&gt;="&amp;'Faturado mensal'!AF$2,#REF!,
"&lt;"&amp;EOMONTH('Faturado mensal'!AF$2,0))</f>
        <v>0</v>
      </c>
      <c r="AG302" s="9">
        <f>SUMIFS(#REF!,#REF!,
$A302,#REF!,
"&gt;="&amp;'Faturado mensal'!AG$2,#REF!,
"&lt;"&amp;EOMONTH('Faturado mensal'!AG$2,0))</f>
        <v>0</v>
      </c>
      <c r="AH302" s="9">
        <f>SUMIFS(#REF!,#REF!,
$A302,#REF!,
"&gt;="&amp;'Faturado mensal'!AH$2,#REF!,
"&lt;"&amp;EOMONTH('Faturado mensal'!AH$2,0))</f>
        <v>0</v>
      </c>
      <c r="AI302" s="9">
        <f>SUMIFS(#REF!,#REF!,
$A302,#REF!,
"&gt;="&amp;'Faturado mensal'!AI$2,#REF!,
"&lt;"&amp;EOMONTH('Faturado mensal'!AI$2,0))</f>
        <v>0</v>
      </c>
      <c r="AJ302" s="9">
        <f>SUMIFS(#REF!,#REF!,
$A302,#REF!,
"&gt;="&amp;'Faturado mensal'!AJ$2,#REF!,
"&lt;"&amp;EOMONTH('Faturado mensal'!AJ$2,0))</f>
        <v>0</v>
      </c>
      <c r="AK302" s="9">
        <f>SUMIFS(#REF!,#REF!,
$A302,#REF!,
"&gt;="&amp;'Faturado mensal'!AK$2,#REF!,
"&lt;"&amp;EOMONTH('Faturado mensal'!AK$2,0))</f>
        <v>0</v>
      </c>
      <c r="AL302" s="9">
        <f>SUMIFS(#REF!,#REF!,
$A302,#REF!,
"&gt;="&amp;Z$2,#REF!,
"&lt;"&amp;EOMONTH(AK$2,0))</f>
        <v>5300</v>
      </c>
    </row>
    <row r="303" spans="1:38" x14ac:dyDescent="0.3">
      <c r="A303" t="s">
        <v>966</v>
      </c>
      <c r="B303" t="s">
        <v>967</v>
      </c>
      <c r="C303" t="s">
        <v>968</v>
      </c>
      <c r="D303" t="s">
        <v>209</v>
      </c>
      <c r="G303" t="s">
        <v>4856</v>
      </c>
      <c r="H303" t="s">
        <v>4772</v>
      </c>
      <c r="I303" t="s">
        <v>969</v>
      </c>
      <c r="J303" t="s">
        <v>818</v>
      </c>
      <c r="K303" t="s">
        <v>748</v>
      </c>
      <c r="L303" t="s">
        <v>749</v>
      </c>
      <c r="M303" s="9">
        <f>SUMIFS(#REF!,#REF!,
$A303,#REF!,
"&gt;="&amp;'Faturado mensal'!M$2,#REF!,
"&lt;"&amp;EOMONTH('Faturado mensal'!M$2,0))</f>
        <v>0</v>
      </c>
      <c r="N303" s="9">
        <f>SUMIFS(#REF!,#REF!,
$A303,#REF!,
"&gt;="&amp;'Faturado mensal'!N$2,#REF!,
"&lt;"&amp;EOMONTH('Faturado mensal'!N$2,0))</f>
        <v>0</v>
      </c>
      <c r="O303" s="9">
        <f>SUMIFS(#REF!,#REF!,
$A303,#REF!,
"&gt;="&amp;'Faturado mensal'!O$2,#REF!,
"&lt;"&amp;EOMONTH('Faturado mensal'!O$2,0))</f>
        <v>0</v>
      </c>
      <c r="P303" s="9">
        <f>SUMIFS(#REF!,#REF!,
$A303,#REF!,
"&gt;="&amp;'Faturado mensal'!P$2,#REF!,
"&lt;"&amp;EOMONTH('Faturado mensal'!P$2,0))</f>
        <v>0</v>
      </c>
      <c r="Q303" s="9">
        <f>SUMIFS(#REF!,#REF!,
$A303,#REF!,
"&gt;="&amp;'Faturado mensal'!Q$2,#REF!,
"&lt;"&amp;EOMONTH('Faturado mensal'!Q$2,0))</f>
        <v>0</v>
      </c>
      <c r="R303" s="9">
        <f>SUMIFS(#REF!,#REF!,
$A303,#REF!,
"&gt;="&amp;'Faturado mensal'!R$2,#REF!,
"&lt;"&amp;EOMONTH('Faturado mensal'!R$2,0))</f>
        <v>0</v>
      </c>
      <c r="S303" s="9">
        <f>SUMIFS(#REF!,#REF!,
$A303,#REF!,
"&gt;="&amp;'Faturado mensal'!S$2,#REF!,
"&lt;"&amp;EOMONTH('Faturado mensal'!S$2,0))</f>
        <v>0</v>
      </c>
      <c r="T303" s="9">
        <f>SUMIFS(#REF!,#REF!,
$A303,#REF!,
"&gt;="&amp;'Faturado mensal'!T$2,#REF!,
"&lt;"&amp;EOMONTH('Faturado mensal'!T$2,0))</f>
        <v>0</v>
      </c>
      <c r="U303" s="9">
        <f>SUMIFS(#REF!,#REF!,
$A303,#REF!,
"&gt;="&amp;'Faturado mensal'!U$2,#REF!,
"&lt;"&amp;EOMONTH('Faturado mensal'!U$2,0))</f>
        <v>0</v>
      </c>
      <c r="V303" s="9">
        <f>SUMIFS(#REF!,#REF!,
$A303,#REF!,
"&gt;="&amp;'Faturado mensal'!V$2,#REF!,
"&lt;"&amp;EOMONTH('Faturado mensal'!V$2,0))</f>
        <v>0</v>
      </c>
      <c r="W303" s="9">
        <f>SUMIFS(#REF!,#REF!,
$A303,#REF!,
"&gt;="&amp;'Faturado mensal'!W$2,#REF!,
"&lt;"&amp;EOMONTH('Faturado mensal'!W$2,0))</f>
        <v>0</v>
      </c>
      <c r="X303" s="9">
        <f>SUMIFS(#REF!,#REF!,
$A303,#REF!,
"&gt;="&amp;'Faturado mensal'!X$2,#REF!,
"&lt;"&amp;EOMONTH('Faturado mensal'!X$2,0))</f>
        <v>0</v>
      </c>
      <c r="Y303" s="11">
        <f>SUMIFS(#REF!,#REF!,
$A303,#REF!,
"&gt;="&amp;'Faturado mensal'!M$2,#REF!,
"&lt;"&amp;EOMONTH('Faturado mensal'!M$2,12))</f>
        <v>0</v>
      </c>
      <c r="Z303" s="9">
        <f>SUMIFS(#REF!,#REF!,
$A303,#REF!,
"&gt;="&amp;'Faturado mensal'!Z$2,#REF!,
"&lt;"&amp;EOMONTH('Faturado mensal'!Z$2,0))</f>
        <v>0</v>
      </c>
      <c r="AA303" s="9">
        <f>SUMIFS(#REF!,#REF!,
$A303,#REF!,
"&gt;="&amp;'Faturado mensal'!AA$2,#REF!,
"&lt;"&amp;EOMONTH('Faturado mensal'!AA$2,0))</f>
        <v>0</v>
      </c>
      <c r="AB303" s="9">
        <f>SUMIFS(#REF!,#REF!,
$A303,#REF!,
"&gt;="&amp;'Faturado mensal'!AB$2,#REF!,
"&lt;"&amp;EOMONTH('Faturado mensal'!AB$2,0))</f>
        <v>0</v>
      </c>
      <c r="AC303" s="9">
        <f>SUMIFS(#REF!,#REF!,
$A303,#REF!,
"&gt;="&amp;'Faturado mensal'!AC$2,#REF!,
"&lt;"&amp;EOMONTH('Faturado mensal'!AC$2,0))</f>
        <v>0</v>
      </c>
      <c r="AD303" s="9">
        <f>SUMIFS(#REF!,#REF!,
$A303,#REF!,
"&gt;="&amp;'Faturado mensal'!AD$2,#REF!,
"&lt;"&amp;EOMONTH('Faturado mensal'!AD$2,0))</f>
        <v>0</v>
      </c>
      <c r="AE303" s="9">
        <f>SUMIFS(#REF!,#REF!,
$A303,#REF!,
"&gt;="&amp;'Faturado mensal'!AE$2,#REF!,
"&lt;"&amp;EOMONTH('Faturado mensal'!AE$2,0))</f>
        <v>0</v>
      </c>
      <c r="AF303" s="9">
        <f>SUMIFS(#REF!,#REF!,
$A303,#REF!,
"&gt;="&amp;'Faturado mensal'!AF$2,#REF!,
"&lt;"&amp;EOMONTH('Faturado mensal'!AF$2,0))</f>
        <v>0</v>
      </c>
      <c r="AG303" s="9">
        <f>SUMIFS(#REF!,#REF!,
$A303,#REF!,
"&gt;="&amp;'Faturado mensal'!AG$2,#REF!,
"&lt;"&amp;EOMONTH('Faturado mensal'!AG$2,0))</f>
        <v>0</v>
      </c>
      <c r="AH303" s="9">
        <f>SUMIFS(#REF!,#REF!,
$A303,#REF!,
"&gt;="&amp;'Faturado mensal'!AH$2,#REF!,
"&lt;"&amp;EOMONTH('Faturado mensal'!AH$2,0))</f>
        <v>0</v>
      </c>
      <c r="AI303" s="9">
        <f>SUMIFS(#REF!,#REF!,
$A303,#REF!,
"&gt;="&amp;'Faturado mensal'!AI$2,#REF!,
"&lt;"&amp;EOMONTH('Faturado mensal'!AI$2,0))</f>
        <v>0</v>
      </c>
      <c r="AJ303" s="9">
        <f>SUMIFS(#REF!,#REF!,
$A303,#REF!,
"&gt;="&amp;'Faturado mensal'!AJ$2,#REF!,
"&lt;"&amp;EOMONTH('Faturado mensal'!AJ$2,0))</f>
        <v>0</v>
      </c>
      <c r="AK303" s="9">
        <f>SUMIFS(#REF!,#REF!,
$A303,#REF!,
"&gt;="&amp;'Faturado mensal'!AK$2,#REF!,
"&lt;"&amp;EOMONTH('Faturado mensal'!AK$2,0))</f>
        <v>0</v>
      </c>
      <c r="AL303" s="9">
        <f>SUMIFS(#REF!,#REF!,
$A303,#REF!,
"&gt;="&amp;Z$2,#REF!,
"&lt;"&amp;EOMONTH(AK$2,0))</f>
        <v>0</v>
      </c>
    </row>
    <row r="304" spans="1:38" x14ac:dyDescent="0.3">
      <c r="A304" t="s">
        <v>619</v>
      </c>
      <c r="B304" t="s">
        <v>620</v>
      </c>
      <c r="C304" t="s">
        <v>146</v>
      </c>
      <c r="D304" t="s">
        <v>209</v>
      </c>
      <c r="G304" t="s">
        <v>4853</v>
      </c>
      <c r="H304" t="s">
        <v>4773</v>
      </c>
      <c r="I304" t="s">
        <v>970</v>
      </c>
      <c r="J304" t="s">
        <v>710</v>
      </c>
      <c r="K304" t="s">
        <v>711</v>
      </c>
      <c r="L304" t="s">
        <v>712</v>
      </c>
      <c r="M304" s="9">
        <f>SUMIFS(#REF!,#REF!,
$A304,#REF!,
"&gt;="&amp;'Faturado mensal'!M$2,#REF!,
"&lt;"&amp;EOMONTH('Faturado mensal'!M$2,0))</f>
        <v>24588.65</v>
      </c>
      <c r="N304" s="9">
        <f>SUMIFS(#REF!,#REF!,
$A304,#REF!,
"&gt;="&amp;'Faturado mensal'!N$2,#REF!,
"&lt;"&amp;EOMONTH('Faturado mensal'!N$2,0))</f>
        <v>0</v>
      </c>
      <c r="O304" s="9">
        <f>SUMIFS(#REF!,#REF!,
$A304,#REF!,
"&gt;="&amp;'Faturado mensal'!O$2,#REF!,
"&lt;"&amp;EOMONTH('Faturado mensal'!O$2,0))</f>
        <v>0</v>
      </c>
      <c r="P304" s="9">
        <f>SUMIFS(#REF!,#REF!,
$A304,#REF!,
"&gt;="&amp;'Faturado mensal'!P$2,#REF!,
"&lt;"&amp;EOMONTH('Faturado mensal'!P$2,0))</f>
        <v>0</v>
      </c>
      <c r="Q304" s="9">
        <f>SUMIFS(#REF!,#REF!,
$A304,#REF!,
"&gt;="&amp;'Faturado mensal'!Q$2,#REF!,
"&lt;"&amp;EOMONTH('Faturado mensal'!Q$2,0))</f>
        <v>0</v>
      </c>
      <c r="R304" s="9">
        <f>SUMIFS(#REF!,#REF!,
$A304,#REF!,
"&gt;="&amp;'Faturado mensal'!R$2,#REF!,
"&lt;"&amp;EOMONTH('Faturado mensal'!R$2,0))</f>
        <v>0</v>
      </c>
      <c r="S304" s="9">
        <f>SUMIFS(#REF!,#REF!,
$A304,#REF!,
"&gt;="&amp;'Faturado mensal'!S$2,#REF!,
"&lt;"&amp;EOMONTH('Faturado mensal'!S$2,0))</f>
        <v>0</v>
      </c>
      <c r="T304" s="9">
        <f>SUMIFS(#REF!,#REF!,
$A304,#REF!,
"&gt;="&amp;'Faturado mensal'!T$2,#REF!,
"&lt;"&amp;EOMONTH('Faturado mensal'!T$2,0))</f>
        <v>0</v>
      </c>
      <c r="U304" s="9">
        <f>SUMIFS(#REF!,#REF!,
$A304,#REF!,
"&gt;="&amp;'Faturado mensal'!U$2,#REF!,
"&lt;"&amp;EOMONTH('Faturado mensal'!U$2,0))</f>
        <v>0</v>
      </c>
      <c r="V304" s="9">
        <f>SUMIFS(#REF!,#REF!,
$A304,#REF!,
"&gt;="&amp;'Faturado mensal'!V$2,#REF!,
"&lt;"&amp;EOMONTH('Faturado mensal'!V$2,0))</f>
        <v>0</v>
      </c>
      <c r="W304" s="9">
        <f>SUMIFS(#REF!,#REF!,
$A304,#REF!,
"&gt;="&amp;'Faturado mensal'!W$2,#REF!,
"&lt;"&amp;EOMONTH('Faturado mensal'!W$2,0))</f>
        <v>0</v>
      </c>
      <c r="X304" s="9">
        <f>SUMIFS(#REF!,#REF!,
$A304,#REF!,
"&gt;="&amp;'Faturado mensal'!X$2,#REF!,
"&lt;"&amp;EOMONTH('Faturado mensal'!X$2,0))</f>
        <v>0</v>
      </c>
      <c r="Y304" s="11">
        <f>SUMIFS(#REF!,#REF!,
$A304,#REF!,
"&gt;="&amp;'Faturado mensal'!M$2,#REF!,
"&lt;"&amp;EOMONTH('Faturado mensal'!M$2,12))</f>
        <v>24588.65</v>
      </c>
      <c r="Z304" s="9">
        <f>SUMIFS(#REF!,#REF!,
$A304,#REF!,
"&gt;="&amp;'Faturado mensal'!Z$2,#REF!,
"&lt;"&amp;EOMONTH('Faturado mensal'!Z$2,0))</f>
        <v>0</v>
      </c>
      <c r="AA304" s="9">
        <f>SUMIFS(#REF!,#REF!,
$A304,#REF!,
"&gt;="&amp;'Faturado mensal'!AA$2,#REF!,
"&lt;"&amp;EOMONTH('Faturado mensal'!AA$2,0))</f>
        <v>0</v>
      </c>
      <c r="AB304" s="9">
        <f>SUMIFS(#REF!,#REF!,
$A304,#REF!,
"&gt;="&amp;'Faturado mensal'!AB$2,#REF!,
"&lt;"&amp;EOMONTH('Faturado mensal'!AB$2,0))</f>
        <v>0</v>
      </c>
      <c r="AC304" s="9">
        <f>SUMIFS(#REF!,#REF!,
$A304,#REF!,
"&gt;="&amp;'Faturado mensal'!AC$2,#REF!,
"&lt;"&amp;EOMONTH('Faturado mensal'!AC$2,0))</f>
        <v>0</v>
      </c>
      <c r="AD304" s="9">
        <f>SUMIFS(#REF!,#REF!,
$A304,#REF!,
"&gt;="&amp;'Faturado mensal'!AD$2,#REF!,
"&lt;"&amp;EOMONTH('Faturado mensal'!AD$2,0))</f>
        <v>0</v>
      </c>
      <c r="AE304" s="9">
        <f>SUMIFS(#REF!,#REF!,
$A304,#REF!,
"&gt;="&amp;'Faturado mensal'!AE$2,#REF!,
"&lt;"&amp;EOMONTH('Faturado mensal'!AE$2,0))</f>
        <v>0</v>
      </c>
      <c r="AF304" s="9">
        <f>SUMIFS(#REF!,#REF!,
$A304,#REF!,
"&gt;="&amp;'Faturado mensal'!AF$2,#REF!,
"&lt;"&amp;EOMONTH('Faturado mensal'!AF$2,0))</f>
        <v>0</v>
      </c>
      <c r="AG304" s="9">
        <f>SUMIFS(#REF!,#REF!,
$A304,#REF!,
"&gt;="&amp;'Faturado mensal'!AG$2,#REF!,
"&lt;"&amp;EOMONTH('Faturado mensal'!AG$2,0))</f>
        <v>0</v>
      </c>
      <c r="AH304" s="9">
        <f>SUMIFS(#REF!,#REF!,
$A304,#REF!,
"&gt;="&amp;'Faturado mensal'!AH$2,#REF!,
"&lt;"&amp;EOMONTH('Faturado mensal'!AH$2,0))</f>
        <v>0</v>
      </c>
      <c r="AI304" s="9">
        <f>SUMIFS(#REF!,#REF!,
$A304,#REF!,
"&gt;="&amp;'Faturado mensal'!AI$2,#REF!,
"&lt;"&amp;EOMONTH('Faturado mensal'!AI$2,0))</f>
        <v>0</v>
      </c>
      <c r="AJ304" s="9">
        <f>SUMIFS(#REF!,#REF!,
$A304,#REF!,
"&gt;="&amp;'Faturado mensal'!AJ$2,#REF!,
"&lt;"&amp;EOMONTH('Faturado mensal'!AJ$2,0))</f>
        <v>0</v>
      </c>
      <c r="AK304" s="9">
        <f>SUMIFS(#REF!,#REF!,
$A304,#REF!,
"&gt;="&amp;'Faturado mensal'!AK$2,#REF!,
"&lt;"&amp;EOMONTH('Faturado mensal'!AK$2,0))</f>
        <v>0</v>
      </c>
      <c r="AL304" s="9">
        <f>SUMIFS(#REF!,#REF!,
$A304,#REF!,
"&gt;="&amp;Z$2,#REF!,
"&lt;"&amp;EOMONTH(AK$2,0))</f>
        <v>0</v>
      </c>
    </row>
    <row r="305" spans="1:38" x14ac:dyDescent="0.3">
      <c r="A305" t="s">
        <v>621</v>
      </c>
      <c r="B305" t="s">
        <v>616</v>
      </c>
      <c r="C305" t="s">
        <v>152</v>
      </c>
      <c r="D305" t="s">
        <v>204</v>
      </c>
      <c r="E305" t="s">
        <v>4832</v>
      </c>
      <c r="F305" t="s">
        <v>4796</v>
      </c>
      <c r="G305" t="s">
        <v>4845</v>
      </c>
      <c r="H305" t="s">
        <v>4772</v>
      </c>
      <c r="I305" t="s">
        <v>165</v>
      </c>
      <c r="J305" t="s">
        <v>710</v>
      </c>
      <c r="K305" t="s">
        <v>711</v>
      </c>
      <c r="L305" t="s">
        <v>712</v>
      </c>
      <c r="M305" s="9">
        <f>SUMIFS(#REF!,#REF!,
$A305,#REF!,
"&gt;="&amp;'Faturado mensal'!M$2,#REF!,
"&lt;"&amp;EOMONTH('Faturado mensal'!M$2,0))</f>
        <v>0</v>
      </c>
      <c r="N305" s="9">
        <f>SUMIFS(#REF!,#REF!,
$A305,#REF!,
"&gt;="&amp;'Faturado mensal'!N$2,#REF!,
"&lt;"&amp;EOMONTH('Faturado mensal'!N$2,0))</f>
        <v>147971.05000000002</v>
      </c>
      <c r="O305" s="9">
        <f>SUMIFS(#REF!,#REF!,
$A305,#REF!,
"&gt;="&amp;'Faturado mensal'!O$2,#REF!,
"&lt;"&amp;EOMONTH('Faturado mensal'!O$2,0))</f>
        <v>0</v>
      </c>
      <c r="P305" s="9">
        <f>SUMIFS(#REF!,#REF!,
$A305,#REF!,
"&gt;="&amp;'Faturado mensal'!P$2,#REF!,
"&lt;"&amp;EOMONTH('Faturado mensal'!P$2,0))</f>
        <v>67259.55</v>
      </c>
      <c r="Q305" s="9">
        <f>SUMIFS(#REF!,#REF!,
$A305,#REF!,
"&gt;="&amp;'Faturado mensal'!Q$2,#REF!,
"&lt;"&amp;EOMONTH('Faturado mensal'!Q$2,0))</f>
        <v>0</v>
      </c>
      <c r="R305" s="9">
        <f>SUMIFS(#REF!,#REF!,
$A305,#REF!,
"&gt;="&amp;'Faturado mensal'!R$2,#REF!,
"&lt;"&amp;EOMONTH('Faturado mensal'!R$2,0))</f>
        <v>201778.65000000002</v>
      </c>
      <c r="S305" s="9">
        <f>SUMIFS(#REF!,#REF!,
$A305,#REF!,
"&gt;="&amp;'Faturado mensal'!S$2,#REF!,
"&lt;"&amp;EOMONTH('Faturado mensal'!S$2,0))</f>
        <v>0</v>
      </c>
      <c r="T305" s="9">
        <f>SUMIFS(#REF!,#REF!,
$A305,#REF!,
"&gt;="&amp;'Faturado mensal'!T$2,#REF!,
"&lt;"&amp;EOMONTH('Faturado mensal'!T$2,0))</f>
        <v>134519.1</v>
      </c>
      <c r="U305" s="9">
        <f>SUMIFS(#REF!,#REF!,
$A305,#REF!,
"&gt;="&amp;'Faturado mensal'!U$2,#REF!,
"&lt;"&amp;EOMONTH('Faturado mensal'!U$2,0))</f>
        <v>67259.55</v>
      </c>
      <c r="V305" s="9">
        <f>SUMIFS(#REF!,#REF!,
$A305,#REF!,
"&gt;="&amp;'Faturado mensal'!V$2,#REF!,
"&lt;"&amp;EOMONTH('Faturado mensal'!V$2,0))</f>
        <v>67259.55</v>
      </c>
      <c r="W305" s="9">
        <f>SUMIFS(#REF!,#REF!,
$A305,#REF!,
"&gt;="&amp;'Faturado mensal'!W$2,#REF!,
"&lt;"&amp;EOMONTH('Faturado mensal'!W$2,0))</f>
        <v>0</v>
      </c>
      <c r="X305" s="9">
        <f>SUMIFS(#REF!,#REF!,
$A305,#REF!,
"&gt;="&amp;'Faturado mensal'!X$2,#REF!,
"&lt;"&amp;EOMONTH('Faturado mensal'!X$2,0))</f>
        <v>67259.55</v>
      </c>
      <c r="Y305" s="11">
        <f>SUMIFS(#REF!,#REF!,
$A305,#REF!,
"&gt;="&amp;'Faturado mensal'!M$2,#REF!,
"&lt;"&amp;EOMONTH('Faturado mensal'!M$2,12))</f>
        <v>820566.55000000016</v>
      </c>
      <c r="Z305" s="9">
        <f>SUMIFS(#REF!,#REF!,
$A305,#REF!,
"&gt;="&amp;'Faturado mensal'!Z$2,#REF!,
"&lt;"&amp;EOMONTH('Faturado mensal'!Z$2,0))</f>
        <v>67259.55</v>
      </c>
      <c r="AA305" s="9">
        <f>SUMIFS(#REF!,#REF!,
$A305,#REF!,
"&gt;="&amp;'Faturado mensal'!AA$2,#REF!,
"&lt;"&amp;EOMONTH('Faturado mensal'!AA$2,0))</f>
        <v>134519.1</v>
      </c>
      <c r="AB305" s="9">
        <f>SUMIFS(#REF!,#REF!,
$A305,#REF!,
"&gt;="&amp;'Faturado mensal'!AB$2,#REF!,
"&lt;"&amp;EOMONTH('Faturado mensal'!AB$2,0))</f>
        <v>0</v>
      </c>
      <c r="AC305" s="9">
        <f>SUMIFS(#REF!,#REF!,
$A305,#REF!,
"&gt;="&amp;'Faturado mensal'!AC$2,#REF!,
"&lt;"&amp;EOMONTH('Faturado mensal'!AC$2,0))</f>
        <v>130050.9</v>
      </c>
      <c r="AD305" s="9">
        <f>SUMIFS(#REF!,#REF!,
$A305,#REF!,
"&gt;="&amp;'Faturado mensal'!AD$2,#REF!,
"&lt;"&amp;EOMONTH('Faturado mensal'!AD$2,0))</f>
        <v>0</v>
      </c>
      <c r="AE305" s="9">
        <f>SUMIFS(#REF!,#REF!,
$A305,#REF!,
"&gt;="&amp;'Faturado mensal'!AE$2,#REF!,
"&lt;"&amp;EOMONTH('Faturado mensal'!AE$2,0))</f>
        <v>113656.22</v>
      </c>
      <c r="AF305" s="9">
        <f>SUMIFS(#REF!,#REF!,
$A305,#REF!,
"&gt;="&amp;'Faturado mensal'!AF$2,#REF!,
"&lt;"&amp;EOMONTH('Faturado mensal'!AF$2,0))</f>
        <v>0</v>
      </c>
      <c r="AG305" s="9">
        <f>SUMIFS(#REF!,#REF!,
$A305,#REF!,
"&gt;="&amp;'Faturado mensal'!AG$2,#REF!,
"&lt;"&amp;EOMONTH('Faturado mensal'!AG$2,0))</f>
        <v>0</v>
      </c>
      <c r="AH305" s="9">
        <f>SUMIFS(#REF!,#REF!,
$A305,#REF!,
"&gt;="&amp;'Faturado mensal'!AH$2,#REF!,
"&lt;"&amp;EOMONTH('Faturado mensal'!AH$2,0))</f>
        <v>0</v>
      </c>
      <c r="AI305" s="9">
        <f>SUMIFS(#REF!,#REF!,
$A305,#REF!,
"&gt;="&amp;'Faturado mensal'!AI$2,#REF!,
"&lt;"&amp;EOMONTH('Faturado mensal'!AI$2,0))</f>
        <v>0</v>
      </c>
      <c r="AJ305" s="9">
        <f>SUMIFS(#REF!,#REF!,
$A305,#REF!,
"&gt;="&amp;'Faturado mensal'!AJ$2,#REF!,
"&lt;"&amp;EOMONTH('Faturado mensal'!AJ$2,0))</f>
        <v>0</v>
      </c>
      <c r="AK305" s="9">
        <f>SUMIFS(#REF!,#REF!,
$A305,#REF!,
"&gt;="&amp;'Faturado mensal'!AK$2,#REF!,
"&lt;"&amp;EOMONTH('Faturado mensal'!AK$2,0))</f>
        <v>0</v>
      </c>
      <c r="AL305" s="9">
        <f>SUMIFS(#REF!,#REF!,
$A305,#REF!,
"&gt;="&amp;Z$2,#REF!,
"&lt;"&amp;EOMONTH(AK$2,0))</f>
        <v>445485.77</v>
      </c>
    </row>
    <row r="306" spans="1:38" x14ac:dyDescent="0.3">
      <c r="A306" t="s">
        <v>622</v>
      </c>
      <c r="B306" t="s">
        <v>616</v>
      </c>
      <c r="C306" t="s">
        <v>152</v>
      </c>
      <c r="D306" t="s">
        <v>204</v>
      </c>
      <c r="E306" t="s">
        <v>4832</v>
      </c>
      <c r="F306" t="s">
        <v>4796</v>
      </c>
      <c r="G306" t="s">
        <v>4845</v>
      </c>
      <c r="H306" t="s">
        <v>4772</v>
      </c>
      <c r="I306" t="s">
        <v>165</v>
      </c>
      <c r="J306" t="s">
        <v>710</v>
      </c>
      <c r="K306" t="s">
        <v>748</v>
      </c>
      <c r="L306" t="s">
        <v>749</v>
      </c>
      <c r="M306" s="9">
        <f>SUMIFS(#REF!,#REF!,
$A306,#REF!,
"&gt;="&amp;'Faturado mensal'!M$2,#REF!,
"&lt;"&amp;EOMONTH('Faturado mensal'!M$2,0))</f>
        <v>34321.19</v>
      </c>
      <c r="N306" s="9">
        <f>SUMIFS(#REF!,#REF!,
$A306,#REF!,
"&gt;="&amp;'Faturado mensal'!N$2,#REF!,
"&lt;"&amp;EOMONTH('Faturado mensal'!N$2,0))</f>
        <v>28600.99</v>
      </c>
      <c r="O306" s="9">
        <f>SUMIFS(#REF!,#REF!,
$A306,#REF!,
"&gt;="&amp;'Faturado mensal'!O$2,#REF!,
"&lt;"&amp;EOMONTH('Faturado mensal'!O$2,0))</f>
        <v>28600.99</v>
      </c>
      <c r="P306" s="9">
        <f>SUMIFS(#REF!,#REF!,
$A306,#REF!,
"&gt;="&amp;'Faturado mensal'!P$2,#REF!,
"&lt;"&amp;EOMONTH('Faturado mensal'!P$2,0))</f>
        <v>28600.99</v>
      </c>
      <c r="Q306" s="9">
        <f>SUMIFS(#REF!,#REF!,
$A306,#REF!,
"&gt;="&amp;'Faturado mensal'!Q$2,#REF!,
"&lt;"&amp;EOMONTH('Faturado mensal'!Q$2,0))</f>
        <v>28600.99</v>
      </c>
      <c r="R306" s="9">
        <f>SUMIFS(#REF!,#REF!,
$A306,#REF!,
"&gt;="&amp;'Faturado mensal'!R$2,#REF!,
"&lt;"&amp;EOMONTH('Faturado mensal'!R$2,0))</f>
        <v>28600.99</v>
      </c>
      <c r="S306" s="9">
        <f>SUMIFS(#REF!,#REF!,
$A306,#REF!,
"&gt;="&amp;'Faturado mensal'!S$2,#REF!,
"&lt;"&amp;EOMONTH('Faturado mensal'!S$2,0))</f>
        <v>28600.99</v>
      </c>
      <c r="T306" s="9">
        <f>SUMIFS(#REF!,#REF!,
$A306,#REF!,
"&gt;="&amp;'Faturado mensal'!T$2,#REF!,
"&lt;"&amp;EOMONTH('Faturado mensal'!T$2,0))</f>
        <v>28600.99</v>
      </c>
      <c r="U306" s="9">
        <f>SUMIFS(#REF!,#REF!,
$A306,#REF!,
"&gt;="&amp;'Faturado mensal'!U$2,#REF!,
"&lt;"&amp;EOMONTH('Faturado mensal'!U$2,0))</f>
        <v>28600.99</v>
      </c>
      <c r="V306" s="9">
        <f>SUMIFS(#REF!,#REF!,
$A306,#REF!,
"&gt;="&amp;'Faturado mensal'!V$2,#REF!,
"&lt;"&amp;EOMONTH('Faturado mensal'!V$2,0))</f>
        <v>28600.99</v>
      </c>
      <c r="W306" s="9">
        <f>SUMIFS(#REF!,#REF!,
$A306,#REF!,
"&gt;="&amp;'Faturado mensal'!W$2,#REF!,
"&lt;"&amp;EOMONTH('Faturado mensal'!W$2,0))</f>
        <v>28600.99</v>
      </c>
      <c r="X306" s="9">
        <f>SUMIFS(#REF!,#REF!,
$A306,#REF!,
"&gt;="&amp;'Faturado mensal'!X$2,#REF!,
"&lt;"&amp;EOMONTH('Faturado mensal'!X$2,0))</f>
        <v>28600.99</v>
      </c>
      <c r="Y306" s="11">
        <f>SUMIFS(#REF!,#REF!,
$A306,#REF!,
"&gt;="&amp;'Faturado mensal'!M$2,#REF!,
"&lt;"&amp;EOMONTH('Faturado mensal'!M$2,12))</f>
        <v>377533.06999999995</v>
      </c>
      <c r="Z306" s="9">
        <f>SUMIFS(#REF!,#REF!,
$A306,#REF!,
"&gt;="&amp;'Faturado mensal'!Z$2,#REF!,
"&lt;"&amp;EOMONTH('Faturado mensal'!Z$2,0))</f>
        <v>28600.99</v>
      </c>
      <c r="AA306" s="9">
        <f>SUMIFS(#REF!,#REF!,
$A306,#REF!,
"&gt;="&amp;'Faturado mensal'!AA$2,#REF!,
"&lt;"&amp;EOMONTH('Faturado mensal'!AA$2,0))</f>
        <v>28600.99</v>
      </c>
      <c r="AB306" s="9">
        <f>SUMIFS(#REF!,#REF!,
$A306,#REF!,
"&gt;="&amp;'Faturado mensal'!AB$2,#REF!,
"&lt;"&amp;EOMONTH('Faturado mensal'!AB$2,0))</f>
        <v>28600.99</v>
      </c>
      <c r="AC306" s="9">
        <f>SUMIFS(#REF!,#REF!,
$A306,#REF!,
"&gt;="&amp;'Faturado mensal'!AC$2,#REF!,
"&lt;"&amp;EOMONTH('Faturado mensal'!AC$2,0))</f>
        <v>28600.99</v>
      </c>
      <c r="AD306" s="9">
        <f>SUMIFS(#REF!,#REF!,
$A306,#REF!,
"&gt;="&amp;'Faturado mensal'!AD$2,#REF!,
"&lt;"&amp;EOMONTH('Faturado mensal'!AD$2,0))</f>
        <v>28600.99</v>
      </c>
      <c r="AE306" s="9">
        <f>SUMIFS(#REF!,#REF!,
$A306,#REF!,
"&gt;="&amp;'Faturado mensal'!AE$2,#REF!,
"&lt;"&amp;EOMONTH('Faturado mensal'!AE$2,0))</f>
        <v>28600.99</v>
      </c>
      <c r="AF306" s="9">
        <f>SUMIFS(#REF!,#REF!,
$A306,#REF!,
"&gt;="&amp;'Faturado mensal'!AF$2,#REF!,
"&lt;"&amp;EOMONTH('Faturado mensal'!AF$2,0))</f>
        <v>0</v>
      </c>
      <c r="AG306" s="9">
        <f>SUMIFS(#REF!,#REF!,
$A306,#REF!,
"&gt;="&amp;'Faturado mensal'!AG$2,#REF!,
"&lt;"&amp;EOMONTH('Faturado mensal'!AG$2,0))</f>
        <v>0</v>
      </c>
      <c r="AH306" s="9">
        <f>SUMIFS(#REF!,#REF!,
$A306,#REF!,
"&gt;="&amp;'Faturado mensal'!AH$2,#REF!,
"&lt;"&amp;EOMONTH('Faturado mensal'!AH$2,0))</f>
        <v>0</v>
      </c>
      <c r="AI306" s="9">
        <f>SUMIFS(#REF!,#REF!,
$A306,#REF!,
"&gt;="&amp;'Faturado mensal'!AI$2,#REF!,
"&lt;"&amp;EOMONTH('Faturado mensal'!AI$2,0))</f>
        <v>0</v>
      </c>
      <c r="AJ306" s="9">
        <f>SUMIFS(#REF!,#REF!,
$A306,#REF!,
"&gt;="&amp;'Faturado mensal'!AJ$2,#REF!,
"&lt;"&amp;EOMONTH('Faturado mensal'!AJ$2,0))</f>
        <v>0</v>
      </c>
      <c r="AK306" s="9">
        <f>SUMIFS(#REF!,#REF!,
$A306,#REF!,
"&gt;="&amp;'Faturado mensal'!AK$2,#REF!,
"&lt;"&amp;EOMONTH('Faturado mensal'!AK$2,0))</f>
        <v>0</v>
      </c>
      <c r="AL306" s="9">
        <f>SUMIFS(#REF!,#REF!,
$A306,#REF!,
"&gt;="&amp;Z$2,#REF!,
"&lt;"&amp;EOMONTH(AK$2,0))</f>
        <v>171605.94</v>
      </c>
    </row>
    <row r="307" spans="1:38" x14ac:dyDescent="0.3">
      <c r="A307" t="s">
        <v>971</v>
      </c>
      <c r="B307" t="s">
        <v>626</v>
      </c>
      <c r="C307" t="s">
        <v>184</v>
      </c>
      <c r="D307" t="s">
        <v>209</v>
      </c>
      <c r="E307" t="s">
        <v>4851</v>
      </c>
      <c r="F307" t="s">
        <v>4777</v>
      </c>
      <c r="G307" t="s">
        <v>4854</v>
      </c>
      <c r="H307" t="s">
        <v>4773</v>
      </c>
      <c r="I307" t="s">
        <v>972</v>
      </c>
      <c r="J307" t="s">
        <v>710</v>
      </c>
      <c r="K307" t="s">
        <v>720</v>
      </c>
      <c r="L307" t="s">
        <v>721</v>
      </c>
      <c r="M307" s="9">
        <f>SUMIFS(#REF!,#REF!,
$A307,#REF!,
"&gt;="&amp;'Faturado mensal'!M$2,#REF!,
"&lt;"&amp;EOMONTH('Faturado mensal'!M$2,0))</f>
        <v>0</v>
      </c>
      <c r="N307" s="9">
        <f>SUMIFS(#REF!,#REF!,
$A307,#REF!,
"&gt;="&amp;'Faturado mensal'!N$2,#REF!,
"&lt;"&amp;EOMONTH('Faturado mensal'!N$2,0))</f>
        <v>0</v>
      </c>
      <c r="O307" s="9">
        <f>SUMIFS(#REF!,#REF!,
$A307,#REF!,
"&gt;="&amp;'Faturado mensal'!O$2,#REF!,
"&lt;"&amp;EOMONTH('Faturado mensal'!O$2,0))</f>
        <v>0</v>
      </c>
      <c r="P307" s="9">
        <f>SUMIFS(#REF!,#REF!,
$A307,#REF!,
"&gt;="&amp;'Faturado mensal'!P$2,#REF!,
"&lt;"&amp;EOMONTH('Faturado mensal'!P$2,0))</f>
        <v>0</v>
      </c>
      <c r="Q307" s="9">
        <f>SUMIFS(#REF!,#REF!,
$A307,#REF!,
"&gt;="&amp;'Faturado mensal'!Q$2,#REF!,
"&lt;"&amp;EOMONTH('Faturado mensal'!Q$2,0))</f>
        <v>0</v>
      </c>
      <c r="R307" s="9">
        <f>SUMIFS(#REF!,#REF!,
$A307,#REF!,
"&gt;="&amp;'Faturado mensal'!R$2,#REF!,
"&lt;"&amp;EOMONTH('Faturado mensal'!R$2,0))</f>
        <v>0</v>
      </c>
      <c r="S307" s="9">
        <f>SUMIFS(#REF!,#REF!,
$A307,#REF!,
"&gt;="&amp;'Faturado mensal'!S$2,#REF!,
"&lt;"&amp;EOMONTH('Faturado mensal'!S$2,0))</f>
        <v>0</v>
      </c>
      <c r="T307" s="9">
        <f>SUMIFS(#REF!,#REF!,
$A307,#REF!,
"&gt;="&amp;'Faturado mensal'!T$2,#REF!,
"&lt;"&amp;EOMONTH('Faturado mensal'!T$2,0))</f>
        <v>0</v>
      </c>
      <c r="U307" s="9">
        <f>SUMIFS(#REF!,#REF!,
$A307,#REF!,
"&gt;="&amp;'Faturado mensal'!U$2,#REF!,
"&lt;"&amp;EOMONTH('Faturado mensal'!U$2,0))</f>
        <v>0</v>
      </c>
      <c r="V307" s="9">
        <f>SUMIFS(#REF!,#REF!,
$A307,#REF!,
"&gt;="&amp;'Faturado mensal'!V$2,#REF!,
"&lt;"&amp;EOMONTH('Faturado mensal'!V$2,0))</f>
        <v>0</v>
      </c>
      <c r="W307" s="9">
        <f>SUMIFS(#REF!,#REF!,
$A307,#REF!,
"&gt;="&amp;'Faturado mensal'!W$2,#REF!,
"&lt;"&amp;EOMONTH('Faturado mensal'!W$2,0))</f>
        <v>0</v>
      </c>
      <c r="X307" s="9">
        <f>SUMIFS(#REF!,#REF!,
$A307,#REF!,
"&gt;="&amp;'Faturado mensal'!X$2,#REF!,
"&lt;"&amp;EOMONTH('Faturado mensal'!X$2,0))</f>
        <v>0</v>
      </c>
      <c r="Y307" s="11">
        <f>SUMIFS(#REF!,#REF!,
$A307,#REF!,
"&gt;="&amp;'Faturado mensal'!M$2,#REF!,
"&lt;"&amp;EOMONTH('Faturado mensal'!M$2,12))</f>
        <v>0</v>
      </c>
      <c r="Z307" s="9">
        <f>SUMIFS(#REF!,#REF!,
$A307,#REF!,
"&gt;="&amp;'Faturado mensal'!Z$2,#REF!,
"&lt;"&amp;EOMONTH('Faturado mensal'!Z$2,0))</f>
        <v>0</v>
      </c>
      <c r="AA307" s="9">
        <f>SUMIFS(#REF!,#REF!,
$A307,#REF!,
"&gt;="&amp;'Faturado mensal'!AA$2,#REF!,
"&lt;"&amp;EOMONTH('Faturado mensal'!AA$2,0))</f>
        <v>0</v>
      </c>
      <c r="AB307" s="9">
        <f>SUMIFS(#REF!,#REF!,
$A307,#REF!,
"&gt;="&amp;'Faturado mensal'!AB$2,#REF!,
"&lt;"&amp;EOMONTH('Faturado mensal'!AB$2,0))</f>
        <v>0</v>
      </c>
      <c r="AC307" s="9">
        <f>SUMIFS(#REF!,#REF!,
$A307,#REF!,
"&gt;="&amp;'Faturado mensal'!AC$2,#REF!,
"&lt;"&amp;EOMONTH('Faturado mensal'!AC$2,0))</f>
        <v>0</v>
      </c>
      <c r="AD307" s="9">
        <f>SUMIFS(#REF!,#REF!,
$A307,#REF!,
"&gt;="&amp;'Faturado mensal'!AD$2,#REF!,
"&lt;"&amp;EOMONTH('Faturado mensal'!AD$2,0))</f>
        <v>0</v>
      </c>
      <c r="AE307" s="9">
        <f>SUMIFS(#REF!,#REF!,
$A307,#REF!,
"&gt;="&amp;'Faturado mensal'!AE$2,#REF!,
"&lt;"&amp;EOMONTH('Faturado mensal'!AE$2,0))</f>
        <v>0</v>
      </c>
      <c r="AF307" s="9">
        <f>SUMIFS(#REF!,#REF!,
$A307,#REF!,
"&gt;="&amp;'Faturado mensal'!AF$2,#REF!,
"&lt;"&amp;EOMONTH('Faturado mensal'!AF$2,0))</f>
        <v>0</v>
      </c>
      <c r="AG307" s="9">
        <f>SUMIFS(#REF!,#REF!,
$A307,#REF!,
"&gt;="&amp;'Faturado mensal'!AG$2,#REF!,
"&lt;"&amp;EOMONTH('Faturado mensal'!AG$2,0))</f>
        <v>0</v>
      </c>
      <c r="AH307" s="9">
        <f>SUMIFS(#REF!,#REF!,
$A307,#REF!,
"&gt;="&amp;'Faturado mensal'!AH$2,#REF!,
"&lt;"&amp;EOMONTH('Faturado mensal'!AH$2,0))</f>
        <v>0</v>
      </c>
      <c r="AI307" s="9">
        <f>SUMIFS(#REF!,#REF!,
$A307,#REF!,
"&gt;="&amp;'Faturado mensal'!AI$2,#REF!,
"&lt;"&amp;EOMONTH('Faturado mensal'!AI$2,0))</f>
        <v>0</v>
      </c>
      <c r="AJ307" s="9">
        <f>SUMIFS(#REF!,#REF!,
$A307,#REF!,
"&gt;="&amp;'Faturado mensal'!AJ$2,#REF!,
"&lt;"&amp;EOMONTH('Faturado mensal'!AJ$2,0))</f>
        <v>0</v>
      </c>
      <c r="AK307" s="9">
        <f>SUMIFS(#REF!,#REF!,
$A307,#REF!,
"&gt;="&amp;'Faturado mensal'!AK$2,#REF!,
"&lt;"&amp;EOMONTH('Faturado mensal'!AK$2,0))</f>
        <v>0</v>
      </c>
      <c r="AL307" s="9">
        <f>SUMIFS(#REF!,#REF!,
$A307,#REF!,
"&gt;="&amp;Z$2,#REF!,
"&lt;"&amp;EOMONTH(AK$2,0))</f>
        <v>0</v>
      </c>
    </row>
    <row r="308" spans="1:38" x14ac:dyDescent="0.3">
      <c r="A308" t="s">
        <v>623</v>
      </c>
      <c r="B308" t="s">
        <v>624</v>
      </c>
      <c r="C308" t="s">
        <v>68</v>
      </c>
      <c r="D308" t="s">
        <v>204</v>
      </c>
      <c r="E308" t="s">
        <v>4846</v>
      </c>
      <c r="F308" t="s">
        <v>4776</v>
      </c>
      <c r="G308" t="s">
        <v>4845</v>
      </c>
      <c r="H308" t="s">
        <v>4771</v>
      </c>
      <c r="I308" t="s">
        <v>973</v>
      </c>
      <c r="J308" t="s">
        <v>710</v>
      </c>
      <c r="K308" t="s">
        <v>839</v>
      </c>
      <c r="L308" t="s">
        <v>840</v>
      </c>
      <c r="M308" s="9">
        <f>SUMIFS(#REF!,#REF!,
$A308,#REF!,
"&gt;="&amp;'Faturado mensal'!M$2,#REF!,
"&lt;"&amp;EOMONTH('Faturado mensal'!M$2,0))</f>
        <v>3200</v>
      </c>
      <c r="N308" s="9">
        <f>SUMIFS(#REF!,#REF!,
$A308,#REF!,
"&gt;="&amp;'Faturado mensal'!N$2,#REF!,
"&lt;"&amp;EOMONTH('Faturado mensal'!N$2,0))</f>
        <v>1600</v>
      </c>
      <c r="O308" s="9">
        <f>SUMIFS(#REF!,#REF!,
$A308,#REF!,
"&gt;="&amp;'Faturado mensal'!O$2,#REF!,
"&lt;"&amp;EOMONTH('Faturado mensal'!O$2,0))</f>
        <v>1600</v>
      </c>
      <c r="P308" s="9">
        <f>SUMIFS(#REF!,#REF!,
$A308,#REF!,
"&gt;="&amp;'Faturado mensal'!P$2,#REF!,
"&lt;"&amp;EOMONTH('Faturado mensal'!P$2,0))</f>
        <v>0</v>
      </c>
      <c r="Q308" s="9">
        <f>SUMIFS(#REF!,#REF!,
$A308,#REF!,
"&gt;="&amp;'Faturado mensal'!Q$2,#REF!,
"&lt;"&amp;EOMONTH('Faturado mensal'!Q$2,0))</f>
        <v>1600</v>
      </c>
      <c r="R308" s="9">
        <f>SUMIFS(#REF!,#REF!,
$A308,#REF!,
"&gt;="&amp;'Faturado mensal'!R$2,#REF!,
"&lt;"&amp;EOMONTH('Faturado mensal'!R$2,0))</f>
        <v>3200</v>
      </c>
      <c r="S308" s="9">
        <f>SUMIFS(#REF!,#REF!,
$A308,#REF!,
"&gt;="&amp;'Faturado mensal'!S$2,#REF!,
"&lt;"&amp;EOMONTH('Faturado mensal'!S$2,0))</f>
        <v>1600</v>
      </c>
      <c r="T308" s="9">
        <f>SUMIFS(#REF!,#REF!,
$A308,#REF!,
"&gt;="&amp;'Faturado mensal'!T$2,#REF!,
"&lt;"&amp;EOMONTH('Faturado mensal'!T$2,0))</f>
        <v>1600</v>
      </c>
      <c r="U308" s="9">
        <f>SUMIFS(#REF!,#REF!,
$A308,#REF!,
"&gt;="&amp;'Faturado mensal'!U$2,#REF!,
"&lt;"&amp;EOMONTH('Faturado mensal'!U$2,0))</f>
        <v>1600</v>
      </c>
      <c r="V308" s="9">
        <f>SUMIFS(#REF!,#REF!,
$A308,#REF!,
"&gt;="&amp;'Faturado mensal'!V$2,#REF!,
"&lt;"&amp;EOMONTH('Faturado mensal'!V$2,0))</f>
        <v>1600</v>
      </c>
      <c r="W308" s="9">
        <f>SUMIFS(#REF!,#REF!,
$A308,#REF!,
"&gt;="&amp;'Faturado mensal'!W$2,#REF!,
"&lt;"&amp;EOMONTH('Faturado mensal'!W$2,0))</f>
        <v>1682.08</v>
      </c>
      <c r="X308" s="9">
        <f>SUMIFS(#REF!,#REF!,
$A308,#REF!,
"&gt;="&amp;'Faturado mensal'!X$2,#REF!,
"&lt;"&amp;EOMONTH('Faturado mensal'!X$2,0))</f>
        <v>1682.08</v>
      </c>
      <c r="Y308" s="11">
        <f>SUMIFS(#REF!,#REF!,
$A308,#REF!,
"&gt;="&amp;'Faturado mensal'!M$2,#REF!,
"&lt;"&amp;EOMONTH('Faturado mensal'!M$2,12))</f>
        <v>24246.240000000005</v>
      </c>
      <c r="Z308" s="9">
        <f>SUMIFS(#REF!,#REF!,
$A308,#REF!,
"&gt;="&amp;'Faturado mensal'!Z$2,#REF!,
"&lt;"&amp;EOMONTH('Faturado mensal'!Z$2,0))</f>
        <v>1682.08</v>
      </c>
      <c r="AA308" s="9">
        <f>SUMIFS(#REF!,#REF!,
$A308,#REF!,
"&gt;="&amp;'Faturado mensal'!AA$2,#REF!,
"&lt;"&amp;EOMONTH('Faturado mensal'!AA$2,0))</f>
        <v>1682.08</v>
      </c>
      <c r="AB308" s="9">
        <f>SUMIFS(#REF!,#REF!,
$A308,#REF!,
"&gt;="&amp;'Faturado mensal'!AB$2,#REF!,
"&lt;"&amp;EOMONTH('Faturado mensal'!AB$2,0))</f>
        <v>1682.08</v>
      </c>
      <c r="AC308" s="9">
        <f>SUMIFS(#REF!,#REF!,
$A308,#REF!,
"&gt;="&amp;'Faturado mensal'!AC$2,#REF!,
"&lt;"&amp;EOMONTH('Faturado mensal'!AC$2,0))</f>
        <v>1682.08</v>
      </c>
      <c r="AD308" s="9">
        <f>SUMIFS(#REF!,#REF!,
$A308,#REF!,
"&gt;="&amp;'Faturado mensal'!AD$2,#REF!,
"&lt;"&amp;EOMONTH('Faturado mensal'!AD$2,0))</f>
        <v>1682.08</v>
      </c>
      <c r="AE308" s="9">
        <f>SUMIFS(#REF!,#REF!,
$A308,#REF!,
"&gt;="&amp;'Faturado mensal'!AE$2,#REF!,
"&lt;"&amp;EOMONTH('Faturado mensal'!AE$2,0))</f>
        <v>1682.08</v>
      </c>
      <c r="AF308" s="9">
        <f>SUMIFS(#REF!,#REF!,
$A308,#REF!,
"&gt;="&amp;'Faturado mensal'!AF$2,#REF!,
"&lt;"&amp;EOMONTH('Faturado mensal'!AF$2,0))</f>
        <v>0</v>
      </c>
      <c r="AG308" s="9">
        <f>SUMIFS(#REF!,#REF!,
$A308,#REF!,
"&gt;="&amp;'Faturado mensal'!AG$2,#REF!,
"&lt;"&amp;EOMONTH('Faturado mensal'!AG$2,0))</f>
        <v>0</v>
      </c>
      <c r="AH308" s="9">
        <f>SUMIFS(#REF!,#REF!,
$A308,#REF!,
"&gt;="&amp;'Faturado mensal'!AH$2,#REF!,
"&lt;"&amp;EOMONTH('Faturado mensal'!AH$2,0))</f>
        <v>0</v>
      </c>
      <c r="AI308" s="9">
        <f>SUMIFS(#REF!,#REF!,
$A308,#REF!,
"&gt;="&amp;'Faturado mensal'!AI$2,#REF!,
"&lt;"&amp;EOMONTH('Faturado mensal'!AI$2,0))</f>
        <v>0</v>
      </c>
      <c r="AJ308" s="9">
        <f>SUMIFS(#REF!,#REF!,
$A308,#REF!,
"&gt;="&amp;'Faturado mensal'!AJ$2,#REF!,
"&lt;"&amp;EOMONTH('Faturado mensal'!AJ$2,0))</f>
        <v>0</v>
      </c>
      <c r="AK308" s="9">
        <f>SUMIFS(#REF!,#REF!,
$A308,#REF!,
"&gt;="&amp;'Faturado mensal'!AK$2,#REF!,
"&lt;"&amp;EOMONTH('Faturado mensal'!AK$2,0))</f>
        <v>0</v>
      </c>
      <c r="AL308" s="9">
        <f>SUMIFS(#REF!,#REF!,
$A308,#REF!,
"&gt;="&amp;Z$2,#REF!,
"&lt;"&amp;EOMONTH(AK$2,0))</f>
        <v>10092.48</v>
      </c>
    </row>
    <row r="309" spans="1:38" x14ac:dyDescent="0.3">
      <c r="A309" t="s">
        <v>625</v>
      </c>
      <c r="B309" t="s">
        <v>626</v>
      </c>
      <c r="C309" t="s">
        <v>184</v>
      </c>
      <c r="D309" t="s">
        <v>204</v>
      </c>
      <c r="E309" t="s">
        <v>4851</v>
      </c>
      <c r="F309" t="s">
        <v>4777</v>
      </c>
      <c r="G309" t="s">
        <v>4854</v>
      </c>
      <c r="H309" t="s">
        <v>4773</v>
      </c>
      <c r="I309" t="s">
        <v>974</v>
      </c>
      <c r="J309" t="s">
        <v>710</v>
      </c>
      <c r="K309" t="s">
        <v>720</v>
      </c>
      <c r="L309" t="s">
        <v>721</v>
      </c>
      <c r="M309" s="9">
        <f>SUMIFS(#REF!,#REF!,
$A309,#REF!,
"&gt;="&amp;'Faturado mensal'!M$2,#REF!,
"&lt;"&amp;EOMONTH('Faturado mensal'!M$2,0))</f>
        <v>0</v>
      </c>
      <c r="N309" s="9">
        <f>SUMIFS(#REF!,#REF!,
$A309,#REF!,
"&gt;="&amp;'Faturado mensal'!N$2,#REF!,
"&lt;"&amp;EOMONTH('Faturado mensal'!N$2,0))</f>
        <v>47500</v>
      </c>
      <c r="O309" s="9">
        <f>SUMIFS(#REF!,#REF!,
$A309,#REF!,
"&gt;="&amp;'Faturado mensal'!O$2,#REF!,
"&lt;"&amp;EOMONTH('Faturado mensal'!O$2,0))</f>
        <v>7695</v>
      </c>
      <c r="P309" s="9">
        <f>SUMIFS(#REF!,#REF!,
$A309,#REF!,
"&gt;="&amp;'Faturado mensal'!P$2,#REF!,
"&lt;"&amp;EOMONTH('Faturado mensal'!P$2,0))</f>
        <v>23750</v>
      </c>
      <c r="Q309" s="9">
        <f>SUMIFS(#REF!,#REF!,
$A309,#REF!,
"&gt;="&amp;'Faturado mensal'!Q$2,#REF!,
"&lt;"&amp;EOMONTH('Faturado mensal'!Q$2,0))</f>
        <v>14784</v>
      </c>
      <c r="R309" s="9">
        <f>SUMIFS(#REF!,#REF!,
$A309,#REF!,
"&gt;="&amp;'Faturado mensal'!R$2,#REF!,
"&lt;"&amp;EOMONTH('Faturado mensal'!R$2,0))</f>
        <v>20710</v>
      </c>
      <c r="S309" s="9">
        <f>SUMIFS(#REF!,#REF!,
$A309,#REF!,
"&gt;="&amp;'Faturado mensal'!S$2,#REF!,
"&lt;"&amp;EOMONTH('Faturado mensal'!S$2,0))</f>
        <v>21470</v>
      </c>
      <c r="T309" s="9">
        <f>SUMIFS(#REF!,#REF!,
$A309,#REF!,
"&gt;="&amp;'Faturado mensal'!T$2,#REF!,
"&lt;"&amp;EOMONTH('Faturado mensal'!T$2,0))</f>
        <v>20045</v>
      </c>
      <c r="U309" s="9">
        <f>SUMIFS(#REF!,#REF!,
$A309,#REF!,
"&gt;="&amp;'Faturado mensal'!U$2,#REF!,
"&lt;"&amp;EOMONTH('Faturado mensal'!U$2,0))</f>
        <v>22135</v>
      </c>
      <c r="V309" s="9">
        <f>SUMIFS(#REF!,#REF!,
$A309,#REF!,
"&gt;="&amp;'Faturado mensal'!V$2,#REF!,
"&lt;"&amp;EOMONTH('Faturado mensal'!V$2,0))</f>
        <v>20460</v>
      </c>
      <c r="W309" s="9">
        <f>SUMIFS(#REF!,#REF!,
$A309,#REF!,
"&gt;="&amp;'Faturado mensal'!W$2,#REF!,
"&lt;"&amp;EOMONTH('Faturado mensal'!W$2,0))</f>
        <v>21855</v>
      </c>
      <c r="X309" s="9">
        <f>SUMIFS(#REF!,#REF!,
$A309,#REF!,
"&gt;="&amp;'Faturado mensal'!X$2,#REF!,
"&lt;"&amp;EOMONTH('Faturado mensal'!X$2,0))</f>
        <v>21297</v>
      </c>
      <c r="Y309" s="11">
        <f>SUMIFS(#REF!,#REF!,
$A309,#REF!,
"&gt;="&amp;'Faturado mensal'!M$2,#REF!,
"&lt;"&amp;EOMONTH('Faturado mensal'!M$2,12))</f>
        <v>263041.03999999998</v>
      </c>
      <c r="Z309" s="9">
        <f>SUMIFS(#REF!,#REF!,
$A309,#REF!,
"&gt;="&amp;'Faturado mensal'!Z$2,#REF!,
"&lt;"&amp;EOMONTH('Faturado mensal'!Z$2,0))</f>
        <v>21340.04</v>
      </c>
      <c r="AA309" s="9">
        <f>SUMIFS(#REF!,#REF!,
$A309,#REF!,
"&gt;="&amp;'Faturado mensal'!AA$2,#REF!,
"&lt;"&amp;EOMONTH('Faturado mensal'!AA$2,0))</f>
        <v>0</v>
      </c>
      <c r="AB309" s="9">
        <f>SUMIFS(#REF!,#REF!,
$A309,#REF!,
"&gt;="&amp;'Faturado mensal'!AB$2,#REF!,
"&lt;"&amp;EOMONTH('Faturado mensal'!AB$2,0))</f>
        <v>0</v>
      </c>
      <c r="AC309" s="9">
        <f>SUMIFS(#REF!,#REF!,
$A309,#REF!,
"&gt;="&amp;'Faturado mensal'!AC$2,#REF!,
"&lt;"&amp;EOMONTH('Faturado mensal'!AC$2,0))</f>
        <v>23086</v>
      </c>
      <c r="AD309" s="9">
        <f>SUMIFS(#REF!,#REF!,
$A309,#REF!,
"&gt;="&amp;'Faturado mensal'!AD$2,#REF!,
"&lt;"&amp;EOMONTH('Faturado mensal'!AD$2,0))</f>
        <v>0</v>
      </c>
      <c r="AE309" s="9">
        <f>SUMIFS(#REF!,#REF!,
$A309,#REF!,
"&gt;="&amp;'Faturado mensal'!AE$2,#REF!,
"&lt;"&amp;EOMONTH('Faturado mensal'!AE$2,0))</f>
        <v>0</v>
      </c>
      <c r="AF309" s="9">
        <f>SUMIFS(#REF!,#REF!,
$A309,#REF!,
"&gt;="&amp;'Faturado mensal'!AF$2,#REF!,
"&lt;"&amp;EOMONTH('Faturado mensal'!AF$2,0))</f>
        <v>0</v>
      </c>
      <c r="AG309" s="9">
        <f>SUMIFS(#REF!,#REF!,
$A309,#REF!,
"&gt;="&amp;'Faturado mensal'!AG$2,#REF!,
"&lt;"&amp;EOMONTH('Faturado mensal'!AG$2,0))</f>
        <v>0</v>
      </c>
      <c r="AH309" s="9">
        <f>SUMIFS(#REF!,#REF!,
$A309,#REF!,
"&gt;="&amp;'Faturado mensal'!AH$2,#REF!,
"&lt;"&amp;EOMONTH('Faturado mensal'!AH$2,0))</f>
        <v>0</v>
      </c>
      <c r="AI309" s="9">
        <f>SUMIFS(#REF!,#REF!,
$A309,#REF!,
"&gt;="&amp;'Faturado mensal'!AI$2,#REF!,
"&lt;"&amp;EOMONTH('Faturado mensal'!AI$2,0))</f>
        <v>0</v>
      </c>
      <c r="AJ309" s="9">
        <f>SUMIFS(#REF!,#REF!,
$A309,#REF!,
"&gt;="&amp;'Faturado mensal'!AJ$2,#REF!,
"&lt;"&amp;EOMONTH('Faturado mensal'!AJ$2,0))</f>
        <v>0</v>
      </c>
      <c r="AK309" s="9">
        <f>SUMIFS(#REF!,#REF!,
$A309,#REF!,
"&gt;="&amp;'Faturado mensal'!AK$2,#REF!,
"&lt;"&amp;EOMONTH('Faturado mensal'!AK$2,0))</f>
        <v>0</v>
      </c>
      <c r="AL309" s="9">
        <f>SUMIFS(#REF!,#REF!,
$A309,#REF!,
"&gt;="&amp;Z$2,#REF!,
"&lt;"&amp;EOMONTH(AK$2,0))</f>
        <v>44426.04</v>
      </c>
    </row>
    <row r="310" spans="1:38" x14ac:dyDescent="0.3">
      <c r="A310" t="s">
        <v>627</v>
      </c>
      <c r="B310" t="s">
        <v>628</v>
      </c>
      <c r="C310" t="s">
        <v>25</v>
      </c>
      <c r="D310" t="s">
        <v>209</v>
      </c>
      <c r="E310" t="s">
        <v>4843</v>
      </c>
      <c r="F310" t="s">
        <v>4776</v>
      </c>
      <c r="G310" t="s">
        <v>4854</v>
      </c>
      <c r="H310" t="s">
        <v>4771</v>
      </c>
      <c r="I310" t="s">
        <v>975</v>
      </c>
      <c r="J310" t="s">
        <v>710</v>
      </c>
      <c r="K310" t="s">
        <v>720</v>
      </c>
      <c r="L310" t="s">
        <v>721</v>
      </c>
      <c r="M310" s="9">
        <f>SUMIFS(#REF!,#REF!,
$A310,#REF!,
"&gt;="&amp;'Faturado mensal'!M$2,#REF!,
"&lt;"&amp;EOMONTH('Faturado mensal'!M$2,0))</f>
        <v>0</v>
      </c>
      <c r="N310" s="9">
        <f>SUMIFS(#REF!,#REF!,
$A310,#REF!,
"&gt;="&amp;'Faturado mensal'!N$2,#REF!,
"&lt;"&amp;EOMONTH('Faturado mensal'!N$2,0))</f>
        <v>840</v>
      </c>
      <c r="O310" s="9">
        <f>SUMIFS(#REF!,#REF!,
$A310,#REF!,
"&gt;="&amp;'Faturado mensal'!O$2,#REF!,
"&lt;"&amp;EOMONTH('Faturado mensal'!O$2,0))</f>
        <v>1110</v>
      </c>
      <c r="P310" s="9">
        <f>SUMIFS(#REF!,#REF!,
$A310,#REF!,
"&gt;="&amp;'Faturado mensal'!P$2,#REF!,
"&lt;"&amp;EOMONTH('Faturado mensal'!P$2,0))</f>
        <v>740</v>
      </c>
      <c r="Q310" s="9">
        <f>SUMIFS(#REF!,#REF!,
$A310,#REF!,
"&gt;="&amp;'Faturado mensal'!Q$2,#REF!,
"&lt;"&amp;EOMONTH('Faturado mensal'!Q$2,0))</f>
        <v>0</v>
      </c>
      <c r="R310" s="9">
        <f>SUMIFS(#REF!,#REF!,
$A310,#REF!,
"&gt;="&amp;'Faturado mensal'!R$2,#REF!,
"&lt;"&amp;EOMONTH('Faturado mensal'!R$2,0))</f>
        <v>740</v>
      </c>
      <c r="S310" s="9">
        <f>SUMIFS(#REF!,#REF!,
$A310,#REF!,
"&gt;="&amp;'Faturado mensal'!S$2,#REF!,
"&lt;"&amp;EOMONTH('Faturado mensal'!S$2,0))</f>
        <v>0</v>
      </c>
      <c r="T310" s="9">
        <f>SUMIFS(#REF!,#REF!,
$A310,#REF!,
"&gt;="&amp;'Faturado mensal'!T$2,#REF!,
"&lt;"&amp;EOMONTH('Faturado mensal'!T$2,0))</f>
        <v>0</v>
      </c>
      <c r="U310" s="9">
        <f>SUMIFS(#REF!,#REF!,
$A310,#REF!,
"&gt;="&amp;'Faturado mensal'!U$2,#REF!,
"&lt;"&amp;EOMONTH('Faturado mensal'!U$2,0))</f>
        <v>3380</v>
      </c>
      <c r="V310" s="9">
        <f>SUMIFS(#REF!,#REF!,
$A310,#REF!,
"&gt;="&amp;'Faturado mensal'!V$2,#REF!,
"&lt;"&amp;EOMONTH('Faturado mensal'!V$2,0))</f>
        <v>3420</v>
      </c>
      <c r="W310" s="9">
        <f>SUMIFS(#REF!,#REF!,
$A310,#REF!,
"&gt;="&amp;'Faturado mensal'!W$2,#REF!,
"&lt;"&amp;EOMONTH('Faturado mensal'!W$2,0))</f>
        <v>760</v>
      </c>
      <c r="X310" s="9">
        <f>SUMIFS(#REF!,#REF!,
$A310,#REF!,
"&gt;="&amp;'Faturado mensal'!X$2,#REF!,
"&lt;"&amp;EOMONTH('Faturado mensal'!X$2,0))</f>
        <v>1520</v>
      </c>
      <c r="Y310" s="11">
        <f>SUMIFS(#REF!,#REF!,
$A310,#REF!,
"&gt;="&amp;'Faturado mensal'!M$2,#REF!,
"&lt;"&amp;EOMONTH('Faturado mensal'!M$2,12))</f>
        <v>17070</v>
      </c>
      <c r="Z310" s="9">
        <f>SUMIFS(#REF!,#REF!,
$A310,#REF!,
"&gt;="&amp;'Faturado mensal'!Z$2,#REF!,
"&lt;"&amp;EOMONTH('Faturado mensal'!Z$2,0))</f>
        <v>3800</v>
      </c>
      <c r="AA310" s="9">
        <f>SUMIFS(#REF!,#REF!,
$A310,#REF!,
"&gt;="&amp;'Faturado mensal'!AA$2,#REF!,
"&lt;"&amp;EOMONTH('Faturado mensal'!AA$2,0))</f>
        <v>380</v>
      </c>
      <c r="AB310" s="9">
        <f>SUMIFS(#REF!,#REF!,
$A310,#REF!,
"&gt;="&amp;'Faturado mensal'!AB$2,#REF!,
"&lt;"&amp;EOMONTH('Faturado mensal'!AB$2,0))</f>
        <v>9120</v>
      </c>
      <c r="AC310" s="9">
        <f>SUMIFS(#REF!,#REF!,
$A310,#REF!,
"&gt;="&amp;'Faturado mensal'!AC$2,#REF!,
"&lt;"&amp;EOMONTH('Faturado mensal'!AC$2,0))</f>
        <v>2660</v>
      </c>
      <c r="AD310" s="9">
        <f>SUMIFS(#REF!,#REF!,
$A310,#REF!,
"&gt;="&amp;'Faturado mensal'!AD$2,#REF!,
"&lt;"&amp;EOMONTH('Faturado mensal'!AD$2,0))</f>
        <v>0</v>
      </c>
      <c r="AE310" s="9">
        <f>SUMIFS(#REF!,#REF!,
$A310,#REF!,
"&gt;="&amp;'Faturado mensal'!AE$2,#REF!,
"&lt;"&amp;EOMONTH('Faturado mensal'!AE$2,0))</f>
        <v>0</v>
      </c>
      <c r="AF310" s="9">
        <f>SUMIFS(#REF!,#REF!,
$A310,#REF!,
"&gt;="&amp;'Faturado mensal'!AF$2,#REF!,
"&lt;"&amp;EOMONTH('Faturado mensal'!AF$2,0))</f>
        <v>0</v>
      </c>
      <c r="AG310" s="9">
        <f>SUMIFS(#REF!,#REF!,
$A310,#REF!,
"&gt;="&amp;'Faturado mensal'!AG$2,#REF!,
"&lt;"&amp;EOMONTH('Faturado mensal'!AG$2,0))</f>
        <v>0</v>
      </c>
      <c r="AH310" s="9">
        <f>SUMIFS(#REF!,#REF!,
$A310,#REF!,
"&gt;="&amp;'Faturado mensal'!AH$2,#REF!,
"&lt;"&amp;EOMONTH('Faturado mensal'!AH$2,0))</f>
        <v>0</v>
      </c>
      <c r="AI310" s="9">
        <f>SUMIFS(#REF!,#REF!,
$A310,#REF!,
"&gt;="&amp;'Faturado mensal'!AI$2,#REF!,
"&lt;"&amp;EOMONTH('Faturado mensal'!AI$2,0))</f>
        <v>0</v>
      </c>
      <c r="AJ310" s="9">
        <f>SUMIFS(#REF!,#REF!,
$A310,#REF!,
"&gt;="&amp;'Faturado mensal'!AJ$2,#REF!,
"&lt;"&amp;EOMONTH('Faturado mensal'!AJ$2,0))</f>
        <v>0</v>
      </c>
      <c r="AK310" s="9">
        <f>SUMIFS(#REF!,#REF!,
$A310,#REF!,
"&gt;="&amp;'Faturado mensal'!AK$2,#REF!,
"&lt;"&amp;EOMONTH('Faturado mensal'!AK$2,0))</f>
        <v>0</v>
      </c>
      <c r="AL310" s="9">
        <f>SUMIFS(#REF!,#REF!,
$A310,#REF!,
"&gt;="&amp;Z$2,#REF!,
"&lt;"&amp;EOMONTH(AK$2,0))</f>
        <v>15960</v>
      </c>
    </row>
    <row r="311" spans="1:38" x14ac:dyDescent="0.3">
      <c r="A311" t="s">
        <v>976</v>
      </c>
      <c r="B311" t="s">
        <v>978</v>
      </c>
      <c r="C311" t="s">
        <v>979</v>
      </c>
      <c r="D311" t="s">
        <v>209</v>
      </c>
      <c r="F311" t="s">
        <v>4797</v>
      </c>
      <c r="G311" t="s">
        <v>807</v>
      </c>
      <c r="I311" t="s">
        <v>977</v>
      </c>
      <c r="J311" t="s">
        <v>710</v>
      </c>
      <c r="K311" t="s">
        <v>762</v>
      </c>
      <c r="L311" t="s">
        <v>763</v>
      </c>
      <c r="M311" s="9">
        <f>SUMIFS(#REF!,#REF!,
$A311,#REF!,
"&gt;="&amp;'Faturado mensal'!M$2,#REF!,
"&lt;"&amp;EOMONTH('Faturado mensal'!M$2,0))</f>
        <v>0</v>
      </c>
      <c r="N311" s="9">
        <f>SUMIFS(#REF!,#REF!,
$A311,#REF!,
"&gt;="&amp;'Faturado mensal'!N$2,#REF!,
"&lt;"&amp;EOMONTH('Faturado mensal'!N$2,0))</f>
        <v>0</v>
      </c>
      <c r="O311" s="9">
        <f>SUMIFS(#REF!,#REF!,
$A311,#REF!,
"&gt;="&amp;'Faturado mensal'!O$2,#REF!,
"&lt;"&amp;EOMONTH('Faturado mensal'!O$2,0))</f>
        <v>0</v>
      </c>
      <c r="P311" s="9">
        <f>SUMIFS(#REF!,#REF!,
$A311,#REF!,
"&gt;="&amp;'Faturado mensal'!P$2,#REF!,
"&lt;"&amp;EOMONTH('Faturado mensal'!P$2,0))</f>
        <v>0</v>
      </c>
      <c r="Q311" s="9">
        <f>SUMIFS(#REF!,#REF!,
$A311,#REF!,
"&gt;="&amp;'Faturado mensal'!Q$2,#REF!,
"&lt;"&amp;EOMONTH('Faturado mensal'!Q$2,0))</f>
        <v>0</v>
      </c>
      <c r="R311" s="9">
        <f>SUMIFS(#REF!,#REF!,
$A311,#REF!,
"&gt;="&amp;'Faturado mensal'!R$2,#REF!,
"&lt;"&amp;EOMONTH('Faturado mensal'!R$2,0))</f>
        <v>0</v>
      </c>
      <c r="S311" s="9">
        <f>SUMIFS(#REF!,#REF!,
$A311,#REF!,
"&gt;="&amp;'Faturado mensal'!S$2,#REF!,
"&lt;"&amp;EOMONTH('Faturado mensal'!S$2,0))</f>
        <v>0</v>
      </c>
      <c r="T311" s="9">
        <f>SUMIFS(#REF!,#REF!,
$A311,#REF!,
"&gt;="&amp;'Faturado mensal'!T$2,#REF!,
"&lt;"&amp;EOMONTH('Faturado mensal'!T$2,0))</f>
        <v>0</v>
      </c>
      <c r="U311" s="9">
        <f>SUMIFS(#REF!,#REF!,
$A311,#REF!,
"&gt;="&amp;'Faturado mensal'!U$2,#REF!,
"&lt;"&amp;EOMONTH('Faturado mensal'!U$2,0))</f>
        <v>0</v>
      </c>
      <c r="V311" s="9">
        <f>SUMIFS(#REF!,#REF!,
$A311,#REF!,
"&gt;="&amp;'Faturado mensal'!V$2,#REF!,
"&lt;"&amp;EOMONTH('Faturado mensal'!V$2,0))</f>
        <v>0</v>
      </c>
      <c r="W311" s="9">
        <f>SUMIFS(#REF!,#REF!,
$A311,#REF!,
"&gt;="&amp;'Faturado mensal'!W$2,#REF!,
"&lt;"&amp;EOMONTH('Faturado mensal'!W$2,0))</f>
        <v>0</v>
      </c>
      <c r="X311" s="9">
        <f>SUMIFS(#REF!,#REF!,
$A311,#REF!,
"&gt;="&amp;'Faturado mensal'!X$2,#REF!,
"&lt;"&amp;EOMONTH('Faturado mensal'!X$2,0))</f>
        <v>0</v>
      </c>
      <c r="Y311" s="11">
        <f>SUMIFS(#REF!,#REF!,
$A311,#REF!,
"&gt;="&amp;'Faturado mensal'!M$2,#REF!,
"&lt;"&amp;EOMONTH('Faturado mensal'!M$2,12))</f>
        <v>0</v>
      </c>
      <c r="Z311" s="9">
        <f>SUMIFS(#REF!,#REF!,
$A311,#REF!,
"&gt;="&amp;'Faturado mensal'!Z$2,#REF!,
"&lt;"&amp;EOMONTH('Faturado mensal'!Z$2,0))</f>
        <v>0</v>
      </c>
      <c r="AA311" s="9">
        <f>SUMIFS(#REF!,#REF!,
$A311,#REF!,
"&gt;="&amp;'Faturado mensal'!AA$2,#REF!,
"&lt;"&amp;EOMONTH('Faturado mensal'!AA$2,0))</f>
        <v>0</v>
      </c>
      <c r="AB311" s="9">
        <f>SUMIFS(#REF!,#REF!,
$A311,#REF!,
"&gt;="&amp;'Faturado mensal'!AB$2,#REF!,
"&lt;"&amp;EOMONTH('Faturado mensal'!AB$2,0))</f>
        <v>0</v>
      </c>
      <c r="AC311" s="9">
        <f>SUMIFS(#REF!,#REF!,
$A311,#REF!,
"&gt;="&amp;'Faturado mensal'!AC$2,#REF!,
"&lt;"&amp;EOMONTH('Faturado mensal'!AC$2,0))</f>
        <v>0</v>
      </c>
      <c r="AD311" s="9">
        <f>SUMIFS(#REF!,#REF!,
$A311,#REF!,
"&gt;="&amp;'Faturado mensal'!AD$2,#REF!,
"&lt;"&amp;EOMONTH('Faturado mensal'!AD$2,0))</f>
        <v>0</v>
      </c>
      <c r="AE311" s="9">
        <f>SUMIFS(#REF!,#REF!,
$A311,#REF!,
"&gt;="&amp;'Faturado mensal'!AE$2,#REF!,
"&lt;"&amp;EOMONTH('Faturado mensal'!AE$2,0))</f>
        <v>0</v>
      </c>
      <c r="AF311" s="9">
        <f>SUMIFS(#REF!,#REF!,
$A311,#REF!,
"&gt;="&amp;'Faturado mensal'!AF$2,#REF!,
"&lt;"&amp;EOMONTH('Faturado mensal'!AF$2,0))</f>
        <v>0</v>
      </c>
      <c r="AG311" s="9">
        <f>SUMIFS(#REF!,#REF!,
$A311,#REF!,
"&gt;="&amp;'Faturado mensal'!AG$2,#REF!,
"&lt;"&amp;EOMONTH('Faturado mensal'!AG$2,0))</f>
        <v>0</v>
      </c>
      <c r="AH311" s="9">
        <f>SUMIFS(#REF!,#REF!,
$A311,#REF!,
"&gt;="&amp;'Faturado mensal'!AH$2,#REF!,
"&lt;"&amp;EOMONTH('Faturado mensal'!AH$2,0))</f>
        <v>0</v>
      </c>
      <c r="AI311" s="9">
        <f>SUMIFS(#REF!,#REF!,
$A311,#REF!,
"&gt;="&amp;'Faturado mensal'!AI$2,#REF!,
"&lt;"&amp;EOMONTH('Faturado mensal'!AI$2,0))</f>
        <v>0</v>
      </c>
      <c r="AJ311" s="9">
        <f>SUMIFS(#REF!,#REF!,
$A311,#REF!,
"&gt;="&amp;'Faturado mensal'!AJ$2,#REF!,
"&lt;"&amp;EOMONTH('Faturado mensal'!AJ$2,0))</f>
        <v>0</v>
      </c>
      <c r="AK311" s="9">
        <f>SUMIFS(#REF!,#REF!,
$A311,#REF!,
"&gt;="&amp;'Faturado mensal'!AK$2,#REF!,
"&lt;"&amp;EOMONTH('Faturado mensal'!AK$2,0))</f>
        <v>0</v>
      </c>
      <c r="AL311" s="9">
        <f>SUMIFS(#REF!,#REF!,
$A311,#REF!,
"&gt;="&amp;Z$2,#REF!,
"&lt;"&amp;EOMONTH(AK$2,0))</f>
        <v>0</v>
      </c>
    </row>
    <row r="312" spans="1:38" x14ac:dyDescent="0.3">
      <c r="A312" t="s">
        <v>629</v>
      </c>
      <c r="B312" t="s">
        <v>630</v>
      </c>
      <c r="C312" t="s">
        <v>145</v>
      </c>
      <c r="D312" t="s">
        <v>204</v>
      </c>
      <c r="E312" t="s">
        <v>4851</v>
      </c>
      <c r="F312" t="s">
        <v>4776</v>
      </c>
      <c r="G312" t="s">
        <v>4855</v>
      </c>
      <c r="H312" t="s">
        <v>4771</v>
      </c>
      <c r="I312" t="s">
        <v>980</v>
      </c>
      <c r="J312" t="s">
        <v>710</v>
      </c>
      <c r="K312" t="s">
        <v>720</v>
      </c>
      <c r="L312" t="s">
        <v>721</v>
      </c>
      <c r="M312" s="9">
        <f>SUMIFS(#REF!,#REF!,
$A312,#REF!,
"&gt;="&amp;'Faturado mensal'!M$2,#REF!,
"&lt;"&amp;EOMONTH('Faturado mensal'!M$2,0))</f>
        <v>0</v>
      </c>
      <c r="N312" s="9">
        <f>SUMIFS(#REF!,#REF!,
$A312,#REF!,
"&gt;="&amp;'Faturado mensal'!N$2,#REF!,
"&lt;"&amp;EOMONTH('Faturado mensal'!N$2,0))</f>
        <v>0</v>
      </c>
      <c r="O312" s="9">
        <f>SUMIFS(#REF!,#REF!,
$A312,#REF!,
"&gt;="&amp;'Faturado mensal'!O$2,#REF!,
"&lt;"&amp;EOMONTH('Faturado mensal'!O$2,0))</f>
        <v>0</v>
      </c>
      <c r="P312" s="9">
        <f>SUMIFS(#REF!,#REF!,
$A312,#REF!,
"&gt;="&amp;'Faturado mensal'!P$2,#REF!,
"&lt;"&amp;EOMONTH('Faturado mensal'!P$2,0))</f>
        <v>36000</v>
      </c>
      <c r="Q312" s="9">
        <f>SUMIFS(#REF!,#REF!,
$A312,#REF!,
"&gt;="&amp;'Faturado mensal'!Q$2,#REF!,
"&lt;"&amp;EOMONTH('Faturado mensal'!Q$2,0))</f>
        <v>64000</v>
      </c>
      <c r="R312" s="9">
        <f>SUMIFS(#REF!,#REF!,
$A312,#REF!,
"&gt;="&amp;'Faturado mensal'!R$2,#REF!,
"&lt;"&amp;EOMONTH('Faturado mensal'!R$2,0))</f>
        <v>41000</v>
      </c>
      <c r="S312" s="9">
        <f>SUMIFS(#REF!,#REF!,
$A312,#REF!,
"&gt;="&amp;'Faturado mensal'!S$2,#REF!,
"&lt;"&amp;EOMONTH('Faturado mensal'!S$2,0))</f>
        <v>41000</v>
      </c>
      <c r="T312" s="9">
        <f>SUMIFS(#REF!,#REF!,
$A312,#REF!,
"&gt;="&amp;'Faturado mensal'!T$2,#REF!,
"&lt;"&amp;EOMONTH('Faturado mensal'!T$2,0))</f>
        <v>41000</v>
      </c>
      <c r="U312" s="9">
        <f>SUMIFS(#REF!,#REF!,
$A312,#REF!,
"&gt;="&amp;'Faturado mensal'!U$2,#REF!,
"&lt;"&amp;EOMONTH('Faturado mensal'!U$2,0))</f>
        <v>18000</v>
      </c>
      <c r="V312" s="9">
        <f>SUMIFS(#REF!,#REF!,
$A312,#REF!,
"&gt;="&amp;'Faturado mensal'!V$2,#REF!,
"&lt;"&amp;EOMONTH('Faturado mensal'!V$2,0))</f>
        <v>18000</v>
      </c>
      <c r="W312" s="9">
        <f>SUMIFS(#REF!,#REF!,
$A312,#REF!,
"&gt;="&amp;'Faturado mensal'!W$2,#REF!,
"&lt;"&amp;EOMONTH('Faturado mensal'!W$2,0))</f>
        <v>18000</v>
      </c>
      <c r="X312" s="9">
        <f>SUMIFS(#REF!,#REF!,
$A312,#REF!,
"&gt;="&amp;'Faturado mensal'!X$2,#REF!,
"&lt;"&amp;EOMONTH('Faturado mensal'!X$2,0))</f>
        <v>18000</v>
      </c>
      <c r="Y312" s="11">
        <f>SUMIFS(#REF!,#REF!,
$A312,#REF!,
"&gt;="&amp;'Faturado mensal'!M$2,#REF!,
"&lt;"&amp;EOMONTH('Faturado mensal'!M$2,12))</f>
        <v>302800</v>
      </c>
      <c r="Z312" s="9">
        <f>SUMIFS(#REF!,#REF!,
$A312,#REF!,
"&gt;="&amp;'Faturado mensal'!Z$2,#REF!,
"&lt;"&amp;EOMONTH('Faturado mensal'!Z$2,0))</f>
        <v>7800</v>
      </c>
      <c r="AA312" s="9">
        <f>SUMIFS(#REF!,#REF!,
$A312,#REF!,
"&gt;="&amp;'Faturado mensal'!AA$2,#REF!,
"&lt;"&amp;EOMONTH('Faturado mensal'!AA$2,0))</f>
        <v>18000</v>
      </c>
      <c r="AB312" s="9">
        <f>SUMIFS(#REF!,#REF!,
$A312,#REF!,
"&gt;="&amp;'Faturado mensal'!AB$2,#REF!,
"&lt;"&amp;EOMONTH('Faturado mensal'!AB$2,0))</f>
        <v>37350</v>
      </c>
      <c r="AC312" s="9">
        <f>SUMIFS(#REF!,#REF!,
$A312,#REF!,
"&gt;="&amp;'Faturado mensal'!AC$2,#REF!,
"&lt;"&amp;EOMONTH('Faturado mensal'!AC$2,0))</f>
        <v>30750</v>
      </c>
      <c r="AD312" s="9">
        <f>SUMIFS(#REF!,#REF!,
$A312,#REF!,
"&gt;="&amp;'Faturado mensal'!AD$2,#REF!,
"&lt;"&amp;EOMONTH('Faturado mensal'!AD$2,0))</f>
        <v>30750</v>
      </c>
      <c r="AE312" s="9">
        <f>SUMIFS(#REF!,#REF!,
$A312,#REF!,
"&gt;="&amp;'Faturado mensal'!AE$2,#REF!,
"&lt;"&amp;EOMONTH('Faturado mensal'!AE$2,0))</f>
        <v>30750</v>
      </c>
      <c r="AF312" s="9">
        <f>SUMIFS(#REF!,#REF!,
$A312,#REF!,
"&gt;="&amp;'Faturado mensal'!AF$2,#REF!,
"&lt;"&amp;EOMONTH('Faturado mensal'!AF$2,0))</f>
        <v>0</v>
      </c>
      <c r="AG312" s="9">
        <f>SUMIFS(#REF!,#REF!,
$A312,#REF!,
"&gt;="&amp;'Faturado mensal'!AG$2,#REF!,
"&lt;"&amp;EOMONTH('Faturado mensal'!AG$2,0))</f>
        <v>0</v>
      </c>
      <c r="AH312" s="9">
        <f>SUMIFS(#REF!,#REF!,
$A312,#REF!,
"&gt;="&amp;'Faturado mensal'!AH$2,#REF!,
"&lt;"&amp;EOMONTH('Faturado mensal'!AH$2,0))</f>
        <v>0</v>
      </c>
      <c r="AI312" s="9">
        <f>SUMIFS(#REF!,#REF!,
$A312,#REF!,
"&gt;="&amp;'Faturado mensal'!AI$2,#REF!,
"&lt;"&amp;EOMONTH('Faturado mensal'!AI$2,0))</f>
        <v>0</v>
      </c>
      <c r="AJ312" s="9">
        <f>SUMIFS(#REF!,#REF!,
$A312,#REF!,
"&gt;="&amp;'Faturado mensal'!AJ$2,#REF!,
"&lt;"&amp;EOMONTH('Faturado mensal'!AJ$2,0))</f>
        <v>0</v>
      </c>
      <c r="AK312" s="9">
        <f>SUMIFS(#REF!,#REF!,
$A312,#REF!,
"&gt;="&amp;'Faturado mensal'!AK$2,#REF!,
"&lt;"&amp;EOMONTH('Faturado mensal'!AK$2,0))</f>
        <v>0</v>
      </c>
      <c r="AL312" s="9">
        <f>SUMIFS(#REF!,#REF!,
$A312,#REF!,
"&gt;="&amp;Z$2,#REF!,
"&lt;"&amp;EOMONTH(AK$2,0))</f>
        <v>155400</v>
      </c>
    </row>
    <row r="313" spans="1:38" x14ac:dyDescent="0.3">
      <c r="A313" t="s">
        <v>631</v>
      </c>
      <c r="B313" t="s">
        <v>632</v>
      </c>
      <c r="C313" t="s">
        <v>41</v>
      </c>
      <c r="D313" t="s">
        <v>204</v>
      </c>
      <c r="E313" t="s">
        <v>4833</v>
      </c>
      <c r="F313" t="s">
        <v>4776</v>
      </c>
      <c r="G313" t="s">
        <v>4845</v>
      </c>
      <c r="H313" t="s">
        <v>4771</v>
      </c>
      <c r="I313" t="s">
        <v>981</v>
      </c>
      <c r="J313" t="s">
        <v>710</v>
      </c>
      <c r="K313" t="s">
        <v>717</v>
      </c>
      <c r="L313" t="s">
        <v>718</v>
      </c>
      <c r="M313" s="9">
        <f>SUMIFS(#REF!,#REF!,
$A313,#REF!,
"&gt;="&amp;'Faturado mensal'!M$2,#REF!,
"&lt;"&amp;EOMONTH('Faturado mensal'!M$2,0))</f>
        <v>0</v>
      </c>
      <c r="N313" s="9">
        <f>SUMIFS(#REF!,#REF!,
$A313,#REF!,
"&gt;="&amp;'Faturado mensal'!N$2,#REF!,
"&lt;"&amp;EOMONTH('Faturado mensal'!N$2,0))</f>
        <v>0</v>
      </c>
      <c r="O313" s="9">
        <f>SUMIFS(#REF!,#REF!,
$A313,#REF!,
"&gt;="&amp;'Faturado mensal'!O$2,#REF!,
"&lt;"&amp;EOMONTH('Faturado mensal'!O$2,0))</f>
        <v>0</v>
      </c>
      <c r="P313" s="9">
        <f>SUMIFS(#REF!,#REF!,
$A313,#REF!,
"&gt;="&amp;'Faturado mensal'!P$2,#REF!,
"&lt;"&amp;EOMONTH('Faturado mensal'!P$2,0))</f>
        <v>6240</v>
      </c>
      <c r="Q313" s="9">
        <f>SUMIFS(#REF!,#REF!,
$A313,#REF!,
"&gt;="&amp;'Faturado mensal'!Q$2,#REF!,
"&lt;"&amp;EOMONTH('Faturado mensal'!Q$2,0))</f>
        <v>6240</v>
      </c>
      <c r="R313" s="9">
        <f>SUMIFS(#REF!,#REF!,
$A313,#REF!,
"&gt;="&amp;'Faturado mensal'!R$2,#REF!,
"&lt;"&amp;EOMONTH('Faturado mensal'!R$2,0))</f>
        <v>6240</v>
      </c>
      <c r="S313" s="9">
        <f>SUMIFS(#REF!,#REF!,
$A313,#REF!,
"&gt;="&amp;'Faturado mensal'!S$2,#REF!,
"&lt;"&amp;EOMONTH('Faturado mensal'!S$2,0))</f>
        <v>6240</v>
      </c>
      <c r="T313" s="9">
        <f>SUMIFS(#REF!,#REF!,
$A313,#REF!,
"&gt;="&amp;'Faturado mensal'!T$2,#REF!,
"&lt;"&amp;EOMONTH('Faturado mensal'!T$2,0))</f>
        <v>6240</v>
      </c>
      <c r="U313" s="9">
        <f>SUMIFS(#REF!,#REF!,
$A313,#REF!,
"&gt;="&amp;'Faturado mensal'!U$2,#REF!,
"&lt;"&amp;EOMONTH('Faturado mensal'!U$2,0))</f>
        <v>6240</v>
      </c>
      <c r="V313" s="9">
        <f>SUMIFS(#REF!,#REF!,
$A313,#REF!,
"&gt;="&amp;'Faturado mensal'!V$2,#REF!,
"&lt;"&amp;EOMONTH('Faturado mensal'!V$2,0))</f>
        <v>6240</v>
      </c>
      <c r="W313" s="9">
        <f>SUMIFS(#REF!,#REF!,
$A313,#REF!,
"&gt;="&amp;'Faturado mensal'!W$2,#REF!,
"&lt;"&amp;EOMONTH('Faturado mensal'!W$2,0))</f>
        <v>6240</v>
      </c>
      <c r="X313" s="9">
        <f>SUMIFS(#REF!,#REF!,
$A313,#REF!,
"&gt;="&amp;'Faturado mensal'!X$2,#REF!,
"&lt;"&amp;EOMONTH('Faturado mensal'!X$2,0))</f>
        <v>6240</v>
      </c>
      <c r="Y313" s="11">
        <f>SUMIFS(#REF!,#REF!,
$A313,#REF!,
"&gt;="&amp;'Faturado mensal'!M$2,#REF!,
"&lt;"&amp;EOMONTH('Faturado mensal'!M$2,12))</f>
        <v>62400</v>
      </c>
      <c r="Z313" s="9">
        <f>SUMIFS(#REF!,#REF!,
$A313,#REF!,
"&gt;="&amp;'Faturado mensal'!Z$2,#REF!,
"&lt;"&amp;EOMONTH('Faturado mensal'!Z$2,0))</f>
        <v>6240</v>
      </c>
      <c r="AA313" s="9">
        <f>SUMIFS(#REF!,#REF!,
$A313,#REF!,
"&gt;="&amp;'Faturado mensal'!AA$2,#REF!,
"&lt;"&amp;EOMONTH('Faturado mensal'!AA$2,0))</f>
        <v>6240</v>
      </c>
      <c r="AB313" s="9">
        <f>SUMIFS(#REF!,#REF!,
$A313,#REF!,
"&gt;="&amp;'Faturado mensal'!AB$2,#REF!,
"&lt;"&amp;EOMONTH('Faturado mensal'!AB$2,0))</f>
        <v>6240</v>
      </c>
      <c r="AC313" s="9">
        <f>SUMIFS(#REF!,#REF!,
$A313,#REF!,
"&gt;="&amp;'Faturado mensal'!AC$2,#REF!,
"&lt;"&amp;EOMONTH('Faturado mensal'!AC$2,0))</f>
        <v>6708</v>
      </c>
      <c r="AD313" s="9">
        <f>SUMIFS(#REF!,#REF!,
$A313,#REF!,
"&gt;="&amp;'Faturado mensal'!AD$2,#REF!,
"&lt;"&amp;EOMONTH('Faturado mensal'!AD$2,0))</f>
        <v>6708</v>
      </c>
      <c r="AE313" s="9">
        <f>SUMIFS(#REF!,#REF!,
$A313,#REF!,
"&gt;="&amp;'Faturado mensal'!AE$2,#REF!,
"&lt;"&amp;EOMONTH('Faturado mensal'!AE$2,0))</f>
        <v>6708</v>
      </c>
      <c r="AF313" s="9">
        <f>SUMIFS(#REF!,#REF!,
$A313,#REF!,
"&gt;="&amp;'Faturado mensal'!AF$2,#REF!,
"&lt;"&amp;EOMONTH('Faturado mensal'!AF$2,0))</f>
        <v>0</v>
      </c>
      <c r="AG313" s="9">
        <f>SUMIFS(#REF!,#REF!,
$A313,#REF!,
"&gt;="&amp;'Faturado mensal'!AG$2,#REF!,
"&lt;"&amp;EOMONTH('Faturado mensal'!AG$2,0))</f>
        <v>0</v>
      </c>
      <c r="AH313" s="9">
        <f>SUMIFS(#REF!,#REF!,
$A313,#REF!,
"&gt;="&amp;'Faturado mensal'!AH$2,#REF!,
"&lt;"&amp;EOMONTH('Faturado mensal'!AH$2,0))</f>
        <v>0</v>
      </c>
      <c r="AI313" s="9">
        <f>SUMIFS(#REF!,#REF!,
$A313,#REF!,
"&gt;="&amp;'Faturado mensal'!AI$2,#REF!,
"&lt;"&amp;EOMONTH('Faturado mensal'!AI$2,0))</f>
        <v>0</v>
      </c>
      <c r="AJ313" s="9">
        <f>SUMIFS(#REF!,#REF!,
$A313,#REF!,
"&gt;="&amp;'Faturado mensal'!AJ$2,#REF!,
"&lt;"&amp;EOMONTH('Faturado mensal'!AJ$2,0))</f>
        <v>0</v>
      </c>
      <c r="AK313" s="9">
        <f>SUMIFS(#REF!,#REF!,
$A313,#REF!,
"&gt;="&amp;'Faturado mensal'!AK$2,#REF!,
"&lt;"&amp;EOMONTH('Faturado mensal'!AK$2,0))</f>
        <v>0</v>
      </c>
      <c r="AL313" s="9">
        <f>SUMIFS(#REF!,#REF!,
$A313,#REF!,
"&gt;="&amp;Z$2,#REF!,
"&lt;"&amp;EOMONTH(AK$2,0))</f>
        <v>38844</v>
      </c>
    </row>
    <row r="314" spans="1:38" x14ac:dyDescent="0.3">
      <c r="A314" t="s">
        <v>633</v>
      </c>
      <c r="B314" t="s">
        <v>634</v>
      </c>
      <c r="C314" t="s">
        <v>99</v>
      </c>
      <c r="D314" t="s">
        <v>204</v>
      </c>
      <c r="E314" t="s">
        <v>1037</v>
      </c>
      <c r="F314" t="s">
        <v>4790</v>
      </c>
      <c r="G314" t="s">
        <v>4852</v>
      </c>
      <c r="I314" t="s">
        <v>100</v>
      </c>
      <c r="J314" t="s">
        <v>719</v>
      </c>
      <c r="K314" t="s">
        <v>762</v>
      </c>
      <c r="L314" t="s">
        <v>763</v>
      </c>
      <c r="M314" s="9">
        <f>SUMIFS(#REF!,#REF!,
$A314,#REF!,
"&gt;="&amp;'Faturado mensal'!M$2,#REF!,
"&lt;"&amp;EOMONTH('Faturado mensal'!M$2,0))</f>
        <v>0</v>
      </c>
      <c r="N314" s="9">
        <f>SUMIFS(#REF!,#REF!,
$A314,#REF!,
"&gt;="&amp;'Faturado mensal'!N$2,#REF!,
"&lt;"&amp;EOMONTH('Faturado mensal'!N$2,0))</f>
        <v>0</v>
      </c>
      <c r="O314" s="9">
        <f>SUMIFS(#REF!,#REF!,
$A314,#REF!,
"&gt;="&amp;'Faturado mensal'!O$2,#REF!,
"&lt;"&amp;EOMONTH('Faturado mensal'!O$2,0))</f>
        <v>0</v>
      </c>
      <c r="P314" s="9">
        <f>SUMIFS(#REF!,#REF!,
$A314,#REF!,
"&gt;="&amp;'Faturado mensal'!P$2,#REF!,
"&lt;"&amp;EOMONTH('Faturado mensal'!P$2,0))</f>
        <v>62342.740000000005</v>
      </c>
      <c r="Q314" s="9">
        <f>SUMIFS(#REF!,#REF!,
$A314,#REF!,
"&gt;="&amp;'Faturado mensal'!Q$2,#REF!,
"&lt;"&amp;EOMONTH('Faturado mensal'!Q$2,0))</f>
        <v>65740.92</v>
      </c>
      <c r="R314" s="9">
        <f>SUMIFS(#REF!,#REF!,
$A314,#REF!,
"&gt;="&amp;'Faturado mensal'!R$2,#REF!,
"&lt;"&amp;EOMONTH('Faturado mensal'!R$2,0))</f>
        <v>34442.79</v>
      </c>
      <c r="S314" s="9">
        <f>SUMIFS(#REF!,#REF!,
$A314,#REF!,
"&gt;="&amp;'Faturado mensal'!S$2,#REF!,
"&lt;"&amp;EOMONTH('Faturado mensal'!S$2,0))</f>
        <v>125675.21</v>
      </c>
      <c r="T314" s="9">
        <f>SUMIFS(#REF!,#REF!,
$A314,#REF!,
"&gt;="&amp;'Faturado mensal'!T$2,#REF!,
"&lt;"&amp;EOMONTH('Faturado mensal'!T$2,0))</f>
        <v>76576.720000000016</v>
      </c>
      <c r="U314" s="9">
        <f>SUMIFS(#REF!,#REF!,
$A314,#REF!,
"&gt;="&amp;'Faturado mensal'!U$2,#REF!,
"&lt;"&amp;EOMONTH('Faturado mensal'!U$2,0))</f>
        <v>43749.77</v>
      </c>
      <c r="V314" s="9">
        <f>SUMIFS(#REF!,#REF!,
$A314,#REF!,
"&gt;="&amp;'Faturado mensal'!V$2,#REF!,
"&lt;"&amp;EOMONTH('Faturado mensal'!V$2,0))</f>
        <v>88120.069999999978</v>
      </c>
      <c r="W314" s="9">
        <f>SUMIFS(#REF!,#REF!,
$A314,#REF!,
"&gt;="&amp;'Faturado mensal'!W$2,#REF!,
"&lt;"&amp;EOMONTH('Faturado mensal'!W$2,0))</f>
        <v>76510.109999999986</v>
      </c>
      <c r="X314" s="9">
        <f>SUMIFS(#REF!,#REF!,
$A314,#REF!,
"&gt;="&amp;'Faturado mensal'!X$2,#REF!,
"&lt;"&amp;EOMONTH('Faturado mensal'!X$2,0))</f>
        <v>80041.319999999992</v>
      </c>
      <c r="Y314" s="11">
        <f>SUMIFS(#REF!,#REF!,
$A314,#REF!,
"&gt;="&amp;'Faturado mensal'!M$2,#REF!,
"&lt;"&amp;EOMONTH('Faturado mensal'!M$2,12))</f>
        <v>781506.11000000022</v>
      </c>
      <c r="Z314" s="9">
        <f>SUMIFS(#REF!,#REF!,
$A314,#REF!,
"&gt;="&amp;'Faturado mensal'!Z$2,#REF!,
"&lt;"&amp;EOMONTH('Faturado mensal'!Z$2,0))</f>
        <v>47428.19</v>
      </c>
      <c r="AA314" s="9">
        <f>SUMIFS(#REF!,#REF!,
$A314,#REF!,
"&gt;="&amp;'Faturado mensal'!AA$2,#REF!,
"&lt;"&amp;EOMONTH('Faturado mensal'!AA$2,0))</f>
        <v>81191.110000000015</v>
      </c>
      <c r="AB314" s="9">
        <f>SUMIFS(#REF!,#REF!,
$A314,#REF!,
"&gt;="&amp;'Faturado mensal'!AB$2,#REF!,
"&lt;"&amp;EOMONTH('Faturado mensal'!AB$2,0))</f>
        <v>71902.940000000017</v>
      </c>
      <c r="AC314" s="9">
        <f>SUMIFS(#REF!,#REF!,
$A314,#REF!,
"&gt;="&amp;'Faturado mensal'!AC$2,#REF!,
"&lt;"&amp;EOMONTH('Faturado mensal'!AC$2,0))</f>
        <v>82931.430000000008</v>
      </c>
      <c r="AD314" s="9">
        <f>SUMIFS(#REF!,#REF!,
$A314,#REF!,
"&gt;="&amp;'Faturado mensal'!AD$2,#REF!,
"&lt;"&amp;EOMONTH('Faturado mensal'!AD$2,0))</f>
        <v>75541.780000000028</v>
      </c>
      <c r="AE314" s="9">
        <f>SUMIFS(#REF!,#REF!,
$A314,#REF!,
"&gt;="&amp;'Faturado mensal'!AE$2,#REF!,
"&lt;"&amp;EOMONTH('Faturado mensal'!AE$2,0))</f>
        <v>41246.810000000005</v>
      </c>
      <c r="AF314" s="9">
        <f>SUMIFS(#REF!,#REF!,
$A314,#REF!,
"&gt;="&amp;'Faturado mensal'!AF$2,#REF!,
"&lt;"&amp;EOMONTH('Faturado mensal'!AF$2,0))</f>
        <v>0</v>
      </c>
      <c r="AG314" s="9">
        <f>SUMIFS(#REF!,#REF!,
$A314,#REF!,
"&gt;="&amp;'Faturado mensal'!AG$2,#REF!,
"&lt;"&amp;EOMONTH('Faturado mensal'!AG$2,0))</f>
        <v>0</v>
      </c>
      <c r="AH314" s="9">
        <f>SUMIFS(#REF!,#REF!,
$A314,#REF!,
"&gt;="&amp;'Faturado mensal'!AH$2,#REF!,
"&lt;"&amp;EOMONTH('Faturado mensal'!AH$2,0))</f>
        <v>0</v>
      </c>
      <c r="AI314" s="9">
        <f>SUMIFS(#REF!,#REF!,
$A314,#REF!,
"&gt;="&amp;'Faturado mensal'!AI$2,#REF!,
"&lt;"&amp;EOMONTH('Faturado mensal'!AI$2,0))</f>
        <v>0</v>
      </c>
      <c r="AJ314" s="9">
        <f>SUMIFS(#REF!,#REF!,
$A314,#REF!,
"&gt;="&amp;'Faturado mensal'!AJ$2,#REF!,
"&lt;"&amp;EOMONTH('Faturado mensal'!AJ$2,0))</f>
        <v>0</v>
      </c>
      <c r="AK314" s="9">
        <f>SUMIFS(#REF!,#REF!,
$A314,#REF!,
"&gt;="&amp;'Faturado mensal'!AK$2,#REF!,
"&lt;"&amp;EOMONTH('Faturado mensal'!AK$2,0))</f>
        <v>0</v>
      </c>
      <c r="AL314" s="9">
        <f>SUMIFS(#REF!,#REF!,
$A314,#REF!,
"&gt;="&amp;Z$2,#REF!,
"&lt;"&amp;EOMONTH(AK$2,0))</f>
        <v>400242.26</v>
      </c>
    </row>
    <row r="315" spans="1:38" x14ac:dyDescent="0.3">
      <c r="A315" t="s">
        <v>635</v>
      </c>
      <c r="B315" t="s">
        <v>636</v>
      </c>
      <c r="C315" t="s">
        <v>51</v>
      </c>
      <c r="D315" t="s">
        <v>204</v>
      </c>
      <c r="E315" t="s">
        <v>4844</v>
      </c>
      <c r="F315" t="s">
        <v>4779</v>
      </c>
      <c r="G315" t="s">
        <v>4853</v>
      </c>
      <c r="H315" t="s">
        <v>4771</v>
      </c>
      <c r="I315" t="s">
        <v>982</v>
      </c>
      <c r="J315" t="s">
        <v>710</v>
      </c>
      <c r="K315" t="s">
        <v>711</v>
      </c>
      <c r="L315" t="s">
        <v>712</v>
      </c>
      <c r="M315" s="9">
        <f>SUMIFS(#REF!,#REF!,
$A315,#REF!,
"&gt;="&amp;'Faturado mensal'!M$2,#REF!,
"&lt;"&amp;EOMONTH('Faturado mensal'!M$2,0))</f>
        <v>0</v>
      </c>
      <c r="N315" s="9">
        <f>SUMIFS(#REF!,#REF!,
$A315,#REF!,
"&gt;="&amp;'Faturado mensal'!N$2,#REF!,
"&lt;"&amp;EOMONTH('Faturado mensal'!N$2,0))</f>
        <v>0</v>
      </c>
      <c r="O315" s="9">
        <f>SUMIFS(#REF!,#REF!,
$A315,#REF!,
"&gt;="&amp;'Faturado mensal'!O$2,#REF!,
"&lt;"&amp;EOMONTH('Faturado mensal'!O$2,0))</f>
        <v>0</v>
      </c>
      <c r="P315" s="9">
        <f>SUMIFS(#REF!,#REF!,
$A315,#REF!,
"&gt;="&amp;'Faturado mensal'!P$2,#REF!,
"&lt;"&amp;EOMONTH('Faturado mensal'!P$2,0))</f>
        <v>0</v>
      </c>
      <c r="Q315" s="9">
        <f>SUMIFS(#REF!,#REF!,
$A315,#REF!,
"&gt;="&amp;'Faturado mensal'!Q$2,#REF!,
"&lt;"&amp;EOMONTH('Faturado mensal'!Q$2,0))</f>
        <v>15866</v>
      </c>
      <c r="R315" s="9">
        <f>SUMIFS(#REF!,#REF!,
$A315,#REF!,
"&gt;="&amp;'Faturado mensal'!R$2,#REF!,
"&lt;"&amp;EOMONTH('Faturado mensal'!R$2,0))</f>
        <v>7933</v>
      </c>
      <c r="S315" s="9">
        <f>SUMIFS(#REF!,#REF!,
$A315,#REF!,
"&gt;="&amp;'Faturado mensal'!S$2,#REF!,
"&lt;"&amp;EOMONTH('Faturado mensal'!S$2,0))</f>
        <v>0</v>
      </c>
      <c r="T315" s="9">
        <f>SUMIFS(#REF!,#REF!,
$A315,#REF!,
"&gt;="&amp;'Faturado mensal'!T$2,#REF!,
"&lt;"&amp;EOMONTH('Faturado mensal'!T$2,0))</f>
        <v>15866</v>
      </c>
      <c r="U315" s="9">
        <f>SUMIFS(#REF!,#REF!,
$A315,#REF!,
"&gt;="&amp;'Faturado mensal'!U$2,#REF!,
"&lt;"&amp;EOMONTH('Faturado mensal'!U$2,0))</f>
        <v>7933</v>
      </c>
      <c r="V315" s="9">
        <f>SUMIFS(#REF!,#REF!,
$A315,#REF!,
"&gt;="&amp;'Faturado mensal'!V$2,#REF!,
"&lt;"&amp;EOMONTH('Faturado mensal'!V$2,0))</f>
        <v>0</v>
      </c>
      <c r="W315" s="9">
        <f>SUMIFS(#REF!,#REF!,
$A315,#REF!,
"&gt;="&amp;'Faturado mensal'!W$2,#REF!,
"&lt;"&amp;EOMONTH('Faturado mensal'!W$2,0))</f>
        <v>15866</v>
      </c>
      <c r="X315" s="9">
        <f>SUMIFS(#REF!,#REF!,
$A315,#REF!,
"&gt;="&amp;'Faturado mensal'!X$2,#REF!,
"&lt;"&amp;EOMONTH('Faturado mensal'!X$2,0))</f>
        <v>0</v>
      </c>
      <c r="Y315" s="11">
        <f>SUMIFS(#REF!,#REF!,
$A315,#REF!,
"&gt;="&amp;'Faturado mensal'!M$2,#REF!,
"&lt;"&amp;EOMONTH('Faturado mensal'!M$2,12))</f>
        <v>79330</v>
      </c>
      <c r="Z315" s="9">
        <f>SUMIFS(#REF!,#REF!,
$A315,#REF!,
"&gt;="&amp;'Faturado mensal'!Z$2,#REF!,
"&lt;"&amp;EOMONTH('Faturado mensal'!Z$2,0))</f>
        <v>15866</v>
      </c>
      <c r="AA315" s="9">
        <f>SUMIFS(#REF!,#REF!,
$A315,#REF!,
"&gt;="&amp;'Faturado mensal'!AA$2,#REF!,
"&lt;"&amp;EOMONTH('Faturado mensal'!AA$2,0))</f>
        <v>0</v>
      </c>
      <c r="AB315" s="9">
        <f>SUMIFS(#REF!,#REF!,
$A315,#REF!,
"&gt;="&amp;'Faturado mensal'!AB$2,#REF!,
"&lt;"&amp;EOMONTH('Faturado mensal'!AB$2,0))</f>
        <v>15866</v>
      </c>
      <c r="AC315" s="9">
        <f>SUMIFS(#REF!,#REF!,
$A315,#REF!,
"&gt;="&amp;'Faturado mensal'!AC$2,#REF!,
"&lt;"&amp;EOMONTH('Faturado mensal'!AC$2,0))</f>
        <v>7933</v>
      </c>
      <c r="AD315" s="9">
        <f>SUMIFS(#REF!,#REF!,
$A315,#REF!,
"&gt;="&amp;'Faturado mensal'!AD$2,#REF!,
"&lt;"&amp;EOMONTH('Faturado mensal'!AD$2,0))</f>
        <v>0</v>
      </c>
      <c r="AE315" s="9">
        <f>SUMIFS(#REF!,#REF!,
$A315,#REF!,
"&gt;="&amp;'Faturado mensal'!AE$2,#REF!,
"&lt;"&amp;EOMONTH('Faturado mensal'!AE$2,0))</f>
        <v>0</v>
      </c>
      <c r="AF315" s="9">
        <f>SUMIFS(#REF!,#REF!,
$A315,#REF!,
"&gt;="&amp;'Faturado mensal'!AF$2,#REF!,
"&lt;"&amp;EOMONTH('Faturado mensal'!AF$2,0))</f>
        <v>0</v>
      </c>
      <c r="AG315" s="9">
        <f>SUMIFS(#REF!,#REF!,
$A315,#REF!,
"&gt;="&amp;'Faturado mensal'!AG$2,#REF!,
"&lt;"&amp;EOMONTH('Faturado mensal'!AG$2,0))</f>
        <v>0</v>
      </c>
      <c r="AH315" s="9">
        <f>SUMIFS(#REF!,#REF!,
$A315,#REF!,
"&gt;="&amp;'Faturado mensal'!AH$2,#REF!,
"&lt;"&amp;EOMONTH('Faturado mensal'!AH$2,0))</f>
        <v>0</v>
      </c>
      <c r="AI315" s="9">
        <f>SUMIFS(#REF!,#REF!,
$A315,#REF!,
"&gt;="&amp;'Faturado mensal'!AI$2,#REF!,
"&lt;"&amp;EOMONTH('Faturado mensal'!AI$2,0))</f>
        <v>0</v>
      </c>
      <c r="AJ315" s="9">
        <f>SUMIFS(#REF!,#REF!,
$A315,#REF!,
"&gt;="&amp;'Faturado mensal'!AJ$2,#REF!,
"&lt;"&amp;EOMONTH('Faturado mensal'!AJ$2,0))</f>
        <v>0</v>
      </c>
      <c r="AK315" s="9">
        <f>SUMIFS(#REF!,#REF!,
$A315,#REF!,
"&gt;="&amp;'Faturado mensal'!AK$2,#REF!,
"&lt;"&amp;EOMONTH('Faturado mensal'!AK$2,0))</f>
        <v>0</v>
      </c>
      <c r="AL315" s="9">
        <f>SUMIFS(#REF!,#REF!,
$A315,#REF!,
"&gt;="&amp;Z$2,#REF!,
"&lt;"&amp;EOMONTH(AK$2,0))</f>
        <v>39665</v>
      </c>
    </row>
    <row r="316" spans="1:38" x14ac:dyDescent="0.3">
      <c r="A316" t="s">
        <v>637</v>
      </c>
      <c r="B316" t="s">
        <v>638</v>
      </c>
      <c r="C316" t="s">
        <v>134</v>
      </c>
      <c r="D316" t="s">
        <v>204</v>
      </c>
      <c r="E316" t="s">
        <v>4843</v>
      </c>
      <c r="F316" t="s">
        <v>4776</v>
      </c>
      <c r="G316" t="s">
        <v>4853</v>
      </c>
      <c r="I316" t="s">
        <v>82</v>
      </c>
      <c r="J316" t="s">
        <v>710</v>
      </c>
      <c r="K316" t="s">
        <v>711</v>
      </c>
      <c r="L316" t="s">
        <v>712</v>
      </c>
      <c r="M316" s="9">
        <f>SUMIFS(#REF!,#REF!,
$A316,#REF!,
"&gt;="&amp;'Faturado mensal'!M$2,#REF!,
"&lt;"&amp;EOMONTH('Faturado mensal'!M$2,0))</f>
        <v>0</v>
      </c>
      <c r="N316" s="9">
        <f>SUMIFS(#REF!,#REF!,
$A316,#REF!,
"&gt;="&amp;'Faturado mensal'!N$2,#REF!,
"&lt;"&amp;EOMONTH('Faturado mensal'!N$2,0))</f>
        <v>0</v>
      </c>
      <c r="O316" s="9">
        <f>SUMIFS(#REF!,#REF!,
$A316,#REF!,
"&gt;="&amp;'Faturado mensal'!O$2,#REF!,
"&lt;"&amp;EOMONTH('Faturado mensal'!O$2,0))</f>
        <v>0</v>
      </c>
      <c r="P316" s="9">
        <f>SUMIFS(#REF!,#REF!,
$A316,#REF!,
"&gt;="&amp;'Faturado mensal'!P$2,#REF!,
"&lt;"&amp;EOMONTH('Faturado mensal'!P$2,0))</f>
        <v>0</v>
      </c>
      <c r="Q316" s="9">
        <f>SUMIFS(#REF!,#REF!,
$A316,#REF!,
"&gt;="&amp;'Faturado mensal'!Q$2,#REF!,
"&lt;"&amp;EOMONTH('Faturado mensal'!Q$2,0))</f>
        <v>0</v>
      </c>
      <c r="R316" s="9">
        <f>SUMIFS(#REF!,#REF!,
$A316,#REF!,
"&gt;="&amp;'Faturado mensal'!R$2,#REF!,
"&lt;"&amp;EOMONTH('Faturado mensal'!R$2,0))</f>
        <v>0</v>
      </c>
      <c r="S316" s="9">
        <f>SUMIFS(#REF!,#REF!,
$A316,#REF!,
"&gt;="&amp;'Faturado mensal'!S$2,#REF!,
"&lt;"&amp;EOMONTH('Faturado mensal'!S$2,0))</f>
        <v>0</v>
      </c>
      <c r="T316" s="9">
        <f>SUMIFS(#REF!,#REF!,
$A316,#REF!,
"&gt;="&amp;'Faturado mensal'!T$2,#REF!,
"&lt;"&amp;EOMONTH('Faturado mensal'!T$2,0))</f>
        <v>3882</v>
      </c>
      <c r="U316" s="9">
        <f>SUMIFS(#REF!,#REF!,
$A316,#REF!,
"&gt;="&amp;'Faturado mensal'!U$2,#REF!,
"&lt;"&amp;EOMONTH('Faturado mensal'!U$2,0))</f>
        <v>1941</v>
      </c>
      <c r="V316" s="9">
        <f>SUMIFS(#REF!,#REF!,
$A316,#REF!,
"&gt;="&amp;'Faturado mensal'!V$2,#REF!,
"&lt;"&amp;EOMONTH('Faturado mensal'!V$2,0))</f>
        <v>0</v>
      </c>
      <c r="W316" s="9">
        <f>SUMIFS(#REF!,#REF!,
$A316,#REF!,
"&gt;="&amp;'Faturado mensal'!W$2,#REF!,
"&lt;"&amp;EOMONTH('Faturado mensal'!W$2,0))</f>
        <v>1941</v>
      </c>
      <c r="X316" s="9">
        <f>SUMIFS(#REF!,#REF!,
$A316,#REF!,
"&gt;="&amp;'Faturado mensal'!X$2,#REF!,
"&lt;"&amp;EOMONTH('Faturado mensal'!X$2,0))</f>
        <v>1941</v>
      </c>
      <c r="Y316" s="11">
        <f>SUMIFS(#REF!,#REF!,
$A316,#REF!,
"&gt;="&amp;'Faturado mensal'!M$2,#REF!,
"&lt;"&amp;EOMONTH('Faturado mensal'!M$2,12))</f>
        <v>13587</v>
      </c>
      <c r="Z316" s="9">
        <f>SUMIFS(#REF!,#REF!,
$A316,#REF!,
"&gt;="&amp;'Faturado mensal'!Z$2,#REF!,
"&lt;"&amp;EOMONTH('Faturado mensal'!Z$2,0))</f>
        <v>1941</v>
      </c>
      <c r="AA316" s="9">
        <f>SUMIFS(#REF!,#REF!,
$A316,#REF!,
"&gt;="&amp;'Faturado mensal'!AA$2,#REF!,
"&lt;"&amp;EOMONTH('Faturado mensal'!AA$2,0))</f>
        <v>1941</v>
      </c>
      <c r="AB316" s="9">
        <f>SUMIFS(#REF!,#REF!,
$A316,#REF!,
"&gt;="&amp;'Faturado mensal'!AB$2,#REF!,
"&lt;"&amp;EOMONTH('Faturado mensal'!AB$2,0))</f>
        <v>1947</v>
      </c>
      <c r="AC316" s="9">
        <f>SUMIFS(#REF!,#REF!,
$A316,#REF!,
"&gt;="&amp;'Faturado mensal'!AC$2,#REF!,
"&lt;"&amp;EOMONTH('Faturado mensal'!AC$2,0))</f>
        <v>1941</v>
      </c>
      <c r="AD316" s="9">
        <f>SUMIFS(#REF!,#REF!,
$A316,#REF!,
"&gt;="&amp;'Faturado mensal'!AD$2,#REF!,
"&lt;"&amp;EOMONTH('Faturado mensal'!AD$2,0))</f>
        <v>1941</v>
      </c>
      <c r="AE316" s="9">
        <f>SUMIFS(#REF!,#REF!,
$A316,#REF!,
"&gt;="&amp;'Faturado mensal'!AE$2,#REF!,
"&lt;"&amp;EOMONTH('Faturado mensal'!AE$2,0))</f>
        <v>1941</v>
      </c>
      <c r="AF316" s="9">
        <f>SUMIFS(#REF!,#REF!,
$A316,#REF!,
"&gt;="&amp;'Faturado mensal'!AF$2,#REF!,
"&lt;"&amp;EOMONTH('Faturado mensal'!AF$2,0))</f>
        <v>0</v>
      </c>
      <c r="AG316" s="9">
        <f>SUMIFS(#REF!,#REF!,
$A316,#REF!,
"&gt;="&amp;'Faturado mensal'!AG$2,#REF!,
"&lt;"&amp;EOMONTH('Faturado mensal'!AG$2,0))</f>
        <v>0</v>
      </c>
      <c r="AH316" s="9">
        <f>SUMIFS(#REF!,#REF!,
$A316,#REF!,
"&gt;="&amp;'Faturado mensal'!AH$2,#REF!,
"&lt;"&amp;EOMONTH('Faturado mensal'!AH$2,0))</f>
        <v>0</v>
      </c>
      <c r="AI316" s="9">
        <f>SUMIFS(#REF!,#REF!,
$A316,#REF!,
"&gt;="&amp;'Faturado mensal'!AI$2,#REF!,
"&lt;"&amp;EOMONTH('Faturado mensal'!AI$2,0))</f>
        <v>0</v>
      </c>
      <c r="AJ316" s="9">
        <f>SUMIFS(#REF!,#REF!,
$A316,#REF!,
"&gt;="&amp;'Faturado mensal'!AJ$2,#REF!,
"&lt;"&amp;EOMONTH('Faturado mensal'!AJ$2,0))</f>
        <v>0</v>
      </c>
      <c r="AK316" s="9">
        <f>SUMIFS(#REF!,#REF!,
$A316,#REF!,
"&gt;="&amp;'Faturado mensal'!AK$2,#REF!,
"&lt;"&amp;EOMONTH('Faturado mensal'!AK$2,0))</f>
        <v>0</v>
      </c>
      <c r="AL316" s="9">
        <f>SUMIFS(#REF!,#REF!,
$A316,#REF!,
"&gt;="&amp;Z$2,#REF!,
"&lt;"&amp;EOMONTH(AK$2,0))</f>
        <v>11652</v>
      </c>
    </row>
    <row r="317" spans="1:38" x14ac:dyDescent="0.3">
      <c r="A317" t="s">
        <v>639</v>
      </c>
      <c r="B317" t="s">
        <v>638</v>
      </c>
      <c r="C317" t="s">
        <v>134</v>
      </c>
      <c r="D317" t="s">
        <v>204</v>
      </c>
      <c r="E317" t="s">
        <v>1040</v>
      </c>
      <c r="F317" t="s">
        <v>4776</v>
      </c>
      <c r="G317" t="s">
        <v>4856</v>
      </c>
      <c r="I317" t="s">
        <v>82</v>
      </c>
      <c r="J317" t="s">
        <v>710</v>
      </c>
      <c r="K317" t="s">
        <v>748</v>
      </c>
      <c r="L317" t="s">
        <v>749</v>
      </c>
      <c r="M317" s="9">
        <f>SUMIFS(#REF!,#REF!,
$A317,#REF!,
"&gt;="&amp;'Faturado mensal'!M$2,#REF!,
"&lt;"&amp;EOMONTH('Faturado mensal'!M$2,0))</f>
        <v>0</v>
      </c>
      <c r="N317" s="9">
        <f>SUMIFS(#REF!,#REF!,
$A317,#REF!,
"&gt;="&amp;'Faturado mensal'!N$2,#REF!,
"&lt;"&amp;EOMONTH('Faturado mensal'!N$2,0))</f>
        <v>0</v>
      </c>
      <c r="O317" s="9">
        <f>SUMIFS(#REF!,#REF!,
$A317,#REF!,
"&gt;="&amp;'Faturado mensal'!O$2,#REF!,
"&lt;"&amp;EOMONTH('Faturado mensal'!O$2,0))</f>
        <v>0</v>
      </c>
      <c r="P317" s="9">
        <f>SUMIFS(#REF!,#REF!,
$A317,#REF!,
"&gt;="&amp;'Faturado mensal'!P$2,#REF!,
"&lt;"&amp;EOMONTH('Faturado mensal'!P$2,0))</f>
        <v>0</v>
      </c>
      <c r="Q317" s="9">
        <f>SUMIFS(#REF!,#REF!,
$A317,#REF!,
"&gt;="&amp;'Faturado mensal'!Q$2,#REF!,
"&lt;"&amp;EOMONTH('Faturado mensal'!Q$2,0))</f>
        <v>1261</v>
      </c>
      <c r="R317" s="9">
        <f>SUMIFS(#REF!,#REF!,
$A317,#REF!,
"&gt;="&amp;'Faturado mensal'!R$2,#REF!,
"&lt;"&amp;EOMONTH('Faturado mensal'!R$2,0))</f>
        <v>1261</v>
      </c>
      <c r="S317" s="9">
        <f>SUMIFS(#REF!,#REF!,
$A317,#REF!,
"&gt;="&amp;'Faturado mensal'!S$2,#REF!,
"&lt;"&amp;EOMONTH('Faturado mensal'!S$2,0))</f>
        <v>1301</v>
      </c>
      <c r="T317" s="9">
        <f>SUMIFS(#REF!,#REF!,
$A317,#REF!,
"&gt;="&amp;'Faturado mensal'!T$2,#REF!,
"&lt;"&amp;EOMONTH('Faturado mensal'!T$2,0))</f>
        <v>1301</v>
      </c>
      <c r="U317" s="9">
        <f>SUMIFS(#REF!,#REF!,
$A317,#REF!,
"&gt;="&amp;'Faturado mensal'!U$2,#REF!,
"&lt;"&amp;EOMONTH('Faturado mensal'!U$2,0))</f>
        <v>1301</v>
      </c>
      <c r="V317" s="9">
        <f>SUMIFS(#REF!,#REF!,
$A317,#REF!,
"&gt;="&amp;'Faturado mensal'!V$2,#REF!,
"&lt;"&amp;EOMONTH('Faturado mensal'!V$2,0))</f>
        <v>1301</v>
      </c>
      <c r="W317" s="9">
        <f>SUMIFS(#REF!,#REF!,
$A317,#REF!,
"&gt;="&amp;'Faturado mensal'!W$2,#REF!,
"&lt;"&amp;EOMONTH('Faturado mensal'!W$2,0))</f>
        <v>1301</v>
      </c>
      <c r="X317" s="9">
        <f>SUMIFS(#REF!,#REF!,
$A317,#REF!,
"&gt;="&amp;'Faturado mensal'!X$2,#REF!,
"&lt;"&amp;EOMONTH('Faturado mensal'!X$2,0))</f>
        <v>1301</v>
      </c>
      <c r="Y317" s="11">
        <f>SUMIFS(#REF!,#REF!,
$A317,#REF!,
"&gt;="&amp;'Faturado mensal'!M$2,#REF!,
"&lt;"&amp;EOMONTH('Faturado mensal'!M$2,12))</f>
        <v>11629</v>
      </c>
      <c r="Z317" s="9">
        <f>SUMIFS(#REF!,#REF!,
$A317,#REF!,
"&gt;="&amp;'Faturado mensal'!Z$2,#REF!,
"&lt;"&amp;EOMONTH('Faturado mensal'!Z$2,0))</f>
        <v>1301</v>
      </c>
      <c r="AA317" s="9">
        <f>SUMIFS(#REF!,#REF!,
$A317,#REF!,
"&gt;="&amp;'Faturado mensal'!AA$2,#REF!,
"&lt;"&amp;EOMONTH('Faturado mensal'!AA$2,0))</f>
        <v>1301</v>
      </c>
      <c r="AB317" s="9">
        <f>SUMIFS(#REF!,#REF!,
$A317,#REF!,
"&gt;="&amp;'Faturado mensal'!AB$2,#REF!,
"&lt;"&amp;EOMONTH('Faturado mensal'!AB$2,0))</f>
        <v>1301</v>
      </c>
      <c r="AC317" s="9">
        <f>SUMIFS(#REF!,#REF!,
$A317,#REF!,
"&gt;="&amp;'Faturado mensal'!AC$2,#REF!,
"&lt;"&amp;EOMONTH('Faturado mensal'!AC$2,0))</f>
        <v>1301</v>
      </c>
      <c r="AD317" s="9">
        <f>SUMIFS(#REF!,#REF!,
$A317,#REF!,
"&gt;="&amp;'Faturado mensal'!AD$2,#REF!,
"&lt;"&amp;EOMONTH('Faturado mensal'!AD$2,0))</f>
        <v>1301</v>
      </c>
      <c r="AE317" s="9">
        <f>SUMIFS(#REF!,#REF!,
$A317,#REF!,
"&gt;="&amp;'Faturado mensal'!AE$2,#REF!,
"&lt;"&amp;EOMONTH('Faturado mensal'!AE$2,0))</f>
        <v>0</v>
      </c>
      <c r="AF317" s="9">
        <f>SUMIFS(#REF!,#REF!,
$A317,#REF!,
"&gt;="&amp;'Faturado mensal'!AF$2,#REF!,
"&lt;"&amp;EOMONTH('Faturado mensal'!AF$2,0))</f>
        <v>0</v>
      </c>
      <c r="AG317" s="9">
        <f>SUMIFS(#REF!,#REF!,
$A317,#REF!,
"&gt;="&amp;'Faturado mensal'!AG$2,#REF!,
"&lt;"&amp;EOMONTH('Faturado mensal'!AG$2,0))</f>
        <v>0</v>
      </c>
      <c r="AH317" s="9">
        <f>SUMIFS(#REF!,#REF!,
$A317,#REF!,
"&gt;="&amp;'Faturado mensal'!AH$2,#REF!,
"&lt;"&amp;EOMONTH('Faturado mensal'!AH$2,0))</f>
        <v>0</v>
      </c>
      <c r="AI317" s="9">
        <f>SUMIFS(#REF!,#REF!,
$A317,#REF!,
"&gt;="&amp;'Faturado mensal'!AI$2,#REF!,
"&lt;"&amp;EOMONTH('Faturado mensal'!AI$2,0))</f>
        <v>0</v>
      </c>
      <c r="AJ317" s="9">
        <f>SUMIFS(#REF!,#REF!,
$A317,#REF!,
"&gt;="&amp;'Faturado mensal'!AJ$2,#REF!,
"&lt;"&amp;EOMONTH('Faturado mensal'!AJ$2,0))</f>
        <v>0</v>
      </c>
      <c r="AK317" s="9">
        <f>SUMIFS(#REF!,#REF!,
$A317,#REF!,
"&gt;="&amp;'Faturado mensal'!AK$2,#REF!,
"&lt;"&amp;EOMONTH('Faturado mensal'!AK$2,0))</f>
        <v>0</v>
      </c>
      <c r="AL317" s="9">
        <f>SUMIFS(#REF!,#REF!,
$A317,#REF!,
"&gt;="&amp;Z$2,#REF!,
"&lt;"&amp;EOMONTH(AK$2,0))</f>
        <v>6505</v>
      </c>
    </row>
    <row r="318" spans="1:38" x14ac:dyDescent="0.3">
      <c r="A318" t="s">
        <v>640</v>
      </c>
      <c r="B318" t="s">
        <v>641</v>
      </c>
      <c r="C318" t="s">
        <v>26</v>
      </c>
      <c r="D318" t="s">
        <v>204</v>
      </c>
      <c r="E318" t="s">
        <v>1042</v>
      </c>
      <c r="F318" t="s">
        <v>1006</v>
      </c>
      <c r="G318" t="s">
        <v>4852</v>
      </c>
      <c r="I318" t="s">
        <v>983</v>
      </c>
      <c r="J318" t="s">
        <v>710</v>
      </c>
      <c r="K318" t="s">
        <v>717</v>
      </c>
      <c r="L318" t="s">
        <v>718</v>
      </c>
      <c r="M318" s="9">
        <f>SUMIFS(#REF!,#REF!,
$A318,#REF!,
"&gt;="&amp;'Faturado mensal'!M$2,#REF!,
"&lt;"&amp;EOMONTH('Faturado mensal'!M$2,0))</f>
        <v>0</v>
      </c>
      <c r="N318" s="9">
        <f>SUMIFS(#REF!,#REF!,
$A318,#REF!,
"&gt;="&amp;'Faturado mensal'!N$2,#REF!,
"&lt;"&amp;EOMONTH('Faturado mensal'!N$2,0))</f>
        <v>0</v>
      </c>
      <c r="O318" s="9">
        <f>SUMIFS(#REF!,#REF!,
$A318,#REF!,
"&gt;="&amp;'Faturado mensal'!O$2,#REF!,
"&lt;"&amp;EOMONTH('Faturado mensal'!O$2,0))</f>
        <v>0</v>
      </c>
      <c r="P318" s="9">
        <f>SUMIFS(#REF!,#REF!,
$A318,#REF!,
"&gt;="&amp;'Faturado mensal'!P$2,#REF!,
"&lt;"&amp;EOMONTH('Faturado mensal'!P$2,0))</f>
        <v>0</v>
      </c>
      <c r="Q318" s="9">
        <f>SUMIFS(#REF!,#REF!,
$A318,#REF!,
"&gt;="&amp;'Faturado mensal'!Q$2,#REF!,
"&lt;"&amp;EOMONTH('Faturado mensal'!Q$2,0))</f>
        <v>32684.74</v>
      </c>
      <c r="R318" s="9">
        <f>SUMIFS(#REF!,#REF!,
$A318,#REF!,
"&gt;="&amp;'Faturado mensal'!R$2,#REF!,
"&lt;"&amp;EOMONTH('Faturado mensal'!R$2,0))</f>
        <v>0</v>
      </c>
      <c r="S318" s="9">
        <f>SUMIFS(#REF!,#REF!,
$A318,#REF!,
"&gt;="&amp;'Faturado mensal'!S$2,#REF!,
"&lt;"&amp;EOMONTH('Faturado mensal'!S$2,0))</f>
        <v>34011.18</v>
      </c>
      <c r="T318" s="9">
        <f>SUMIFS(#REF!,#REF!,
$A318,#REF!,
"&gt;="&amp;'Faturado mensal'!T$2,#REF!,
"&lt;"&amp;EOMONTH('Faturado mensal'!T$2,0))</f>
        <v>0</v>
      </c>
      <c r="U318" s="9">
        <f>SUMIFS(#REF!,#REF!,
$A318,#REF!,
"&gt;="&amp;'Faturado mensal'!U$2,#REF!,
"&lt;"&amp;EOMONTH('Faturado mensal'!U$2,0))</f>
        <v>45513.22</v>
      </c>
      <c r="V318" s="9">
        <f>SUMIFS(#REF!,#REF!,
$A318,#REF!,
"&gt;="&amp;'Faturado mensal'!V$2,#REF!,
"&lt;"&amp;EOMONTH('Faturado mensal'!V$2,0))</f>
        <v>35003.089999999997</v>
      </c>
      <c r="W318" s="9">
        <f>SUMIFS(#REF!,#REF!,
$A318,#REF!,
"&gt;="&amp;'Faturado mensal'!W$2,#REF!,
"&lt;"&amp;EOMONTH('Faturado mensal'!W$2,0))</f>
        <v>0</v>
      </c>
      <c r="X318" s="9">
        <f>SUMIFS(#REF!,#REF!,
$A318,#REF!,
"&gt;="&amp;'Faturado mensal'!X$2,#REF!,
"&lt;"&amp;EOMONTH('Faturado mensal'!X$2,0))</f>
        <v>0</v>
      </c>
      <c r="Y318" s="11">
        <f>SUMIFS(#REF!,#REF!,
$A318,#REF!,
"&gt;="&amp;'Faturado mensal'!M$2,#REF!,
"&lt;"&amp;EOMONTH('Faturado mensal'!M$2,12))</f>
        <v>147212.22999999998</v>
      </c>
      <c r="Z318" s="9">
        <f>SUMIFS(#REF!,#REF!,
$A318,#REF!,
"&gt;="&amp;'Faturado mensal'!Z$2,#REF!,
"&lt;"&amp;EOMONTH('Faturado mensal'!Z$2,0))</f>
        <v>0</v>
      </c>
      <c r="AA318" s="9">
        <f>SUMIFS(#REF!,#REF!,
$A318,#REF!,
"&gt;="&amp;'Faturado mensal'!AA$2,#REF!,
"&lt;"&amp;EOMONTH('Faturado mensal'!AA$2,0))</f>
        <v>15227.09</v>
      </c>
      <c r="AB318" s="9">
        <f>SUMIFS(#REF!,#REF!,
$A318,#REF!,
"&gt;="&amp;'Faturado mensal'!AB$2,#REF!,
"&lt;"&amp;EOMONTH('Faturado mensal'!AB$2,0))</f>
        <v>0</v>
      </c>
      <c r="AC318" s="9">
        <f>SUMIFS(#REF!,#REF!,
$A318,#REF!,
"&gt;="&amp;'Faturado mensal'!AC$2,#REF!,
"&lt;"&amp;EOMONTH('Faturado mensal'!AC$2,0))</f>
        <v>8627.6200000000008</v>
      </c>
      <c r="AD318" s="9">
        <f>SUMIFS(#REF!,#REF!,
$A318,#REF!,
"&gt;="&amp;'Faturado mensal'!AD$2,#REF!,
"&lt;"&amp;EOMONTH('Faturado mensal'!AD$2,0))</f>
        <v>36677.58</v>
      </c>
      <c r="AE318" s="9">
        <f>SUMIFS(#REF!,#REF!,
$A318,#REF!,
"&gt;="&amp;'Faturado mensal'!AE$2,#REF!,
"&lt;"&amp;EOMONTH('Faturado mensal'!AE$2,0))</f>
        <v>0</v>
      </c>
      <c r="AF318" s="9">
        <f>SUMIFS(#REF!,#REF!,
$A318,#REF!,
"&gt;="&amp;'Faturado mensal'!AF$2,#REF!,
"&lt;"&amp;EOMONTH('Faturado mensal'!AF$2,0))</f>
        <v>0</v>
      </c>
      <c r="AG318" s="9">
        <f>SUMIFS(#REF!,#REF!,
$A318,#REF!,
"&gt;="&amp;'Faturado mensal'!AG$2,#REF!,
"&lt;"&amp;EOMONTH('Faturado mensal'!AG$2,0))</f>
        <v>0</v>
      </c>
      <c r="AH318" s="9">
        <f>SUMIFS(#REF!,#REF!,
$A318,#REF!,
"&gt;="&amp;'Faturado mensal'!AH$2,#REF!,
"&lt;"&amp;EOMONTH('Faturado mensal'!AH$2,0))</f>
        <v>0</v>
      </c>
      <c r="AI318" s="9">
        <f>SUMIFS(#REF!,#REF!,
$A318,#REF!,
"&gt;="&amp;'Faturado mensal'!AI$2,#REF!,
"&lt;"&amp;EOMONTH('Faturado mensal'!AI$2,0))</f>
        <v>0</v>
      </c>
      <c r="AJ318" s="9">
        <f>SUMIFS(#REF!,#REF!,
$A318,#REF!,
"&gt;="&amp;'Faturado mensal'!AJ$2,#REF!,
"&lt;"&amp;EOMONTH('Faturado mensal'!AJ$2,0))</f>
        <v>0</v>
      </c>
      <c r="AK318" s="9">
        <f>SUMIFS(#REF!,#REF!,
$A318,#REF!,
"&gt;="&amp;'Faturado mensal'!AK$2,#REF!,
"&lt;"&amp;EOMONTH('Faturado mensal'!AK$2,0))</f>
        <v>0</v>
      </c>
      <c r="AL318" s="9">
        <f>SUMIFS(#REF!,#REF!,
$A318,#REF!,
"&gt;="&amp;Z$2,#REF!,
"&lt;"&amp;EOMONTH(AK$2,0))</f>
        <v>60532.29</v>
      </c>
    </row>
    <row r="319" spans="1:38" x14ac:dyDescent="0.3">
      <c r="A319" t="s">
        <v>642</v>
      </c>
      <c r="B319" t="s">
        <v>643</v>
      </c>
      <c r="C319" t="s">
        <v>52</v>
      </c>
      <c r="D319" t="s">
        <v>204</v>
      </c>
      <c r="E319" t="s">
        <v>4833</v>
      </c>
      <c r="F319" t="s">
        <v>4776</v>
      </c>
      <c r="G319" t="s">
        <v>4853</v>
      </c>
      <c r="I319" t="s">
        <v>984</v>
      </c>
      <c r="J319" t="s">
        <v>710</v>
      </c>
      <c r="K319" t="s">
        <v>711</v>
      </c>
      <c r="L319" t="s">
        <v>712</v>
      </c>
      <c r="M319" s="9">
        <f>SUMIFS(#REF!,#REF!,
$A319,#REF!,
"&gt;="&amp;'Faturado mensal'!M$2,#REF!,
"&lt;"&amp;EOMONTH('Faturado mensal'!M$2,0))</f>
        <v>0</v>
      </c>
      <c r="N319" s="9">
        <f>SUMIFS(#REF!,#REF!,
$A319,#REF!,
"&gt;="&amp;'Faturado mensal'!N$2,#REF!,
"&lt;"&amp;EOMONTH('Faturado mensal'!N$2,0))</f>
        <v>0</v>
      </c>
      <c r="O319" s="9">
        <f>SUMIFS(#REF!,#REF!,
$A319,#REF!,
"&gt;="&amp;'Faturado mensal'!O$2,#REF!,
"&lt;"&amp;EOMONTH('Faturado mensal'!O$2,0))</f>
        <v>0</v>
      </c>
      <c r="P319" s="9">
        <f>SUMIFS(#REF!,#REF!,
$A319,#REF!,
"&gt;="&amp;'Faturado mensal'!P$2,#REF!,
"&lt;"&amp;EOMONTH('Faturado mensal'!P$2,0))</f>
        <v>0</v>
      </c>
      <c r="Q319" s="9">
        <f>SUMIFS(#REF!,#REF!,
$A319,#REF!,
"&gt;="&amp;'Faturado mensal'!Q$2,#REF!,
"&lt;"&amp;EOMONTH('Faturado mensal'!Q$2,0))</f>
        <v>2300</v>
      </c>
      <c r="R319" s="9">
        <f>SUMIFS(#REF!,#REF!,
$A319,#REF!,
"&gt;="&amp;'Faturado mensal'!R$2,#REF!,
"&lt;"&amp;EOMONTH('Faturado mensal'!R$2,0))</f>
        <v>2300</v>
      </c>
      <c r="S319" s="9">
        <f>SUMIFS(#REF!,#REF!,
$A319,#REF!,
"&gt;="&amp;'Faturado mensal'!S$2,#REF!,
"&lt;"&amp;EOMONTH('Faturado mensal'!S$2,0))</f>
        <v>2300</v>
      </c>
      <c r="T319" s="9">
        <f>SUMIFS(#REF!,#REF!,
$A319,#REF!,
"&gt;="&amp;'Faturado mensal'!T$2,#REF!,
"&lt;"&amp;EOMONTH('Faturado mensal'!T$2,0))</f>
        <v>2300</v>
      </c>
      <c r="U319" s="9">
        <f>SUMIFS(#REF!,#REF!,
$A319,#REF!,
"&gt;="&amp;'Faturado mensal'!U$2,#REF!,
"&lt;"&amp;EOMONTH('Faturado mensal'!U$2,0))</f>
        <v>2300</v>
      </c>
      <c r="V319" s="9">
        <f>SUMIFS(#REF!,#REF!,
$A319,#REF!,
"&gt;="&amp;'Faturado mensal'!V$2,#REF!,
"&lt;"&amp;EOMONTH('Faturado mensal'!V$2,0))</f>
        <v>0</v>
      </c>
      <c r="W319" s="9">
        <f>SUMIFS(#REF!,#REF!,
$A319,#REF!,
"&gt;="&amp;'Faturado mensal'!W$2,#REF!,
"&lt;"&amp;EOMONTH('Faturado mensal'!W$2,0))</f>
        <v>2300</v>
      </c>
      <c r="X319" s="9">
        <f>SUMIFS(#REF!,#REF!,
$A319,#REF!,
"&gt;="&amp;'Faturado mensal'!X$2,#REF!,
"&lt;"&amp;EOMONTH('Faturado mensal'!X$2,0))</f>
        <v>4600</v>
      </c>
      <c r="Y319" s="11">
        <f>SUMIFS(#REF!,#REF!,
$A319,#REF!,
"&gt;="&amp;'Faturado mensal'!M$2,#REF!,
"&lt;"&amp;EOMONTH('Faturado mensal'!M$2,12))</f>
        <v>20700</v>
      </c>
      <c r="Z319" s="9">
        <f>SUMIFS(#REF!,#REF!,
$A319,#REF!,
"&gt;="&amp;'Faturado mensal'!Z$2,#REF!,
"&lt;"&amp;EOMONTH('Faturado mensal'!Z$2,0))</f>
        <v>2300</v>
      </c>
      <c r="AA319" s="9">
        <f>SUMIFS(#REF!,#REF!,
$A319,#REF!,
"&gt;="&amp;'Faturado mensal'!AA$2,#REF!,
"&lt;"&amp;EOMONTH('Faturado mensal'!AA$2,0))</f>
        <v>2300</v>
      </c>
      <c r="AB319" s="9">
        <f>SUMIFS(#REF!,#REF!,
$A319,#REF!,
"&gt;="&amp;'Faturado mensal'!AB$2,#REF!,
"&lt;"&amp;EOMONTH('Faturado mensal'!AB$2,0))</f>
        <v>2300</v>
      </c>
      <c r="AC319" s="9">
        <f>SUMIFS(#REF!,#REF!,
$A319,#REF!,
"&gt;="&amp;'Faturado mensal'!AC$2,#REF!,
"&lt;"&amp;EOMONTH('Faturado mensal'!AC$2,0))</f>
        <v>2300</v>
      </c>
      <c r="AD319" s="9">
        <f>SUMIFS(#REF!,#REF!,
$A319,#REF!,
"&gt;="&amp;'Faturado mensal'!AD$2,#REF!,
"&lt;"&amp;EOMONTH('Faturado mensal'!AD$2,0))</f>
        <v>0</v>
      </c>
      <c r="AE319" s="9">
        <f>SUMIFS(#REF!,#REF!,
$A319,#REF!,
"&gt;="&amp;'Faturado mensal'!AE$2,#REF!,
"&lt;"&amp;EOMONTH('Faturado mensal'!AE$2,0))</f>
        <v>4800</v>
      </c>
      <c r="AF319" s="9">
        <f>SUMIFS(#REF!,#REF!,
$A319,#REF!,
"&gt;="&amp;'Faturado mensal'!AF$2,#REF!,
"&lt;"&amp;EOMONTH('Faturado mensal'!AF$2,0))</f>
        <v>0</v>
      </c>
      <c r="AG319" s="9">
        <f>SUMIFS(#REF!,#REF!,
$A319,#REF!,
"&gt;="&amp;'Faturado mensal'!AG$2,#REF!,
"&lt;"&amp;EOMONTH('Faturado mensal'!AG$2,0))</f>
        <v>0</v>
      </c>
      <c r="AH319" s="9">
        <f>SUMIFS(#REF!,#REF!,
$A319,#REF!,
"&gt;="&amp;'Faturado mensal'!AH$2,#REF!,
"&lt;"&amp;EOMONTH('Faturado mensal'!AH$2,0))</f>
        <v>0</v>
      </c>
      <c r="AI319" s="9">
        <f>SUMIFS(#REF!,#REF!,
$A319,#REF!,
"&gt;="&amp;'Faturado mensal'!AI$2,#REF!,
"&lt;"&amp;EOMONTH('Faturado mensal'!AI$2,0))</f>
        <v>0</v>
      </c>
      <c r="AJ319" s="9">
        <f>SUMIFS(#REF!,#REF!,
$A319,#REF!,
"&gt;="&amp;'Faturado mensal'!AJ$2,#REF!,
"&lt;"&amp;EOMONTH('Faturado mensal'!AJ$2,0))</f>
        <v>0</v>
      </c>
      <c r="AK319" s="9">
        <f>SUMIFS(#REF!,#REF!,
$A319,#REF!,
"&gt;="&amp;'Faturado mensal'!AK$2,#REF!,
"&lt;"&amp;EOMONTH('Faturado mensal'!AK$2,0))</f>
        <v>0</v>
      </c>
      <c r="AL319" s="9">
        <f>SUMIFS(#REF!,#REF!,
$A319,#REF!,
"&gt;="&amp;Z$2,#REF!,
"&lt;"&amp;EOMONTH(AK$2,0))</f>
        <v>14000</v>
      </c>
    </row>
    <row r="320" spans="1:38" x14ac:dyDescent="0.3">
      <c r="A320" t="s">
        <v>644</v>
      </c>
      <c r="B320" t="s">
        <v>645</v>
      </c>
      <c r="C320" t="s">
        <v>76</v>
      </c>
      <c r="D320" t="s">
        <v>204</v>
      </c>
      <c r="E320" t="s">
        <v>4843</v>
      </c>
      <c r="F320" t="s">
        <v>4776</v>
      </c>
      <c r="G320" t="s">
        <v>4854</v>
      </c>
      <c r="H320" t="s">
        <v>4773</v>
      </c>
      <c r="I320" t="s">
        <v>985</v>
      </c>
      <c r="J320" t="s">
        <v>710</v>
      </c>
      <c r="K320" t="s">
        <v>720</v>
      </c>
      <c r="L320" t="s">
        <v>721</v>
      </c>
      <c r="M320" s="9">
        <f>SUMIFS(#REF!,#REF!,
$A320,#REF!,
"&gt;="&amp;'Faturado mensal'!M$2,#REF!,
"&lt;"&amp;EOMONTH('Faturado mensal'!M$2,0))</f>
        <v>0</v>
      </c>
      <c r="N320" s="9">
        <f>SUMIFS(#REF!,#REF!,
$A320,#REF!,
"&gt;="&amp;'Faturado mensal'!N$2,#REF!,
"&lt;"&amp;EOMONTH('Faturado mensal'!N$2,0))</f>
        <v>0</v>
      </c>
      <c r="O320" s="9">
        <f>SUMIFS(#REF!,#REF!,
$A320,#REF!,
"&gt;="&amp;'Faturado mensal'!O$2,#REF!,
"&lt;"&amp;EOMONTH('Faturado mensal'!O$2,0))</f>
        <v>0</v>
      </c>
      <c r="P320" s="9">
        <f>SUMIFS(#REF!,#REF!,
$A320,#REF!,
"&gt;="&amp;'Faturado mensal'!P$2,#REF!,
"&lt;"&amp;EOMONTH('Faturado mensal'!P$2,0))</f>
        <v>0</v>
      </c>
      <c r="Q320" s="9">
        <f>SUMIFS(#REF!,#REF!,
$A320,#REF!,
"&gt;="&amp;'Faturado mensal'!Q$2,#REF!,
"&lt;"&amp;EOMONTH('Faturado mensal'!Q$2,0))</f>
        <v>4027.7</v>
      </c>
      <c r="R320" s="9">
        <f>SUMIFS(#REF!,#REF!,
$A320,#REF!,
"&gt;="&amp;'Faturado mensal'!R$2,#REF!,
"&lt;"&amp;EOMONTH('Faturado mensal'!R$2,0))</f>
        <v>4027.7</v>
      </c>
      <c r="S320" s="9">
        <f>SUMIFS(#REF!,#REF!,
$A320,#REF!,
"&gt;="&amp;'Faturado mensal'!S$2,#REF!,
"&lt;"&amp;EOMONTH('Faturado mensal'!S$2,0))</f>
        <v>8055.4</v>
      </c>
      <c r="T320" s="9">
        <f>SUMIFS(#REF!,#REF!,
$A320,#REF!,
"&gt;="&amp;'Faturado mensal'!T$2,#REF!,
"&lt;"&amp;EOMONTH('Faturado mensal'!T$2,0))</f>
        <v>4027.7</v>
      </c>
      <c r="U320" s="9">
        <f>SUMIFS(#REF!,#REF!,
$A320,#REF!,
"&gt;="&amp;'Faturado mensal'!U$2,#REF!,
"&lt;"&amp;EOMONTH('Faturado mensal'!U$2,0))</f>
        <v>4027.7</v>
      </c>
      <c r="V320" s="9">
        <f>SUMIFS(#REF!,#REF!,
$A320,#REF!,
"&gt;="&amp;'Faturado mensal'!V$2,#REF!,
"&lt;"&amp;EOMONTH('Faturado mensal'!V$2,0))</f>
        <v>4027.7</v>
      </c>
      <c r="W320" s="9">
        <f>SUMIFS(#REF!,#REF!,
$A320,#REF!,
"&gt;="&amp;'Faturado mensal'!W$2,#REF!,
"&lt;"&amp;EOMONTH('Faturado mensal'!W$2,0))</f>
        <v>4027.7</v>
      </c>
      <c r="X320" s="9">
        <f>SUMIFS(#REF!,#REF!,
$A320,#REF!,
"&gt;="&amp;'Faturado mensal'!X$2,#REF!,
"&lt;"&amp;EOMONTH('Faturado mensal'!X$2,0))</f>
        <v>4027.7</v>
      </c>
      <c r="Y320" s="11">
        <f>SUMIFS(#REF!,#REF!,
$A320,#REF!,
"&gt;="&amp;'Faturado mensal'!M$2,#REF!,
"&lt;"&amp;EOMONTH('Faturado mensal'!M$2,12))</f>
        <v>40277</v>
      </c>
      <c r="Z320" s="9">
        <f>SUMIFS(#REF!,#REF!,
$A320,#REF!,
"&gt;="&amp;'Faturado mensal'!Z$2,#REF!,
"&lt;"&amp;EOMONTH('Faturado mensal'!Z$2,0))</f>
        <v>4027.7</v>
      </c>
      <c r="AA320" s="9">
        <f>SUMIFS(#REF!,#REF!,
$A320,#REF!,
"&gt;="&amp;'Faturado mensal'!AA$2,#REF!,
"&lt;"&amp;EOMONTH('Faturado mensal'!AA$2,0))</f>
        <v>0</v>
      </c>
      <c r="AB320" s="9">
        <f>SUMIFS(#REF!,#REF!,
$A320,#REF!,
"&gt;="&amp;'Faturado mensal'!AB$2,#REF!,
"&lt;"&amp;EOMONTH('Faturado mensal'!AB$2,0))</f>
        <v>8055.4</v>
      </c>
      <c r="AC320" s="9">
        <f>SUMIFS(#REF!,#REF!,
$A320,#REF!,
"&gt;="&amp;'Faturado mensal'!AC$2,#REF!,
"&lt;"&amp;EOMONTH('Faturado mensal'!AC$2,0))</f>
        <v>0</v>
      </c>
      <c r="AD320" s="9">
        <f>SUMIFS(#REF!,#REF!,
$A320,#REF!,
"&gt;="&amp;'Faturado mensal'!AD$2,#REF!,
"&lt;"&amp;EOMONTH('Faturado mensal'!AD$2,0))</f>
        <v>8055.4</v>
      </c>
      <c r="AE320" s="9">
        <f>SUMIFS(#REF!,#REF!,
$A320,#REF!,
"&gt;="&amp;'Faturado mensal'!AE$2,#REF!,
"&lt;"&amp;EOMONTH('Faturado mensal'!AE$2,0))</f>
        <v>4300</v>
      </c>
      <c r="AF320" s="9">
        <f>SUMIFS(#REF!,#REF!,
$A320,#REF!,
"&gt;="&amp;'Faturado mensal'!AF$2,#REF!,
"&lt;"&amp;EOMONTH('Faturado mensal'!AF$2,0))</f>
        <v>0</v>
      </c>
      <c r="AG320" s="9">
        <f>SUMIFS(#REF!,#REF!,
$A320,#REF!,
"&gt;="&amp;'Faturado mensal'!AG$2,#REF!,
"&lt;"&amp;EOMONTH('Faturado mensal'!AG$2,0))</f>
        <v>0</v>
      </c>
      <c r="AH320" s="9">
        <f>SUMIFS(#REF!,#REF!,
$A320,#REF!,
"&gt;="&amp;'Faturado mensal'!AH$2,#REF!,
"&lt;"&amp;EOMONTH('Faturado mensal'!AH$2,0))</f>
        <v>0</v>
      </c>
      <c r="AI320" s="9">
        <f>SUMIFS(#REF!,#REF!,
$A320,#REF!,
"&gt;="&amp;'Faturado mensal'!AI$2,#REF!,
"&lt;"&amp;EOMONTH('Faturado mensal'!AI$2,0))</f>
        <v>0</v>
      </c>
      <c r="AJ320" s="9">
        <f>SUMIFS(#REF!,#REF!,
$A320,#REF!,
"&gt;="&amp;'Faturado mensal'!AJ$2,#REF!,
"&lt;"&amp;EOMONTH('Faturado mensal'!AJ$2,0))</f>
        <v>0</v>
      </c>
      <c r="AK320" s="9">
        <f>SUMIFS(#REF!,#REF!,
$A320,#REF!,
"&gt;="&amp;'Faturado mensal'!AK$2,#REF!,
"&lt;"&amp;EOMONTH('Faturado mensal'!AK$2,0))</f>
        <v>0</v>
      </c>
      <c r="AL320" s="9">
        <f>SUMIFS(#REF!,#REF!,
$A320,#REF!,
"&gt;="&amp;Z$2,#REF!,
"&lt;"&amp;EOMONTH(AK$2,0))</f>
        <v>24438.5</v>
      </c>
    </row>
    <row r="321" spans="1:38" x14ac:dyDescent="0.3">
      <c r="A321" t="s">
        <v>646</v>
      </c>
      <c r="B321" t="s">
        <v>647</v>
      </c>
      <c r="C321" t="s">
        <v>130</v>
      </c>
      <c r="D321" t="s">
        <v>204</v>
      </c>
      <c r="E321" t="s">
        <v>4842</v>
      </c>
      <c r="F321" t="s">
        <v>4776</v>
      </c>
      <c r="G321" t="s">
        <v>4852</v>
      </c>
      <c r="I321" t="s">
        <v>986</v>
      </c>
      <c r="J321" t="s">
        <v>890</v>
      </c>
      <c r="K321" t="s">
        <v>762</v>
      </c>
      <c r="L321" t="s">
        <v>763</v>
      </c>
      <c r="M321" s="9">
        <f>SUMIFS(#REF!,#REF!,
$A321,#REF!,
"&gt;="&amp;'Faturado mensal'!M$2,#REF!,
"&lt;"&amp;EOMONTH('Faturado mensal'!M$2,0))</f>
        <v>0</v>
      </c>
      <c r="N321" s="9">
        <f>SUMIFS(#REF!,#REF!,
$A321,#REF!,
"&gt;="&amp;'Faturado mensal'!N$2,#REF!,
"&lt;"&amp;EOMONTH('Faturado mensal'!N$2,0))</f>
        <v>0</v>
      </c>
      <c r="O321" s="9">
        <f>SUMIFS(#REF!,#REF!,
$A321,#REF!,
"&gt;="&amp;'Faturado mensal'!O$2,#REF!,
"&lt;"&amp;EOMONTH('Faturado mensal'!O$2,0))</f>
        <v>0</v>
      </c>
      <c r="P321" s="9">
        <f>SUMIFS(#REF!,#REF!,
$A321,#REF!,
"&gt;="&amp;'Faturado mensal'!P$2,#REF!,
"&lt;"&amp;EOMONTH('Faturado mensal'!P$2,0))</f>
        <v>0</v>
      </c>
      <c r="Q321" s="9">
        <f>SUMIFS(#REF!,#REF!,
$A321,#REF!,
"&gt;="&amp;'Faturado mensal'!Q$2,#REF!,
"&lt;"&amp;EOMONTH('Faturado mensal'!Q$2,0))</f>
        <v>2081.4</v>
      </c>
      <c r="R321" s="9">
        <f>SUMIFS(#REF!,#REF!,
$A321,#REF!,
"&gt;="&amp;'Faturado mensal'!R$2,#REF!,
"&lt;"&amp;EOMONTH('Faturado mensal'!R$2,0))</f>
        <v>15181.4</v>
      </c>
      <c r="S321" s="9">
        <f>SUMIFS(#REF!,#REF!,
$A321,#REF!,
"&gt;="&amp;'Faturado mensal'!S$2,#REF!,
"&lt;"&amp;EOMONTH('Faturado mensal'!S$2,0))</f>
        <v>2081.4</v>
      </c>
      <c r="T321" s="9">
        <f>SUMIFS(#REF!,#REF!,
$A321,#REF!,
"&gt;="&amp;'Faturado mensal'!T$2,#REF!,
"&lt;"&amp;EOMONTH('Faturado mensal'!T$2,0))</f>
        <v>29065.4</v>
      </c>
      <c r="U321" s="9">
        <f>SUMIFS(#REF!,#REF!,
$A321,#REF!,
"&gt;="&amp;'Faturado mensal'!U$2,#REF!,
"&lt;"&amp;EOMONTH('Faturado mensal'!U$2,0))</f>
        <v>15573</v>
      </c>
      <c r="V321" s="9">
        <f>SUMIFS(#REF!,#REF!,
$A321,#REF!,
"&gt;="&amp;'Faturado mensal'!V$2,#REF!,
"&lt;"&amp;EOMONTH('Faturado mensal'!V$2,0))</f>
        <v>15573.4</v>
      </c>
      <c r="W321" s="9">
        <f>SUMIFS(#REF!,#REF!,
$A321,#REF!,
"&gt;="&amp;'Faturado mensal'!W$2,#REF!,
"&lt;"&amp;EOMONTH('Faturado mensal'!W$2,0))</f>
        <v>15573.4</v>
      </c>
      <c r="X321" s="9">
        <f>SUMIFS(#REF!,#REF!,
$A321,#REF!,
"&gt;="&amp;'Faturado mensal'!X$2,#REF!,
"&lt;"&amp;EOMONTH('Faturado mensal'!X$2,0))</f>
        <v>15573.4</v>
      </c>
      <c r="Y321" s="11">
        <f>SUMIFS(#REF!,#REF!,
$A321,#REF!,
"&gt;="&amp;'Faturado mensal'!M$2,#REF!,
"&lt;"&amp;EOMONTH('Faturado mensal'!M$2,12))</f>
        <v>112784.19999999998</v>
      </c>
      <c r="Z321" s="9">
        <f>SUMIFS(#REF!,#REF!,
$A321,#REF!,
"&gt;="&amp;'Faturado mensal'!Z$2,#REF!,
"&lt;"&amp;EOMONTH('Faturado mensal'!Z$2,0))</f>
        <v>2081.4</v>
      </c>
      <c r="AA321" s="9">
        <f>SUMIFS(#REF!,#REF!,
$A321,#REF!,
"&gt;="&amp;'Faturado mensal'!AA$2,#REF!,
"&lt;"&amp;EOMONTH('Faturado mensal'!AA$2,0))</f>
        <v>15740.4</v>
      </c>
      <c r="AB321" s="9">
        <f>SUMIFS(#REF!,#REF!,
$A321,#REF!,
"&gt;="&amp;'Faturado mensal'!AB$2,#REF!,
"&lt;"&amp;EOMONTH('Faturado mensal'!AB$2,0))</f>
        <v>18212</v>
      </c>
      <c r="AC321" s="9">
        <f>SUMIFS(#REF!,#REF!,
$A321,#REF!,
"&gt;="&amp;'Faturado mensal'!AC$2,#REF!,
"&lt;"&amp;EOMONTH('Faturado mensal'!AC$2,0))</f>
        <v>18212</v>
      </c>
      <c r="AD321" s="9">
        <f>SUMIFS(#REF!,#REF!,
$A321,#REF!,
"&gt;="&amp;'Faturado mensal'!AD$2,#REF!,
"&lt;"&amp;EOMONTH('Faturado mensal'!AD$2,0))</f>
        <v>18212</v>
      </c>
      <c r="AE321" s="9">
        <f>SUMIFS(#REF!,#REF!,
$A321,#REF!,
"&gt;="&amp;'Faturado mensal'!AE$2,#REF!,
"&lt;"&amp;EOMONTH('Faturado mensal'!AE$2,0))</f>
        <v>13659</v>
      </c>
      <c r="AF321" s="9">
        <f>SUMIFS(#REF!,#REF!,
$A321,#REF!,
"&gt;="&amp;'Faturado mensal'!AF$2,#REF!,
"&lt;"&amp;EOMONTH('Faturado mensal'!AF$2,0))</f>
        <v>0</v>
      </c>
      <c r="AG321" s="9">
        <f>SUMIFS(#REF!,#REF!,
$A321,#REF!,
"&gt;="&amp;'Faturado mensal'!AG$2,#REF!,
"&lt;"&amp;EOMONTH('Faturado mensal'!AG$2,0))</f>
        <v>0</v>
      </c>
      <c r="AH321" s="9">
        <f>SUMIFS(#REF!,#REF!,
$A321,#REF!,
"&gt;="&amp;'Faturado mensal'!AH$2,#REF!,
"&lt;"&amp;EOMONTH('Faturado mensal'!AH$2,0))</f>
        <v>0</v>
      </c>
      <c r="AI321" s="9">
        <f>SUMIFS(#REF!,#REF!,
$A321,#REF!,
"&gt;="&amp;'Faturado mensal'!AI$2,#REF!,
"&lt;"&amp;EOMONTH('Faturado mensal'!AI$2,0))</f>
        <v>0</v>
      </c>
      <c r="AJ321" s="9">
        <f>SUMIFS(#REF!,#REF!,
$A321,#REF!,
"&gt;="&amp;'Faturado mensal'!AJ$2,#REF!,
"&lt;"&amp;EOMONTH('Faturado mensal'!AJ$2,0))</f>
        <v>0</v>
      </c>
      <c r="AK321" s="9">
        <f>SUMIFS(#REF!,#REF!,
$A321,#REF!,
"&gt;="&amp;'Faturado mensal'!AK$2,#REF!,
"&lt;"&amp;EOMONTH('Faturado mensal'!AK$2,0))</f>
        <v>0</v>
      </c>
      <c r="AL321" s="9">
        <f>SUMIFS(#REF!,#REF!,
$A321,#REF!,
"&gt;="&amp;Z$2,#REF!,
"&lt;"&amp;EOMONTH(AK$2,0))</f>
        <v>86116.800000000003</v>
      </c>
    </row>
    <row r="322" spans="1:38" x14ac:dyDescent="0.3">
      <c r="A322" t="s">
        <v>648</v>
      </c>
      <c r="B322" t="s">
        <v>649</v>
      </c>
      <c r="C322" t="s">
        <v>88</v>
      </c>
      <c r="D322" t="s">
        <v>204</v>
      </c>
      <c r="E322" t="s">
        <v>4811</v>
      </c>
      <c r="F322" t="s">
        <v>4776</v>
      </c>
      <c r="G322" t="s">
        <v>4859</v>
      </c>
      <c r="I322" t="s">
        <v>987</v>
      </c>
      <c r="J322" t="s">
        <v>710</v>
      </c>
      <c r="K322" t="s">
        <v>762</v>
      </c>
      <c r="L322" t="s">
        <v>763</v>
      </c>
      <c r="M322" s="9">
        <f>SUMIFS(#REF!,#REF!,
$A322,#REF!,
"&gt;="&amp;'Faturado mensal'!M$2,#REF!,
"&lt;"&amp;EOMONTH('Faturado mensal'!M$2,0))</f>
        <v>0</v>
      </c>
      <c r="N322" s="9">
        <f>SUMIFS(#REF!,#REF!,
$A322,#REF!,
"&gt;="&amp;'Faturado mensal'!N$2,#REF!,
"&lt;"&amp;EOMONTH('Faturado mensal'!N$2,0))</f>
        <v>0</v>
      </c>
      <c r="O322" s="9">
        <f>SUMIFS(#REF!,#REF!,
$A322,#REF!,
"&gt;="&amp;'Faturado mensal'!O$2,#REF!,
"&lt;"&amp;EOMONTH('Faturado mensal'!O$2,0))</f>
        <v>0</v>
      </c>
      <c r="P322" s="9">
        <f>SUMIFS(#REF!,#REF!,
$A322,#REF!,
"&gt;="&amp;'Faturado mensal'!P$2,#REF!,
"&lt;"&amp;EOMONTH('Faturado mensal'!P$2,0))</f>
        <v>0</v>
      </c>
      <c r="Q322" s="9">
        <f>SUMIFS(#REF!,#REF!,
$A322,#REF!,
"&gt;="&amp;'Faturado mensal'!Q$2,#REF!,
"&lt;"&amp;EOMONTH('Faturado mensal'!Q$2,0))</f>
        <v>0</v>
      </c>
      <c r="R322" s="9">
        <f>SUMIFS(#REF!,#REF!,
$A322,#REF!,
"&gt;="&amp;'Faturado mensal'!R$2,#REF!,
"&lt;"&amp;EOMONTH('Faturado mensal'!R$2,0))</f>
        <v>9075</v>
      </c>
      <c r="S322" s="9">
        <f>SUMIFS(#REF!,#REF!,
$A322,#REF!,
"&gt;="&amp;'Faturado mensal'!S$2,#REF!,
"&lt;"&amp;EOMONTH('Faturado mensal'!S$2,0))</f>
        <v>8233.5</v>
      </c>
      <c r="T322" s="9">
        <f>SUMIFS(#REF!,#REF!,
$A322,#REF!,
"&gt;="&amp;'Faturado mensal'!T$2,#REF!,
"&lt;"&amp;EOMONTH('Faturado mensal'!T$2,0))</f>
        <v>0</v>
      </c>
      <c r="U322" s="9">
        <f>SUMIFS(#REF!,#REF!,
$A322,#REF!,
"&gt;="&amp;'Faturado mensal'!U$2,#REF!,
"&lt;"&amp;EOMONTH('Faturado mensal'!U$2,0))</f>
        <v>0</v>
      </c>
      <c r="V322" s="9">
        <f>SUMIFS(#REF!,#REF!,
$A322,#REF!,
"&gt;="&amp;'Faturado mensal'!V$2,#REF!,
"&lt;"&amp;EOMONTH('Faturado mensal'!V$2,0))</f>
        <v>4917</v>
      </c>
      <c r="W322" s="9">
        <f>SUMIFS(#REF!,#REF!,
$A322,#REF!,
"&gt;="&amp;'Faturado mensal'!W$2,#REF!,
"&lt;"&amp;EOMONTH('Faturado mensal'!W$2,0))</f>
        <v>3547.5</v>
      </c>
      <c r="X322" s="9">
        <f>SUMIFS(#REF!,#REF!,
$A322,#REF!,
"&gt;="&amp;'Faturado mensal'!X$2,#REF!,
"&lt;"&amp;EOMONTH('Faturado mensal'!X$2,0))</f>
        <v>0</v>
      </c>
      <c r="Y322" s="11">
        <f>SUMIFS(#REF!,#REF!,
$A322,#REF!,
"&gt;="&amp;'Faturado mensal'!M$2,#REF!,
"&lt;"&amp;EOMONTH('Faturado mensal'!M$2,12))</f>
        <v>32340</v>
      </c>
      <c r="Z322" s="9">
        <f>SUMIFS(#REF!,#REF!,
$A322,#REF!,
"&gt;="&amp;'Faturado mensal'!Z$2,#REF!,
"&lt;"&amp;EOMONTH('Faturado mensal'!Z$2,0))</f>
        <v>6567</v>
      </c>
      <c r="AA322" s="9">
        <f>SUMIFS(#REF!,#REF!,
$A322,#REF!,
"&gt;="&amp;'Faturado mensal'!AA$2,#REF!,
"&lt;"&amp;EOMONTH('Faturado mensal'!AA$2,0))</f>
        <v>0</v>
      </c>
      <c r="AB322" s="9">
        <f>SUMIFS(#REF!,#REF!,
$A322,#REF!,
"&gt;="&amp;'Faturado mensal'!AB$2,#REF!,
"&lt;"&amp;EOMONTH('Faturado mensal'!AB$2,0))</f>
        <v>3712.5</v>
      </c>
      <c r="AC322" s="9">
        <f>SUMIFS(#REF!,#REF!,
$A322,#REF!,
"&gt;="&amp;'Faturado mensal'!AC$2,#REF!,
"&lt;"&amp;EOMONTH('Faturado mensal'!AC$2,0))</f>
        <v>0</v>
      </c>
      <c r="AD322" s="9">
        <f>SUMIFS(#REF!,#REF!,
$A322,#REF!,
"&gt;="&amp;'Faturado mensal'!AD$2,#REF!,
"&lt;"&amp;EOMONTH('Faturado mensal'!AD$2,0))</f>
        <v>0</v>
      </c>
      <c r="AE322" s="9">
        <f>SUMIFS(#REF!,#REF!,
$A322,#REF!,
"&gt;="&amp;'Faturado mensal'!AE$2,#REF!,
"&lt;"&amp;EOMONTH('Faturado mensal'!AE$2,0))</f>
        <v>7540.5</v>
      </c>
      <c r="AF322" s="9">
        <f>SUMIFS(#REF!,#REF!,
$A322,#REF!,
"&gt;="&amp;'Faturado mensal'!AF$2,#REF!,
"&lt;"&amp;EOMONTH('Faturado mensal'!AF$2,0))</f>
        <v>0</v>
      </c>
      <c r="AG322" s="9">
        <f>SUMIFS(#REF!,#REF!,
$A322,#REF!,
"&gt;="&amp;'Faturado mensal'!AG$2,#REF!,
"&lt;"&amp;EOMONTH('Faturado mensal'!AG$2,0))</f>
        <v>0</v>
      </c>
      <c r="AH322" s="9">
        <f>SUMIFS(#REF!,#REF!,
$A322,#REF!,
"&gt;="&amp;'Faturado mensal'!AH$2,#REF!,
"&lt;"&amp;EOMONTH('Faturado mensal'!AH$2,0))</f>
        <v>0</v>
      </c>
      <c r="AI322" s="9">
        <f>SUMIFS(#REF!,#REF!,
$A322,#REF!,
"&gt;="&amp;'Faturado mensal'!AI$2,#REF!,
"&lt;"&amp;EOMONTH('Faturado mensal'!AI$2,0))</f>
        <v>0</v>
      </c>
      <c r="AJ322" s="9">
        <f>SUMIFS(#REF!,#REF!,
$A322,#REF!,
"&gt;="&amp;'Faturado mensal'!AJ$2,#REF!,
"&lt;"&amp;EOMONTH('Faturado mensal'!AJ$2,0))</f>
        <v>0</v>
      </c>
      <c r="AK322" s="9">
        <f>SUMIFS(#REF!,#REF!,
$A322,#REF!,
"&gt;="&amp;'Faturado mensal'!AK$2,#REF!,
"&lt;"&amp;EOMONTH('Faturado mensal'!AK$2,0))</f>
        <v>0</v>
      </c>
      <c r="AL322" s="9">
        <f>SUMIFS(#REF!,#REF!,
$A322,#REF!,
"&gt;="&amp;Z$2,#REF!,
"&lt;"&amp;EOMONTH(AK$2,0))</f>
        <v>17820</v>
      </c>
    </row>
    <row r="323" spans="1:38" x14ac:dyDescent="0.3">
      <c r="A323" t="s">
        <v>650</v>
      </c>
      <c r="B323" t="s">
        <v>651</v>
      </c>
      <c r="C323" t="s">
        <v>46</v>
      </c>
      <c r="D323" t="s">
        <v>204</v>
      </c>
      <c r="E323" t="s">
        <v>1040</v>
      </c>
      <c r="F323" t="s">
        <v>4779</v>
      </c>
      <c r="G323" t="s">
        <v>4856</v>
      </c>
      <c r="I323" t="s">
        <v>988</v>
      </c>
      <c r="J323" t="s">
        <v>710</v>
      </c>
      <c r="K323" t="s">
        <v>748</v>
      </c>
      <c r="L323" t="s">
        <v>749</v>
      </c>
      <c r="M323" s="9">
        <f>SUMIFS(#REF!,#REF!,
$A323,#REF!,
"&gt;="&amp;'Faturado mensal'!M$2,#REF!,
"&lt;"&amp;EOMONTH('Faturado mensal'!M$2,0))</f>
        <v>0</v>
      </c>
      <c r="N323" s="9">
        <f>SUMIFS(#REF!,#REF!,
$A323,#REF!,
"&gt;="&amp;'Faturado mensal'!N$2,#REF!,
"&lt;"&amp;EOMONTH('Faturado mensal'!N$2,0))</f>
        <v>0</v>
      </c>
      <c r="O323" s="9">
        <f>SUMIFS(#REF!,#REF!,
$A323,#REF!,
"&gt;="&amp;'Faturado mensal'!O$2,#REF!,
"&lt;"&amp;EOMONTH('Faturado mensal'!O$2,0))</f>
        <v>0</v>
      </c>
      <c r="P323" s="9">
        <f>SUMIFS(#REF!,#REF!,
$A323,#REF!,
"&gt;="&amp;'Faturado mensal'!P$2,#REF!,
"&lt;"&amp;EOMONTH('Faturado mensal'!P$2,0))</f>
        <v>0</v>
      </c>
      <c r="Q323" s="9">
        <f>SUMIFS(#REF!,#REF!,
$A323,#REF!,
"&gt;="&amp;'Faturado mensal'!Q$2,#REF!,
"&lt;"&amp;EOMONTH('Faturado mensal'!Q$2,0))</f>
        <v>0</v>
      </c>
      <c r="R323" s="9">
        <f>SUMIFS(#REF!,#REF!,
$A323,#REF!,
"&gt;="&amp;'Faturado mensal'!R$2,#REF!,
"&lt;"&amp;EOMONTH('Faturado mensal'!R$2,0))</f>
        <v>1090</v>
      </c>
      <c r="S323" s="9">
        <f>SUMIFS(#REF!,#REF!,
$A323,#REF!,
"&gt;="&amp;'Faturado mensal'!S$2,#REF!,
"&lt;"&amp;EOMONTH('Faturado mensal'!S$2,0))</f>
        <v>0</v>
      </c>
      <c r="T323" s="9">
        <f>SUMIFS(#REF!,#REF!,
$A323,#REF!,
"&gt;="&amp;'Faturado mensal'!T$2,#REF!,
"&lt;"&amp;EOMONTH('Faturado mensal'!T$2,0))</f>
        <v>0</v>
      </c>
      <c r="U323" s="9">
        <f>SUMIFS(#REF!,#REF!,
$A323,#REF!,
"&gt;="&amp;'Faturado mensal'!U$2,#REF!,
"&lt;"&amp;EOMONTH('Faturado mensal'!U$2,0))</f>
        <v>680</v>
      </c>
      <c r="V323" s="9">
        <f>SUMIFS(#REF!,#REF!,
$A323,#REF!,
"&gt;="&amp;'Faturado mensal'!V$2,#REF!,
"&lt;"&amp;EOMONTH('Faturado mensal'!V$2,0))</f>
        <v>0</v>
      </c>
      <c r="W323" s="9">
        <f>SUMIFS(#REF!,#REF!,
$A323,#REF!,
"&gt;="&amp;'Faturado mensal'!W$2,#REF!,
"&lt;"&amp;EOMONTH('Faturado mensal'!W$2,0))</f>
        <v>0</v>
      </c>
      <c r="X323" s="9">
        <f>SUMIFS(#REF!,#REF!,
$A323,#REF!,
"&gt;="&amp;'Faturado mensal'!X$2,#REF!,
"&lt;"&amp;EOMONTH('Faturado mensal'!X$2,0))</f>
        <v>0</v>
      </c>
      <c r="Y323" s="11">
        <f>SUMIFS(#REF!,#REF!,
$A323,#REF!,
"&gt;="&amp;'Faturado mensal'!M$2,#REF!,
"&lt;"&amp;EOMONTH('Faturado mensal'!M$2,12))</f>
        <v>1770</v>
      </c>
      <c r="Z323" s="9">
        <f>SUMIFS(#REF!,#REF!,
$A323,#REF!,
"&gt;="&amp;'Faturado mensal'!Z$2,#REF!,
"&lt;"&amp;EOMONTH('Faturado mensal'!Z$2,0))</f>
        <v>0</v>
      </c>
      <c r="AA323" s="9">
        <f>SUMIFS(#REF!,#REF!,
$A323,#REF!,
"&gt;="&amp;'Faturado mensal'!AA$2,#REF!,
"&lt;"&amp;EOMONTH('Faturado mensal'!AA$2,0))</f>
        <v>3580</v>
      </c>
      <c r="AB323" s="9">
        <f>SUMIFS(#REF!,#REF!,
$A323,#REF!,
"&gt;="&amp;'Faturado mensal'!AB$2,#REF!,
"&lt;"&amp;EOMONTH('Faturado mensal'!AB$2,0))</f>
        <v>1930</v>
      </c>
      <c r="AC323" s="9">
        <f>SUMIFS(#REF!,#REF!,
$A323,#REF!,
"&gt;="&amp;'Faturado mensal'!AC$2,#REF!,
"&lt;"&amp;EOMONTH('Faturado mensal'!AC$2,0))</f>
        <v>3730</v>
      </c>
      <c r="AD323" s="9">
        <f>SUMIFS(#REF!,#REF!,
$A323,#REF!,
"&gt;="&amp;'Faturado mensal'!AD$2,#REF!,
"&lt;"&amp;EOMONTH('Faturado mensal'!AD$2,0))</f>
        <v>1570</v>
      </c>
      <c r="AE323" s="9">
        <f>SUMIFS(#REF!,#REF!,
$A323,#REF!,
"&gt;="&amp;'Faturado mensal'!AE$2,#REF!,
"&lt;"&amp;EOMONTH('Faturado mensal'!AE$2,0))</f>
        <v>4970</v>
      </c>
      <c r="AF323" s="9">
        <f>SUMIFS(#REF!,#REF!,
$A323,#REF!,
"&gt;="&amp;'Faturado mensal'!AF$2,#REF!,
"&lt;"&amp;EOMONTH('Faturado mensal'!AF$2,0))</f>
        <v>0</v>
      </c>
      <c r="AG323" s="9">
        <f>SUMIFS(#REF!,#REF!,
$A323,#REF!,
"&gt;="&amp;'Faturado mensal'!AG$2,#REF!,
"&lt;"&amp;EOMONTH('Faturado mensal'!AG$2,0))</f>
        <v>0</v>
      </c>
      <c r="AH323" s="9">
        <f>SUMIFS(#REF!,#REF!,
$A323,#REF!,
"&gt;="&amp;'Faturado mensal'!AH$2,#REF!,
"&lt;"&amp;EOMONTH('Faturado mensal'!AH$2,0))</f>
        <v>0</v>
      </c>
      <c r="AI323" s="9">
        <f>SUMIFS(#REF!,#REF!,
$A323,#REF!,
"&gt;="&amp;'Faturado mensal'!AI$2,#REF!,
"&lt;"&amp;EOMONTH('Faturado mensal'!AI$2,0))</f>
        <v>0</v>
      </c>
      <c r="AJ323" s="9">
        <f>SUMIFS(#REF!,#REF!,
$A323,#REF!,
"&gt;="&amp;'Faturado mensal'!AJ$2,#REF!,
"&lt;"&amp;EOMONTH('Faturado mensal'!AJ$2,0))</f>
        <v>0</v>
      </c>
      <c r="AK323" s="9">
        <f>SUMIFS(#REF!,#REF!,
$A323,#REF!,
"&gt;="&amp;'Faturado mensal'!AK$2,#REF!,
"&lt;"&amp;EOMONTH('Faturado mensal'!AK$2,0))</f>
        <v>0</v>
      </c>
      <c r="AL323" s="9">
        <f>SUMIFS(#REF!,#REF!,
$A323,#REF!,
"&gt;="&amp;Z$2,#REF!,
"&lt;"&amp;EOMONTH(AK$2,0))</f>
        <v>15780</v>
      </c>
    </row>
    <row r="324" spans="1:38" x14ac:dyDescent="0.3">
      <c r="A324" t="s">
        <v>652</v>
      </c>
      <c r="B324" t="s">
        <v>653</v>
      </c>
      <c r="C324" t="s">
        <v>14</v>
      </c>
      <c r="D324" t="s">
        <v>204</v>
      </c>
      <c r="E324" t="s">
        <v>1037</v>
      </c>
      <c r="F324" t="s">
        <v>4794</v>
      </c>
      <c r="G324" t="s">
        <v>4852</v>
      </c>
      <c r="H324" t="s">
        <v>807</v>
      </c>
      <c r="I324" t="s">
        <v>847</v>
      </c>
      <c r="J324" t="s">
        <v>710</v>
      </c>
      <c r="K324" t="s">
        <v>762</v>
      </c>
      <c r="L324" t="s">
        <v>763</v>
      </c>
      <c r="M324" s="9">
        <f>SUMIFS(#REF!,#REF!,
$A324,#REF!,
"&gt;="&amp;'Faturado mensal'!M$2,#REF!,
"&lt;"&amp;EOMONTH('Faturado mensal'!M$2,0))</f>
        <v>0</v>
      </c>
      <c r="N324" s="9">
        <f>SUMIFS(#REF!,#REF!,
$A324,#REF!,
"&gt;="&amp;'Faturado mensal'!N$2,#REF!,
"&lt;"&amp;EOMONTH('Faturado mensal'!N$2,0))</f>
        <v>0</v>
      </c>
      <c r="O324" s="9">
        <f>SUMIFS(#REF!,#REF!,
$A324,#REF!,
"&gt;="&amp;'Faturado mensal'!O$2,#REF!,
"&lt;"&amp;EOMONTH('Faturado mensal'!O$2,0))</f>
        <v>0</v>
      </c>
      <c r="P324" s="9">
        <f>SUMIFS(#REF!,#REF!,
$A324,#REF!,
"&gt;="&amp;'Faturado mensal'!P$2,#REF!,
"&lt;"&amp;EOMONTH('Faturado mensal'!P$2,0))</f>
        <v>0</v>
      </c>
      <c r="Q324" s="9">
        <f>SUMIFS(#REF!,#REF!,
$A324,#REF!,
"&gt;="&amp;'Faturado mensal'!Q$2,#REF!,
"&lt;"&amp;EOMONTH('Faturado mensal'!Q$2,0))</f>
        <v>0</v>
      </c>
      <c r="R324" s="9">
        <f>SUMIFS(#REF!,#REF!,
$A324,#REF!,
"&gt;="&amp;'Faturado mensal'!R$2,#REF!,
"&lt;"&amp;EOMONTH('Faturado mensal'!R$2,0))</f>
        <v>0</v>
      </c>
      <c r="S324" s="9">
        <f>SUMIFS(#REF!,#REF!,
$A324,#REF!,
"&gt;="&amp;'Faturado mensal'!S$2,#REF!,
"&lt;"&amp;EOMONTH('Faturado mensal'!S$2,0))</f>
        <v>107437.59</v>
      </c>
      <c r="T324" s="9">
        <f>SUMIFS(#REF!,#REF!,
$A324,#REF!,
"&gt;="&amp;'Faturado mensal'!T$2,#REF!,
"&lt;"&amp;EOMONTH('Faturado mensal'!T$2,0))</f>
        <v>51975.66</v>
      </c>
      <c r="U324" s="9">
        <f>SUMIFS(#REF!,#REF!,
$A324,#REF!,
"&gt;="&amp;'Faturado mensal'!U$2,#REF!,
"&lt;"&amp;EOMONTH('Faturado mensal'!U$2,0))</f>
        <v>54204.09</v>
      </c>
      <c r="V324" s="9">
        <f>SUMIFS(#REF!,#REF!,
$A324,#REF!,
"&gt;="&amp;'Faturado mensal'!V$2,#REF!,
"&lt;"&amp;EOMONTH('Faturado mensal'!V$2,0))</f>
        <v>54609.86</v>
      </c>
      <c r="W324" s="9">
        <f>SUMIFS(#REF!,#REF!,
$A324,#REF!,
"&gt;="&amp;'Faturado mensal'!W$2,#REF!,
"&lt;"&amp;EOMONTH('Faturado mensal'!W$2,0))</f>
        <v>112816.02</v>
      </c>
      <c r="X324" s="9">
        <f>SUMIFS(#REF!,#REF!,
$A324,#REF!,
"&gt;="&amp;'Faturado mensal'!X$2,#REF!,
"&lt;"&amp;EOMONTH('Faturado mensal'!X$2,0))</f>
        <v>82756.06</v>
      </c>
      <c r="Y324" s="11">
        <f>SUMIFS(#REF!,#REF!,
$A324,#REF!,
"&gt;="&amp;'Faturado mensal'!M$2,#REF!,
"&lt;"&amp;EOMONTH('Faturado mensal'!M$2,12))</f>
        <v>546031.31000000006</v>
      </c>
      <c r="Z324" s="9">
        <f>SUMIFS(#REF!,#REF!,
$A324,#REF!,
"&gt;="&amp;'Faturado mensal'!Z$2,#REF!,
"&lt;"&amp;EOMONTH('Faturado mensal'!Z$2,0))</f>
        <v>82232.03</v>
      </c>
      <c r="AA324" s="9">
        <f>SUMIFS(#REF!,#REF!,
$A324,#REF!,
"&gt;="&amp;'Faturado mensal'!AA$2,#REF!,
"&lt;"&amp;EOMONTH('Faturado mensal'!AA$2,0))</f>
        <v>78304.25</v>
      </c>
      <c r="AB324" s="9">
        <f>SUMIFS(#REF!,#REF!,
$A324,#REF!,
"&gt;="&amp;'Faturado mensal'!AB$2,#REF!,
"&lt;"&amp;EOMONTH('Faturado mensal'!AB$2,0))</f>
        <v>84707.01</v>
      </c>
      <c r="AC324" s="9">
        <f>SUMIFS(#REF!,#REF!,
$A324,#REF!,
"&gt;="&amp;'Faturado mensal'!AC$2,#REF!,
"&lt;"&amp;EOMONTH('Faturado mensal'!AC$2,0))</f>
        <v>92841.83</v>
      </c>
      <c r="AD324" s="9">
        <f>SUMIFS(#REF!,#REF!,
$A324,#REF!,
"&gt;="&amp;'Faturado mensal'!AD$2,#REF!,
"&lt;"&amp;EOMONTH('Faturado mensal'!AD$2,0))</f>
        <v>86359.87</v>
      </c>
      <c r="AE324" s="9">
        <f>SUMIFS(#REF!,#REF!,
$A324,#REF!,
"&gt;="&amp;'Faturado mensal'!AE$2,#REF!,
"&lt;"&amp;EOMONTH('Faturado mensal'!AE$2,0))</f>
        <v>87765.119999999995</v>
      </c>
      <c r="AF324" s="9">
        <f>SUMIFS(#REF!,#REF!,
$A324,#REF!,
"&gt;="&amp;'Faturado mensal'!AF$2,#REF!,
"&lt;"&amp;EOMONTH('Faturado mensal'!AF$2,0))</f>
        <v>0</v>
      </c>
      <c r="AG324" s="9">
        <f>SUMIFS(#REF!,#REF!,
$A324,#REF!,
"&gt;="&amp;'Faturado mensal'!AG$2,#REF!,
"&lt;"&amp;EOMONTH('Faturado mensal'!AG$2,0))</f>
        <v>0</v>
      </c>
      <c r="AH324" s="9">
        <f>SUMIFS(#REF!,#REF!,
$A324,#REF!,
"&gt;="&amp;'Faturado mensal'!AH$2,#REF!,
"&lt;"&amp;EOMONTH('Faturado mensal'!AH$2,0))</f>
        <v>0</v>
      </c>
      <c r="AI324" s="9">
        <f>SUMIFS(#REF!,#REF!,
$A324,#REF!,
"&gt;="&amp;'Faturado mensal'!AI$2,#REF!,
"&lt;"&amp;EOMONTH('Faturado mensal'!AI$2,0))</f>
        <v>0</v>
      </c>
      <c r="AJ324" s="9">
        <f>SUMIFS(#REF!,#REF!,
$A324,#REF!,
"&gt;="&amp;'Faturado mensal'!AJ$2,#REF!,
"&lt;"&amp;EOMONTH('Faturado mensal'!AJ$2,0))</f>
        <v>0</v>
      </c>
      <c r="AK324" s="9">
        <f>SUMIFS(#REF!,#REF!,
$A324,#REF!,
"&gt;="&amp;'Faturado mensal'!AK$2,#REF!,
"&lt;"&amp;EOMONTH('Faturado mensal'!AK$2,0))</f>
        <v>0</v>
      </c>
      <c r="AL324" s="9">
        <f>SUMIFS(#REF!,#REF!,
$A324,#REF!,
"&gt;="&amp;Z$2,#REF!,
"&lt;"&amp;EOMONTH(AK$2,0))</f>
        <v>512210.11</v>
      </c>
    </row>
    <row r="325" spans="1:38" x14ac:dyDescent="0.3">
      <c r="A325" t="s">
        <v>654</v>
      </c>
      <c r="B325" t="s">
        <v>535</v>
      </c>
      <c r="C325" t="s">
        <v>148</v>
      </c>
      <c r="D325" t="s">
        <v>204</v>
      </c>
      <c r="E325" t="s">
        <v>1040</v>
      </c>
      <c r="F325" t="s">
        <v>4779</v>
      </c>
      <c r="G325" t="s">
        <v>4856</v>
      </c>
      <c r="H325" t="s">
        <v>807</v>
      </c>
      <c r="I325" t="s">
        <v>989</v>
      </c>
      <c r="J325" t="s">
        <v>954</v>
      </c>
      <c r="K325" t="s">
        <v>748</v>
      </c>
      <c r="L325" t="s">
        <v>749</v>
      </c>
      <c r="M325" s="9">
        <f>SUMIFS(#REF!,#REF!,
$A325,#REF!,
"&gt;="&amp;'Faturado mensal'!M$2,#REF!,
"&lt;"&amp;EOMONTH('Faturado mensal'!M$2,0))</f>
        <v>0</v>
      </c>
      <c r="N325" s="9">
        <f>SUMIFS(#REF!,#REF!,
$A325,#REF!,
"&gt;="&amp;'Faturado mensal'!N$2,#REF!,
"&lt;"&amp;EOMONTH('Faturado mensal'!N$2,0))</f>
        <v>0</v>
      </c>
      <c r="O325" s="9">
        <f>SUMIFS(#REF!,#REF!,
$A325,#REF!,
"&gt;="&amp;'Faturado mensal'!O$2,#REF!,
"&lt;"&amp;EOMONTH('Faturado mensal'!O$2,0))</f>
        <v>0</v>
      </c>
      <c r="P325" s="9">
        <f>SUMIFS(#REF!,#REF!,
$A325,#REF!,
"&gt;="&amp;'Faturado mensal'!P$2,#REF!,
"&lt;"&amp;EOMONTH('Faturado mensal'!P$2,0))</f>
        <v>0</v>
      </c>
      <c r="Q325" s="9">
        <f>SUMIFS(#REF!,#REF!,
$A325,#REF!,
"&gt;="&amp;'Faturado mensal'!Q$2,#REF!,
"&lt;"&amp;EOMONTH('Faturado mensal'!Q$2,0))</f>
        <v>0</v>
      </c>
      <c r="R325" s="9">
        <f>SUMIFS(#REF!,#REF!,
$A325,#REF!,
"&gt;="&amp;'Faturado mensal'!R$2,#REF!,
"&lt;"&amp;EOMONTH('Faturado mensal'!R$2,0))</f>
        <v>0</v>
      </c>
      <c r="S325" s="9">
        <f>SUMIFS(#REF!,#REF!,
$A325,#REF!,
"&gt;="&amp;'Faturado mensal'!S$2,#REF!,
"&lt;"&amp;EOMONTH('Faturado mensal'!S$2,0))</f>
        <v>0</v>
      </c>
      <c r="T325" s="9">
        <f>SUMIFS(#REF!,#REF!,
$A325,#REF!,
"&gt;="&amp;'Faturado mensal'!T$2,#REF!,
"&lt;"&amp;EOMONTH('Faturado mensal'!T$2,0))</f>
        <v>5500</v>
      </c>
      <c r="U325" s="9">
        <f>SUMIFS(#REF!,#REF!,
$A325,#REF!,
"&gt;="&amp;'Faturado mensal'!U$2,#REF!,
"&lt;"&amp;EOMONTH('Faturado mensal'!U$2,0))</f>
        <v>5500</v>
      </c>
      <c r="V325" s="9">
        <f>SUMIFS(#REF!,#REF!,
$A325,#REF!,
"&gt;="&amp;'Faturado mensal'!V$2,#REF!,
"&lt;"&amp;EOMONTH('Faturado mensal'!V$2,0))</f>
        <v>5500</v>
      </c>
      <c r="W325" s="9">
        <f>SUMIFS(#REF!,#REF!,
$A325,#REF!,
"&gt;="&amp;'Faturado mensal'!W$2,#REF!,
"&lt;"&amp;EOMONTH('Faturado mensal'!W$2,0))</f>
        <v>5500</v>
      </c>
      <c r="X325" s="9">
        <f>SUMIFS(#REF!,#REF!,
$A325,#REF!,
"&gt;="&amp;'Faturado mensal'!X$2,#REF!,
"&lt;"&amp;EOMONTH('Faturado mensal'!X$2,0))</f>
        <v>5500</v>
      </c>
      <c r="Y325" s="11">
        <f>SUMIFS(#REF!,#REF!,
$A325,#REF!,
"&gt;="&amp;'Faturado mensal'!M$2,#REF!,
"&lt;"&amp;EOMONTH('Faturado mensal'!M$2,12))</f>
        <v>33000</v>
      </c>
      <c r="Z325" s="9">
        <f>SUMIFS(#REF!,#REF!,
$A325,#REF!,
"&gt;="&amp;'Faturado mensal'!Z$2,#REF!,
"&lt;"&amp;EOMONTH('Faturado mensal'!Z$2,0))</f>
        <v>5500</v>
      </c>
      <c r="AA325" s="9">
        <f>SUMIFS(#REF!,#REF!,
$A325,#REF!,
"&gt;="&amp;'Faturado mensal'!AA$2,#REF!,
"&lt;"&amp;EOMONTH('Faturado mensal'!AA$2,0))</f>
        <v>5500</v>
      </c>
      <c r="AB325" s="9">
        <f>SUMIFS(#REF!,#REF!,
$A325,#REF!,
"&gt;="&amp;'Faturado mensal'!AB$2,#REF!,
"&lt;"&amp;EOMONTH('Faturado mensal'!AB$2,0))</f>
        <v>5500</v>
      </c>
      <c r="AC325" s="9">
        <f>SUMIFS(#REF!,#REF!,
$A325,#REF!,
"&gt;="&amp;'Faturado mensal'!AC$2,#REF!,
"&lt;"&amp;EOMONTH('Faturado mensal'!AC$2,0))</f>
        <v>5500</v>
      </c>
      <c r="AD325" s="9">
        <f>SUMIFS(#REF!,#REF!,
$A325,#REF!,
"&gt;="&amp;'Faturado mensal'!AD$2,#REF!,
"&lt;"&amp;EOMONTH('Faturado mensal'!AD$2,0))</f>
        <v>5500</v>
      </c>
      <c r="AE325" s="9">
        <f>SUMIFS(#REF!,#REF!,
$A325,#REF!,
"&gt;="&amp;'Faturado mensal'!AE$2,#REF!,
"&lt;"&amp;EOMONTH('Faturado mensal'!AE$2,0))</f>
        <v>5500</v>
      </c>
      <c r="AF325" s="9">
        <f>SUMIFS(#REF!,#REF!,
$A325,#REF!,
"&gt;="&amp;'Faturado mensal'!AF$2,#REF!,
"&lt;"&amp;EOMONTH('Faturado mensal'!AF$2,0))</f>
        <v>0</v>
      </c>
      <c r="AG325" s="9">
        <f>SUMIFS(#REF!,#REF!,
$A325,#REF!,
"&gt;="&amp;'Faturado mensal'!AG$2,#REF!,
"&lt;"&amp;EOMONTH('Faturado mensal'!AG$2,0))</f>
        <v>0</v>
      </c>
      <c r="AH325" s="9">
        <f>SUMIFS(#REF!,#REF!,
$A325,#REF!,
"&gt;="&amp;'Faturado mensal'!AH$2,#REF!,
"&lt;"&amp;EOMONTH('Faturado mensal'!AH$2,0))</f>
        <v>0</v>
      </c>
      <c r="AI325" s="9">
        <f>SUMIFS(#REF!,#REF!,
$A325,#REF!,
"&gt;="&amp;'Faturado mensal'!AI$2,#REF!,
"&lt;"&amp;EOMONTH('Faturado mensal'!AI$2,0))</f>
        <v>0</v>
      </c>
      <c r="AJ325" s="9">
        <f>SUMIFS(#REF!,#REF!,
$A325,#REF!,
"&gt;="&amp;'Faturado mensal'!AJ$2,#REF!,
"&lt;"&amp;EOMONTH('Faturado mensal'!AJ$2,0))</f>
        <v>0</v>
      </c>
      <c r="AK325" s="9">
        <f>SUMIFS(#REF!,#REF!,
$A325,#REF!,
"&gt;="&amp;'Faturado mensal'!AK$2,#REF!,
"&lt;"&amp;EOMONTH('Faturado mensal'!AK$2,0))</f>
        <v>0</v>
      </c>
      <c r="AL325" s="9">
        <f>SUMIFS(#REF!,#REF!,
$A325,#REF!,
"&gt;="&amp;Z$2,#REF!,
"&lt;"&amp;EOMONTH(AK$2,0))</f>
        <v>33000</v>
      </c>
    </row>
    <row r="326" spans="1:38" x14ac:dyDescent="0.3">
      <c r="A326" t="s">
        <v>655</v>
      </c>
      <c r="B326" t="s">
        <v>656</v>
      </c>
      <c r="C326" t="s">
        <v>56</v>
      </c>
      <c r="D326" t="s">
        <v>204</v>
      </c>
      <c r="E326" t="s">
        <v>1036</v>
      </c>
      <c r="F326" t="s">
        <v>4776</v>
      </c>
      <c r="G326" t="s">
        <v>4853</v>
      </c>
      <c r="H326" t="s">
        <v>807</v>
      </c>
      <c r="I326" t="s">
        <v>990</v>
      </c>
      <c r="J326" t="s">
        <v>814</v>
      </c>
      <c r="K326" t="s">
        <v>711</v>
      </c>
      <c r="L326" t="s">
        <v>712</v>
      </c>
      <c r="M326" s="9">
        <f>SUMIFS(#REF!,#REF!,
$A326,#REF!,
"&gt;="&amp;'Faturado mensal'!M$2,#REF!,
"&lt;"&amp;EOMONTH('Faturado mensal'!M$2,0))</f>
        <v>0</v>
      </c>
      <c r="N326" s="9">
        <f>SUMIFS(#REF!,#REF!,
$A326,#REF!,
"&gt;="&amp;'Faturado mensal'!N$2,#REF!,
"&lt;"&amp;EOMONTH('Faturado mensal'!N$2,0))</f>
        <v>0</v>
      </c>
      <c r="O326" s="9">
        <f>SUMIFS(#REF!,#REF!,
$A326,#REF!,
"&gt;="&amp;'Faturado mensal'!O$2,#REF!,
"&lt;"&amp;EOMONTH('Faturado mensal'!O$2,0))</f>
        <v>0</v>
      </c>
      <c r="P326" s="9">
        <f>SUMIFS(#REF!,#REF!,
$A326,#REF!,
"&gt;="&amp;'Faturado mensal'!P$2,#REF!,
"&lt;"&amp;EOMONTH('Faturado mensal'!P$2,0))</f>
        <v>0</v>
      </c>
      <c r="Q326" s="9">
        <f>SUMIFS(#REF!,#REF!,
$A326,#REF!,
"&gt;="&amp;'Faturado mensal'!Q$2,#REF!,
"&lt;"&amp;EOMONTH('Faturado mensal'!Q$2,0))</f>
        <v>0</v>
      </c>
      <c r="R326" s="9">
        <f>SUMIFS(#REF!,#REF!,
$A326,#REF!,
"&gt;="&amp;'Faturado mensal'!R$2,#REF!,
"&lt;"&amp;EOMONTH('Faturado mensal'!R$2,0))</f>
        <v>0</v>
      </c>
      <c r="S326" s="9">
        <f>SUMIFS(#REF!,#REF!,
$A326,#REF!,
"&gt;="&amp;'Faturado mensal'!S$2,#REF!,
"&lt;"&amp;EOMONTH('Faturado mensal'!S$2,0))</f>
        <v>0</v>
      </c>
      <c r="T326" s="9">
        <f>SUMIFS(#REF!,#REF!,
$A326,#REF!,
"&gt;="&amp;'Faturado mensal'!T$2,#REF!,
"&lt;"&amp;EOMONTH('Faturado mensal'!T$2,0))</f>
        <v>0</v>
      </c>
      <c r="U326" s="9">
        <f>SUMIFS(#REF!,#REF!,
$A326,#REF!,
"&gt;="&amp;'Faturado mensal'!U$2,#REF!,
"&lt;"&amp;EOMONTH('Faturado mensal'!U$2,0))</f>
        <v>0</v>
      </c>
      <c r="V326" s="9">
        <f>SUMIFS(#REF!,#REF!,
$A326,#REF!,
"&gt;="&amp;'Faturado mensal'!V$2,#REF!,
"&lt;"&amp;EOMONTH('Faturado mensal'!V$2,0))</f>
        <v>0</v>
      </c>
      <c r="W326" s="9">
        <f>SUMIFS(#REF!,#REF!,
$A326,#REF!,
"&gt;="&amp;'Faturado mensal'!W$2,#REF!,
"&lt;"&amp;EOMONTH('Faturado mensal'!W$2,0))</f>
        <v>0</v>
      </c>
      <c r="X326" s="9">
        <f>SUMIFS(#REF!,#REF!,
$A326,#REF!,
"&gt;="&amp;'Faturado mensal'!X$2,#REF!,
"&lt;"&amp;EOMONTH('Faturado mensal'!X$2,0))</f>
        <v>0</v>
      </c>
      <c r="Y326" s="11">
        <f>SUMIFS(#REF!,#REF!,
$A326,#REF!,
"&gt;="&amp;'Faturado mensal'!M$2,#REF!,
"&lt;"&amp;EOMONTH('Faturado mensal'!M$2,12))</f>
        <v>20505.29</v>
      </c>
      <c r="Z326" s="9">
        <f>SUMIFS(#REF!,#REF!,
$A326,#REF!,
"&gt;="&amp;'Faturado mensal'!Z$2,#REF!,
"&lt;"&amp;EOMONTH('Faturado mensal'!Z$2,0))</f>
        <v>20505.29</v>
      </c>
      <c r="AA326" s="9">
        <f>SUMIFS(#REF!,#REF!,
$A326,#REF!,
"&gt;="&amp;'Faturado mensal'!AA$2,#REF!,
"&lt;"&amp;EOMONTH('Faturado mensal'!AA$2,0))</f>
        <v>0</v>
      </c>
      <c r="AB326" s="9">
        <f>SUMIFS(#REF!,#REF!,
$A326,#REF!,
"&gt;="&amp;'Faturado mensal'!AB$2,#REF!,
"&lt;"&amp;EOMONTH('Faturado mensal'!AB$2,0))</f>
        <v>6000</v>
      </c>
      <c r="AC326" s="9">
        <f>SUMIFS(#REF!,#REF!,
$A326,#REF!,
"&gt;="&amp;'Faturado mensal'!AC$2,#REF!,
"&lt;"&amp;EOMONTH('Faturado mensal'!AC$2,0))</f>
        <v>6000</v>
      </c>
      <c r="AD326" s="9">
        <f>SUMIFS(#REF!,#REF!,
$A326,#REF!,
"&gt;="&amp;'Faturado mensal'!AD$2,#REF!,
"&lt;"&amp;EOMONTH('Faturado mensal'!AD$2,0))</f>
        <v>12000</v>
      </c>
      <c r="AE326" s="9">
        <f>SUMIFS(#REF!,#REF!,
$A326,#REF!,
"&gt;="&amp;'Faturado mensal'!AE$2,#REF!,
"&lt;"&amp;EOMONTH('Faturado mensal'!AE$2,0))</f>
        <v>0</v>
      </c>
      <c r="AF326" s="9">
        <f>SUMIFS(#REF!,#REF!,
$A326,#REF!,
"&gt;="&amp;'Faturado mensal'!AF$2,#REF!,
"&lt;"&amp;EOMONTH('Faturado mensal'!AF$2,0))</f>
        <v>0</v>
      </c>
      <c r="AG326" s="9">
        <f>SUMIFS(#REF!,#REF!,
$A326,#REF!,
"&gt;="&amp;'Faturado mensal'!AG$2,#REF!,
"&lt;"&amp;EOMONTH('Faturado mensal'!AG$2,0))</f>
        <v>0</v>
      </c>
      <c r="AH326" s="9">
        <f>SUMIFS(#REF!,#REF!,
$A326,#REF!,
"&gt;="&amp;'Faturado mensal'!AH$2,#REF!,
"&lt;"&amp;EOMONTH('Faturado mensal'!AH$2,0))</f>
        <v>0</v>
      </c>
      <c r="AI326" s="9">
        <f>SUMIFS(#REF!,#REF!,
$A326,#REF!,
"&gt;="&amp;'Faturado mensal'!AI$2,#REF!,
"&lt;"&amp;EOMONTH('Faturado mensal'!AI$2,0))</f>
        <v>0</v>
      </c>
      <c r="AJ326" s="9">
        <f>SUMIFS(#REF!,#REF!,
$A326,#REF!,
"&gt;="&amp;'Faturado mensal'!AJ$2,#REF!,
"&lt;"&amp;EOMONTH('Faturado mensal'!AJ$2,0))</f>
        <v>0</v>
      </c>
      <c r="AK326" s="9">
        <f>SUMIFS(#REF!,#REF!,
$A326,#REF!,
"&gt;="&amp;'Faturado mensal'!AK$2,#REF!,
"&lt;"&amp;EOMONTH('Faturado mensal'!AK$2,0))</f>
        <v>0</v>
      </c>
      <c r="AL326" s="9">
        <f>SUMIFS(#REF!,#REF!,
$A326,#REF!,
"&gt;="&amp;Z$2,#REF!,
"&lt;"&amp;EOMONTH(AK$2,0))</f>
        <v>44505.29</v>
      </c>
    </row>
    <row r="327" spans="1:38" x14ac:dyDescent="0.3">
      <c r="A327" t="s">
        <v>991</v>
      </c>
      <c r="B327" t="s">
        <v>656</v>
      </c>
      <c r="C327" t="s">
        <v>56</v>
      </c>
      <c r="D327" t="s">
        <v>204</v>
      </c>
      <c r="E327" t="s">
        <v>4843</v>
      </c>
      <c r="F327" t="s">
        <v>4776</v>
      </c>
      <c r="G327" t="s">
        <v>4854</v>
      </c>
      <c r="H327" t="s">
        <v>807</v>
      </c>
      <c r="I327" t="s">
        <v>990</v>
      </c>
      <c r="J327" t="s">
        <v>814</v>
      </c>
      <c r="K327" t="s">
        <v>720</v>
      </c>
      <c r="L327" t="s">
        <v>721</v>
      </c>
      <c r="M327" s="9">
        <f>SUMIFS(#REF!,#REF!,
$A327,#REF!,
"&gt;="&amp;'Faturado mensal'!M$2,#REF!,
"&lt;"&amp;EOMONTH('Faturado mensal'!M$2,0))</f>
        <v>0</v>
      </c>
      <c r="N327" s="9">
        <f>SUMIFS(#REF!,#REF!,
$A327,#REF!,
"&gt;="&amp;'Faturado mensal'!N$2,#REF!,
"&lt;"&amp;EOMONTH('Faturado mensal'!N$2,0))</f>
        <v>0</v>
      </c>
      <c r="O327" s="9">
        <f>SUMIFS(#REF!,#REF!,
$A327,#REF!,
"&gt;="&amp;'Faturado mensal'!O$2,#REF!,
"&lt;"&amp;EOMONTH('Faturado mensal'!O$2,0))</f>
        <v>0</v>
      </c>
      <c r="P327" s="9">
        <f>SUMIFS(#REF!,#REF!,
$A327,#REF!,
"&gt;="&amp;'Faturado mensal'!P$2,#REF!,
"&lt;"&amp;EOMONTH('Faturado mensal'!P$2,0))</f>
        <v>0</v>
      </c>
      <c r="Q327" s="9">
        <f>SUMIFS(#REF!,#REF!,
$A327,#REF!,
"&gt;="&amp;'Faturado mensal'!Q$2,#REF!,
"&lt;"&amp;EOMONTH('Faturado mensal'!Q$2,0))</f>
        <v>0</v>
      </c>
      <c r="R327" s="9">
        <f>SUMIFS(#REF!,#REF!,
$A327,#REF!,
"&gt;="&amp;'Faturado mensal'!R$2,#REF!,
"&lt;"&amp;EOMONTH('Faturado mensal'!R$2,0))</f>
        <v>0</v>
      </c>
      <c r="S327" s="9">
        <f>SUMIFS(#REF!,#REF!,
$A327,#REF!,
"&gt;="&amp;'Faturado mensal'!S$2,#REF!,
"&lt;"&amp;EOMONTH('Faturado mensal'!S$2,0))</f>
        <v>0</v>
      </c>
      <c r="T327" s="9">
        <f>SUMIFS(#REF!,#REF!,
$A327,#REF!,
"&gt;="&amp;'Faturado mensal'!T$2,#REF!,
"&lt;"&amp;EOMONTH('Faturado mensal'!T$2,0))</f>
        <v>0</v>
      </c>
      <c r="U327" s="9">
        <f>SUMIFS(#REF!,#REF!,
$A327,#REF!,
"&gt;="&amp;'Faturado mensal'!U$2,#REF!,
"&lt;"&amp;EOMONTH('Faturado mensal'!U$2,0))</f>
        <v>0</v>
      </c>
      <c r="V327" s="9">
        <f>SUMIFS(#REF!,#REF!,
$A327,#REF!,
"&gt;="&amp;'Faturado mensal'!V$2,#REF!,
"&lt;"&amp;EOMONTH('Faturado mensal'!V$2,0))</f>
        <v>0</v>
      </c>
      <c r="W327" s="9">
        <f>SUMIFS(#REF!,#REF!,
$A327,#REF!,
"&gt;="&amp;'Faturado mensal'!W$2,#REF!,
"&lt;"&amp;EOMONTH('Faturado mensal'!W$2,0))</f>
        <v>0</v>
      </c>
      <c r="X327" s="9">
        <f>SUMIFS(#REF!,#REF!,
$A327,#REF!,
"&gt;="&amp;'Faturado mensal'!X$2,#REF!,
"&lt;"&amp;EOMONTH('Faturado mensal'!X$2,0))</f>
        <v>0</v>
      </c>
      <c r="Y327" s="11">
        <f>SUMIFS(#REF!,#REF!,
$A327,#REF!,
"&gt;="&amp;'Faturado mensal'!M$2,#REF!,
"&lt;"&amp;EOMONTH('Faturado mensal'!M$2,12))</f>
        <v>0</v>
      </c>
      <c r="Z327" s="9">
        <f>SUMIFS(#REF!,#REF!,
$A327,#REF!,
"&gt;="&amp;'Faturado mensal'!Z$2,#REF!,
"&lt;"&amp;EOMONTH('Faturado mensal'!Z$2,0))</f>
        <v>0</v>
      </c>
      <c r="AA327" s="9">
        <f>SUMIFS(#REF!,#REF!,
$A327,#REF!,
"&gt;="&amp;'Faturado mensal'!AA$2,#REF!,
"&lt;"&amp;EOMONTH('Faturado mensal'!AA$2,0))</f>
        <v>0</v>
      </c>
      <c r="AB327" s="9">
        <f>SUMIFS(#REF!,#REF!,
$A327,#REF!,
"&gt;="&amp;'Faturado mensal'!AB$2,#REF!,
"&lt;"&amp;EOMONTH('Faturado mensal'!AB$2,0))</f>
        <v>0</v>
      </c>
      <c r="AC327" s="9">
        <f>SUMIFS(#REF!,#REF!,
$A327,#REF!,
"&gt;="&amp;'Faturado mensal'!AC$2,#REF!,
"&lt;"&amp;EOMONTH('Faturado mensal'!AC$2,0))</f>
        <v>0</v>
      </c>
      <c r="AD327" s="9">
        <f>SUMIFS(#REF!,#REF!,
$A327,#REF!,
"&gt;="&amp;'Faturado mensal'!AD$2,#REF!,
"&lt;"&amp;EOMONTH('Faturado mensal'!AD$2,0))</f>
        <v>0</v>
      </c>
      <c r="AE327" s="9">
        <f>SUMIFS(#REF!,#REF!,
$A327,#REF!,
"&gt;="&amp;'Faturado mensal'!AE$2,#REF!,
"&lt;"&amp;EOMONTH('Faturado mensal'!AE$2,0))</f>
        <v>0</v>
      </c>
      <c r="AF327" s="9">
        <f>SUMIFS(#REF!,#REF!,
$A327,#REF!,
"&gt;="&amp;'Faturado mensal'!AF$2,#REF!,
"&lt;"&amp;EOMONTH('Faturado mensal'!AF$2,0))</f>
        <v>0</v>
      </c>
      <c r="AG327" s="9">
        <f>SUMIFS(#REF!,#REF!,
$A327,#REF!,
"&gt;="&amp;'Faturado mensal'!AG$2,#REF!,
"&lt;"&amp;EOMONTH('Faturado mensal'!AG$2,0))</f>
        <v>0</v>
      </c>
      <c r="AH327" s="9">
        <f>SUMIFS(#REF!,#REF!,
$A327,#REF!,
"&gt;="&amp;'Faturado mensal'!AH$2,#REF!,
"&lt;"&amp;EOMONTH('Faturado mensal'!AH$2,0))</f>
        <v>0</v>
      </c>
      <c r="AI327" s="9">
        <f>SUMIFS(#REF!,#REF!,
$A327,#REF!,
"&gt;="&amp;'Faturado mensal'!AI$2,#REF!,
"&lt;"&amp;EOMONTH('Faturado mensal'!AI$2,0))</f>
        <v>0</v>
      </c>
      <c r="AJ327" s="9">
        <f>SUMIFS(#REF!,#REF!,
$A327,#REF!,
"&gt;="&amp;'Faturado mensal'!AJ$2,#REF!,
"&lt;"&amp;EOMONTH('Faturado mensal'!AJ$2,0))</f>
        <v>0</v>
      </c>
      <c r="AK327" s="9">
        <f>SUMIFS(#REF!,#REF!,
$A327,#REF!,
"&gt;="&amp;'Faturado mensal'!AK$2,#REF!,
"&lt;"&amp;EOMONTH('Faturado mensal'!AK$2,0))</f>
        <v>0</v>
      </c>
      <c r="AL327" s="9">
        <f>SUMIFS(#REF!,#REF!,
$A327,#REF!,
"&gt;="&amp;Z$2,#REF!,
"&lt;"&amp;EOMONTH(AK$2,0))</f>
        <v>0</v>
      </c>
    </row>
    <row r="328" spans="1:38" x14ac:dyDescent="0.3">
      <c r="A328" t="s">
        <v>657</v>
      </c>
      <c r="B328" t="s">
        <v>658</v>
      </c>
      <c r="C328" t="s">
        <v>192</v>
      </c>
      <c r="D328" t="s">
        <v>204</v>
      </c>
      <c r="E328" t="s">
        <v>4834</v>
      </c>
      <c r="F328" t="s">
        <v>4776</v>
      </c>
      <c r="G328" t="s">
        <v>4853</v>
      </c>
      <c r="H328" t="s">
        <v>807</v>
      </c>
      <c r="I328" t="s">
        <v>992</v>
      </c>
      <c r="J328" t="s">
        <v>710</v>
      </c>
      <c r="K328" t="s">
        <v>711</v>
      </c>
      <c r="L328" t="s">
        <v>712</v>
      </c>
      <c r="M328" s="9">
        <f>SUMIFS(#REF!,#REF!,
$A328,#REF!,
"&gt;="&amp;'Faturado mensal'!M$2,#REF!,
"&lt;"&amp;EOMONTH('Faturado mensal'!M$2,0))</f>
        <v>0</v>
      </c>
      <c r="N328" s="9">
        <f>SUMIFS(#REF!,#REF!,
$A328,#REF!,
"&gt;="&amp;'Faturado mensal'!N$2,#REF!,
"&lt;"&amp;EOMONTH('Faturado mensal'!N$2,0))</f>
        <v>0</v>
      </c>
      <c r="O328" s="9">
        <f>SUMIFS(#REF!,#REF!,
$A328,#REF!,
"&gt;="&amp;'Faturado mensal'!O$2,#REF!,
"&lt;"&amp;EOMONTH('Faturado mensal'!O$2,0))</f>
        <v>0</v>
      </c>
      <c r="P328" s="9">
        <f>SUMIFS(#REF!,#REF!,
$A328,#REF!,
"&gt;="&amp;'Faturado mensal'!P$2,#REF!,
"&lt;"&amp;EOMONTH('Faturado mensal'!P$2,0))</f>
        <v>0</v>
      </c>
      <c r="Q328" s="9">
        <f>SUMIFS(#REF!,#REF!,
$A328,#REF!,
"&gt;="&amp;'Faturado mensal'!Q$2,#REF!,
"&lt;"&amp;EOMONTH('Faturado mensal'!Q$2,0))</f>
        <v>0</v>
      </c>
      <c r="R328" s="9">
        <f>SUMIFS(#REF!,#REF!,
$A328,#REF!,
"&gt;="&amp;'Faturado mensal'!R$2,#REF!,
"&lt;"&amp;EOMONTH('Faturado mensal'!R$2,0))</f>
        <v>0</v>
      </c>
      <c r="S328" s="9">
        <f>SUMIFS(#REF!,#REF!,
$A328,#REF!,
"&gt;="&amp;'Faturado mensal'!S$2,#REF!,
"&lt;"&amp;EOMONTH('Faturado mensal'!S$2,0))</f>
        <v>0</v>
      </c>
      <c r="T328" s="9">
        <f>SUMIFS(#REF!,#REF!,
$A328,#REF!,
"&gt;="&amp;'Faturado mensal'!T$2,#REF!,
"&lt;"&amp;EOMONTH('Faturado mensal'!T$2,0))</f>
        <v>6450</v>
      </c>
      <c r="U328" s="9">
        <f>SUMIFS(#REF!,#REF!,
$A328,#REF!,
"&gt;="&amp;'Faturado mensal'!U$2,#REF!,
"&lt;"&amp;EOMONTH('Faturado mensal'!U$2,0))</f>
        <v>2150</v>
      </c>
      <c r="V328" s="9">
        <f>SUMIFS(#REF!,#REF!,
$A328,#REF!,
"&gt;="&amp;'Faturado mensal'!V$2,#REF!,
"&lt;"&amp;EOMONTH('Faturado mensal'!V$2,0))</f>
        <v>6450</v>
      </c>
      <c r="W328" s="9">
        <f>SUMIFS(#REF!,#REF!,
$A328,#REF!,
"&gt;="&amp;'Faturado mensal'!W$2,#REF!,
"&lt;"&amp;EOMONTH('Faturado mensal'!W$2,0))</f>
        <v>4300</v>
      </c>
      <c r="X328" s="9">
        <f>SUMIFS(#REF!,#REF!,
$A328,#REF!,
"&gt;="&amp;'Faturado mensal'!X$2,#REF!,
"&lt;"&amp;EOMONTH('Faturado mensal'!X$2,0))</f>
        <v>2150</v>
      </c>
      <c r="Y328" s="11">
        <f>SUMIFS(#REF!,#REF!,
$A328,#REF!,
"&gt;="&amp;'Faturado mensal'!M$2,#REF!,
"&lt;"&amp;EOMONTH('Faturado mensal'!M$2,12))</f>
        <v>25800</v>
      </c>
      <c r="Z328" s="9">
        <f>SUMIFS(#REF!,#REF!,
$A328,#REF!,
"&gt;="&amp;'Faturado mensal'!Z$2,#REF!,
"&lt;"&amp;EOMONTH('Faturado mensal'!Z$2,0))</f>
        <v>4300</v>
      </c>
      <c r="AA328" s="9">
        <f>SUMIFS(#REF!,#REF!,
$A328,#REF!,
"&gt;="&amp;'Faturado mensal'!AA$2,#REF!,
"&lt;"&amp;EOMONTH('Faturado mensal'!AA$2,0))</f>
        <v>4300</v>
      </c>
      <c r="AB328" s="9">
        <f>SUMIFS(#REF!,#REF!,
$A328,#REF!,
"&gt;="&amp;'Faturado mensal'!AB$2,#REF!,
"&lt;"&amp;EOMONTH('Faturado mensal'!AB$2,0))</f>
        <v>0</v>
      </c>
      <c r="AC328" s="9">
        <f>SUMIFS(#REF!,#REF!,
$A328,#REF!,
"&gt;="&amp;'Faturado mensal'!AC$2,#REF!,
"&lt;"&amp;EOMONTH('Faturado mensal'!AC$2,0))</f>
        <v>10750</v>
      </c>
      <c r="AD328" s="9">
        <f>SUMIFS(#REF!,#REF!,
$A328,#REF!,
"&gt;="&amp;'Faturado mensal'!AD$2,#REF!,
"&lt;"&amp;EOMONTH('Faturado mensal'!AD$2,0))</f>
        <v>2150</v>
      </c>
      <c r="AE328" s="9">
        <f>SUMIFS(#REF!,#REF!,
$A328,#REF!,
"&gt;="&amp;'Faturado mensal'!AE$2,#REF!,
"&lt;"&amp;EOMONTH('Faturado mensal'!AE$2,0))</f>
        <v>4300</v>
      </c>
      <c r="AF328" s="9">
        <f>SUMIFS(#REF!,#REF!,
$A328,#REF!,
"&gt;="&amp;'Faturado mensal'!AF$2,#REF!,
"&lt;"&amp;EOMONTH('Faturado mensal'!AF$2,0))</f>
        <v>0</v>
      </c>
      <c r="AG328" s="9">
        <f>SUMIFS(#REF!,#REF!,
$A328,#REF!,
"&gt;="&amp;'Faturado mensal'!AG$2,#REF!,
"&lt;"&amp;EOMONTH('Faturado mensal'!AG$2,0))</f>
        <v>0</v>
      </c>
      <c r="AH328" s="9">
        <f>SUMIFS(#REF!,#REF!,
$A328,#REF!,
"&gt;="&amp;'Faturado mensal'!AH$2,#REF!,
"&lt;"&amp;EOMONTH('Faturado mensal'!AH$2,0))</f>
        <v>0</v>
      </c>
      <c r="AI328" s="9">
        <f>SUMIFS(#REF!,#REF!,
$A328,#REF!,
"&gt;="&amp;'Faturado mensal'!AI$2,#REF!,
"&lt;"&amp;EOMONTH('Faturado mensal'!AI$2,0))</f>
        <v>0</v>
      </c>
      <c r="AJ328" s="9">
        <f>SUMIFS(#REF!,#REF!,
$A328,#REF!,
"&gt;="&amp;'Faturado mensal'!AJ$2,#REF!,
"&lt;"&amp;EOMONTH('Faturado mensal'!AJ$2,0))</f>
        <v>0</v>
      </c>
      <c r="AK328" s="9">
        <f>SUMIFS(#REF!,#REF!,
$A328,#REF!,
"&gt;="&amp;'Faturado mensal'!AK$2,#REF!,
"&lt;"&amp;EOMONTH('Faturado mensal'!AK$2,0))</f>
        <v>0</v>
      </c>
      <c r="AL328" s="9">
        <f>SUMIFS(#REF!,#REF!,
$A328,#REF!,
"&gt;="&amp;Z$2,#REF!,
"&lt;"&amp;EOMONTH(AK$2,0))</f>
        <v>25800</v>
      </c>
    </row>
    <row r="329" spans="1:38" x14ac:dyDescent="0.3">
      <c r="A329" t="s">
        <v>659</v>
      </c>
      <c r="B329" t="s">
        <v>660</v>
      </c>
      <c r="C329" t="s">
        <v>96</v>
      </c>
      <c r="D329" t="s">
        <v>204</v>
      </c>
      <c r="E329" t="s">
        <v>4841</v>
      </c>
      <c r="F329" t="s">
        <v>4798</v>
      </c>
      <c r="G329" t="s">
        <v>4852</v>
      </c>
      <c r="H329" t="s">
        <v>807</v>
      </c>
      <c r="I329" t="s">
        <v>993</v>
      </c>
      <c r="J329" t="s">
        <v>710</v>
      </c>
      <c r="K329" t="s">
        <v>717</v>
      </c>
      <c r="L329" t="s">
        <v>718</v>
      </c>
      <c r="M329" s="9">
        <f>SUMIFS(#REF!,#REF!,
$A329,#REF!,
"&gt;="&amp;'Faturado mensal'!M$2,#REF!,
"&lt;"&amp;EOMONTH('Faturado mensal'!M$2,0))</f>
        <v>0</v>
      </c>
      <c r="N329" s="9">
        <f>SUMIFS(#REF!,#REF!,
$A329,#REF!,
"&gt;="&amp;'Faturado mensal'!N$2,#REF!,
"&lt;"&amp;EOMONTH('Faturado mensal'!N$2,0))</f>
        <v>0</v>
      </c>
      <c r="O329" s="9">
        <f>SUMIFS(#REF!,#REF!,
$A329,#REF!,
"&gt;="&amp;'Faturado mensal'!O$2,#REF!,
"&lt;"&amp;EOMONTH('Faturado mensal'!O$2,0))</f>
        <v>0</v>
      </c>
      <c r="P329" s="9">
        <f>SUMIFS(#REF!,#REF!,
$A329,#REF!,
"&gt;="&amp;'Faturado mensal'!P$2,#REF!,
"&lt;"&amp;EOMONTH('Faturado mensal'!P$2,0))</f>
        <v>0</v>
      </c>
      <c r="Q329" s="9">
        <f>SUMIFS(#REF!,#REF!,
$A329,#REF!,
"&gt;="&amp;'Faturado mensal'!Q$2,#REF!,
"&lt;"&amp;EOMONTH('Faturado mensal'!Q$2,0))</f>
        <v>0</v>
      </c>
      <c r="R329" s="9">
        <f>SUMIFS(#REF!,#REF!,
$A329,#REF!,
"&gt;="&amp;'Faturado mensal'!R$2,#REF!,
"&lt;"&amp;EOMONTH('Faturado mensal'!R$2,0))</f>
        <v>0</v>
      </c>
      <c r="S329" s="9">
        <f>SUMIFS(#REF!,#REF!,
$A329,#REF!,
"&gt;="&amp;'Faturado mensal'!S$2,#REF!,
"&lt;"&amp;EOMONTH('Faturado mensal'!S$2,0))</f>
        <v>0</v>
      </c>
      <c r="T329" s="9">
        <f>SUMIFS(#REF!,#REF!,
$A329,#REF!,
"&gt;="&amp;'Faturado mensal'!T$2,#REF!,
"&lt;"&amp;EOMONTH('Faturado mensal'!T$2,0))</f>
        <v>0</v>
      </c>
      <c r="U329" s="9">
        <f>SUMIFS(#REF!,#REF!,
$A329,#REF!,
"&gt;="&amp;'Faturado mensal'!U$2,#REF!,
"&lt;"&amp;EOMONTH('Faturado mensal'!U$2,0))</f>
        <v>0</v>
      </c>
      <c r="V329" s="9">
        <f>SUMIFS(#REF!,#REF!,
$A329,#REF!,
"&gt;="&amp;'Faturado mensal'!V$2,#REF!,
"&lt;"&amp;EOMONTH('Faturado mensal'!V$2,0))</f>
        <v>33527.699999999997</v>
      </c>
      <c r="W329" s="9">
        <f>SUMIFS(#REF!,#REF!,
$A329,#REF!,
"&gt;="&amp;'Faturado mensal'!W$2,#REF!,
"&lt;"&amp;EOMONTH('Faturado mensal'!W$2,0))</f>
        <v>0</v>
      </c>
      <c r="X329" s="9">
        <f>SUMIFS(#REF!,#REF!,
$A329,#REF!,
"&gt;="&amp;'Faturado mensal'!X$2,#REF!,
"&lt;"&amp;EOMONTH('Faturado mensal'!X$2,0))</f>
        <v>33527.699999999997</v>
      </c>
      <c r="Y329" s="11">
        <f>SUMIFS(#REF!,#REF!,
$A329,#REF!,
"&gt;="&amp;'Faturado mensal'!M$2,#REF!,
"&lt;"&amp;EOMONTH('Faturado mensal'!M$2,12))</f>
        <v>67055.399999999994</v>
      </c>
      <c r="Z329" s="9">
        <f>SUMIFS(#REF!,#REF!,
$A329,#REF!,
"&gt;="&amp;'Faturado mensal'!Z$2,#REF!,
"&lt;"&amp;EOMONTH('Faturado mensal'!Z$2,0))</f>
        <v>0</v>
      </c>
      <c r="AA329" s="9">
        <f>SUMIFS(#REF!,#REF!,
$A329,#REF!,
"&gt;="&amp;'Faturado mensal'!AA$2,#REF!,
"&lt;"&amp;EOMONTH('Faturado mensal'!AA$2,0))</f>
        <v>0</v>
      </c>
      <c r="AB329" s="9">
        <f>SUMIFS(#REF!,#REF!,
$A329,#REF!,
"&gt;="&amp;'Faturado mensal'!AB$2,#REF!,
"&lt;"&amp;EOMONTH('Faturado mensal'!AB$2,0))</f>
        <v>0</v>
      </c>
      <c r="AC329" s="9">
        <f>SUMIFS(#REF!,#REF!,
$A329,#REF!,
"&gt;="&amp;'Faturado mensal'!AC$2,#REF!,
"&lt;"&amp;EOMONTH('Faturado mensal'!AC$2,0))</f>
        <v>33527.699999999997</v>
      </c>
      <c r="AD329" s="9">
        <f>SUMIFS(#REF!,#REF!,
$A329,#REF!,
"&gt;="&amp;'Faturado mensal'!AD$2,#REF!,
"&lt;"&amp;EOMONTH('Faturado mensal'!AD$2,0))</f>
        <v>0</v>
      </c>
      <c r="AE329" s="9">
        <f>SUMIFS(#REF!,#REF!,
$A329,#REF!,
"&gt;="&amp;'Faturado mensal'!AE$2,#REF!,
"&lt;"&amp;EOMONTH('Faturado mensal'!AE$2,0))</f>
        <v>0</v>
      </c>
      <c r="AF329" s="9">
        <f>SUMIFS(#REF!,#REF!,
$A329,#REF!,
"&gt;="&amp;'Faturado mensal'!AF$2,#REF!,
"&lt;"&amp;EOMONTH('Faturado mensal'!AF$2,0))</f>
        <v>0</v>
      </c>
      <c r="AG329" s="9">
        <f>SUMIFS(#REF!,#REF!,
$A329,#REF!,
"&gt;="&amp;'Faturado mensal'!AG$2,#REF!,
"&lt;"&amp;EOMONTH('Faturado mensal'!AG$2,0))</f>
        <v>0</v>
      </c>
      <c r="AH329" s="9">
        <f>SUMIFS(#REF!,#REF!,
$A329,#REF!,
"&gt;="&amp;'Faturado mensal'!AH$2,#REF!,
"&lt;"&amp;EOMONTH('Faturado mensal'!AH$2,0))</f>
        <v>0</v>
      </c>
      <c r="AI329" s="9">
        <f>SUMIFS(#REF!,#REF!,
$A329,#REF!,
"&gt;="&amp;'Faturado mensal'!AI$2,#REF!,
"&lt;"&amp;EOMONTH('Faturado mensal'!AI$2,0))</f>
        <v>0</v>
      </c>
      <c r="AJ329" s="9">
        <f>SUMIFS(#REF!,#REF!,
$A329,#REF!,
"&gt;="&amp;'Faturado mensal'!AJ$2,#REF!,
"&lt;"&amp;EOMONTH('Faturado mensal'!AJ$2,0))</f>
        <v>0</v>
      </c>
      <c r="AK329" s="9">
        <f>SUMIFS(#REF!,#REF!,
$A329,#REF!,
"&gt;="&amp;'Faturado mensal'!AK$2,#REF!,
"&lt;"&amp;EOMONTH('Faturado mensal'!AK$2,0))</f>
        <v>0</v>
      </c>
      <c r="AL329" s="9">
        <f>SUMIFS(#REF!,#REF!,
$A329,#REF!,
"&gt;="&amp;Z$2,#REF!,
"&lt;"&amp;EOMONTH(AK$2,0))</f>
        <v>33527.699999999997</v>
      </c>
    </row>
    <row r="330" spans="1:38" x14ac:dyDescent="0.3">
      <c r="A330" t="s">
        <v>661</v>
      </c>
      <c r="B330" t="s">
        <v>660</v>
      </c>
      <c r="C330" t="s">
        <v>96</v>
      </c>
      <c r="D330" t="s">
        <v>204</v>
      </c>
      <c r="E330" t="s">
        <v>4841</v>
      </c>
      <c r="F330" t="s">
        <v>4776</v>
      </c>
      <c r="G330" t="s">
        <v>4852</v>
      </c>
      <c r="H330" t="s">
        <v>807</v>
      </c>
      <c r="I330" t="s">
        <v>994</v>
      </c>
      <c r="J330" t="s">
        <v>710</v>
      </c>
      <c r="K330" t="s">
        <v>717</v>
      </c>
      <c r="L330" t="s">
        <v>718</v>
      </c>
      <c r="M330" s="9">
        <f>SUMIFS(#REF!,#REF!,
$A330,#REF!,
"&gt;="&amp;'Faturado mensal'!M$2,#REF!,
"&lt;"&amp;EOMONTH('Faturado mensal'!M$2,0))</f>
        <v>0</v>
      </c>
      <c r="N330" s="9">
        <f>SUMIFS(#REF!,#REF!,
$A330,#REF!,
"&gt;="&amp;'Faturado mensal'!N$2,#REF!,
"&lt;"&amp;EOMONTH('Faturado mensal'!N$2,0))</f>
        <v>0</v>
      </c>
      <c r="O330" s="9">
        <f>SUMIFS(#REF!,#REF!,
$A330,#REF!,
"&gt;="&amp;'Faturado mensal'!O$2,#REF!,
"&lt;"&amp;EOMONTH('Faturado mensal'!O$2,0))</f>
        <v>0</v>
      </c>
      <c r="P330" s="9">
        <f>SUMIFS(#REF!,#REF!,
$A330,#REF!,
"&gt;="&amp;'Faturado mensal'!P$2,#REF!,
"&lt;"&amp;EOMONTH('Faturado mensal'!P$2,0))</f>
        <v>0</v>
      </c>
      <c r="Q330" s="9">
        <f>SUMIFS(#REF!,#REF!,
$A330,#REF!,
"&gt;="&amp;'Faturado mensal'!Q$2,#REF!,
"&lt;"&amp;EOMONTH('Faturado mensal'!Q$2,0))</f>
        <v>0</v>
      </c>
      <c r="R330" s="9">
        <f>SUMIFS(#REF!,#REF!,
$A330,#REF!,
"&gt;="&amp;'Faturado mensal'!R$2,#REF!,
"&lt;"&amp;EOMONTH('Faturado mensal'!R$2,0))</f>
        <v>0</v>
      </c>
      <c r="S330" s="9">
        <f>SUMIFS(#REF!,#REF!,
$A330,#REF!,
"&gt;="&amp;'Faturado mensal'!S$2,#REF!,
"&lt;"&amp;EOMONTH('Faturado mensal'!S$2,0))</f>
        <v>0</v>
      </c>
      <c r="T330" s="9">
        <f>SUMIFS(#REF!,#REF!,
$A330,#REF!,
"&gt;="&amp;'Faturado mensal'!T$2,#REF!,
"&lt;"&amp;EOMONTH('Faturado mensal'!T$2,0))</f>
        <v>0</v>
      </c>
      <c r="U330" s="9">
        <f>SUMIFS(#REF!,#REF!,
$A330,#REF!,
"&gt;="&amp;'Faturado mensal'!U$2,#REF!,
"&lt;"&amp;EOMONTH('Faturado mensal'!U$2,0))</f>
        <v>80699.7</v>
      </c>
      <c r="V330" s="9">
        <f>SUMIFS(#REF!,#REF!,
$A330,#REF!,
"&gt;="&amp;'Faturado mensal'!V$2,#REF!,
"&lt;"&amp;EOMONTH('Faturado mensal'!V$2,0))</f>
        <v>40349.85</v>
      </c>
      <c r="W330" s="9">
        <f>SUMIFS(#REF!,#REF!,
$A330,#REF!,
"&gt;="&amp;'Faturado mensal'!W$2,#REF!,
"&lt;"&amp;EOMONTH('Faturado mensal'!W$2,0))</f>
        <v>40349.85</v>
      </c>
      <c r="X330" s="9">
        <f>SUMIFS(#REF!,#REF!,
$A330,#REF!,
"&gt;="&amp;'Faturado mensal'!X$2,#REF!,
"&lt;"&amp;EOMONTH('Faturado mensal'!X$2,0))</f>
        <v>40349.85</v>
      </c>
      <c r="Y330" s="11">
        <f>SUMIFS(#REF!,#REF!,
$A330,#REF!,
"&gt;="&amp;'Faturado mensal'!M$2,#REF!,
"&lt;"&amp;EOMONTH('Faturado mensal'!M$2,12))</f>
        <v>201749.25</v>
      </c>
      <c r="Z330" s="9">
        <f>SUMIFS(#REF!,#REF!,
$A330,#REF!,
"&gt;="&amp;'Faturado mensal'!Z$2,#REF!,
"&lt;"&amp;EOMONTH('Faturado mensal'!Z$2,0))</f>
        <v>0</v>
      </c>
      <c r="AA330" s="9">
        <f>SUMIFS(#REF!,#REF!,
$A330,#REF!,
"&gt;="&amp;'Faturado mensal'!AA$2,#REF!,
"&lt;"&amp;EOMONTH('Faturado mensal'!AA$2,0))</f>
        <v>0</v>
      </c>
      <c r="AB330" s="9">
        <f>SUMIFS(#REF!,#REF!,
$A330,#REF!,
"&gt;="&amp;'Faturado mensal'!AB$2,#REF!,
"&lt;"&amp;EOMONTH('Faturado mensal'!AB$2,0))</f>
        <v>0</v>
      </c>
      <c r="AC330" s="9">
        <f>SUMIFS(#REF!,#REF!,
$A330,#REF!,
"&gt;="&amp;'Faturado mensal'!AC$2,#REF!,
"&lt;"&amp;EOMONTH('Faturado mensal'!AC$2,0))</f>
        <v>0</v>
      </c>
      <c r="AD330" s="9">
        <f>SUMIFS(#REF!,#REF!,
$A330,#REF!,
"&gt;="&amp;'Faturado mensal'!AD$2,#REF!,
"&lt;"&amp;EOMONTH('Faturado mensal'!AD$2,0))</f>
        <v>0</v>
      </c>
      <c r="AE330" s="9">
        <f>SUMIFS(#REF!,#REF!,
$A330,#REF!,
"&gt;="&amp;'Faturado mensal'!AE$2,#REF!,
"&lt;"&amp;EOMONTH('Faturado mensal'!AE$2,0))</f>
        <v>36000</v>
      </c>
      <c r="AF330" s="9">
        <f>SUMIFS(#REF!,#REF!,
$A330,#REF!,
"&gt;="&amp;'Faturado mensal'!AF$2,#REF!,
"&lt;"&amp;EOMONTH('Faturado mensal'!AF$2,0))</f>
        <v>0</v>
      </c>
      <c r="AG330" s="9">
        <f>SUMIFS(#REF!,#REF!,
$A330,#REF!,
"&gt;="&amp;'Faturado mensal'!AG$2,#REF!,
"&lt;"&amp;EOMONTH('Faturado mensal'!AG$2,0))</f>
        <v>0</v>
      </c>
      <c r="AH330" s="9">
        <f>SUMIFS(#REF!,#REF!,
$A330,#REF!,
"&gt;="&amp;'Faturado mensal'!AH$2,#REF!,
"&lt;"&amp;EOMONTH('Faturado mensal'!AH$2,0))</f>
        <v>0</v>
      </c>
      <c r="AI330" s="9">
        <f>SUMIFS(#REF!,#REF!,
$A330,#REF!,
"&gt;="&amp;'Faturado mensal'!AI$2,#REF!,
"&lt;"&amp;EOMONTH('Faturado mensal'!AI$2,0))</f>
        <v>0</v>
      </c>
      <c r="AJ330" s="9">
        <f>SUMIFS(#REF!,#REF!,
$A330,#REF!,
"&gt;="&amp;'Faturado mensal'!AJ$2,#REF!,
"&lt;"&amp;EOMONTH('Faturado mensal'!AJ$2,0))</f>
        <v>0</v>
      </c>
      <c r="AK330" s="9">
        <f>SUMIFS(#REF!,#REF!,
$A330,#REF!,
"&gt;="&amp;'Faturado mensal'!AK$2,#REF!,
"&lt;"&amp;EOMONTH('Faturado mensal'!AK$2,0))</f>
        <v>0</v>
      </c>
      <c r="AL330" s="9">
        <f>SUMIFS(#REF!,#REF!,
$A330,#REF!,
"&gt;="&amp;Z$2,#REF!,
"&lt;"&amp;EOMONTH(AK$2,0))</f>
        <v>36000</v>
      </c>
    </row>
    <row r="331" spans="1:38" x14ac:dyDescent="0.3">
      <c r="A331" t="s">
        <v>995</v>
      </c>
      <c r="B331" t="s">
        <v>399</v>
      </c>
      <c r="C331" t="s">
        <v>97</v>
      </c>
      <c r="D331" t="s">
        <v>209</v>
      </c>
      <c r="E331" t="s">
        <v>4841</v>
      </c>
      <c r="F331" t="s">
        <v>4776</v>
      </c>
      <c r="G331" t="s">
        <v>4852</v>
      </c>
      <c r="H331" t="s">
        <v>4773</v>
      </c>
      <c r="I331" t="s">
        <v>996</v>
      </c>
      <c r="J331" t="s">
        <v>710</v>
      </c>
      <c r="K331" t="s">
        <v>717</v>
      </c>
      <c r="L331" t="s">
        <v>718</v>
      </c>
      <c r="M331" s="9">
        <f>SUMIFS(#REF!,#REF!,
$A331,#REF!,
"&gt;="&amp;'Faturado mensal'!M$2,#REF!,
"&lt;"&amp;EOMONTH('Faturado mensal'!M$2,0))</f>
        <v>0</v>
      </c>
      <c r="N331" s="9">
        <f>SUMIFS(#REF!,#REF!,
$A331,#REF!,
"&gt;="&amp;'Faturado mensal'!N$2,#REF!,
"&lt;"&amp;EOMONTH('Faturado mensal'!N$2,0))</f>
        <v>0</v>
      </c>
      <c r="O331" s="9">
        <f>SUMIFS(#REF!,#REF!,
$A331,#REF!,
"&gt;="&amp;'Faturado mensal'!O$2,#REF!,
"&lt;"&amp;EOMONTH('Faturado mensal'!O$2,0))</f>
        <v>0</v>
      </c>
      <c r="P331" s="9">
        <f>SUMIFS(#REF!,#REF!,
$A331,#REF!,
"&gt;="&amp;'Faturado mensal'!P$2,#REF!,
"&lt;"&amp;EOMONTH('Faturado mensal'!P$2,0))</f>
        <v>0</v>
      </c>
      <c r="Q331" s="9">
        <f>SUMIFS(#REF!,#REF!,
$A331,#REF!,
"&gt;="&amp;'Faturado mensal'!Q$2,#REF!,
"&lt;"&amp;EOMONTH('Faturado mensal'!Q$2,0))</f>
        <v>0</v>
      </c>
      <c r="R331" s="9">
        <f>SUMIFS(#REF!,#REF!,
$A331,#REF!,
"&gt;="&amp;'Faturado mensal'!R$2,#REF!,
"&lt;"&amp;EOMONTH('Faturado mensal'!R$2,0))</f>
        <v>0</v>
      </c>
      <c r="S331" s="9">
        <f>SUMIFS(#REF!,#REF!,
$A331,#REF!,
"&gt;="&amp;'Faturado mensal'!S$2,#REF!,
"&lt;"&amp;EOMONTH('Faturado mensal'!S$2,0))</f>
        <v>0</v>
      </c>
      <c r="T331" s="9">
        <f>SUMIFS(#REF!,#REF!,
$A331,#REF!,
"&gt;="&amp;'Faturado mensal'!T$2,#REF!,
"&lt;"&amp;EOMONTH('Faturado mensal'!T$2,0))</f>
        <v>0</v>
      </c>
      <c r="U331" s="9">
        <f>SUMIFS(#REF!,#REF!,
$A331,#REF!,
"&gt;="&amp;'Faturado mensal'!U$2,#REF!,
"&lt;"&amp;EOMONTH('Faturado mensal'!U$2,0))</f>
        <v>0</v>
      </c>
      <c r="V331" s="9">
        <f>SUMIFS(#REF!,#REF!,
$A331,#REF!,
"&gt;="&amp;'Faturado mensal'!V$2,#REF!,
"&lt;"&amp;EOMONTH('Faturado mensal'!V$2,0))</f>
        <v>0</v>
      </c>
      <c r="W331" s="9">
        <f>SUMIFS(#REF!,#REF!,
$A331,#REF!,
"&gt;="&amp;'Faturado mensal'!W$2,#REF!,
"&lt;"&amp;EOMONTH('Faturado mensal'!W$2,0))</f>
        <v>0</v>
      </c>
      <c r="X331" s="9">
        <f>SUMIFS(#REF!,#REF!,
$A331,#REF!,
"&gt;="&amp;'Faturado mensal'!X$2,#REF!,
"&lt;"&amp;EOMONTH('Faturado mensal'!X$2,0))</f>
        <v>0</v>
      </c>
      <c r="Y331" s="11">
        <f>SUMIFS(#REF!,#REF!,
$A331,#REF!,
"&gt;="&amp;'Faturado mensal'!M$2,#REF!,
"&lt;"&amp;EOMONTH('Faturado mensal'!M$2,12))</f>
        <v>0</v>
      </c>
      <c r="Z331" s="9">
        <f>SUMIFS(#REF!,#REF!,
$A331,#REF!,
"&gt;="&amp;'Faturado mensal'!Z$2,#REF!,
"&lt;"&amp;EOMONTH('Faturado mensal'!Z$2,0))</f>
        <v>0</v>
      </c>
      <c r="AA331" s="9">
        <f>SUMIFS(#REF!,#REF!,
$A331,#REF!,
"&gt;="&amp;'Faturado mensal'!AA$2,#REF!,
"&lt;"&amp;EOMONTH('Faturado mensal'!AA$2,0))</f>
        <v>0</v>
      </c>
      <c r="AB331" s="9">
        <f>SUMIFS(#REF!,#REF!,
$A331,#REF!,
"&gt;="&amp;'Faturado mensal'!AB$2,#REF!,
"&lt;"&amp;EOMONTH('Faturado mensal'!AB$2,0))</f>
        <v>0</v>
      </c>
      <c r="AC331" s="9">
        <f>SUMIFS(#REF!,#REF!,
$A331,#REF!,
"&gt;="&amp;'Faturado mensal'!AC$2,#REF!,
"&lt;"&amp;EOMONTH('Faturado mensal'!AC$2,0))</f>
        <v>0</v>
      </c>
      <c r="AD331" s="9">
        <f>SUMIFS(#REF!,#REF!,
$A331,#REF!,
"&gt;="&amp;'Faturado mensal'!AD$2,#REF!,
"&lt;"&amp;EOMONTH('Faturado mensal'!AD$2,0))</f>
        <v>0</v>
      </c>
      <c r="AE331" s="9">
        <f>SUMIFS(#REF!,#REF!,
$A331,#REF!,
"&gt;="&amp;'Faturado mensal'!AE$2,#REF!,
"&lt;"&amp;EOMONTH('Faturado mensal'!AE$2,0))</f>
        <v>0</v>
      </c>
      <c r="AF331" s="9">
        <f>SUMIFS(#REF!,#REF!,
$A331,#REF!,
"&gt;="&amp;'Faturado mensal'!AF$2,#REF!,
"&lt;"&amp;EOMONTH('Faturado mensal'!AF$2,0))</f>
        <v>0</v>
      </c>
      <c r="AG331" s="9">
        <f>SUMIFS(#REF!,#REF!,
$A331,#REF!,
"&gt;="&amp;'Faturado mensal'!AG$2,#REF!,
"&lt;"&amp;EOMONTH('Faturado mensal'!AG$2,0))</f>
        <v>0</v>
      </c>
      <c r="AH331" s="9">
        <f>SUMIFS(#REF!,#REF!,
$A331,#REF!,
"&gt;="&amp;'Faturado mensal'!AH$2,#REF!,
"&lt;"&amp;EOMONTH('Faturado mensal'!AH$2,0))</f>
        <v>0</v>
      </c>
      <c r="AI331" s="9">
        <f>SUMIFS(#REF!,#REF!,
$A331,#REF!,
"&gt;="&amp;'Faturado mensal'!AI$2,#REF!,
"&lt;"&amp;EOMONTH('Faturado mensal'!AI$2,0))</f>
        <v>0</v>
      </c>
      <c r="AJ331" s="9">
        <f>SUMIFS(#REF!,#REF!,
$A331,#REF!,
"&gt;="&amp;'Faturado mensal'!AJ$2,#REF!,
"&lt;"&amp;EOMONTH('Faturado mensal'!AJ$2,0))</f>
        <v>0</v>
      </c>
      <c r="AK331" s="9">
        <f>SUMIFS(#REF!,#REF!,
$A331,#REF!,
"&gt;="&amp;'Faturado mensal'!AK$2,#REF!,
"&lt;"&amp;EOMONTH('Faturado mensal'!AK$2,0))</f>
        <v>0</v>
      </c>
      <c r="AL331" s="9">
        <f>SUMIFS(#REF!,#REF!,
$A331,#REF!,
"&gt;="&amp;Z$2,#REF!,
"&lt;"&amp;EOMONTH(AK$2,0))</f>
        <v>0</v>
      </c>
    </row>
    <row r="332" spans="1:38" x14ac:dyDescent="0.3">
      <c r="A332" t="s">
        <v>662</v>
      </c>
      <c r="B332" t="s">
        <v>451</v>
      </c>
      <c r="C332" t="s">
        <v>129</v>
      </c>
      <c r="D332" t="s">
        <v>204</v>
      </c>
      <c r="E332" t="s">
        <v>4833</v>
      </c>
      <c r="F332" t="s">
        <v>4802</v>
      </c>
      <c r="G332" t="s">
        <v>4852</v>
      </c>
      <c r="H332" t="s">
        <v>807</v>
      </c>
      <c r="I332" t="s">
        <v>171</v>
      </c>
      <c r="J332" t="s">
        <v>719</v>
      </c>
      <c r="K332" t="s">
        <v>717</v>
      </c>
      <c r="L332" t="s">
        <v>718</v>
      </c>
      <c r="M332" s="9">
        <f>SUMIFS(#REF!,#REF!,
$A332,#REF!,
"&gt;="&amp;'Faturado mensal'!M$2,#REF!,
"&lt;"&amp;EOMONTH('Faturado mensal'!M$2,0))</f>
        <v>0</v>
      </c>
      <c r="N332" s="9">
        <f>SUMIFS(#REF!,#REF!,
$A332,#REF!,
"&gt;="&amp;'Faturado mensal'!N$2,#REF!,
"&lt;"&amp;EOMONTH('Faturado mensal'!N$2,0))</f>
        <v>0</v>
      </c>
      <c r="O332" s="9">
        <f>SUMIFS(#REF!,#REF!,
$A332,#REF!,
"&gt;="&amp;'Faturado mensal'!O$2,#REF!,
"&lt;"&amp;EOMONTH('Faturado mensal'!O$2,0))</f>
        <v>0</v>
      </c>
      <c r="P332" s="9">
        <f>SUMIFS(#REF!,#REF!,
$A332,#REF!,
"&gt;="&amp;'Faturado mensal'!P$2,#REF!,
"&lt;"&amp;EOMONTH('Faturado mensal'!P$2,0))</f>
        <v>0</v>
      </c>
      <c r="Q332" s="9">
        <f>SUMIFS(#REF!,#REF!,
$A332,#REF!,
"&gt;="&amp;'Faturado mensal'!Q$2,#REF!,
"&lt;"&amp;EOMONTH('Faturado mensal'!Q$2,0))</f>
        <v>0</v>
      </c>
      <c r="R332" s="9">
        <f>SUMIFS(#REF!,#REF!,
$A332,#REF!,
"&gt;="&amp;'Faturado mensal'!R$2,#REF!,
"&lt;"&amp;EOMONTH('Faturado mensal'!R$2,0))</f>
        <v>0</v>
      </c>
      <c r="S332" s="9">
        <f>SUMIFS(#REF!,#REF!,
$A332,#REF!,
"&gt;="&amp;'Faturado mensal'!S$2,#REF!,
"&lt;"&amp;EOMONTH('Faturado mensal'!S$2,0))</f>
        <v>0</v>
      </c>
      <c r="T332" s="9">
        <f>SUMIFS(#REF!,#REF!,
$A332,#REF!,
"&gt;="&amp;'Faturado mensal'!T$2,#REF!,
"&lt;"&amp;EOMONTH('Faturado mensal'!T$2,0))</f>
        <v>0</v>
      </c>
      <c r="U332" s="9">
        <f>SUMIFS(#REF!,#REF!,
$A332,#REF!,
"&gt;="&amp;'Faturado mensal'!U$2,#REF!,
"&lt;"&amp;EOMONTH('Faturado mensal'!U$2,0))</f>
        <v>0</v>
      </c>
      <c r="V332" s="9">
        <f>SUMIFS(#REF!,#REF!,
$A332,#REF!,
"&gt;="&amp;'Faturado mensal'!V$2,#REF!,
"&lt;"&amp;EOMONTH('Faturado mensal'!V$2,0))</f>
        <v>5708.43</v>
      </c>
      <c r="W332" s="9">
        <f>SUMIFS(#REF!,#REF!,
$A332,#REF!,
"&gt;="&amp;'Faturado mensal'!W$2,#REF!,
"&lt;"&amp;EOMONTH('Faturado mensal'!W$2,0))</f>
        <v>5781.3899999999994</v>
      </c>
      <c r="X332" s="9">
        <f>SUMIFS(#REF!,#REF!,
$A332,#REF!,
"&gt;="&amp;'Faturado mensal'!X$2,#REF!,
"&lt;"&amp;EOMONTH('Faturado mensal'!X$2,0))</f>
        <v>5105.41</v>
      </c>
      <c r="Y332" s="11">
        <f>SUMIFS(#REF!,#REF!,
$A332,#REF!,
"&gt;="&amp;'Faturado mensal'!M$2,#REF!,
"&lt;"&amp;EOMONTH('Faturado mensal'!M$2,12))</f>
        <v>21895.010000000002</v>
      </c>
      <c r="Z332" s="9">
        <f>SUMIFS(#REF!,#REF!,
$A332,#REF!,
"&gt;="&amp;'Faturado mensal'!Z$2,#REF!,
"&lt;"&amp;EOMONTH('Faturado mensal'!Z$2,0))</f>
        <v>5299.7800000000007</v>
      </c>
      <c r="AA332" s="9">
        <f>SUMIFS(#REF!,#REF!,
$A332,#REF!,
"&gt;="&amp;'Faturado mensal'!AA$2,#REF!,
"&lt;"&amp;EOMONTH('Faturado mensal'!AA$2,0))</f>
        <v>4498.6000000000004</v>
      </c>
      <c r="AB332" s="9">
        <f>SUMIFS(#REF!,#REF!,
$A332,#REF!,
"&gt;="&amp;'Faturado mensal'!AB$2,#REF!,
"&lt;"&amp;EOMONTH('Faturado mensal'!AB$2,0))</f>
        <v>4498.6000000000004</v>
      </c>
      <c r="AC332" s="9">
        <f>SUMIFS(#REF!,#REF!,
$A332,#REF!,
"&gt;="&amp;'Faturado mensal'!AC$2,#REF!,
"&lt;"&amp;EOMONTH('Faturado mensal'!AC$2,0))</f>
        <v>4498.6000000000004</v>
      </c>
      <c r="AD332" s="9">
        <f>SUMIFS(#REF!,#REF!,
$A332,#REF!,
"&gt;="&amp;'Faturado mensal'!AD$2,#REF!,
"&lt;"&amp;EOMONTH('Faturado mensal'!AD$2,0))</f>
        <v>4498.6000000000004</v>
      </c>
      <c r="AE332" s="9">
        <f>SUMIFS(#REF!,#REF!,
$A332,#REF!,
"&gt;="&amp;'Faturado mensal'!AE$2,#REF!,
"&lt;"&amp;EOMONTH('Faturado mensal'!AE$2,0))</f>
        <v>3885.9800000000005</v>
      </c>
      <c r="AF332" s="9">
        <f>SUMIFS(#REF!,#REF!,
$A332,#REF!,
"&gt;="&amp;'Faturado mensal'!AF$2,#REF!,
"&lt;"&amp;EOMONTH('Faturado mensal'!AF$2,0))</f>
        <v>0</v>
      </c>
      <c r="AG332" s="9">
        <f>SUMIFS(#REF!,#REF!,
$A332,#REF!,
"&gt;="&amp;'Faturado mensal'!AG$2,#REF!,
"&lt;"&amp;EOMONTH('Faturado mensal'!AG$2,0))</f>
        <v>0</v>
      </c>
      <c r="AH332" s="9">
        <f>SUMIFS(#REF!,#REF!,
$A332,#REF!,
"&gt;="&amp;'Faturado mensal'!AH$2,#REF!,
"&lt;"&amp;EOMONTH('Faturado mensal'!AH$2,0))</f>
        <v>0</v>
      </c>
      <c r="AI332" s="9">
        <f>SUMIFS(#REF!,#REF!,
$A332,#REF!,
"&gt;="&amp;'Faturado mensal'!AI$2,#REF!,
"&lt;"&amp;EOMONTH('Faturado mensal'!AI$2,0))</f>
        <v>0</v>
      </c>
      <c r="AJ332" s="9">
        <f>SUMIFS(#REF!,#REF!,
$A332,#REF!,
"&gt;="&amp;'Faturado mensal'!AJ$2,#REF!,
"&lt;"&amp;EOMONTH('Faturado mensal'!AJ$2,0))</f>
        <v>0</v>
      </c>
      <c r="AK332" s="9">
        <f>SUMIFS(#REF!,#REF!,
$A332,#REF!,
"&gt;="&amp;'Faturado mensal'!AK$2,#REF!,
"&lt;"&amp;EOMONTH('Faturado mensal'!AK$2,0))</f>
        <v>0</v>
      </c>
      <c r="AL332" s="9">
        <f>SUMIFS(#REF!,#REF!,
$A332,#REF!,
"&gt;="&amp;Z$2,#REF!,
"&lt;"&amp;EOMONTH(AK$2,0))</f>
        <v>27180.159999999993</v>
      </c>
    </row>
    <row r="333" spans="1:38" x14ac:dyDescent="0.3">
      <c r="A333" t="s">
        <v>663</v>
      </c>
      <c r="B333" t="s">
        <v>664</v>
      </c>
      <c r="C333" t="s">
        <v>83</v>
      </c>
      <c r="D333" t="s">
        <v>204</v>
      </c>
      <c r="E333" t="s">
        <v>1037</v>
      </c>
      <c r="F333" t="s">
        <v>850</v>
      </c>
      <c r="G333" t="s">
        <v>4852</v>
      </c>
      <c r="H333" t="s">
        <v>807</v>
      </c>
      <c r="I333" t="s">
        <v>160</v>
      </c>
      <c r="J333" t="s">
        <v>710</v>
      </c>
      <c r="K333" t="s">
        <v>762</v>
      </c>
      <c r="L333" t="s">
        <v>763</v>
      </c>
      <c r="M333" s="9">
        <f>SUMIFS(#REF!,#REF!,
$A333,#REF!,
"&gt;="&amp;'Faturado mensal'!M$2,#REF!,
"&lt;"&amp;EOMONTH('Faturado mensal'!M$2,0))</f>
        <v>0</v>
      </c>
      <c r="N333" s="9">
        <f>SUMIFS(#REF!,#REF!,
$A333,#REF!,
"&gt;="&amp;'Faturado mensal'!N$2,#REF!,
"&lt;"&amp;EOMONTH('Faturado mensal'!N$2,0))</f>
        <v>0</v>
      </c>
      <c r="O333" s="9">
        <f>SUMIFS(#REF!,#REF!,
$A333,#REF!,
"&gt;="&amp;'Faturado mensal'!O$2,#REF!,
"&lt;"&amp;EOMONTH('Faturado mensal'!O$2,0))</f>
        <v>0</v>
      </c>
      <c r="P333" s="9">
        <f>SUMIFS(#REF!,#REF!,
$A333,#REF!,
"&gt;="&amp;'Faturado mensal'!P$2,#REF!,
"&lt;"&amp;EOMONTH('Faturado mensal'!P$2,0))</f>
        <v>0</v>
      </c>
      <c r="Q333" s="9">
        <f>SUMIFS(#REF!,#REF!,
$A333,#REF!,
"&gt;="&amp;'Faturado mensal'!Q$2,#REF!,
"&lt;"&amp;EOMONTH('Faturado mensal'!Q$2,0))</f>
        <v>0</v>
      </c>
      <c r="R333" s="9">
        <f>SUMIFS(#REF!,#REF!,
$A333,#REF!,
"&gt;="&amp;'Faturado mensal'!R$2,#REF!,
"&lt;"&amp;EOMONTH('Faturado mensal'!R$2,0))</f>
        <v>0</v>
      </c>
      <c r="S333" s="9">
        <f>SUMIFS(#REF!,#REF!,
$A333,#REF!,
"&gt;="&amp;'Faturado mensal'!S$2,#REF!,
"&lt;"&amp;EOMONTH('Faturado mensal'!S$2,0))</f>
        <v>0</v>
      </c>
      <c r="T333" s="9">
        <f>SUMIFS(#REF!,#REF!,
$A333,#REF!,
"&gt;="&amp;'Faturado mensal'!T$2,#REF!,
"&lt;"&amp;EOMONTH('Faturado mensal'!T$2,0))</f>
        <v>0</v>
      </c>
      <c r="U333" s="9">
        <f>SUMIFS(#REF!,#REF!,
$A333,#REF!,
"&gt;="&amp;'Faturado mensal'!U$2,#REF!,
"&lt;"&amp;EOMONTH('Faturado mensal'!U$2,0))</f>
        <v>0</v>
      </c>
      <c r="V333" s="9">
        <f>SUMIFS(#REF!,#REF!,
$A333,#REF!,
"&gt;="&amp;'Faturado mensal'!V$2,#REF!,
"&lt;"&amp;EOMONTH('Faturado mensal'!V$2,0))</f>
        <v>115794.67</v>
      </c>
      <c r="W333" s="9">
        <f>SUMIFS(#REF!,#REF!,
$A333,#REF!,
"&gt;="&amp;'Faturado mensal'!W$2,#REF!,
"&lt;"&amp;EOMONTH('Faturado mensal'!W$2,0))</f>
        <v>58433.81</v>
      </c>
      <c r="X333" s="9">
        <f>SUMIFS(#REF!,#REF!,
$A333,#REF!,
"&gt;="&amp;'Faturado mensal'!X$2,#REF!,
"&lt;"&amp;EOMONTH('Faturado mensal'!X$2,0))</f>
        <v>57689.22</v>
      </c>
      <c r="Y333" s="11">
        <f>SUMIFS(#REF!,#REF!,
$A333,#REF!,
"&gt;="&amp;'Faturado mensal'!M$2,#REF!,
"&lt;"&amp;EOMONTH('Faturado mensal'!M$2,12))</f>
        <v>289725.82</v>
      </c>
      <c r="Z333" s="9">
        <f>SUMIFS(#REF!,#REF!,
$A333,#REF!,
"&gt;="&amp;'Faturado mensal'!Z$2,#REF!,
"&lt;"&amp;EOMONTH('Faturado mensal'!Z$2,0))</f>
        <v>57808.12</v>
      </c>
      <c r="AA333" s="9">
        <f>SUMIFS(#REF!,#REF!,
$A333,#REF!,
"&gt;="&amp;'Faturado mensal'!AA$2,#REF!,
"&lt;"&amp;EOMONTH('Faturado mensal'!AA$2,0))</f>
        <v>59026.58</v>
      </c>
      <c r="AB333" s="9">
        <f>SUMIFS(#REF!,#REF!,
$A333,#REF!,
"&gt;="&amp;'Faturado mensal'!AB$2,#REF!,
"&lt;"&amp;EOMONTH('Faturado mensal'!AB$2,0))</f>
        <v>60315.63</v>
      </c>
      <c r="AC333" s="9">
        <f>SUMIFS(#REF!,#REF!,
$A333,#REF!,
"&gt;="&amp;'Faturado mensal'!AC$2,#REF!,
"&lt;"&amp;EOMONTH('Faturado mensal'!AC$2,0))</f>
        <v>62434.62</v>
      </c>
      <c r="AD333" s="9">
        <f>SUMIFS(#REF!,#REF!,
$A333,#REF!,
"&gt;="&amp;'Faturado mensal'!AD$2,#REF!,
"&lt;"&amp;EOMONTH('Faturado mensal'!AD$2,0))</f>
        <v>62690.01</v>
      </c>
      <c r="AE333" s="9">
        <f>SUMIFS(#REF!,#REF!,
$A333,#REF!,
"&gt;="&amp;'Faturado mensal'!AE$2,#REF!,
"&lt;"&amp;EOMONTH('Faturado mensal'!AE$2,0))</f>
        <v>0</v>
      </c>
      <c r="AF333" s="9">
        <f>SUMIFS(#REF!,#REF!,
$A333,#REF!,
"&gt;="&amp;'Faturado mensal'!AF$2,#REF!,
"&lt;"&amp;EOMONTH('Faturado mensal'!AF$2,0))</f>
        <v>0</v>
      </c>
      <c r="AG333" s="9">
        <f>SUMIFS(#REF!,#REF!,
$A333,#REF!,
"&gt;="&amp;'Faturado mensal'!AG$2,#REF!,
"&lt;"&amp;EOMONTH('Faturado mensal'!AG$2,0))</f>
        <v>0</v>
      </c>
      <c r="AH333" s="9">
        <f>SUMIFS(#REF!,#REF!,
$A333,#REF!,
"&gt;="&amp;'Faturado mensal'!AH$2,#REF!,
"&lt;"&amp;EOMONTH('Faturado mensal'!AH$2,0))</f>
        <v>0</v>
      </c>
      <c r="AI333" s="9">
        <f>SUMIFS(#REF!,#REF!,
$A333,#REF!,
"&gt;="&amp;'Faturado mensal'!AI$2,#REF!,
"&lt;"&amp;EOMONTH('Faturado mensal'!AI$2,0))</f>
        <v>0</v>
      </c>
      <c r="AJ333" s="9">
        <f>SUMIFS(#REF!,#REF!,
$A333,#REF!,
"&gt;="&amp;'Faturado mensal'!AJ$2,#REF!,
"&lt;"&amp;EOMONTH('Faturado mensal'!AJ$2,0))</f>
        <v>0</v>
      </c>
      <c r="AK333" s="9">
        <f>SUMIFS(#REF!,#REF!,
$A333,#REF!,
"&gt;="&amp;'Faturado mensal'!AK$2,#REF!,
"&lt;"&amp;EOMONTH('Faturado mensal'!AK$2,0))</f>
        <v>0</v>
      </c>
      <c r="AL333" s="9">
        <f>SUMIFS(#REF!,#REF!,
$A333,#REF!,
"&gt;="&amp;Z$2,#REF!,
"&lt;"&amp;EOMONTH(AK$2,0))</f>
        <v>302274.96000000002</v>
      </c>
    </row>
    <row r="334" spans="1:38" x14ac:dyDescent="0.3">
      <c r="A334" t="s">
        <v>665</v>
      </c>
      <c r="B334" t="s">
        <v>666</v>
      </c>
      <c r="C334" t="s">
        <v>66</v>
      </c>
      <c r="D334" t="s">
        <v>204</v>
      </c>
      <c r="E334" t="s">
        <v>4848</v>
      </c>
      <c r="F334" t="s">
        <v>4776</v>
      </c>
      <c r="G334" t="s">
        <v>4852</v>
      </c>
      <c r="H334" t="s">
        <v>807</v>
      </c>
      <c r="I334" t="s">
        <v>997</v>
      </c>
      <c r="J334" t="s">
        <v>998</v>
      </c>
      <c r="K334" t="s">
        <v>717</v>
      </c>
      <c r="L334" t="s">
        <v>718</v>
      </c>
      <c r="M334" s="9">
        <f>SUMIFS(#REF!,#REF!,
$A334,#REF!,
"&gt;="&amp;'Faturado mensal'!M$2,#REF!,
"&lt;"&amp;EOMONTH('Faturado mensal'!M$2,0))</f>
        <v>0</v>
      </c>
      <c r="N334" s="9">
        <f>SUMIFS(#REF!,#REF!,
$A334,#REF!,
"&gt;="&amp;'Faturado mensal'!N$2,#REF!,
"&lt;"&amp;EOMONTH('Faturado mensal'!N$2,0))</f>
        <v>0</v>
      </c>
      <c r="O334" s="9">
        <f>SUMIFS(#REF!,#REF!,
$A334,#REF!,
"&gt;="&amp;'Faturado mensal'!O$2,#REF!,
"&lt;"&amp;EOMONTH('Faturado mensal'!O$2,0))</f>
        <v>0</v>
      </c>
      <c r="P334" s="9">
        <f>SUMIFS(#REF!,#REF!,
$A334,#REF!,
"&gt;="&amp;'Faturado mensal'!P$2,#REF!,
"&lt;"&amp;EOMONTH('Faturado mensal'!P$2,0))</f>
        <v>0</v>
      </c>
      <c r="Q334" s="9">
        <f>SUMIFS(#REF!,#REF!,
$A334,#REF!,
"&gt;="&amp;'Faturado mensal'!Q$2,#REF!,
"&lt;"&amp;EOMONTH('Faturado mensal'!Q$2,0))</f>
        <v>0</v>
      </c>
      <c r="R334" s="9">
        <f>SUMIFS(#REF!,#REF!,
$A334,#REF!,
"&gt;="&amp;'Faturado mensal'!R$2,#REF!,
"&lt;"&amp;EOMONTH('Faturado mensal'!R$2,0))</f>
        <v>0</v>
      </c>
      <c r="S334" s="9">
        <f>SUMIFS(#REF!,#REF!,
$A334,#REF!,
"&gt;="&amp;'Faturado mensal'!S$2,#REF!,
"&lt;"&amp;EOMONTH('Faturado mensal'!S$2,0))</f>
        <v>0</v>
      </c>
      <c r="T334" s="9">
        <f>SUMIFS(#REF!,#REF!,
$A334,#REF!,
"&gt;="&amp;'Faturado mensal'!T$2,#REF!,
"&lt;"&amp;EOMONTH('Faturado mensal'!T$2,0))</f>
        <v>0</v>
      </c>
      <c r="U334" s="9">
        <f>SUMIFS(#REF!,#REF!,
$A334,#REF!,
"&gt;="&amp;'Faturado mensal'!U$2,#REF!,
"&lt;"&amp;EOMONTH('Faturado mensal'!U$2,0))</f>
        <v>0</v>
      </c>
      <c r="V334" s="9">
        <f>SUMIFS(#REF!,#REF!,
$A334,#REF!,
"&gt;="&amp;'Faturado mensal'!V$2,#REF!,
"&lt;"&amp;EOMONTH('Faturado mensal'!V$2,0))</f>
        <v>3000</v>
      </c>
      <c r="W334" s="9">
        <f>SUMIFS(#REF!,#REF!,
$A334,#REF!,
"&gt;="&amp;'Faturado mensal'!W$2,#REF!,
"&lt;"&amp;EOMONTH('Faturado mensal'!W$2,0))</f>
        <v>0</v>
      </c>
      <c r="X334" s="9">
        <f>SUMIFS(#REF!,#REF!,
$A334,#REF!,
"&gt;="&amp;'Faturado mensal'!X$2,#REF!,
"&lt;"&amp;EOMONTH('Faturado mensal'!X$2,0))</f>
        <v>799.95</v>
      </c>
      <c r="Y334" s="11">
        <f>SUMIFS(#REF!,#REF!,
$A334,#REF!,
"&gt;="&amp;'Faturado mensal'!M$2,#REF!,
"&lt;"&amp;EOMONTH('Faturado mensal'!M$2,12))</f>
        <v>4599.8999999999996</v>
      </c>
      <c r="Z334" s="9">
        <f>SUMIFS(#REF!,#REF!,
$A334,#REF!,
"&gt;="&amp;'Faturado mensal'!Z$2,#REF!,
"&lt;"&amp;EOMONTH('Faturado mensal'!Z$2,0))</f>
        <v>799.95</v>
      </c>
      <c r="AA334" s="9">
        <f>SUMIFS(#REF!,#REF!,
$A334,#REF!,
"&gt;="&amp;'Faturado mensal'!AA$2,#REF!,
"&lt;"&amp;EOMONTH('Faturado mensal'!AA$2,0))</f>
        <v>799.95</v>
      </c>
      <c r="AB334" s="9">
        <f>SUMIFS(#REF!,#REF!,
$A334,#REF!,
"&gt;="&amp;'Faturado mensal'!AB$2,#REF!,
"&lt;"&amp;EOMONTH('Faturado mensal'!AB$2,0))</f>
        <v>799.95</v>
      </c>
      <c r="AC334" s="9">
        <f>SUMIFS(#REF!,#REF!,
$A334,#REF!,
"&gt;="&amp;'Faturado mensal'!AC$2,#REF!,
"&lt;"&amp;EOMONTH('Faturado mensal'!AC$2,0))</f>
        <v>799.95</v>
      </c>
      <c r="AD334" s="9">
        <f>SUMIFS(#REF!,#REF!,
$A334,#REF!,
"&gt;="&amp;'Faturado mensal'!AD$2,#REF!,
"&lt;"&amp;EOMONTH('Faturado mensal'!AD$2,0))</f>
        <v>799.95</v>
      </c>
      <c r="AE334" s="9">
        <f>SUMIFS(#REF!,#REF!,
$A334,#REF!,
"&gt;="&amp;'Faturado mensal'!AE$2,#REF!,
"&lt;"&amp;EOMONTH('Faturado mensal'!AE$2,0))</f>
        <v>0</v>
      </c>
      <c r="AF334" s="9">
        <f>SUMIFS(#REF!,#REF!,
$A334,#REF!,
"&gt;="&amp;'Faturado mensal'!AF$2,#REF!,
"&lt;"&amp;EOMONTH('Faturado mensal'!AF$2,0))</f>
        <v>0</v>
      </c>
      <c r="AG334" s="9">
        <f>SUMIFS(#REF!,#REF!,
$A334,#REF!,
"&gt;="&amp;'Faturado mensal'!AG$2,#REF!,
"&lt;"&amp;EOMONTH('Faturado mensal'!AG$2,0))</f>
        <v>0</v>
      </c>
      <c r="AH334" s="9">
        <f>SUMIFS(#REF!,#REF!,
$A334,#REF!,
"&gt;="&amp;'Faturado mensal'!AH$2,#REF!,
"&lt;"&amp;EOMONTH('Faturado mensal'!AH$2,0))</f>
        <v>0</v>
      </c>
      <c r="AI334" s="9">
        <f>SUMIFS(#REF!,#REF!,
$A334,#REF!,
"&gt;="&amp;'Faturado mensal'!AI$2,#REF!,
"&lt;"&amp;EOMONTH('Faturado mensal'!AI$2,0))</f>
        <v>0</v>
      </c>
      <c r="AJ334" s="9">
        <f>SUMIFS(#REF!,#REF!,
$A334,#REF!,
"&gt;="&amp;'Faturado mensal'!AJ$2,#REF!,
"&lt;"&amp;EOMONTH('Faturado mensal'!AJ$2,0))</f>
        <v>0</v>
      </c>
      <c r="AK334" s="9">
        <f>SUMIFS(#REF!,#REF!,
$A334,#REF!,
"&gt;="&amp;'Faturado mensal'!AK$2,#REF!,
"&lt;"&amp;EOMONTH('Faturado mensal'!AK$2,0))</f>
        <v>0</v>
      </c>
      <c r="AL334" s="9">
        <f>SUMIFS(#REF!,#REF!,
$A334,#REF!,
"&gt;="&amp;Z$2,#REF!,
"&lt;"&amp;EOMONTH(AK$2,0))</f>
        <v>3999.75</v>
      </c>
    </row>
    <row r="335" spans="1:38" x14ac:dyDescent="0.3">
      <c r="A335" t="s">
        <v>667</v>
      </c>
      <c r="B335" t="s">
        <v>668</v>
      </c>
      <c r="C335" t="s">
        <v>84</v>
      </c>
      <c r="D335" t="s">
        <v>204</v>
      </c>
      <c r="E335" t="s">
        <v>1037</v>
      </c>
      <c r="F335" t="s">
        <v>4799</v>
      </c>
      <c r="G335" t="s">
        <v>4852</v>
      </c>
      <c r="H335" t="s">
        <v>807</v>
      </c>
      <c r="I335" t="s">
        <v>999</v>
      </c>
      <c r="J335" t="s">
        <v>1000</v>
      </c>
      <c r="K335" t="s">
        <v>762</v>
      </c>
      <c r="L335" t="s">
        <v>763</v>
      </c>
      <c r="M335" s="9">
        <f>SUMIFS(#REF!,#REF!,
$A335,#REF!,
"&gt;="&amp;'Faturado mensal'!M$2,#REF!,
"&lt;"&amp;EOMONTH('Faturado mensal'!M$2,0))</f>
        <v>0</v>
      </c>
      <c r="N335" s="9">
        <f>SUMIFS(#REF!,#REF!,
$A335,#REF!,
"&gt;="&amp;'Faturado mensal'!N$2,#REF!,
"&lt;"&amp;EOMONTH('Faturado mensal'!N$2,0))</f>
        <v>0</v>
      </c>
      <c r="O335" s="9">
        <f>SUMIFS(#REF!,#REF!,
$A335,#REF!,
"&gt;="&amp;'Faturado mensal'!O$2,#REF!,
"&lt;"&amp;EOMONTH('Faturado mensal'!O$2,0))</f>
        <v>0</v>
      </c>
      <c r="P335" s="9">
        <f>SUMIFS(#REF!,#REF!,
$A335,#REF!,
"&gt;="&amp;'Faturado mensal'!P$2,#REF!,
"&lt;"&amp;EOMONTH('Faturado mensal'!P$2,0))</f>
        <v>0</v>
      </c>
      <c r="Q335" s="9">
        <f>SUMIFS(#REF!,#REF!,
$A335,#REF!,
"&gt;="&amp;'Faturado mensal'!Q$2,#REF!,
"&lt;"&amp;EOMONTH('Faturado mensal'!Q$2,0))</f>
        <v>0</v>
      </c>
      <c r="R335" s="9">
        <f>SUMIFS(#REF!,#REF!,
$A335,#REF!,
"&gt;="&amp;'Faturado mensal'!R$2,#REF!,
"&lt;"&amp;EOMONTH('Faturado mensal'!R$2,0))</f>
        <v>0</v>
      </c>
      <c r="S335" s="9">
        <f>SUMIFS(#REF!,#REF!,
$A335,#REF!,
"&gt;="&amp;'Faturado mensal'!S$2,#REF!,
"&lt;"&amp;EOMONTH('Faturado mensal'!S$2,0))</f>
        <v>0</v>
      </c>
      <c r="T335" s="9">
        <f>SUMIFS(#REF!,#REF!,
$A335,#REF!,
"&gt;="&amp;'Faturado mensal'!T$2,#REF!,
"&lt;"&amp;EOMONTH('Faturado mensal'!T$2,0))</f>
        <v>0</v>
      </c>
      <c r="U335" s="9">
        <f>SUMIFS(#REF!,#REF!,
$A335,#REF!,
"&gt;="&amp;'Faturado mensal'!U$2,#REF!,
"&lt;"&amp;EOMONTH('Faturado mensal'!U$2,0))</f>
        <v>0</v>
      </c>
      <c r="V335" s="9">
        <f>SUMIFS(#REF!,#REF!,
$A335,#REF!,
"&gt;="&amp;'Faturado mensal'!V$2,#REF!,
"&lt;"&amp;EOMONTH('Faturado mensal'!V$2,0))</f>
        <v>0</v>
      </c>
      <c r="W335" s="9">
        <f>SUMIFS(#REF!,#REF!,
$A335,#REF!,
"&gt;="&amp;'Faturado mensal'!W$2,#REF!,
"&lt;"&amp;EOMONTH('Faturado mensal'!W$2,0))</f>
        <v>222258</v>
      </c>
      <c r="X335" s="9">
        <f>SUMIFS(#REF!,#REF!,
$A335,#REF!,
"&gt;="&amp;'Faturado mensal'!X$2,#REF!,
"&lt;"&amp;EOMONTH('Faturado mensal'!X$2,0))</f>
        <v>130766</v>
      </c>
      <c r="Y335" s="11">
        <f>SUMIFS(#REF!,#REF!,
$A335,#REF!,
"&gt;="&amp;'Faturado mensal'!M$2,#REF!,
"&lt;"&amp;EOMONTH('Faturado mensal'!M$2,12))</f>
        <v>481511</v>
      </c>
      <c r="Z335" s="9">
        <f>SUMIFS(#REF!,#REF!,
$A335,#REF!,
"&gt;="&amp;'Faturado mensal'!Z$2,#REF!,
"&lt;"&amp;EOMONTH('Faturado mensal'!Z$2,0))</f>
        <v>128487</v>
      </c>
      <c r="AA335" s="9">
        <f>SUMIFS(#REF!,#REF!,
$A335,#REF!,
"&gt;="&amp;'Faturado mensal'!AA$2,#REF!,
"&lt;"&amp;EOMONTH('Faturado mensal'!AA$2,0))</f>
        <v>130680</v>
      </c>
      <c r="AB335" s="9">
        <f>SUMIFS(#REF!,#REF!,
$A335,#REF!,
"&gt;="&amp;'Faturado mensal'!AB$2,#REF!,
"&lt;"&amp;EOMONTH('Faturado mensal'!AB$2,0))</f>
        <v>134636.28</v>
      </c>
      <c r="AC335" s="9">
        <f>SUMIFS(#REF!,#REF!,
$A335,#REF!,
"&gt;="&amp;'Faturado mensal'!AC$2,#REF!,
"&lt;"&amp;EOMONTH('Faturado mensal'!AC$2,0))</f>
        <v>155703</v>
      </c>
      <c r="AD335" s="9">
        <f>SUMIFS(#REF!,#REF!,
$A335,#REF!,
"&gt;="&amp;'Faturado mensal'!AD$2,#REF!,
"&lt;"&amp;EOMONTH('Faturado mensal'!AD$2,0))</f>
        <v>146367</v>
      </c>
      <c r="AE335" s="9">
        <f>SUMIFS(#REF!,#REF!,
$A335,#REF!,
"&gt;="&amp;'Faturado mensal'!AE$2,#REF!,
"&lt;"&amp;EOMONTH('Faturado mensal'!AE$2,0))</f>
        <v>146232</v>
      </c>
      <c r="AF335" s="9">
        <f>SUMIFS(#REF!,#REF!,
$A335,#REF!,
"&gt;="&amp;'Faturado mensal'!AF$2,#REF!,
"&lt;"&amp;EOMONTH('Faturado mensal'!AF$2,0))</f>
        <v>0</v>
      </c>
      <c r="AG335" s="9">
        <f>SUMIFS(#REF!,#REF!,
$A335,#REF!,
"&gt;="&amp;'Faturado mensal'!AG$2,#REF!,
"&lt;"&amp;EOMONTH('Faturado mensal'!AG$2,0))</f>
        <v>0</v>
      </c>
      <c r="AH335" s="9">
        <f>SUMIFS(#REF!,#REF!,
$A335,#REF!,
"&gt;="&amp;'Faturado mensal'!AH$2,#REF!,
"&lt;"&amp;EOMONTH('Faturado mensal'!AH$2,0))</f>
        <v>0</v>
      </c>
      <c r="AI335" s="9">
        <f>SUMIFS(#REF!,#REF!,
$A335,#REF!,
"&gt;="&amp;'Faturado mensal'!AI$2,#REF!,
"&lt;"&amp;EOMONTH('Faturado mensal'!AI$2,0))</f>
        <v>0</v>
      </c>
      <c r="AJ335" s="9">
        <f>SUMIFS(#REF!,#REF!,
$A335,#REF!,
"&gt;="&amp;'Faturado mensal'!AJ$2,#REF!,
"&lt;"&amp;EOMONTH('Faturado mensal'!AJ$2,0))</f>
        <v>0</v>
      </c>
      <c r="AK335" s="9">
        <f>SUMIFS(#REF!,#REF!,
$A335,#REF!,
"&gt;="&amp;'Faturado mensal'!AK$2,#REF!,
"&lt;"&amp;EOMONTH('Faturado mensal'!AK$2,0))</f>
        <v>0</v>
      </c>
      <c r="AL335" s="9">
        <f>SUMIFS(#REF!,#REF!,
$A335,#REF!,
"&gt;="&amp;Z$2,#REF!,
"&lt;"&amp;EOMONTH(AK$2,0))</f>
        <v>842105.28</v>
      </c>
    </row>
    <row r="336" spans="1:38" x14ac:dyDescent="0.3">
      <c r="A336" t="s">
        <v>669</v>
      </c>
      <c r="B336" t="s">
        <v>668</v>
      </c>
      <c r="C336" t="s">
        <v>84</v>
      </c>
      <c r="D336" t="s">
        <v>204</v>
      </c>
      <c r="E336" t="s">
        <v>1037</v>
      </c>
      <c r="F336" t="s">
        <v>4799</v>
      </c>
      <c r="G336" t="s">
        <v>4852</v>
      </c>
      <c r="H336" t="s">
        <v>807</v>
      </c>
      <c r="I336" t="s">
        <v>1001</v>
      </c>
      <c r="J336" t="s">
        <v>1000</v>
      </c>
      <c r="K336" t="s">
        <v>717</v>
      </c>
      <c r="L336" t="s">
        <v>718</v>
      </c>
      <c r="M336" s="9">
        <f>SUMIFS(#REF!,#REF!,
$A336,#REF!,
"&gt;="&amp;'Faturado mensal'!M$2,#REF!,
"&lt;"&amp;EOMONTH('Faturado mensal'!M$2,0))</f>
        <v>0</v>
      </c>
      <c r="N336" s="9">
        <f>SUMIFS(#REF!,#REF!,
$A336,#REF!,
"&gt;="&amp;'Faturado mensal'!N$2,#REF!,
"&lt;"&amp;EOMONTH('Faturado mensal'!N$2,0))</f>
        <v>0</v>
      </c>
      <c r="O336" s="9">
        <f>SUMIFS(#REF!,#REF!,
$A336,#REF!,
"&gt;="&amp;'Faturado mensal'!O$2,#REF!,
"&lt;"&amp;EOMONTH('Faturado mensal'!O$2,0))</f>
        <v>0</v>
      </c>
      <c r="P336" s="9">
        <f>SUMIFS(#REF!,#REF!,
$A336,#REF!,
"&gt;="&amp;'Faturado mensal'!P$2,#REF!,
"&lt;"&amp;EOMONTH('Faturado mensal'!P$2,0))</f>
        <v>0</v>
      </c>
      <c r="Q336" s="9">
        <f>SUMIFS(#REF!,#REF!,
$A336,#REF!,
"&gt;="&amp;'Faturado mensal'!Q$2,#REF!,
"&lt;"&amp;EOMONTH('Faturado mensal'!Q$2,0))</f>
        <v>0</v>
      </c>
      <c r="R336" s="9">
        <f>SUMIFS(#REF!,#REF!,
$A336,#REF!,
"&gt;="&amp;'Faturado mensal'!R$2,#REF!,
"&lt;"&amp;EOMONTH('Faturado mensal'!R$2,0))</f>
        <v>0</v>
      </c>
      <c r="S336" s="9">
        <f>SUMIFS(#REF!,#REF!,
$A336,#REF!,
"&gt;="&amp;'Faturado mensal'!S$2,#REF!,
"&lt;"&amp;EOMONTH('Faturado mensal'!S$2,0))</f>
        <v>0</v>
      </c>
      <c r="T336" s="9">
        <f>SUMIFS(#REF!,#REF!,
$A336,#REF!,
"&gt;="&amp;'Faturado mensal'!T$2,#REF!,
"&lt;"&amp;EOMONTH('Faturado mensal'!T$2,0))</f>
        <v>0</v>
      </c>
      <c r="U336" s="9">
        <f>SUMIFS(#REF!,#REF!,
$A336,#REF!,
"&gt;="&amp;'Faturado mensal'!U$2,#REF!,
"&lt;"&amp;EOMONTH('Faturado mensal'!U$2,0))</f>
        <v>0</v>
      </c>
      <c r="V336" s="9">
        <f>SUMIFS(#REF!,#REF!,
$A336,#REF!,
"&gt;="&amp;'Faturado mensal'!V$2,#REF!,
"&lt;"&amp;EOMONTH('Faturado mensal'!V$2,0))</f>
        <v>0</v>
      </c>
      <c r="W336" s="9">
        <f>SUMIFS(#REF!,#REF!,
$A336,#REF!,
"&gt;="&amp;'Faturado mensal'!W$2,#REF!,
"&lt;"&amp;EOMONTH('Faturado mensal'!W$2,0))</f>
        <v>17711.38</v>
      </c>
      <c r="X336" s="9">
        <f>SUMIFS(#REF!,#REF!,
$A336,#REF!,
"&gt;="&amp;'Faturado mensal'!X$2,#REF!,
"&lt;"&amp;EOMONTH('Faturado mensal'!X$2,0))</f>
        <v>18441.32</v>
      </c>
      <c r="Y336" s="11">
        <f>SUMIFS(#REF!,#REF!,
$A336,#REF!,
"&gt;="&amp;'Faturado mensal'!M$2,#REF!,
"&lt;"&amp;EOMONTH('Faturado mensal'!M$2,12))</f>
        <v>53762.69</v>
      </c>
      <c r="Z336" s="9">
        <f>SUMIFS(#REF!,#REF!,
$A336,#REF!,
"&gt;="&amp;'Faturado mensal'!Z$2,#REF!,
"&lt;"&amp;EOMONTH('Faturado mensal'!Z$2,0))</f>
        <v>17609.990000000002</v>
      </c>
      <c r="AA336" s="9">
        <f>SUMIFS(#REF!,#REF!,
$A336,#REF!,
"&gt;="&amp;'Faturado mensal'!AA$2,#REF!,
"&lt;"&amp;EOMONTH('Faturado mensal'!AA$2,0))</f>
        <v>17758.400000000001</v>
      </c>
      <c r="AB336" s="9">
        <f>SUMIFS(#REF!,#REF!,
$A336,#REF!,
"&gt;="&amp;'Faturado mensal'!AB$2,#REF!,
"&lt;"&amp;EOMONTH('Faturado mensal'!AB$2,0))</f>
        <v>18542.97</v>
      </c>
      <c r="AC336" s="9">
        <f>SUMIFS(#REF!,#REF!,
$A336,#REF!,
"&gt;="&amp;'Faturado mensal'!AC$2,#REF!,
"&lt;"&amp;EOMONTH('Faturado mensal'!AC$2,0))</f>
        <v>17770.87</v>
      </c>
      <c r="AD336" s="9">
        <f>SUMIFS(#REF!,#REF!,
$A336,#REF!,
"&gt;="&amp;'Faturado mensal'!AD$2,#REF!,
"&lt;"&amp;EOMONTH('Faturado mensal'!AD$2,0))</f>
        <v>18266.91</v>
      </c>
      <c r="AE336" s="9">
        <f>SUMIFS(#REF!,#REF!,
$A336,#REF!,
"&gt;="&amp;'Faturado mensal'!AE$2,#REF!,
"&lt;"&amp;EOMONTH('Faturado mensal'!AE$2,0))</f>
        <v>18173.13</v>
      </c>
      <c r="AF336" s="9">
        <f>SUMIFS(#REF!,#REF!,
$A336,#REF!,
"&gt;="&amp;'Faturado mensal'!AF$2,#REF!,
"&lt;"&amp;EOMONTH('Faturado mensal'!AF$2,0))</f>
        <v>0</v>
      </c>
      <c r="AG336" s="9">
        <f>SUMIFS(#REF!,#REF!,
$A336,#REF!,
"&gt;="&amp;'Faturado mensal'!AG$2,#REF!,
"&lt;"&amp;EOMONTH('Faturado mensal'!AG$2,0))</f>
        <v>0</v>
      </c>
      <c r="AH336" s="9">
        <f>SUMIFS(#REF!,#REF!,
$A336,#REF!,
"&gt;="&amp;'Faturado mensal'!AH$2,#REF!,
"&lt;"&amp;EOMONTH('Faturado mensal'!AH$2,0))</f>
        <v>0</v>
      </c>
      <c r="AI336" s="9">
        <f>SUMIFS(#REF!,#REF!,
$A336,#REF!,
"&gt;="&amp;'Faturado mensal'!AI$2,#REF!,
"&lt;"&amp;EOMONTH('Faturado mensal'!AI$2,0))</f>
        <v>0</v>
      </c>
      <c r="AJ336" s="9">
        <f>SUMIFS(#REF!,#REF!,
$A336,#REF!,
"&gt;="&amp;'Faturado mensal'!AJ$2,#REF!,
"&lt;"&amp;EOMONTH('Faturado mensal'!AJ$2,0))</f>
        <v>0</v>
      </c>
      <c r="AK336" s="9">
        <f>SUMIFS(#REF!,#REF!,
$A336,#REF!,
"&gt;="&amp;'Faturado mensal'!AK$2,#REF!,
"&lt;"&amp;EOMONTH('Faturado mensal'!AK$2,0))</f>
        <v>0</v>
      </c>
      <c r="AL336" s="9">
        <f>SUMIFS(#REF!,#REF!,
$A336,#REF!,
"&gt;="&amp;Z$2,#REF!,
"&lt;"&amp;EOMONTH(AK$2,0))</f>
        <v>108122.27</v>
      </c>
    </row>
    <row r="337" spans="1:38" x14ac:dyDescent="0.3">
      <c r="A337" t="s">
        <v>670</v>
      </c>
      <c r="B337" t="s">
        <v>668</v>
      </c>
      <c r="C337" t="s">
        <v>84</v>
      </c>
      <c r="D337" t="s">
        <v>204</v>
      </c>
      <c r="E337" t="s">
        <v>1037</v>
      </c>
      <c r="F337" t="s">
        <v>4799</v>
      </c>
      <c r="G337" t="s">
        <v>4852</v>
      </c>
      <c r="H337" t="s">
        <v>807</v>
      </c>
      <c r="I337" t="s">
        <v>1001</v>
      </c>
      <c r="J337" t="s">
        <v>1000</v>
      </c>
      <c r="K337" t="s">
        <v>768</v>
      </c>
      <c r="L337" t="s">
        <v>769</v>
      </c>
      <c r="M337" s="9">
        <f>SUMIFS(#REF!,#REF!,
$A337,#REF!,
"&gt;="&amp;'Faturado mensal'!M$2,#REF!,
"&lt;"&amp;EOMONTH('Faturado mensal'!M$2,0))</f>
        <v>0</v>
      </c>
      <c r="N337" s="9">
        <f>SUMIFS(#REF!,#REF!,
$A337,#REF!,
"&gt;="&amp;'Faturado mensal'!N$2,#REF!,
"&lt;"&amp;EOMONTH('Faturado mensal'!N$2,0))</f>
        <v>0</v>
      </c>
      <c r="O337" s="9">
        <f>SUMIFS(#REF!,#REF!,
$A337,#REF!,
"&gt;="&amp;'Faturado mensal'!O$2,#REF!,
"&lt;"&amp;EOMONTH('Faturado mensal'!O$2,0))</f>
        <v>0</v>
      </c>
      <c r="P337" s="9">
        <f>SUMIFS(#REF!,#REF!,
$A337,#REF!,
"&gt;="&amp;'Faturado mensal'!P$2,#REF!,
"&lt;"&amp;EOMONTH('Faturado mensal'!P$2,0))</f>
        <v>0</v>
      </c>
      <c r="Q337" s="9">
        <f>SUMIFS(#REF!,#REF!,
$A337,#REF!,
"&gt;="&amp;'Faturado mensal'!Q$2,#REF!,
"&lt;"&amp;EOMONTH('Faturado mensal'!Q$2,0))</f>
        <v>0</v>
      </c>
      <c r="R337" s="9">
        <f>SUMIFS(#REF!,#REF!,
$A337,#REF!,
"&gt;="&amp;'Faturado mensal'!R$2,#REF!,
"&lt;"&amp;EOMONTH('Faturado mensal'!R$2,0))</f>
        <v>0</v>
      </c>
      <c r="S337" s="9">
        <f>SUMIFS(#REF!,#REF!,
$A337,#REF!,
"&gt;="&amp;'Faturado mensal'!S$2,#REF!,
"&lt;"&amp;EOMONTH('Faturado mensal'!S$2,0))</f>
        <v>0</v>
      </c>
      <c r="T337" s="9">
        <f>SUMIFS(#REF!,#REF!,
$A337,#REF!,
"&gt;="&amp;'Faturado mensal'!T$2,#REF!,
"&lt;"&amp;EOMONTH('Faturado mensal'!T$2,0))</f>
        <v>0</v>
      </c>
      <c r="U337" s="9">
        <f>SUMIFS(#REF!,#REF!,
$A337,#REF!,
"&gt;="&amp;'Faturado mensal'!U$2,#REF!,
"&lt;"&amp;EOMONTH('Faturado mensal'!U$2,0))</f>
        <v>0</v>
      </c>
      <c r="V337" s="9">
        <f>SUMIFS(#REF!,#REF!,
$A337,#REF!,
"&gt;="&amp;'Faturado mensal'!V$2,#REF!,
"&lt;"&amp;EOMONTH('Faturado mensal'!V$2,0))</f>
        <v>0</v>
      </c>
      <c r="W337" s="9">
        <f>SUMIFS(#REF!,#REF!,
$A337,#REF!,
"&gt;="&amp;'Faturado mensal'!W$2,#REF!,
"&lt;"&amp;EOMONTH('Faturado mensal'!W$2,0))</f>
        <v>102162</v>
      </c>
      <c r="X337" s="9">
        <f>SUMIFS(#REF!,#REF!,
$A337,#REF!,
"&gt;="&amp;'Faturado mensal'!X$2,#REF!,
"&lt;"&amp;EOMONTH('Faturado mensal'!X$2,0))</f>
        <v>50126</v>
      </c>
      <c r="Y337" s="11">
        <f>SUMIFS(#REF!,#REF!,
$A337,#REF!,
"&gt;="&amp;'Faturado mensal'!M$2,#REF!,
"&lt;"&amp;EOMONTH('Faturado mensal'!M$2,12))</f>
        <v>200694</v>
      </c>
      <c r="Z337" s="9">
        <f>SUMIFS(#REF!,#REF!,
$A337,#REF!,
"&gt;="&amp;'Faturado mensal'!Z$2,#REF!,
"&lt;"&amp;EOMONTH('Faturado mensal'!Z$2,0))</f>
        <v>48406</v>
      </c>
      <c r="AA337" s="9">
        <f>SUMIFS(#REF!,#REF!,
$A337,#REF!,
"&gt;="&amp;'Faturado mensal'!AA$2,#REF!,
"&lt;"&amp;EOMONTH('Faturado mensal'!AA$2,0))</f>
        <v>50626</v>
      </c>
      <c r="AB337" s="9">
        <f>SUMIFS(#REF!,#REF!,
$A337,#REF!,
"&gt;="&amp;'Faturado mensal'!AB$2,#REF!,
"&lt;"&amp;EOMONTH('Faturado mensal'!AB$2,0))</f>
        <v>49886</v>
      </c>
      <c r="AC337" s="9">
        <f>SUMIFS(#REF!,#REF!,
$A337,#REF!,
"&gt;="&amp;'Faturado mensal'!AC$2,#REF!,
"&lt;"&amp;EOMONTH('Faturado mensal'!AC$2,0))</f>
        <v>60066</v>
      </c>
      <c r="AD337" s="9">
        <f>SUMIFS(#REF!,#REF!,
$A337,#REF!,
"&gt;="&amp;'Faturado mensal'!AD$2,#REF!,
"&lt;"&amp;EOMONTH('Faturado mensal'!AD$2,0))</f>
        <v>50310</v>
      </c>
      <c r="AE337" s="9">
        <f>SUMIFS(#REF!,#REF!,
$A337,#REF!,
"&gt;="&amp;'Faturado mensal'!AE$2,#REF!,
"&lt;"&amp;EOMONTH('Faturado mensal'!AE$2,0))</f>
        <v>51290</v>
      </c>
      <c r="AF337" s="9">
        <f>SUMIFS(#REF!,#REF!,
$A337,#REF!,
"&gt;="&amp;'Faturado mensal'!AF$2,#REF!,
"&lt;"&amp;EOMONTH('Faturado mensal'!AF$2,0))</f>
        <v>0</v>
      </c>
      <c r="AG337" s="9">
        <f>SUMIFS(#REF!,#REF!,
$A337,#REF!,
"&gt;="&amp;'Faturado mensal'!AG$2,#REF!,
"&lt;"&amp;EOMONTH('Faturado mensal'!AG$2,0))</f>
        <v>0</v>
      </c>
      <c r="AH337" s="9">
        <f>SUMIFS(#REF!,#REF!,
$A337,#REF!,
"&gt;="&amp;'Faturado mensal'!AH$2,#REF!,
"&lt;"&amp;EOMONTH('Faturado mensal'!AH$2,0))</f>
        <v>0</v>
      </c>
      <c r="AI337" s="9">
        <f>SUMIFS(#REF!,#REF!,
$A337,#REF!,
"&gt;="&amp;'Faturado mensal'!AI$2,#REF!,
"&lt;"&amp;EOMONTH('Faturado mensal'!AI$2,0))</f>
        <v>0</v>
      </c>
      <c r="AJ337" s="9">
        <f>SUMIFS(#REF!,#REF!,
$A337,#REF!,
"&gt;="&amp;'Faturado mensal'!AJ$2,#REF!,
"&lt;"&amp;EOMONTH('Faturado mensal'!AJ$2,0))</f>
        <v>0</v>
      </c>
      <c r="AK337" s="9">
        <f>SUMIFS(#REF!,#REF!,
$A337,#REF!,
"&gt;="&amp;'Faturado mensal'!AK$2,#REF!,
"&lt;"&amp;EOMONTH('Faturado mensal'!AK$2,0))</f>
        <v>0</v>
      </c>
      <c r="AL337" s="9">
        <f>SUMIFS(#REF!,#REF!,
$A337,#REF!,
"&gt;="&amp;Z$2,#REF!,
"&lt;"&amp;EOMONTH(AK$2,0))</f>
        <v>310584</v>
      </c>
    </row>
    <row r="338" spans="1:38" x14ac:dyDescent="0.3">
      <c r="A338" t="s">
        <v>671</v>
      </c>
      <c r="B338" t="s">
        <v>668</v>
      </c>
      <c r="C338" t="s">
        <v>84</v>
      </c>
      <c r="D338" t="s">
        <v>204</v>
      </c>
      <c r="E338" t="s">
        <v>1037</v>
      </c>
      <c r="F338" t="s">
        <v>4799</v>
      </c>
      <c r="G338" t="s">
        <v>4852</v>
      </c>
      <c r="H338" t="s">
        <v>807</v>
      </c>
      <c r="I338" t="s">
        <v>35</v>
      </c>
      <c r="J338" t="s">
        <v>710</v>
      </c>
      <c r="K338" t="s">
        <v>717</v>
      </c>
      <c r="L338" t="s">
        <v>718</v>
      </c>
      <c r="M338" s="9">
        <f>SUMIFS(#REF!,#REF!,
$A338,#REF!,
"&gt;="&amp;'Faturado mensal'!M$2,#REF!,
"&lt;"&amp;EOMONTH('Faturado mensal'!M$2,0))</f>
        <v>0</v>
      </c>
      <c r="N338" s="9">
        <f>SUMIFS(#REF!,#REF!,
$A338,#REF!,
"&gt;="&amp;'Faturado mensal'!N$2,#REF!,
"&lt;"&amp;EOMONTH('Faturado mensal'!N$2,0))</f>
        <v>0</v>
      </c>
      <c r="O338" s="9">
        <f>SUMIFS(#REF!,#REF!,
$A338,#REF!,
"&gt;="&amp;'Faturado mensal'!O$2,#REF!,
"&lt;"&amp;EOMONTH('Faturado mensal'!O$2,0))</f>
        <v>0</v>
      </c>
      <c r="P338" s="9">
        <f>SUMIFS(#REF!,#REF!,
$A338,#REF!,
"&gt;="&amp;'Faturado mensal'!P$2,#REF!,
"&lt;"&amp;EOMONTH('Faturado mensal'!P$2,0))</f>
        <v>0</v>
      </c>
      <c r="Q338" s="9">
        <f>SUMIFS(#REF!,#REF!,
$A338,#REF!,
"&gt;="&amp;'Faturado mensal'!Q$2,#REF!,
"&lt;"&amp;EOMONTH('Faturado mensal'!Q$2,0))</f>
        <v>0</v>
      </c>
      <c r="R338" s="9">
        <f>SUMIFS(#REF!,#REF!,
$A338,#REF!,
"&gt;="&amp;'Faturado mensal'!R$2,#REF!,
"&lt;"&amp;EOMONTH('Faturado mensal'!R$2,0))</f>
        <v>0</v>
      </c>
      <c r="S338" s="9">
        <f>SUMIFS(#REF!,#REF!,
$A338,#REF!,
"&gt;="&amp;'Faturado mensal'!S$2,#REF!,
"&lt;"&amp;EOMONTH('Faturado mensal'!S$2,0))</f>
        <v>0</v>
      </c>
      <c r="T338" s="9">
        <f>SUMIFS(#REF!,#REF!,
$A338,#REF!,
"&gt;="&amp;'Faturado mensal'!T$2,#REF!,
"&lt;"&amp;EOMONTH('Faturado mensal'!T$2,0))</f>
        <v>0</v>
      </c>
      <c r="U338" s="9">
        <f>SUMIFS(#REF!,#REF!,
$A338,#REF!,
"&gt;="&amp;'Faturado mensal'!U$2,#REF!,
"&lt;"&amp;EOMONTH('Faturado mensal'!U$2,0))</f>
        <v>0</v>
      </c>
      <c r="V338" s="9">
        <f>SUMIFS(#REF!,#REF!,
$A338,#REF!,
"&gt;="&amp;'Faturado mensal'!V$2,#REF!,
"&lt;"&amp;EOMONTH('Faturado mensal'!V$2,0))</f>
        <v>0</v>
      </c>
      <c r="W338" s="9">
        <f>SUMIFS(#REF!,#REF!,
$A338,#REF!,
"&gt;="&amp;'Faturado mensal'!W$2,#REF!,
"&lt;"&amp;EOMONTH('Faturado mensal'!W$2,0))</f>
        <v>317716</v>
      </c>
      <c r="X338" s="9">
        <f>SUMIFS(#REF!,#REF!,
$A338,#REF!,
"&gt;="&amp;'Faturado mensal'!X$2,#REF!,
"&lt;"&amp;EOMONTH('Faturado mensal'!X$2,0))</f>
        <v>149926</v>
      </c>
      <c r="Y338" s="11">
        <f>SUMIFS(#REF!,#REF!,
$A338,#REF!,
"&gt;="&amp;'Faturado mensal'!M$2,#REF!,
"&lt;"&amp;EOMONTH('Faturado mensal'!M$2,12))</f>
        <v>617084</v>
      </c>
      <c r="Z338" s="9">
        <f>SUMIFS(#REF!,#REF!,
$A338,#REF!,
"&gt;="&amp;'Faturado mensal'!Z$2,#REF!,
"&lt;"&amp;EOMONTH('Faturado mensal'!Z$2,0))</f>
        <v>149442</v>
      </c>
      <c r="AA338" s="9">
        <f>SUMIFS(#REF!,#REF!,
$A338,#REF!,
"&gt;="&amp;'Faturado mensal'!AA$2,#REF!,
"&lt;"&amp;EOMONTH('Faturado mensal'!AA$2,0))</f>
        <v>155062</v>
      </c>
      <c r="AB338" s="9">
        <f>SUMIFS(#REF!,#REF!,
$A338,#REF!,
"&gt;="&amp;'Faturado mensal'!AB$2,#REF!,
"&lt;"&amp;EOMONTH('Faturado mensal'!AB$2,0))</f>
        <v>158025</v>
      </c>
      <c r="AC338" s="9">
        <f>SUMIFS(#REF!,#REF!,
$A338,#REF!,
"&gt;="&amp;'Faturado mensal'!AC$2,#REF!,
"&lt;"&amp;EOMONTH('Faturado mensal'!AC$2,0))</f>
        <v>181059</v>
      </c>
      <c r="AD338" s="9">
        <f>SUMIFS(#REF!,#REF!,
$A338,#REF!,
"&gt;="&amp;'Faturado mensal'!AD$2,#REF!,
"&lt;"&amp;EOMONTH('Faturado mensal'!AD$2,0))</f>
        <v>173360</v>
      </c>
      <c r="AE338" s="9">
        <f>SUMIFS(#REF!,#REF!,
$A338,#REF!,
"&gt;="&amp;'Faturado mensal'!AE$2,#REF!,
"&lt;"&amp;EOMONTH('Faturado mensal'!AE$2,0))</f>
        <v>170541</v>
      </c>
      <c r="AF338" s="9">
        <f>SUMIFS(#REF!,#REF!,
$A338,#REF!,
"&gt;="&amp;'Faturado mensal'!AF$2,#REF!,
"&lt;"&amp;EOMONTH('Faturado mensal'!AF$2,0))</f>
        <v>0</v>
      </c>
      <c r="AG338" s="9">
        <f>SUMIFS(#REF!,#REF!,
$A338,#REF!,
"&gt;="&amp;'Faturado mensal'!AG$2,#REF!,
"&lt;"&amp;EOMONTH('Faturado mensal'!AG$2,0))</f>
        <v>0</v>
      </c>
      <c r="AH338" s="9">
        <f>SUMIFS(#REF!,#REF!,
$A338,#REF!,
"&gt;="&amp;'Faturado mensal'!AH$2,#REF!,
"&lt;"&amp;EOMONTH('Faturado mensal'!AH$2,0))</f>
        <v>0</v>
      </c>
      <c r="AI338" s="9">
        <f>SUMIFS(#REF!,#REF!,
$A338,#REF!,
"&gt;="&amp;'Faturado mensal'!AI$2,#REF!,
"&lt;"&amp;EOMONTH('Faturado mensal'!AI$2,0))</f>
        <v>0</v>
      </c>
      <c r="AJ338" s="9">
        <f>SUMIFS(#REF!,#REF!,
$A338,#REF!,
"&gt;="&amp;'Faturado mensal'!AJ$2,#REF!,
"&lt;"&amp;EOMONTH('Faturado mensal'!AJ$2,0))</f>
        <v>0</v>
      </c>
      <c r="AK338" s="9">
        <f>SUMIFS(#REF!,#REF!,
$A338,#REF!,
"&gt;="&amp;'Faturado mensal'!AK$2,#REF!,
"&lt;"&amp;EOMONTH('Faturado mensal'!AK$2,0))</f>
        <v>0</v>
      </c>
      <c r="AL338" s="9">
        <f>SUMIFS(#REF!,#REF!,
$A338,#REF!,
"&gt;="&amp;Z$2,#REF!,
"&lt;"&amp;EOMONTH(AK$2,0))</f>
        <v>987489</v>
      </c>
    </row>
    <row r="339" spans="1:38" x14ac:dyDescent="0.3">
      <c r="A339" t="s">
        <v>672</v>
      </c>
      <c r="B339" t="s">
        <v>673</v>
      </c>
      <c r="C339" t="s">
        <v>90</v>
      </c>
      <c r="D339" t="s">
        <v>204</v>
      </c>
      <c r="E339" t="s">
        <v>4850</v>
      </c>
      <c r="F339" t="s">
        <v>4776</v>
      </c>
      <c r="G339" t="s">
        <v>4855</v>
      </c>
      <c r="H339" t="s">
        <v>807</v>
      </c>
      <c r="I339" t="s">
        <v>1002</v>
      </c>
      <c r="J339" t="s">
        <v>710</v>
      </c>
      <c r="K339" t="s">
        <v>720</v>
      </c>
      <c r="L339" t="s">
        <v>721</v>
      </c>
      <c r="M339" s="9">
        <f>SUMIFS(#REF!,#REF!,
$A339,#REF!,
"&gt;="&amp;'Faturado mensal'!M$2,#REF!,
"&lt;"&amp;EOMONTH('Faturado mensal'!M$2,0))</f>
        <v>0</v>
      </c>
      <c r="N339" s="9">
        <f>SUMIFS(#REF!,#REF!,
$A339,#REF!,
"&gt;="&amp;'Faturado mensal'!N$2,#REF!,
"&lt;"&amp;EOMONTH('Faturado mensal'!N$2,0))</f>
        <v>0</v>
      </c>
      <c r="O339" s="9">
        <f>SUMIFS(#REF!,#REF!,
$A339,#REF!,
"&gt;="&amp;'Faturado mensal'!O$2,#REF!,
"&lt;"&amp;EOMONTH('Faturado mensal'!O$2,0))</f>
        <v>0</v>
      </c>
      <c r="P339" s="9">
        <f>SUMIFS(#REF!,#REF!,
$A339,#REF!,
"&gt;="&amp;'Faturado mensal'!P$2,#REF!,
"&lt;"&amp;EOMONTH('Faturado mensal'!P$2,0))</f>
        <v>0</v>
      </c>
      <c r="Q339" s="9">
        <f>SUMIFS(#REF!,#REF!,
$A339,#REF!,
"&gt;="&amp;'Faturado mensal'!Q$2,#REF!,
"&lt;"&amp;EOMONTH('Faturado mensal'!Q$2,0))</f>
        <v>0</v>
      </c>
      <c r="R339" s="9">
        <f>SUMIFS(#REF!,#REF!,
$A339,#REF!,
"&gt;="&amp;'Faturado mensal'!R$2,#REF!,
"&lt;"&amp;EOMONTH('Faturado mensal'!R$2,0))</f>
        <v>0</v>
      </c>
      <c r="S339" s="9">
        <f>SUMIFS(#REF!,#REF!,
$A339,#REF!,
"&gt;="&amp;'Faturado mensal'!S$2,#REF!,
"&lt;"&amp;EOMONTH('Faturado mensal'!S$2,0))</f>
        <v>0</v>
      </c>
      <c r="T339" s="9">
        <f>SUMIFS(#REF!,#REF!,
$A339,#REF!,
"&gt;="&amp;'Faturado mensal'!T$2,#REF!,
"&lt;"&amp;EOMONTH('Faturado mensal'!T$2,0))</f>
        <v>0</v>
      </c>
      <c r="U339" s="9">
        <f>SUMIFS(#REF!,#REF!,
$A339,#REF!,
"&gt;="&amp;'Faturado mensal'!U$2,#REF!,
"&lt;"&amp;EOMONTH('Faturado mensal'!U$2,0))</f>
        <v>0</v>
      </c>
      <c r="V339" s="9">
        <f>SUMIFS(#REF!,#REF!,
$A339,#REF!,
"&gt;="&amp;'Faturado mensal'!V$2,#REF!,
"&lt;"&amp;EOMONTH('Faturado mensal'!V$2,0))</f>
        <v>0</v>
      </c>
      <c r="W339" s="9">
        <f>SUMIFS(#REF!,#REF!,
$A339,#REF!,
"&gt;="&amp;'Faturado mensal'!W$2,#REF!,
"&lt;"&amp;EOMONTH('Faturado mensal'!W$2,0))</f>
        <v>0</v>
      </c>
      <c r="X339" s="9">
        <f>SUMIFS(#REF!,#REF!,
$A339,#REF!,
"&gt;="&amp;'Faturado mensal'!X$2,#REF!,
"&lt;"&amp;EOMONTH('Faturado mensal'!X$2,0))</f>
        <v>64044.33</v>
      </c>
      <c r="Y339" s="11">
        <f>SUMIFS(#REF!,#REF!,
$A339,#REF!,
"&gt;="&amp;'Faturado mensal'!M$2,#REF!,
"&lt;"&amp;EOMONTH('Faturado mensal'!M$2,12))</f>
        <v>64044.33</v>
      </c>
      <c r="Z339" s="9">
        <f>SUMIFS(#REF!,#REF!,
$A339,#REF!,
"&gt;="&amp;'Faturado mensal'!Z$2,#REF!,
"&lt;"&amp;EOMONTH('Faturado mensal'!Z$2,0))</f>
        <v>0</v>
      </c>
      <c r="AA339" s="9">
        <f>SUMIFS(#REF!,#REF!,
$A339,#REF!,
"&gt;="&amp;'Faturado mensal'!AA$2,#REF!,
"&lt;"&amp;EOMONTH('Faturado mensal'!AA$2,0))</f>
        <v>0</v>
      </c>
      <c r="AB339" s="9">
        <f>SUMIFS(#REF!,#REF!,
$A339,#REF!,
"&gt;="&amp;'Faturado mensal'!AB$2,#REF!,
"&lt;"&amp;EOMONTH('Faturado mensal'!AB$2,0))</f>
        <v>34232.61</v>
      </c>
      <c r="AC339" s="9">
        <f>SUMIFS(#REF!,#REF!,
$A339,#REF!,
"&gt;="&amp;'Faturado mensal'!AC$2,#REF!,
"&lt;"&amp;EOMONTH('Faturado mensal'!AC$2,0))</f>
        <v>0</v>
      </c>
      <c r="AD339" s="9">
        <f>SUMIFS(#REF!,#REF!,
$A339,#REF!,
"&gt;="&amp;'Faturado mensal'!AD$2,#REF!,
"&lt;"&amp;EOMONTH('Faturado mensal'!AD$2,0))</f>
        <v>0</v>
      </c>
      <c r="AE339" s="9">
        <f>SUMIFS(#REF!,#REF!,
$A339,#REF!,
"&gt;="&amp;'Faturado mensal'!AE$2,#REF!,
"&lt;"&amp;EOMONTH('Faturado mensal'!AE$2,0))</f>
        <v>0</v>
      </c>
      <c r="AF339" s="9">
        <f>SUMIFS(#REF!,#REF!,
$A339,#REF!,
"&gt;="&amp;'Faturado mensal'!AF$2,#REF!,
"&lt;"&amp;EOMONTH('Faturado mensal'!AF$2,0))</f>
        <v>0</v>
      </c>
      <c r="AG339" s="9">
        <f>SUMIFS(#REF!,#REF!,
$A339,#REF!,
"&gt;="&amp;'Faturado mensal'!AG$2,#REF!,
"&lt;"&amp;EOMONTH('Faturado mensal'!AG$2,0))</f>
        <v>0</v>
      </c>
      <c r="AH339" s="9">
        <f>SUMIFS(#REF!,#REF!,
$A339,#REF!,
"&gt;="&amp;'Faturado mensal'!AH$2,#REF!,
"&lt;"&amp;EOMONTH('Faturado mensal'!AH$2,0))</f>
        <v>0</v>
      </c>
      <c r="AI339" s="9">
        <f>SUMIFS(#REF!,#REF!,
$A339,#REF!,
"&gt;="&amp;'Faturado mensal'!AI$2,#REF!,
"&lt;"&amp;EOMONTH('Faturado mensal'!AI$2,0))</f>
        <v>0</v>
      </c>
      <c r="AJ339" s="9">
        <f>SUMIFS(#REF!,#REF!,
$A339,#REF!,
"&gt;="&amp;'Faturado mensal'!AJ$2,#REF!,
"&lt;"&amp;EOMONTH('Faturado mensal'!AJ$2,0))</f>
        <v>0</v>
      </c>
      <c r="AK339" s="9">
        <f>SUMIFS(#REF!,#REF!,
$A339,#REF!,
"&gt;="&amp;'Faturado mensal'!AK$2,#REF!,
"&lt;"&amp;EOMONTH('Faturado mensal'!AK$2,0))</f>
        <v>0</v>
      </c>
      <c r="AL339" s="9">
        <f>SUMIFS(#REF!,#REF!,
$A339,#REF!,
"&gt;="&amp;Z$2,#REF!,
"&lt;"&amp;EOMONTH(AK$2,0))</f>
        <v>34232.61</v>
      </c>
    </row>
    <row r="340" spans="1:38" x14ac:dyDescent="0.3">
      <c r="A340" t="s">
        <v>674</v>
      </c>
      <c r="B340" t="s">
        <v>675</v>
      </c>
      <c r="C340" t="s">
        <v>177</v>
      </c>
      <c r="D340" t="s">
        <v>204</v>
      </c>
      <c r="E340" t="s">
        <v>1037</v>
      </c>
      <c r="F340" t="s">
        <v>4776</v>
      </c>
      <c r="G340" t="s">
        <v>4852</v>
      </c>
      <c r="H340" t="s">
        <v>807</v>
      </c>
      <c r="I340" t="s">
        <v>1003</v>
      </c>
      <c r="J340" t="s">
        <v>818</v>
      </c>
      <c r="K340" t="s">
        <v>717</v>
      </c>
      <c r="L340" t="s">
        <v>718</v>
      </c>
      <c r="M340" s="9">
        <f>SUMIFS(#REF!,#REF!,
$A340,#REF!,
"&gt;="&amp;'Faturado mensal'!M$2,#REF!,
"&lt;"&amp;EOMONTH('Faturado mensal'!M$2,0))</f>
        <v>0</v>
      </c>
      <c r="N340" s="9">
        <f>SUMIFS(#REF!,#REF!,
$A340,#REF!,
"&gt;="&amp;'Faturado mensal'!N$2,#REF!,
"&lt;"&amp;EOMONTH('Faturado mensal'!N$2,0))</f>
        <v>0</v>
      </c>
      <c r="O340" s="9">
        <f>SUMIFS(#REF!,#REF!,
$A340,#REF!,
"&gt;="&amp;'Faturado mensal'!O$2,#REF!,
"&lt;"&amp;EOMONTH('Faturado mensal'!O$2,0))</f>
        <v>0</v>
      </c>
      <c r="P340" s="9">
        <f>SUMIFS(#REF!,#REF!,
$A340,#REF!,
"&gt;="&amp;'Faturado mensal'!P$2,#REF!,
"&lt;"&amp;EOMONTH('Faturado mensal'!P$2,0))</f>
        <v>0</v>
      </c>
      <c r="Q340" s="9">
        <f>SUMIFS(#REF!,#REF!,
$A340,#REF!,
"&gt;="&amp;'Faturado mensal'!Q$2,#REF!,
"&lt;"&amp;EOMONTH('Faturado mensal'!Q$2,0))</f>
        <v>0</v>
      </c>
      <c r="R340" s="9">
        <f>SUMIFS(#REF!,#REF!,
$A340,#REF!,
"&gt;="&amp;'Faturado mensal'!R$2,#REF!,
"&lt;"&amp;EOMONTH('Faturado mensal'!R$2,0))</f>
        <v>0</v>
      </c>
      <c r="S340" s="9">
        <f>SUMIFS(#REF!,#REF!,
$A340,#REF!,
"&gt;="&amp;'Faturado mensal'!S$2,#REF!,
"&lt;"&amp;EOMONTH('Faturado mensal'!S$2,0))</f>
        <v>0</v>
      </c>
      <c r="T340" s="9">
        <f>SUMIFS(#REF!,#REF!,
$A340,#REF!,
"&gt;="&amp;'Faturado mensal'!T$2,#REF!,
"&lt;"&amp;EOMONTH('Faturado mensal'!T$2,0))</f>
        <v>0</v>
      </c>
      <c r="U340" s="9">
        <f>SUMIFS(#REF!,#REF!,
$A340,#REF!,
"&gt;="&amp;'Faturado mensal'!U$2,#REF!,
"&lt;"&amp;EOMONTH('Faturado mensal'!U$2,0))</f>
        <v>0</v>
      </c>
      <c r="V340" s="9">
        <f>SUMIFS(#REF!,#REF!,
$A340,#REF!,
"&gt;="&amp;'Faturado mensal'!V$2,#REF!,
"&lt;"&amp;EOMONTH('Faturado mensal'!V$2,0))</f>
        <v>0</v>
      </c>
      <c r="W340" s="9">
        <f>SUMIFS(#REF!,#REF!,
$A340,#REF!,
"&gt;="&amp;'Faturado mensal'!W$2,#REF!,
"&lt;"&amp;EOMONTH('Faturado mensal'!W$2,0))</f>
        <v>0</v>
      </c>
      <c r="X340" s="9">
        <f>SUMIFS(#REF!,#REF!,
$A340,#REF!,
"&gt;="&amp;'Faturado mensal'!X$2,#REF!,
"&lt;"&amp;EOMONTH('Faturado mensal'!X$2,0))</f>
        <v>570</v>
      </c>
      <c r="Y340" s="11">
        <f>SUMIFS(#REF!,#REF!,
$A340,#REF!,
"&gt;="&amp;'Faturado mensal'!M$2,#REF!,
"&lt;"&amp;EOMONTH('Faturado mensal'!M$2,12))</f>
        <v>570</v>
      </c>
      <c r="Z340" s="9">
        <f>SUMIFS(#REF!,#REF!,
$A340,#REF!,
"&gt;="&amp;'Faturado mensal'!Z$2,#REF!,
"&lt;"&amp;EOMONTH('Faturado mensal'!Z$2,0))</f>
        <v>0</v>
      </c>
      <c r="AA340" s="9">
        <f>SUMIFS(#REF!,#REF!,
$A340,#REF!,
"&gt;="&amp;'Faturado mensal'!AA$2,#REF!,
"&lt;"&amp;EOMONTH('Faturado mensal'!AA$2,0))</f>
        <v>0</v>
      </c>
      <c r="AB340" s="9">
        <f>SUMIFS(#REF!,#REF!,
$A340,#REF!,
"&gt;="&amp;'Faturado mensal'!AB$2,#REF!,
"&lt;"&amp;EOMONTH('Faturado mensal'!AB$2,0))</f>
        <v>165</v>
      </c>
      <c r="AC340" s="9">
        <f>SUMIFS(#REF!,#REF!,
$A340,#REF!,
"&gt;="&amp;'Faturado mensal'!AC$2,#REF!,
"&lt;"&amp;EOMONTH('Faturado mensal'!AC$2,0))</f>
        <v>0</v>
      </c>
      <c r="AD340" s="9">
        <f>SUMIFS(#REF!,#REF!,
$A340,#REF!,
"&gt;="&amp;'Faturado mensal'!AD$2,#REF!,
"&lt;"&amp;EOMONTH('Faturado mensal'!AD$2,0))</f>
        <v>0</v>
      </c>
      <c r="AE340" s="9">
        <f>SUMIFS(#REF!,#REF!,
$A340,#REF!,
"&gt;="&amp;'Faturado mensal'!AE$2,#REF!,
"&lt;"&amp;EOMONTH('Faturado mensal'!AE$2,0))</f>
        <v>0</v>
      </c>
      <c r="AF340" s="9">
        <f>SUMIFS(#REF!,#REF!,
$A340,#REF!,
"&gt;="&amp;'Faturado mensal'!AF$2,#REF!,
"&lt;"&amp;EOMONTH('Faturado mensal'!AF$2,0))</f>
        <v>0</v>
      </c>
      <c r="AG340" s="9">
        <f>SUMIFS(#REF!,#REF!,
$A340,#REF!,
"&gt;="&amp;'Faturado mensal'!AG$2,#REF!,
"&lt;"&amp;EOMONTH('Faturado mensal'!AG$2,0))</f>
        <v>0</v>
      </c>
      <c r="AH340" s="9">
        <f>SUMIFS(#REF!,#REF!,
$A340,#REF!,
"&gt;="&amp;'Faturado mensal'!AH$2,#REF!,
"&lt;"&amp;EOMONTH('Faturado mensal'!AH$2,0))</f>
        <v>0</v>
      </c>
      <c r="AI340" s="9">
        <f>SUMIFS(#REF!,#REF!,
$A340,#REF!,
"&gt;="&amp;'Faturado mensal'!AI$2,#REF!,
"&lt;"&amp;EOMONTH('Faturado mensal'!AI$2,0))</f>
        <v>0</v>
      </c>
      <c r="AJ340" s="9">
        <f>SUMIFS(#REF!,#REF!,
$A340,#REF!,
"&gt;="&amp;'Faturado mensal'!AJ$2,#REF!,
"&lt;"&amp;EOMONTH('Faturado mensal'!AJ$2,0))</f>
        <v>0</v>
      </c>
      <c r="AK340" s="9">
        <f>SUMIFS(#REF!,#REF!,
$A340,#REF!,
"&gt;="&amp;'Faturado mensal'!AK$2,#REF!,
"&lt;"&amp;EOMONTH('Faturado mensal'!AK$2,0))</f>
        <v>0</v>
      </c>
      <c r="AL340" s="9">
        <f>SUMIFS(#REF!,#REF!,
$A340,#REF!,
"&gt;="&amp;Z$2,#REF!,
"&lt;"&amp;EOMONTH(AK$2,0))</f>
        <v>165</v>
      </c>
    </row>
    <row r="341" spans="1:38" x14ac:dyDescent="0.3">
      <c r="A341" t="s">
        <v>676</v>
      </c>
      <c r="B341" t="s">
        <v>675</v>
      </c>
      <c r="C341" t="s">
        <v>177</v>
      </c>
      <c r="D341" t="s">
        <v>204</v>
      </c>
      <c r="E341" t="s">
        <v>1037</v>
      </c>
      <c r="F341" t="s">
        <v>4776</v>
      </c>
      <c r="G341" t="s">
        <v>4856</v>
      </c>
      <c r="H341" t="s">
        <v>807</v>
      </c>
      <c r="I341" t="s">
        <v>1003</v>
      </c>
      <c r="J341" t="s">
        <v>818</v>
      </c>
      <c r="K341" t="s">
        <v>768</v>
      </c>
      <c r="L341" t="s">
        <v>769</v>
      </c>
      <c r="M341" s="9">
        <f>SUMIFS(#REF!,#REF!,
$A341,#REF!,
"&gt;="&amp;'Faturado mensal'!M$2,#REF!,
"&lt;"&amp;EOMONTH('Faturado mensal'!M$2,0))</f>
        <v>0</v>
      </c>
      <c r="N341" s="9">
        <f>SUMIFS(#REF!,#REF!,
$A341,#REF!,
"&gt;="&amp;'Faturado mensal'!N$2,#REF!,
"&lt;"&amp;EOMONTH('Faturado mensal'!N$2,0))</f>
        <v>0</v>
      </c>
      <c r="O341" s="9">
        <f>SUMIFS(#REF!,#REF!,
$A341,#REF!,
"&gt;="&amp;'Faturado mensal'!O$2,#REF!,
"&lt;"&amp;EOMONTH('Faturado mensal'!O$2,0))</f>
        <v>0</v>
      </c>
      <c r="P341" s="9">
        <f>SUMIFS(#REF!,#REF!,
$A341,#REF!,
"&gt;="&amp;'Faturado mensal'!P$2,#REF!,
"&lt;"&amp;EOMONTH('Faturado mensal'!P$2,0))</f>
        <v>0</v>
      </c>
      <c r="Q341" s="9">
        <f>SUMIFS(#REF!,#REF!,
$A341,#REF!,
"&gt;="&amp;'Faturado mensal'!Q$2,#REF!,
"&lt;"&amp;EOMONTH('Faturado mensal'!Q$2,0))</f>
        <v>0</v>
      </c>
      <c r="R341" s="9">
        <f>SUMIFS(#REF!,#REF!,
$A341,#REF!,
"&gt;="&amp;'Faturado mensal'!R$2,#REF!,
"&lt;"&amp;EOMONTH('Faturado mensal'!R$2,0))</f>
        <v>0</v>
      </c>
      <c r="S341" s="9">
        <f>SUMIFS(#REF!,#REF!,
$A341,#REF!,
"&gt;="&amp;'Faturado mensal'!S$2,#REF!,
"&lt;"&amp;EOMONTH('Faturado mensal'!S$2,0))</f>
        <v>0</v>
      </c>
      <c r="T341" s="9">
        <f>SUMIFS(#REF!,#REF!,
$A341,#REF!,
"&gt;="&amp;'Faturado mensal'!T$2,#REF!,
"&lt;"&amp;EOMONTH('Faturado mensal'!T$2,0))</f>
        <v>0</v>
      </c>
      <c r="U341" s="9">
        <f>SUMIFS(#REF!,#REF!,
$A341,#REF!,
"&gt;="&amp;'Faturado mensal'!U$2,#REF!,
"&lt;"&amp;EOMONTH('Faturado mensal'!U$2,0))</f>
        <v>0</v>
      </c>
      <c r="V341" s="9">
        <f>SUMIFS(#REF!,#REF!,
$A341,#REF!,
"&gt;="&amp;'Faturado mensal'!V$2,#REF!,
"&lt;"&amp;EOMONTH('Faturado mensal'!V$2,0))</f>
        <v>0</v>
      </c>
      <c r="W341" s="9">
        <f>SUMIFS(#REF!,#REF!,
$A341,#REF!,
"&gt;="&amp;'Faturado mensal'!W$2,#REF!,
"&lt;"&amp;EOMONTH('Faturado mensal'!W$2,0))</f>
        <v>0</v>
      </c>
      <c r="X341" s="9">
        <f>SUMIFS(#REF!,#REF!,
$A341,#REF!,
"&gt;="&amp;'Faturado mensal'!X$2,#REF!,
"&lt;"&amp;EOMONTH('Faturado mensal'!X$2,0))</f>
        <v>1845</v>
      </c>
      <c r="Y341" s="11">
        <f>SUMIFS(#REF!,#REF!,
$A341,#REF!,
"&gt;="&amp;'Faturado mensal'!M$2,#REF!,
"&lt;"&amp;EOMONTH('Faturado mensal'!M$2,12))</f>
        <v>2025</v>
      </c>
      <c r="Z341" s="9">
        <f>SUMIFS(#REF!,#REF!,
$A341,#REF!,
"&gt;="&amp;'Faturado mensal'!Z$2,#REF!,
"&lt;"&amp;EOMONTH('Faturado mensal'!Z$2,0))</f>
        <v>180</v>
      </c>
      <c r="AA341" s="9">
        <f>SUMIFS(#REF!,#REF!,
$A341,#REF!,
"&gt;="&amp;'Faturado mensal'!AA$2,#REF!,
"&lt;"&amp;EOMONTH('Faturado mensal'!AA$2,0))</f>
        <v>105</v>
      </c>
      <c r="AB341" s="9">
        <f>SUMIFS(#REF!,#REF!,
$A341,#REF!,
"&gt;="&amp;'Faturado mensal'!AB$2,#REF!,
"&lt;"&amp;EOMONTH('Faturado mensal'!AB$2,0))</f>
        <v>285</v>
      </c>
      <c r="AC341" s="9">
        <f>SUMIFS(#REF!,#REF!,
$A341,#REF!,
"&gt;="&amp;'Faturado mensal'!AC$2,#REF!,
"&lt;"&amp;EOMONTH('Faturado mensal'!AC$2,0))</f>
        <v>165</v>
      </c>
      <c r="AD341" s="9">
        <f>SUMIFS(#REF!,#REF!,
$A341,#REF!,
"&gt;="&amp;'Faturado mensal'!AD$2,#REF!,
"&lt;"&amp;EOMONTH('Faturado mensal'!AD$2,0))</f>
        <v>445</v>
      </c>
      <c r="AE341" s="9">
        <f>SUMIFS(#REF!,#REF!,
$A341,#REF!,
"&gt;="&amp;'Faturado mensal'!AE$2,#REF!,
"&lt;"&amp;EOMONTH('Faturado mensal'!AE$2,0))</f>
        <v>285</v>
      </c>
      <c r="AF341" s="9">
        <f>SUMIFS(#REF!,#REF!,
$A341,#REF!,
"&gt;="&amp;'Faturado mensal'!AF$2,#REF!,
"&lt;"&amp;EOMONTH('Faturado mensal'!AF$2,0))</f>
        <v>0</v>
      </c>
      <c r="AG341" s="9">
        <f>SUMIFS(#REF!,#REF!,
$A341,#REF!,
"&gt;="&amp;'Faturado mensal'!AG$2,#REF!,
"&lt;"&amp;EOMONTH('Faturado mensal'!AG$2,0))</f>
        <v>0</v>
      </c>
      <c r="AH341" s="9">
        <f>SUMIFS(#REF!,#REF!,
$A341,#REF!,
"&gt;="&amp;'Faturado mensal'!AH$2,#REF!,
"&lt;"&amp;EOMONTH('Faturado mensal'!AH$2,0))</f>
        <v>0</v>
      </c>
      <c r="AI341" s="9">
        <f>SUMIFS(#REF!,#REF!,
$A341,#REF!,
"&gt;="&amp;'Faturado mensal'!AI$2,#REF!,
"&lt;"&amp;EOMONTH('Faturado mensal'!AI$2,0))</f>
        <v>0</v>
      </c>
      <c r="AJ341" s="9">
        <f>SUMIFS(#REF!,#REF!,
$A341,#REF!,
"&gt;="&amp;'Faturado mensal'!AJ$2,#REF!,
"&lt;"&amp;EOMONTH('Faturado mensal'!AJ$2,0))</f>
        <v>0</v>
      </c>
      <c r="AK341" s="9">
        <f>SUMIFS(#REF!,#REF!,
$A341,#REF!,
"&gt;="&amp;'Faturado mensal'!AK$2,#REF!,
"&lt;"&amp;EOMONTH('Faturado mensal'!AK$2,0))</f>
        <v>0</v>
      </c>
      <c r="AL341" s="9">
        <f>SUMIFS(#REF!,#REF!,
$A341,#REF!,
"&gt;="&amp;Z$2,#REF!,
"&lt;"&amp;EOMONTH(AK$2,0))</f>
        <v>1465</v>
      </c>
    </row>
    <row r="342" spans="1:38" x14ac:dyDescent="0.3">
      <c r="A342" t="s">
        <v>677</v>
      </c>
      <c r="B342" t="s">
        <v>678</v>
      </c>
      <c r="C342" t="s">
        <v>181</v>
      </c>
      <c r="D342" t="s">
        <v>204</v>
      </c>
      <c r="E342" t="s">
        <v>1037</v>
      </c>
      <c r="F342" t="s">
        <v>4794</v>
      </c>
      <c r="G342" t="s">
        <v>4852</v>
      </c>
      <c r="H342" t="s">
        <v>807</v>
      </c>
      <c r="I342" t="s">
        <v>815</v>
      </c>
      <c r="J342" t="s">
        <v>719</v>
      </c>
      <c r="K342" t="s">
        <v>717</v>
      </c>
      <c r="L342" t="s">
        <v>718</v>
      </c>
      <c r="M342" s="9">
        <f>SUMIFS(#REF!,#REF!,
$A342,#REF!,
"&gt;="&amp;'Faturado mensal'!M$2,#REF!,
"&lt;"&amp;EOMONTH('Faturado mensal'!M$2,0))</f>
        <v>0</v>
      </c>
      <c r="N342" s="9">
        <f>SUMIFS(#REF!,#REF!,
$A342,#REF!,
"&gt;="&amp;'Faturado mensal'!N$2,#REF!,
"&lt;"&amp;EOMONTH('Faturado mensal'!N$2,0))</f>
        <v>0</v>
      </c>
      <c r="O342" s="9">
        <f>SUMIFS(#REF!,#REF!,
$A342,#REF!,
"&gt;="&amp;'Faturado mensal'!O$2,#REF!,
"&lt;"&amp;EOMONTH('Faturado mensal'!O$2,0))</f>
        <v>0</v>
      </c>
      <c r="P342" s="9">
        <f>SUMIFS(#REF!,#REF!,
$A342,#REF!,
"&gt;="&amp;'Faturado mensal'!P$2,#REF!,
"&lt;"&amp;EOMONTH('Faturado mensal'!P$2,0))</f>
        <v>0</v>
      </c>
      <c r="Q342" s="9">
        <f>SUMIFS(#REF!,#REF!,
$A342,#REF!,
"&gt;="&amp;'Faturado mensal'!Q$2,#REF!,
"&lt;"&amp;EOMONTH('Faturado mensal'!Q$2,0))</f>
        <v>0</v>
      </c>
      <c r="R342" s="9">
        <f>SUMIFS(#REF!,#REF!,
$A342,#REF!,
"&gt;="&amp;'Faturado mensal'!R$2,#REF!,
"&lt;"&amp;EOMONTH('Faturado mensal'!R$2,0))</f>
        <v>0</v>
      </c>
      <c r="S342" s="9">
        <f>SUMIFS(#REF!,#REF!,
$A342,#REF!,
"&gt;="&amp;'Faturado mensal'!S$2,#REF!,
"&lt;"&amp;EOMONTH('Faturado mensal'!S$2,0))</f>
        <v>0</v>
      </c>
      <c r="T342" s="9">
        <f>SUMIFS(#REF!,#REF!,
$A342,#REF!,
"&gt;="&amp;'Faturado mensal'!T$2,#REF!,
"&lt;"&amp;EOMONTH('Faturado mensal'!T$2,0))</f>
        <v>0</v>
      </c>
      <c r="U342" s="9">
        <f>SUMIFS(#REF!,#REF!,
$A342,#REF!,
"&gt;="&amp;'Faturado mensal'!U$2,#REF!,
"&lt;"&amp;EOMONTH('Faturado mensal'!U$2,0))</f>
        <v>0</v>
      </c>
      <c r="V342" s="9">
        <f>SUMIFS(#REF!,#REF!,
$A342,#REF!,
"&gt;="&amp;'Faturado mensal'!V$2,#REF!,
"&lt;"&amp;EOMONTH('Faturado mensal'!V$2,0))</f>
        <v>0</v>
      </c>
      <c r="W342" s="9">
        <f>SUMIFS(#REF!,#REF!,
$A342,#REF!,
"&gt;="&amp;'Faturado mensal'!W$2,#REF!,
"&lt;"&amp;EOMONTH('Faturado mensal'!W$2,0))</f>
        <v>0</v>
      </c>
      <c r="X342" s="9">
        <f>SUMIFS(#REF!,#REF!,
$A342,#REF!,
"&gt;="&amp;'Faturado mensal'!X$2,#REF!,
"&lt;"&amp;EOMONTH('Faturado mensal'!X$2,0))</f>
        <v>63876.88</v>
      </c>
      <c r="Y342" s="11">
        <f>SUMIFS(#REF!,#REF!,
$A342,#REF!,
"&gt;="&amp;'Faturado mensal'!M$2,#REF!,
"&lt;"&amp;EOMONTH('Faturado mensal'!M$2,12))</f>
        <v>94454.58</v>
      </c>
      <c r="Z342" s="9">
        <f>SUMIFS(#REF!,#REF!,
$A342,#REF!,
"&gt;="&amp;'Faturado mensal'!Z$2,#REF!,
"&lt;"&amp;EOMONTH('Faturado mensal'!Z$2,0))</f>
        <v>30577.7</v>
      </c>
      <c r="AA342" s="9">
        <f>SUMIFS(#REF!,#REF!,
$A342,#REF!,
"&gt;="&amp;'Faturado mensal'!AA$2,#REF!,
"&lt;"&amp;EOMONTH('Faturado mensal'!AA$2,0))</f>
        <v>30662.799999999999</v>
      </c>
      <c r="AB342" s="9">
        <f>SUMIFS(#REF!,#REF!,
$A342,#REF!,
"&gt;="&amp;'Faturado mensal'!AB$2,#REF!,
"&lt;"&amp;EOMONTH('Faturado mensal'!AB$2,0))</f>
        <v>32366.36</v>
      </c>
      <c r="AC342" s="9">
        <f>SUMIFS(#REF!,#REF!,
$A342,#REF!,
"&gt;="&amp;'Faturado mensal'!AC$2,#REF!,
"&lt;"&amp;EOMONTH('Faturado mensal'!AC$2,0))</f>
        <v>0</v>
      </c>
      <c r="AD342" s="9">
        <f>SUMIFS(#REF!,#REF!,
$A342,#REF!,
"&gt;="&amp;'Faturado mensal'!AD$2,#REF!,
"&lt;"&amp;EOMONTH('Faturado mensal'!AD$2,0))</f>
        <v>67473.47</v>
      </c>
      <c r="AE342" s="9">
        <f>SUMIFS(#REF!,#REF!,
$A342,#REF!,
"&gt;="&amp;'Faturado mensal'!AE$2,#REF!,
"&lt;"&amp;EOMONTH('Faturado mensal'!AE$2,0))</f>
        <v>36787.07</v>
      </c>
      <c r="AF342" s="9">
        <f>SUMIFS(#REF!,#REF!,
$A342,#REF!,
"&gt;="&amp;'Faturado mensal'!AF$2,#REF!,
"&lt;"&amp;EOMONTH('Faturado mensal'!AF$2,0))</f>
        <v>0</v>
      </c>
      <c r="AG342" s="9">
        <f>SUMIFS(#REF!,#REF!,
$A342,#REF!,
"&gt;="&amp;'Faturado mensal'!AG$2,#REF!,
"&lt;"&amp;EOMONTH('Faturado mensal'!AG$2,0))</f>
        <v>0</v>
      </c>
      <c r="AH342" s="9">
        <f>SUMIFS(#REF!,#REF!,
$A342,#REF!,
"&gt;="&amp;'Faturado mensal'!AH$2,#REF!,
"&lt;"&amp;EOMONTH('Faturado mensal'!AH$2,0))</f>
        <v>0</v>
      </c>
      <c r="AI342" s="9">
        <f>SUMIFS(#REF!,#REF!,
$A342,#REF!,
"&gt;="&amp;'Faturado mensal'!AI$2,#REF!,
"&lt;"&amp;EOMONTH('Faturado mensal'!AI$2,0))</f>
        <v>0</v>
      </c>
      <c r="AJ342" s="9">
        <f>SUMIFS(#REF!,#REF!,
$A342,#REF!,
"&gt;="&amp;'Faturado mensal'!AJ$2,#REF!,
"&lt;"&amp;EOMONTH('Faturado mensal'!AJ$2,0))</f>
        <v>0</v>
      </c>
      <c r="AK342" s="9">
        <f>SUMIFS(#REF!,#REF!,
$A342,#REF!,
"&gt;="&amp;'Faturado mensal'!AK$2,#REF!,
"&lt;"&amp;EOMONTH('Faturado mensal'!AK$2,0))</f>
        <v>0</v>
      </c>
      <c r="AL342" s="9">
        <f>SUMIFS(#REF!,#REF!,
$A342,#REF!,
"&gt;="&amp;Z$2,#REF!,
"&lt;"&amp;EOMONTH(AK$2,0))</f>
        <v>197867.40000000002</v>
      </c>
    </row>
    <row r="343" spans="1:38" x14ac:dyDescent="0.3">
      <c r="A343" t="s">
        <v>679</v>
      </c>
      <c r="B343" t="s">
        <v>680</v>
      </c>
      <c r="C343" t="s">
        <v>86</v>
      </c>
      <c r="D343" t="s">
        <v>204</v>
      </c>
      <c r="E343" t="s">
        <v>4833</v>
      </c>
      <c r="F343" t="s">
        <v>4800</v>
      </c>
      <c r="G343" t="s">
        <v>4852</v>
      </c>
      <c r="H343" t="s">
        <v>807</v>
      </c>
      <c r="I343" t="s">
        <v>1004</v>
      </c>
      <c r="J343" t="s">
        <v>710</v>
      </c>
      <c r="K343" t="s">
        <v>839</v>
      </c>
      <c r="L343" t="s">
        <v>840</v>
      </c>
      <c r="M343" s="9">
        <f>SUMIFS(#REF!,#REF!,
$A343,#REF!,
"&gt;="&amp;'Faturado mensal'!M$2,#REF!,
"&lt;"&amp;EOMONTH('Faturado mensal'!M$2,0))</f>
        <v>0</v>
      </c>
      <c r="N343" s="9">
        <f>SUMIFS(#REF!,#REF!,
$A343,#REF!,
"&gt;="&amp;'Faturado mensal'!N$2,#REF!,
"&lt;"&amp;EOMONTH('Faturado mensal'!N$2,0))</f>
        <v>0</v>
      </c>
      <c r="O343" s="9">
        <f>SUMIFS(#REF!,#REF!,
$A343,#REF!,
"&gt;="&amp;'Faturado mensal'!O$2,#REF!,
"&lt;"&amp;EOMONTH('Faturado mensal'!O$2,0))</f>
        <v>0</v>
      </c>
      <c r="P343" s="9">
        <f>SUMIFS(#REF!,#REF!,
$A343,#REF!,
"&gt;="&amp;'Faturado mensal'!P$2,#REF!,
"&lt;"&amp;EOMONTH('Faturado mensal'!P$2,0))</f>
        <v>0</v>
      </c>
      <c r="Q343" s="9">
        <f>SUMIFS(#REF!,#REF!,
$A343,#REF!,
"&gt;="&amp;'Faturado mensal'!Q$2,#REF!,
"&lt;"&amp;EOMONTH('Faturado mensal'!Q$2,0))</f>
        <v>0</v>
      </c>
      <c r="R343" s="9">
        <f>SUMIFS(#REF!,#REF!,
$A343,#REF!,
"&gt;="&amp;'Faturado mensal'!R$2,#REF!,
"&lt;"&amp;EOMONTH('Faturado mensal'!R$2,0))</f>
        <v>0</v>
      </c>
      <c r="S343" s="9">
        <f>SUMIFS(#REF!,#REF!,
$A343,#REF!,
"&gt;="&amp;'Faturado mensal'!S$2,#REF!,
"&lt;"&amp;EOMONTH('Faturado mensal'!S$2,0))</f>
        <v>0</v>
      </c>
      <c r="T343" s="9">
        <f>SUMIFS(#REF!,#REF!,
$A343,#REF!,
"&gt;="&amp;'Faturado mensal'!T$2,#REF!,
"&lt;"&amp;EOMONTH('Faturado mensal'!T$2,0))</f>
        <v>0</v>
      </c>
      <c r="U343" s="9">
        <f>SUMIFS(#REF!,#REF!,
$A343,#REF!,
"&gt;="&amp;'Faturado mensal'!U$2,#REF!,
"&lt;"&amp;EOMONTH('Faturado mensal'!U$2,0))</f>
        <v>0</v>
      </c>
      <c r="V343" s="9">
        <f>SUMIFS(#REF!,#REF!,
$A343,#REF!,
"&gt;="&amp;'Faturado mensal'!V$2,#REF!,
"&lt;"&amp;EOMONTH('Faturado mensal'!V$2,0))</f>
        <v>0</v>
      </c>
      <c r="W343" s="9">
        <f>SUMIFS(#REF!,#REF!,
$A343,#REF!,
"&gt;="&amp;'Faturado mensal'!W$2,#REF!,
"&lt;"&amp;EOMONTH('Faturado mensal'!W$2,0))</f>
        <v>0</v>
      </c>
      <c r="X343" s="9">
        <f>SUMIFS(#REF!,#REF!,
$A343,#REF!,
"&gt;="&amp;'Faturado mensal'!X$2,#REF!,
"&lt;"&amp;EOMONTH('Faturado mensal'!X$2,0))</f>
        <v>99062.62</v>
      </c>
      <c r="Y343" s="11">
        <f>SUMIFS(#REF!,#REF!,
$A343,#REF!,
"&gt;="&amp;'Faturado mensal'!M$2,#REF!,
"&lt;"&amp;EOMONTH('Faturado mensal'!M$2,12))</f>
        <v>99062.62</v>
      </c>
      <c r="Z343" s="9">
        <f>SUMIFS(#REF!,#REF!,
$A343,#REF!,
"&gt;="&amp;'Faturado mensal'!Z$2,#REF!,
"&lt;"&amp;EOMONTH('Faturado mensal'!Z$2,0))</f>
        <v>0</v>
      </c>
      <c r="AA343" s="9">
        <f>SUMIFS(#REF!,#REF!,
$A343,#REF!,
"&gt;="&amp;'Faturado mensal'!AA$2,#REF!,
"&lt;"&amp;EOMONTH('Faturado mensal'!AA$2,0))</f>
        <v>331001.31</v>
      </c>
      <c r="AB343" s="9">
        <f>SUMIFS(#REF!,#REF!,
$A343,#REF!,
"&gt;="&amp;'Faturado mensal'!AB$2,#REF!,
"&lt;"&amp;EOMONTH('Faturado mensal'!AB$2,0))</f>
        <v>0</v>
      </c>
      <c r="AC343" s="9">
        <f>SUMIFS(#REF!,#REF!,
$A343,#REF!,
"&gt;="&amp;'Faturado mensal'!AC$2,#REF!,
"&lt;"&amp;EOMONTH('Faturado mensal'!AC$2,0))</f>
        <v>0</v>
      </c>
      <c r="AD343" s="9">
        <f>SUMIFS(#REF!,#REF!,
$A343,#REF!,
"&gt;="&amp;'Faturado mensal'!AD$2,#REF!,
"&lt;"&amp;EOMONTH('Faturado mensal'!AD$2,0))</f>
        <v>327207.46999999997</v>
      </c>
      <c r="AE343" s="9">
        <f>SUMIFS(#REF!,#REF!,
$A343,#REF!,
"&gt;="&amp;'Faturado mensal'!AE$2,#REF!,
"&lt;"&amp;EOMONTH('Faturado mensal'!AE$2,0))</f>
        <v>38681.299999999996</v>
      </c>
      <c r="AF343" s="9">
        <f>SUMIFS(#REF!,#REF!,
$A343,#REF!,
"&gt;="&amp;'Faturado mensal'!AF$2,#REF!,
"&lt;"&amp;EOMONTH('Faturado mensal'!AF$2,0))</f>
        <v>0</v>
      </c>
      <c r="AG343" s="9">
        <f>SUMIFS(#REF!,#REF!,
$A343,#REF!,
"&gt;="&amp;'Faturado mensal'!AG$2,#REF!,
"&lt;"&amp;EOMONTH('Faturado mensal'!AG$2,0))</f>
        <v>0</v>
      </c>
      <c r="AH343" s="9">
        <f>SUMIFS(#REF!,#REF!,
$A343,#REF!,
"&gt;="&amp;'Faturado mensal'!AH$2,#REF!,
"&lt;"&amp;EOMONTH('Faturado mensal'!AH$2,0))</f>
        <v>0</v>
      </c>
      <c r="AI343" s="9">
        <f>SUMIFS(#REF!,#REF!,
$A343,#REF!,
"&gt;="&amp;'Faturado mensal'!AI$2,#REF!,
"&lt;"&amp;EOMONTH('Faturado mensal'!AI$2,0))</f>
        <v>0</v>
      </c>
      <c r="AJ343" s="9">
        <f>SUMIFS(#REF!,#REF!,
$A343,#REF!,
"&gt;="&amp;'Faturado mensal'!AJ$2,#REF!,
"&lt;"&amp;EOMONTH('Faturado mensal'!AJ$2,0))</f>
        <v>0</v>
      </c>
      <c r="AK343" s="9">
        <f>SUMIFS(#REF!,#REF!,
$A343,#REF!,
"&gt;="&amp;'Faturado mensal'!AK$2,#REF!,
"&lt;"&amp;EOMONTH('Faturado mensal'!AK$2,0))</f>
        <v>0</v>
      </c>
      <c r="AL343" s="9">
        <f>SUMIFS(#REF!,#REF!,
$A343,#REF!,
"&gt;="&amp;Z$2,#REF!,
"&lt;"&amp;EOMONTH(AK$2,0))</f>
        <v>696890.08000000007</v>
      </c>
    </row>
    <row r="344" spans="1:38" x14ac:dyDescent="0.3">
      <c r="A344" t="s">
        <v>681</v>
      </c>
      <c r="B344" t="s">
        <v>535</v>
      </c>
      <c r="C344" t="s">
        <v>148</v>
      </c>
      <c r="D344" t="s">
        <v>204</v>
      </c>
      <c r="E344" t="s">
        <v>4844</v>
      </c>
      <c r="F344" t="s">
        <v>4779</v>
      </c>
      <c r="G344" t="s">
        <v>4853</v>
      </c>
      <c r="H344" t="s">
        <v>807</v>
      </c>
      <c r="I344" t="s">
        <v>894</v>
      </c>
      <c r="J344" t="s">
        <v>890</v>
      </c>
      <c r="K344" t="s">
        <v>711</v>
      </c>
      <c r="L344" t="s">
        <v>712</v>
      </c>
      <c r="M344" s="9">
        <f>SUMIFS(#REF!,#REF!,
$A344,#REF!,
"&gt;="&amp;'Faturado mensal'!M$2,#REF!,
"&lt;"&amp;EOMONTH('Faturado mensal'!M$2,0))</f>
        <v>0</v>
      </c>
      <c r="N344" s="9">
        <f>SUMIFS(#REF!,#REF!,
$A344,#REF!,
"&gt;="&amp;'Faturado mensal'!N$2,#REF!,
"&lt;"&amp;EOMONTH('Faturado mensal'!N$2,0))</f>
        <v>0</v>
      </c>
      <c r="O344" s="9">
        <f>SUMIFS(#REF!,#REF!,
$A344,#REF!,
"&gt;="&amp;'Faturado mensal'!O$2,#REF!,
"&lt;"&amp;EOMONTH('Faturado mensal'!O$2,0))</f>
        <v>0</v>
      </c>
      <c r="P344" s="9">
        <f>SUMIFS(#REF!,#REF!,
$A344,#REF!,
"&gt;="&amp;'Faturado mensal'!P$2,#REF!,
"&lt;"&amp;EOMONTH('Faturado mensal'!P$2,0))</f>
        <v>0</v>
      </c>
      <c r="Q344" s="9">
        <f>SUMIFS(#REF!,#REF!,
$A344,#REF!,
"&gt;="&amp;'Faturado mensal'!Q$2,#REF!,
"&lt;"&amp;EOMONTH('Faturado mensal'!Q$2,0))</f>
        <v>0</v>
      </c>
      <c r="R344" s="9">
        <f>SUMIFS(#REF!,#REF!,
$A344,#REF!,
"&gt;="&amp;'Faturado mensal'!R$2,#REF!,
"&lt;"&amp;EOMONTH('Faturado mensal'!R$2,0))</f>
        <v>0</v>
      </c>
      <c r="S344" s="9">
        <f>SUMIFS(#REF!,#REF!,
$A344,#REF!,
"&gt;="&amp;'Faturado mensal'!S$2,#REF!,
"&lt;"&amp;EOMONTH('Faturado mensal'!S$2,0))</f>
        <v>0</v>
      </c>
      <c r="T344" s="9">
        <f>SUMIFS(#REF!,#REF!,
$A344,#REF!,
"&gt;="&amp;'Faturado mensal'!T$2,#REF!,
"&lt;"&amp;EOMONTH('Faturado mensal'!T$2,0))</f>
        <v>0</v>
      </c>
      <c r="U344" s="9">
        <f>SUMIFS(#REF!,#REF!,
$A344,#REF!,
"&gt;="&amp;'Faturado mensal'!U$2,#REF!,
"&lt;"&amp;EOMONTH('Faturado mensal'!U$2,0))</f>
        <v>0</v>
      </c>
      <c r="V344" s="9">
        <f>SUMIFS(#REF!,#REF!,
$A344,#REF!,
"&gt;="&amp;'Faturado mensal'!V$2,#REF!,
"&lt;"&amp;EOMONTH('Faturado mensal'!V$2,0))</f>
        <v>0</v>
      </c>
      <c r="W344" s="9">
        <f>SUMIFS(#REF!,#REF!,
$A344,#REF!,
"&gt;="&amp;'Faturado mensal'!W$2,#REF!,
"&lt;"&amp;EOMONTH('Faturado mensal'!W$2,0))</f>
        <v>0</v>
      </c>
      <c r="X344" s="9">
        <f>SUMIFS(#REF!,#REF!,
$A344,#REF!,
"&gt;="&amp;'Faturado mensal'!X$2,#REF!,
"&lt;"&amp;EOMONTH('Faturado mensal'!X$2,0))</f>
        <v>0</v>
      </c>
      <c r="Y344" s="11">
        <f>SUMIFS(#REF!,#REF!,
$A344,#REF!,
"&gt;="&amp;'Faturado mensal'!M$2,#REF!,
"&lt;"&amp;EOMONTH('Faturado mensal'!M$2,12))</f>
        <v>7800</v>
      </c>
      <c r="Z344" s="9">
        <f>SUMIFS(#REF!,#REF!,
$A344,#REF!,
"&gt;="&amp;'Faturado mensal'!Z$2,#REF!,
"&lt;"&amp;EOMONTH('Faturado mensal'!Z$2,0))</f>
        <v>7800</v>
      </c>
      <c r="AA344" s="9">
        <f>SUMIFS(#REF!,#REF!,
$A344,#REF!,
"&gt;="&amp;'Faturado mensal'!AA$2,#REF!,
"&lt;"&amp;EOMONTH('Faturado mensal'!AA$2,0))</f>
        <v>7800</v>
      </c>
      <c r="AB344" s="9">
        <f>SUMIFS(#REF!,#REF!,
$A344,#REF!,
"&gt;="&amp;'Faturado mensal'!AB$2,#REF!,
"&lt;"&amp;EOMONTH('Faturado mensal'!AB$2,0))</f>
        <v>7800</v>
      </c>
      <c r="AC344" s="9">
        <f>SUMIFS(#REF!,#REF!,
$A344,#REF!,
"&gt;="&amp;'Faturado mensal'!AC$2,#REF!,
"&lt;"&amp;EOMONTH('Faturado mensal'!AC$2,0))</f>
        <v>7800</v>
      </c>
      <c r="AD344" s="9">
        <f>SUMIFS(#REF!,#REF!,
$A344,#REF!,
"&gt;="&amp;'Faturado mensal'!AD$2,#REF!,
"&lt;"&amp;EOMONTH('Faturado mensal'!AD$2,0))</f>
        <v>7800</v>
      </c>
      <c r="AE344" s="9">
        <f>SUMIFS(#REF!,#REF!,
$A344,#REF!,
"&gt;="&amp;'Faturado mensal'!AE$2,#REF!,
"&lt;"&amp;EOMONTH('Faturado mensal'!AE$2,0))</f>
        <v>7800</v>
      </c>
      <c r="AF344" s="9">
        <f>SUMIFS(#REF!,#REF!,
$A344,#REF!,
"&gt;="&amp;'Faturado mensal'!AF$2,#REF!,
"&lt;"&amp;EOMONTH('Faturado mensal'!AF$2,0))</f>
        <v>0</v>
      </c>
      <c r="AG344" s="9">
        <f>SUMIFS(#REF!,#REF!,
$A344,#REF!,
"&gt;="&amp;'Faturado mensal'!AG$2,#REF!,
"&lt;"&amp;EOMONTH('Faturado mensal'!AG$2,0))</f>
        <v>0</v>
      </c>
      <c r="AH344" s="9">
        <f>SUMIFS(#REF!,#REF!,
$A344,#REF!,
"&gt;="&amp;'Faturado mensal'!AH$2,#REF!,
"&lt;"&amp;EOMONTH('Faturado mensal'!AH$2,0))</f>
        <v>0</v>
      </c>
      <c r="AI344" s="9">
        <f>SUMIFS(#REF!,#REF!,
$A344,#REF!,
"&gt;="&amp;'Faturado mensal'!AI$2,#REF!,
"&lt;"&amp;EOMONTH('Faturado mensal'!AI$2,0))</f>
        <v>0</v>
      </c>
      <c r="AJ344" s="9">
        <f>SUMIFS(#REF!,#REF!,
$A344,#REF!,
"&gt;="&amp;'Faturado mensal'!AJ$2,#REF!,
"&lt;"&amp;EOMONTH('Faturado mensal'!AJ$2,0))</f>
        <v>0</v>
      </c>
      <c r="AK344" s="9">
        <f>SUMIFS(#REF!,#REF!,
$A344,#REF!,
"&gt;="&amp;'Faturado mensal'!AK$2,#REF!,
"&lt;"&amp;EOMONTH('Faturado mensal'!AK$2,0))</f>
        <v>0</v>
      </c>
      <c r="AL344" s="9">
        <f>SUMIFS(#REF!,#REF!,
$A344,#REF!,
"&gt;="&amp;Z$2,#REF!,
"&lt;"&amp;EOMONTH(AK$2,0))</f>
        <v>46800</v>
      </c>
    </row>
    <row r="345" spans="1:38" x14ac:dyDescent="0.3">
      <c r="A345" t="s">
        <v>682</v>
      </c>
      <c r="B345" t="s">
        <v>603</v>
      </c>
      <c r="C345" t="s">
        <v>69</v>
      </c>
      <c r="D345" t="s">
        <v>204</v>
      </c>
      <c r="E345" t="s">
        <v>4834</v>
      </c>
      <c r="F345" t="s">
        <v>952</v>
      </c>
      <c r="G345" t="s">
        <v>4853</v>
      </c>
      <c r="H345" t="s">
        <v>807</v>
      </c>
      <c r="I345" t="s">
        <v>953</v>
      </c>
      <c r="J345" t="s">
        <v>954</v>
      </c>
      <c r="K345" t="s">
        <v>711</v>
      </c>
      <c r="L345" t="s">
        <v>712</v>
      </c>
      <c r="M345" s="9">
        <f>SUMIFS(#REF!,#REF!,
$A345,#REF!,
"&gt;="&amp;'Faturado mensal'!M$2,#REF!,
"&lt;"&amp;EOMONTH('Faturado mensal'!M$2,0))</f>
        <v>0</v>
      </c>
      <c r="N345" s="9">
        <f>SUMIFS(#REF!,#REF!,
$A345,#REF!,
"&gt;="&amp;'Faturado mensal'!N$2,#REF!,
"&lt;"&amp;EOMONTH('Faturado mensal'!N$2,0))</f>
        <v>0</v>
      </c>
      <c r="O345" s="9">
        <f>SUMIFS(#REF!,#REF!,
$A345,#REF!,
"&gt;="&amp;'Faturado mensal'!O$2,#REF!,
"&lt;"&amp;EOMONTH('Faturado mensal'!O$2,0))</f>
        <v>0</v>
      </c>
      <c r="P345" s="9">
        <f>SUMIFS(#REF!,#REF!,
$A345,#REF!,
"&gt;="&amp;'Faturado mensal'!P$2,#REF!,
"&lt;"&amp;EOMONTH('Faturado mensal'!P$2,0))</f>
        <v>0</v>
      </c>
      <c r="Q345" s="9">
        <f>SUMIFS(#REF!,#REF!,
$A345,#REF!,
"&gt;="&amp;'Faturado mensal'!Q$2,#REF!,
"&lt;"&amp;EOMONTH('Faturado mensal'!Q$2,0))</f>
        <v>0</v>
      </c>
      <c r="R345" s="9">
        <f>SUMIFS(#REF!,#REF!,
$A345,#REF!,
"&gt;="&amp;'Faturado mensal'!R$2,#REF!,
"&lt;"&amp;EOMONTH('Faturado mensal'!R$2,0))</f>
        <v>0</v>
      </c>
      <c r="S345" s="9">
        <f>SUMIFS(#REF!,#REF!,
$A345,#REF!,
"&gt;="&amp;'Faturado mensal'!S$2,#REF!,
"&lt;"&amp;EOMONTH('Faturado mensal'!S$2,0))</f>
        <v>0</v>
      </c>
      <c r="T345" s="9">
        <f>SUMIFS(#REF!,#REF!,
$A345,#REF!,
"&gt;="&amp;'Faturado mensal'!T$2,#REF!,
"&lt;"&amp;EOMONTH('Faturado mensal'!T$2,0))</f>
        <v>0</v>
      </c>
      <c r="U345" s="9">
        <f>SUMIFS(#REF!,#REF!,
$A345,#REF!,
"&gt;="&amp;'Faturado mensal'!U$2,#REF!,
"&lt;"&amp;EOMONTH('Faturado mensal'!U$2,0))</f>
        <v>0</v>
      </c>
      <c r="V345" s="9">
        <f>SUMIFS(#REF!,#REF!,
$A345,#REF!,
"&gt;="&amp;'Faturado mensal'!V$2,#REF!,
"&lt;"&amp;EOMONTH('Faturado mensal'!V$2,0))</f>
        <v>0</v>
      </c>
      <c r="W345" s="9">
        <f>SUMIFS(#REF!,#REF!,
$A345,#REF!,
"&gt;="&amp;'Faturado mensal'!W$2,#REF!,
"&lt;"&amp;EOMONTH('Faturado mensal'!W$2,0))</f>
        <v>0</v>
      </c>
      <c r="X345" s="9">
        <f>SUMIFS(#REF!,#REF!,
$A345,#REF!,
"&gt;="&amp;'Faturado mensal'!X$2,#REF!,
"&lt;"&amp;EOMONTH('Faturado mensal'!X$2,0))</f>
        <v>0</v>
      </c>
      <c r="Y345" s="11">
        <f>SUMIFS(#REF!,#REF!,
$A345,#REF!,
"&gt;="&amp;'Faturado mensal'!M$2,#REF!,
"&lt;"&amp;EOMONTH('Faturado mensal'!M$2,12))</f>
        <v>0</v>
      </c>
      <c r="Z345" s="9">
        <f>SUMIFS(#REF!,#REF!,
$A345,#REF!,
"&gt;="&amp;'Faturado mensal'!Z$2,#REF!,
"&lt;"&amp;EOMONTH('Faturado mensal'!Z$2,0))</f>
        <v>0</v>
      </c>
      <c r="AA345" s="9">
        <f>SUMIFS(#REF!,#REF!,
$A345,#REF!,
"&gt;="&amp;'Faturado mensal'!AA$2,#REF!,
"&lt;"&amp;EOMONTH('Faturado mensal'!AA$2,0))</f>
        <v>0</v>
      </c>
      <c r="AB345" s="9">
        <f>SUMIFS(#REF!,#REF!,
$A345,#REF!,
"&gt;="&amp;'Faturado mensal'!AB$2,#REF!,
"&lt;"&amp;EOMONTH('Faturado mensal'!AB$2,0))</f>
        <v>4827.3599999999997</v>
      </c>
      <c r="AC345" s="9">
        <f>SUMIFS(#REF!,#REF!,
$A345,#REF!,
"&gt;="&amp;'Faturado mensal'!AC$2,#REF!,
"&lt;"&amp;EOMONTH('Faturado mensal'!AC$2,0))</f>
        <v>2413.6799999999998</v>
      </c>
      <c r="AD345" s="9">
        <f>SUMIFS(#REF!,#REF!,
$A345,#REF!,
"&gt;="&amp;'Faturado mensal'!AD$2,#REF!,
"&lt;"&amp;EOMONTH('Faturado mensal'!AD$2,0))</f>
        <v>2413.6799999999998</v>
      </c>
      <c r="AE345" s="9">
        <f>SUMIFS(#REF!,#REF!,
$A345,#REF!,
"&gt;="&amp;'Faturado mensal'!AE$2,#REF!,
"&lt;"&amp;EOMONTH('Faturado mensal'!AE$2,0))</f>
        <v>2413.6799999999998</v>
      </c>
      <c r="AF345" s="9">
        <f>SUMIFS(#REF!,#REF!,
$A345,#REF!,
"&gt;="&amp;'Faturado mensal'!AF$2,#REF!,
"&lt;"&amp;EOMONTH('Faturado mensal'!AF$2,0))</f>
        <v>0</v>
      </c>
      <c r="AG345" s="9">
        <f>SUMIFS(#REF!,#REF!,
$A345,#REF!,
"&gt;="&amp;'Faturado mensal'!AG$2,#REF!,
"&lt;"&amp;EOMONTH('Faturado mensal'!AG$2,0))</f>
        <v>0</v>
      </c>
      <c r="AH345" s="9">
        <f>SUMIFS(#REF!,#REF!,
$A345,#REF!,
"&gt;="&amp;'Faturado mensal'!AH$2,#REF!,
"&lt;"&amp;EOMONTH('Faturado mensal'!AH$2,0))</f>
        <v>0</v>
      </c>
      <c r="AI345" s="9">
        <f>SUMIFS(#REF!,#REF!,
$A345,#REF!,
"&gt;="&amp;'Faturado mensal'!AI$2,#REF!,
"&lt;"&amp;EOMONTH('Faturado mensal'!AI$2,0))</f>
        <v>0</v>
      </c>
      <c r="AJ345" s="9">
        <f>SUMIFS(#REF!,#REF!,
$A345,#REF!,
"&gt;="&amp;'Faturado mensal'!AJ$2,#REF!,
"&lt;"&amp;EOMONTH('Faturado mensal'!AJ$2,0))</f>
        <v>0</v>
      </c>
      <c r="AK345" s="9">
        <f>SUMIFS(#REF!,#REF!,
$A345,#REF!,
"&gt;="&amp;'Faturado mensal'!AK$2,#REF!,
"&lt;"&amp;EOMONTH('Faturado mensal'!AK$2,0))</f>
        <v>0</v>
      </c>
      <c r="AL345" s="9">
        <f>SUMIFS(#REF!,#REF!,
$A345,#REF!,
"&gt;="&amp;Z$2,#REF!,
"&lt;"&amp;EOMONTH(AK$2,0))</f>
        <v>12068.4</v>
      </c>
    </row>
    <row r="346" spans="1:38" x14ac:dyDescent="0.3">
      <c r="A346" t="s">
        <v>683</v>
      </c>
      <c r="B346" t="s">
        <v>592</v>
      </c>
      <c r="C346" t="s">
        <v>8</v>
      </c>
      <c r="D346" t="s">
        <v>204</v>
      </c>
      <c r="E346" t="s">
        <v>4833</v>
      </c>
      <c r="F346" t="s">
        <v>950</v>
      </c>
      <c r="G346" t="s">
        <v>4852</v>
      </c>
      <c r="H346" t="s">
        <v>807</v>
      </c>
      <c r="I346" t="s">
        <v>951</v>
      </c>
      <c r="J346" t="s">
        <v>890</v>
      </c>
      <c r="K346" t="s">
        <v>762</v>
      </c>
      <c r="L346" t="s">
        <v>763</v>
      </c>
      <c r="M346" s="9">
        <f>SUMIFS(#REF!,#REF!,
$A346,#REF!,
"&gt;="&amp;'Faturado mensal'!M$2,#REF!,
"&lt;"&amp;EOMONTH('Faturado mensal'!M$2,0))</f>
        <v>0</v>
      </c>
      <c r="N346" s="9">
        <f>SUMIFS(#REF!,#REF!,
$A346,#REF!,
"&gt;="&amp;'Faturado mensal'!N$2,#REF!,
"&lt;"&amp;EOMONTH('Faturado mensal'!N$2,0))</f>
        <v>0</v>
      </c>
      <c r="O346" s="9">
        <f>SUMIFS(#REF!,#REF!,
$A346,#REF!,
"&gt;="&amp;'Faturado mensal'!O$2,#REF!,
"&lt;"&amp;EOMONTH('Faturado mensal'!O$2,0))</f>
        <v>0</v>
      </c>
      <c r="P346" s="9">
        <f>SUMIFS(#REF!,#REF!,
$A346,#REF!,
"&gt;="&amp;'Faturado mensal'!P$2,#REF!,
"&lt;"&amp;EOMONTH('Faturado mensal'!P$2,0))</f>
        <v>0</v>
      </c>
      <c r="Q346" s="9">
        <f>SUMIFS(#REF!,#REF!,
$A346,#REF!,
"&gt;="&amp;'Faturado mensal'!Q$2,#REF!,
"&lt;"&amp;EOMONTH('Faturado mensal'!Q$2,0))</f>
        <v>0</v>
      </c>
      <c r="R346" s="9">
        <f>SUMIFS(#REF!,#REF!,
$A346,#REF!,
"&gt;="&amp;'Faturado mensal'!R$2,#REF!,
"&lt;"&amp;EOMONTH('Faturado mensal'!R$2,0))</f>
        <v>0</v>
      </c>
      <c r="S346" s="9">
        <f>SUMIFS(#REF!,#REF!,
$A346,#REF!,
"&gt;="&amp;'Faturado mensal'!S$2,#REF!,
"&lt;"&amp;EOMONTH('Faturado mensal'!S$2,0))</f>
        <v>0</v>
      </c>
      <c r="T346" s="9">
        <f>SUMIFS(#REF!,#REF!,
$A346,#REF!,
"&gt;="&amp;'Faturado mensal'!T$2,#REF!,
"&lt;"&amp;EOMONTH('Faturado mensal'!T$2,0))</f>
        <v>0</v>
      </c>
      <c r="U346" s="9">
        <f>SUMIFS(#REF!,#REF!,
$A346,#REF!,
"&gt;="&amp;'Faturado mensal'!U$2,#REF!,
"&lt;"&amp;EOMONTH('Faturado mensal'!U$2,0))</f>
        <v>0</v>
      </c>
      <c r="V346" s="9">
        <f>SUMIFS(#REF!,#REF!,
$A346,#REF!,
"&gt;="&amp;'Faturado mensal'!V$2,#REF!,
"&lt;"&amp;EOMONTH('Faturado mensal'!V$2,0))</f>
        <v>0</v>
      </c>
      <c r="W346" s="9">
        <f>SUMIFS(#REF!,#REF!,
$A346,#REF!,
"&gt;="&amp;'Faturado mensal'!W$2,#REF!,
"&lt;"&amp;EOMONTH('Faturado mensal'!W$2,0))</f>
        <v>0</v>
      </c>
      <c r="X346" s="9">
        <f>SUMIFS(#REF!,#REF!,
$A346,#REF!,
"&gt;="&amp;'Faturado mensal'!X$2,#REF!,
"&lt;"&amp;EOMONTH('Faturado mensal'!X$2,0))</f>
        <v>0</v>
      </c>
      <c r="Y346" s="11">
        <f>SUMIFS(#REF!,#REF!,
$A346,#REF!,
"&gt;="&amp;'Faturado mensal'!M$2,#REF!,
"&lt;"&amp;EOMONTH('Faturado mensal'!M$2,12))</f>
        <v>1923.1399999999999</v>
      </c>
      <c r="Z346" s="9">
        <f>SUMIFS(#REF!,#REF!,
$A346,#REF!,
"&gt;="&amp;'Faturado mensal'!Z$2,#REF!,
"&lt;"&amp;EOMONTH('Faturado mensal'!Z$2,0))</f>
        <v>1923.1399999999999</v>
      </c>
      <c r="AA346" s="9">
        <f>SUMIFS(#REF!,#REF!,
$A346,#REF!,
"&gt;="&amp;'Faturado mensal'!AA$2,#REF!,
"&lt;"&amp;EOMONTH('Faturado mensal'!AA$2,0))</f>
        <v>2010.24</v>
      </c>
      <c r="AB346" s="9">
        <f>SUMIFS(#REF!,#REF!,
$A346,#REF!,
"&gt;="&amp;'Faturado mensal'!AB$2,#REF!,
"&lt;"&amp;EOMONTH('Faturado mensal'!AB$2,0))</f>
        <v>2010.24</v>
      </c>
      <c r="AC346" s="9">
        <f>SUMIFS(#REF!,#REF!,
$A346,#REF!,
"&gt;="&amp;'Faturado mensal'!AC$2,#REF!,
"&lt;"&amp;EOMONTH('Faturado mensal'!AC$2,0))</f>
        <v>2013.5</v>
      </c>
      <c r="AD346" s="9">
        <f>SUMIFS(#REF!,#REF!,
$A346,#REF!,
"&gt;="&amp;'Faturado mensal'!AD$2,#REF!,
"&lt;"&amp;EOMONTH('Faturado mensal'!AD$2,0))</f>
        <v>1270.76</v>
      </c>
      <c r="AE346" s="9">
        <f>SUMIFS(#REF!,#REF!,
$A346,#REF!,
"&gt;="&amp;'Faturado mensal'!AE$2,#REF!,
"&lt;"&amp;EOMONTH('Faturado mensal'!AE$2,0))</f>
        <v>2766.3599999999997</v>
      </c>
      <c r="AF346" s="9">
        <f>SUMIFS(#REF!,#REF!,
$A346,#REF!,
"&gt;="&amp;'Faturado mensal'!AF$2,#REF!,
"&lt;"&amp;EOMONTH('Faturado mensal'!AF$2,0))</f>
        <v>0</v>
      </c>
      <c r="AG346" s="9">
        <f>SUMIFS(#REF!,#REF!,
$A346,#REF!,
"&gt;="&amp;'Faturado mensal'!AG$2,#REF!,
"&lt;"&amp;EOMONTH('Faturado mensal'!AG$2,0))</f>
        <v>0</v>
      </c>
      <c r="AH346" s="9">
        <f>SUMIFS(#REF!,#REF!,
$A346,#REF!,
"&gt;="&amp;'Faturado mensal'!AH$2,#REF!,
"&lt;"&amp;EOMONTH('Faturado mensal'!AH$2,0))</f>
        <v>0</v>
      </c>
      <c r="AI346" s="9">
        <f>SUMIFS(#REF!,#REF!,
$A346,#REF!,
"&gt;="&amp;'Faturado mensal'!AI$2,#REF!,
"&lt;"&amp;EOMONTH('Faturado mensal'!AI$2,0))</f>
        <v>0</v>
      </c>
      <c r="AJ346" s="9">
        <f>SUMIFS(#REF!,#REF!,
$A346,#REF!,
"&gt;="&amp;'Faturado mensal'!AJ$2,#REF!,
"&lt;"&amp;EOMONTH('Faturado mensal'!AJ$2,0))</f>
        <v>0</v>
      </c>
      <c r="AK346" s="9">
        <f>SUMIFS(#REF!,#REF!,
$A346,#REF!,
"&gt;="&amp;'Faturado mensal'!AK$2,#REF!,
"&lt;"&amp;EOMONTH('Faturado mensal'!AK$2,0))</f>
        <v>0</v>
      </c>
      <c r="AL346" s="9">
        <f>SUMIFS(#REF!,#REF!,
$A346,#REF!,
"&gt;="&amp;Z$2,#REF!,
"&lt;"&amp;EOMONTH(AK$2,0))</f>
        <v>11994.239999999998</v>
      </c>
    </row>
    <row r="347" spans="1:38" x14ac:dyDescent="0.3">
      <c r="A347" t="s">
        <v>684</v>
      </c>
      <c r="B347" t="s">
        <v>417</v>
      </c>
      <c r="C347" t="s">
        <v>185</v>
      </c>
      <c r="D347" t="s">
        <v>204</v>
      </c>
      <c r="E347" t="s">
        <v>1037</v>
      </c>
      <c r="F347" t="s">
        <v>4810</v>
      </c>
      <c r="G347" t="s">
        <v>4856</v>
      </c>
      <c r="H347" t="s">
        <v>807</v>
      </c>
      <c r="I347" t="s">
        <v>185</v>
      </c>
      <c r="J347" t="s">
        <v>710</v>
      </c>
      <c r="K347" t="s">
        <v>768</v>
      </c>
      <c r="L347" t="s">
        <v>769</v>
      </c>
      <c r="M347" s="9">
        <f>SUMIFS(#REF!,#REF!,
$A347,#REF!,
"&gt;="&amp;'Faturado mensal'!M$2,#REF!,
"&lt;"&amp;EOMONTH('Faturado mensal'!M$2,0))</f>
        <v>0</v>
      </c>
      <c r="N347" s="9">
        <f>SUMIFS(#REF!,#REF!,
$A347,#REF!,
"&gt;="&amp;'Faturado mensal'!N$2,#REF!,
"&lt;"&amp;EOMONTH('Faturado mensal'!N$2,0))</f>
        <v>0</v>
      </c>
      <c r="O347" s="9">
        <f>SUMIFS(#REF!,#REF!,
$A347,#REF!,
"&gt;="&amp;'Faturado mensal'!O$2,#REF!,
"&lt;"&amp;EOMONTH('Faturado mensal'!O$2,0))</f>
        <v>0</v>
      </c>
      <c r="P347" s="9">
        <f>SUMIFS(#REF!,#REF!,
$A347,#REF!,
"&gt;="&amp;'Faturado mensal'!P$2,#REF!,
"&lt;"&amp;EOMONTH('Faturado mensal'!P$2,0))</f>
        <v>0</v>
      </c>
      <c r="Q347" s="9">
        <f>SUMIFS(#REF!,#REF!,
$A347,#REF!,
"&gt;="&amp;'Faturado mensal'!Q$2,#REF!,
"&lt;"&amp;EOMONTH('Faturado mensal'!Q$2,0))</f>
        <v>0</v>
      </c>
      <c r="R347" s="9">
        <f>SUMIFS(#REF!,#REF!,
$A347,#REF!,
"&gt;="&amp;'Faturado mensal'!R$2,#REF!,
"&lt;"&amp;EOMONTH('Faturado mensal'!R$2,0))</f>
        <v>0</v>
      </c>
      <c r="S347" s="9">
        <f>SUMIFS(#REF!,#REF!,
$A347,#REF!,
"&gt;="&amp;'Faturado mensal'!S$2,#REF!,
"&lt;"&amp;EOMONTH('Faturado mensal'!S$2,0))</f>
        <v>0</v>
      </c>
      <c r="T347" s="9">
        <f>SUMIFS(#REF!,#REF!,
$A347,#REF!,
"&gt;="&amp;'Faturado mensal'!T$2,#REF!,
"&lt;"&amp;EOMONTH('Faturado mensal'!T$2,0))</f>
        <v>0</v>
      </c>
      <c r="U347" s="9">
        <f>SUMIFS(#REF!,#REF!,
$A347,#REF!,
"&gt;="&amp;'Faturado mensal'!U$2,#REF!,
"&lt;"&amp;EOMONTH('Faturado mensal'!U$2,0))</f>
        <v>0</v>
      </c>
      <c r="V347" s="9">
        <f>SUMIFS(#REF!,#REF!,
$A347,#REF!,
"&gt;="&amp;'Faturado mensal'!V$2,#REF!,
"&lt;"&amp;EOMONTH('Faturado mensal'!V$2,0))</f>
        <v>0</v>
      </c>
      <c r="W347" s="9">
        <f>SUMIFS(#REF!,#REF!,
$A347,#REF!,
"&gt;="&amp;'Faturado mensal'!W$2,#REF!,
"&lt;"&amp;EOMONTH('Faturado mensal'!W$2,0))</f>
        <v>0</v>
      </c>
      <c r="X347" s="9">
        <f>SUMIFS(#REF!,#REF!,
$A347,#REF!,
"&gt;="&amp;'Faturado mensal'!X$2,#REF!,
"&lt;"&amp;EOMONTH('Faturado mensal'!X$2,0))</f>
        <v>0</v>
      </c>
      <c r="Y347" s="11">
        <f>SUMIFS(#REF!,#REF!,
$A347,#REF!,
"&gt;="&amp;'Faturado mensal'!M$2,#REF!,
"&lt;"&amp;EOMONTH('Faturado mensal'!M$2,12))</f>
        <v>1503.74</v>
      </c>
      <c r="Z347" s="9">
        <f>SUMIFS(#REF!,#REF!,
$A347,#REF!,
"&gt;="&amp;'Faturado mensal'!Z$2,#REF!,
"&lt;"&amp;EOMONTH('Faturado mensal'!Z$2,0))</f>
        <v>1503.74</v>
      </c>
      <c r="AA347" s="9">
        <f>SUMIFS(#REF!,#REF!,
$A347,#REF!,
"&gt;="&amp;'Faturado mensal'!AA$2,#REF!,
"&lt;"&amp;EOMONTH('Faturado mensal'!AA$2,0))</f>
        <v>1536.0700000000002</v>
      </c>
      <c r="AB347" s="9">
        <f>SUMIFS(#REF!,#REF!,
$A347,#REF!,
"&gt;="&amp;'Faturado mensal'!AB$2,#REF!,
"&lt;"&amp;EOMONTH('Faturado mensal'!AB$2,0))</f>
        <v>1641.51</v>
      </c>
      <c r="AC347" s="9">
        <f>SUMIFS(#REF!,#REF!,
$A347,#REF!,
"&gt;="&amp;'Faturado mensal'!AC$2,#REF!,
"&lt;"&amp;EOMONTH('Faturado mensal'!AC$2,0))</f>
        <v>1600.79</v>
      </c>
      <c r="AD347" s="9">
        <f>SUMIFS(#REF!,#REF!,
$A347,#REF!,
"&gt;="&amp;'Faturado mensal'!AD$2,#REF!,
"&lt;"&amp;EOMONTH('Faturado mensal'!AD$2,0))</f>
        <v>501.67</v>
      </c>
      <c r="AE347" s="9">
        <f>SUMIFS(#REF!,#REF!,
$A347,#REF!,
"&gt;="&amp;'Faturado mensal'!AE$2,#REF!,
"&lt;"&amp;EOMONTH('Faturado mensal'!AE$2,0))</f>
        <v>1482.85</v>
      </c>
      <c r="AF347" s="9">
        <f>SUMIFS(#REF!,#REF!,
$A347,#REF!,
"&gt;="&amp;'Faturado mensal'!AF$2,#REF!,
"&lt;"&amp;EOMONTH('Faturado mensal'!AF$2,0))</f>
        <v>0</v>
      </c>
      <c r="AG347" s="9">
        <f>SUMIFS(#REF!,#REF!,
$A347,#REF!,
"&gt;="&amp;'Faturado mensal'!AG$2,#REF!,
"&lt;"&amp;EOMONTH('Faturado mensal'!AG$2,0))</f>
        <v>0</v>
      </c>
      <c r="AH347" s="9">
        <f>SUMIFS(#REF!,#REF!,
$A347,#REF!,
"&gt;="&amp;'Faturado mensal'!AH$2,#REF!,
"&lt;"&amp;EOMONTH('Faturado mensal'!AH$2,0))</f>
        <v>0</v>
      </c>
      <c r="AI347" s="9">
        <f>SUMIFS(#REF!,#REF!,
$A347,#REF!,
"&gt;="&amp;'Faturado mensal'!AI$2,#REF!,
"&lt;"&amp;EOMONTH('Faturado mensal'!AI$2,0))</f>
        <v>0</v>
      </c>
      <c r="AJ347" s="9">
        <f>SUMIFS(#REF!,#REF!,
$A347,#REF!,
"&gt;="&amp;'Faturado mensal'!AJ$2,#REF!,
"&lt;"&amp;EOMONTH('Faturado mensal'!AJ$2,0))</f>
        <v>0</v>
      </c>
      <c r="AK347" s="9">
        <f>SUMIFS(#REF!,#REF!,
$A347,#REF!,
"&gt;="&amp;'Faturado mensal'!AK$2,#REF!,
"&lt;"&amp;EOMONTH('Faturado mensal'!AK$2,0))</f>
        <v>0</v>
      </c>
      <c r="AL347" s="9">
        <f>SUMIFS(#REF!,#REF!,
$A347,#REF!,
"&gt;="&amp;Z$2,#REF!,
"&lt;"&amp;EOMONTH(AK$2,0))</f>
        <v>8266.630000000001</v>
      </c>
    </row>
    <row r="348" spans="1:38" x14ac:dyDescent="0.3">
      <c r="A348" t="s">
        <v>685</v>
      </c>
      <c r="B348" t="s">
        <v>686</v>
      </c>
      <c r="C348" t="s">
        <v>116</v>
      </c>
      <c r="D348" t="s">
        <v>204</v>
      </c>
      <c r="E348" t="s">
        <v>1037</v>
      </c>
      <c r="F348" t="s">
        <v>4801</v>
      </c>
      <c r="G348" t="s">
        <v>4852</v>
      </c>
      <c r="H348" t="s">
        <v>807</v>
      </c>
      <c r="I348" t="s">
        <v>1005</v>
      </c>
      <c r="J348" t="s">
        <v>818</v>
      </c>
      <c r="K348" t="s">
        <v>717</v>
      </c>
      <c r="L348" t="s">
        <v>718</v>
      </c>
      <c r="M348" s="9">
        <f>SUMIFS(#REF!,#REF!,
$A348,#REF!,
"&gt;="&amp;'Faturado mensal'!M$2,#REF!,
"&lt;"&amp;EOMONTH('Faturado mensal'!M$2,0))</f>
        <v>0</v>
      </c>
      <c r="N348" s="9">
        <f>SUMIFS(#REF!,#REF!,
$A348,#REF!,
"&gt;="&amp;'Faturado mensal'!N$2,#REF!,
"&lt;"&amp;EOMONTH('Faturado mensal'!N$2,0))</f>
        <v>0</v>
      </c>
      <c r="O348" s="9">
        <f>SUMIFS(#REF!,#REF!,
$A348,#REF!,
"&gt;="&amp;'Faturado mensal'!O$2,#REF!,
"&lt;"&amp;EOMONTH('Faturado mensal'!O$2,0))</f>
        <v>0</v>
      </c>
      <c r="P348" s="9">
        <f>SUMIFS(#REF!,#REF!,
$A348,#REF!,
"&gt;="&amp;'Faturado mensal'!P$2,#REF!,
"&lt;"&amp;EOMONTH('Faturado mensal'!P$2,0))</f>
        <v>0</v>
      </c>
      <c r="Q348" s="9">
        <f>SUMIFS(#REF!,#REF!,
$A348,#REF!,
"&gt;="&amp;'Faturado mensal'!Q$2,#REF!,
"&lt;"&amp;EOMONTH('Faturado mensal'!Q$2,0))</f>
        <v>0</v>
      </c>
      <c r="R348" s="9">
        <f>SUMIFS(#REF!,#REF!,
$A348,#REF!,
"&gt;="&amp;'Faturado mensal'!R$2,#REF!,
"&lt;"&amp;EOMONTH('Faturado mensal'!R$2,0))</f>
        <v>0</v>
      </c>
      <c r="S348" s="9">
        <f>SUMIFS(#REF!,#REF!,
$A348,#REF!,
"&gt;="&amp;'Faturado mensal'!S$2,#REF!,
"&lt;"&amp;EOMONTH('Faturado mensal'!S$2,0))</f>
        <v>0</v>
      </c>
      <c r="T348" s="9">
        <f>SUMIFS(#REF!,#REF!,
$A348,#REF!,
"&gt;="&amp;'Faturado mensal'!T$2,#REF!,
"&lt;"&amp;EOMONTH('Faturado mensal'!T$2,0))</f>
        <v>0</v>
      </c>
      <c r="U348" s="9">
        <f>SUMIFS(#REF!,#REF!,
$A348,#REF!,
"&gt;="&amp;'Faturado mensal'!U$2,#REF!,
"&lt;"&amp;EOMONTH('Faturado mensal'!U$2,0))</f>
        <v>0</v>
      </c>
      <c r="V348" s="9">
        <f>SUMIFS(#REF!,#REF!,
$A348,#REF!,
"&gt;="&amp;'Faturado mensal'!V$2,#REF!,
"&lt;"&amp;EOMONTH('Faturado mensal'!V$2,0))</f>
        <v>0</v>
      </c>
      <c r="W348" s="9">
        <f>SUMIFS(#REF!,#REF!,
$A348,#REF!,
"&gt;="&amp;'Faturado mensal'!W$2,#REF!,
"&lt;"&amp;EOMONTH('Faturado mensal'!W$2,0))</f>
        <v>0</v>
      </c>
      <c r="X348" s="9">
        <f>SUMIFS(#REF!,#REF!,
$A348,#REF!,
"&gt;="&amp;'Faturado mensal'!X$2,#REF!,
"&lt;"&amp;EOMONTH('Faturado mensal'!X$2,0))</f>
        <v>0</v>
      </c>
      <c r="Y348" s="11">
        <f>SUMIFS(#REF!,#REF!,
$A348,#REF!,
"&gt;="&amp;'Faturado mensal'!M$2,#REF!,
"&lt;"&amp;EOMONTH('Faturado mensal'!M$2,12))</f>
        <v>0</v>
      </c>
      <c r="Z348" s="9">
        <f>SUMIFS(#REF!,#REF!,
$A348,#REF!,
"&gt;="&amp;'Faturado mensal'!Z$2,#REF!,
"&lt;"&amp;EOMONTH('Faturado mensal'!Z$2,0))</f>
        <v>0</v>
      </c>
      <c r="AA348" s="9">
        <f>SUMIFS(#REF!,#REF!,
$A348,#REF!,
"&gt;="&amp;'Faturado mensal'!AA$2,#REF!,
"&lt;"&amp;EOMONTH('Faturado mensal'!AA$2,0))</f>
        <v>2675</v>
      </c>
      <c r="AB348" s="9">
        <f>SUMIFS(#REF!,#REF!,
$A348,#REF!,
"&gt;="&amp;'Faturado mensal'!AB$2,#REF!,
"&lt;"&amp;EOMONTH('Faturado mensal'!AB$2,0))</f>
        <v>1750</v>
      </c>
      <c r="AC348" s="9">
        <f>SUMIFS(#REF!,#REF!,
$A348,#REF!,
"&gt;="&amp;'Faturado mensal'!AC$2,#REF!,
"&lt;"&amp;EOMONTH('Faturado mensal'!AC$2,0))</f>
        <v>1450</v>
      </c>
      <c r="AD348" s="9">
        <f>SUMIFS(#REF!,#REF!,
$A348,#REF!,
"&gt;="&amp;'Faturado mensal'!AD$2,#REF!,
"&lt;"&amp;EOMONTH('Faturado mensal'!AD$2,0))</f>
        <v>1575</v>
      </c>
      <c r="AE348" s="9">
        <f>SUMIFS(#REF!,#REF!,
$A348,#REF!,
"&gt;="&amp;'Faturado mensal'!AE$2,#REF!,
"&lt;"&amp;EOMONTH('Faturado mensal'!AE$2,0))</f>
        <v>1650</v>
      </c>
      <c r="AF348" s="9">
        <f>SUMIFS(#REF!,#REF!,
$A348,#REF!,
"&gt;="&amp;'Faturado mensal'!AF$2,#REF!,
"&lt;"&amp;EOMONTH('Faturado mensal'!AF$2,0))</f>
        <v>0</v>
      </c>
      <c r="AG348" s="9">
        <f>SUMIFS(#REF!,#REF!,
$A348,#REF!,
"&gt;="&amp;'Faturado mensal'!AG$2,#REF!,
"&lt;"&amp;EOMONTH('Faturado mensal'!AG$2,0))</f>
        <v>0</v>
      </c>
      <c r="AH348" s="9">
        <f>SUMIFS(#REF!,#REF!,
$A348,#REF!,
"&gt;="&amp;'Faturado mensal'!AH$2,#REF!,
"&lt;"&amp;EOMONTH('Faturado mensal'!AH$2,0))</f>
        <v>0</v>
      </c>
      <c r="AI348" s="9">
        <f>SUMIFS(#REF!,#REF!,
$A348,#REF!,
"&gt;="&amp;'Faturado mensal'!AI$2,#REF!,
"&lt;"&amp;EOMONTH('Faturado mensal'!AI$2,0))</f>
        <v>0</v>
      </c>
      <c r="AJ348" s="9">
        <f>SUMIFS(#REF!,#REF!,
$A348,#REF!,
"&gt;="&amp;'Faturado mensal'!AJ$2,#REF!,
"&lt;"&amp;EOMONTH('Faturado mensal'!AJ$2,0))</f>
        <v>0</v>
      </c>
      <c r="AK348" s="9">
        <f>SUMIFS(#REF!,#REF!,
$A348,#REF!,
"&gt;="&amp;'Faturado mensal'!AK$2,#REF!,
"&lt;"&amp;EOMONTH('Faturado mensal'!AK$2,0))</f>
        <v>0</v>
      </c>
      <c r="AL348" s="9">
        <f>SUMIFS(#REF!,#REF!,
$A348,#REF!,
"&gt;="&amp;Z$2,#REF!,
"&lt;"&amp;EOMONTH(AK$2,0))</f>
        <v>9100</v>
      </c>
    </row>
    <row r="349" spans="1:38" x14ac:dyDescent="0.3">
      <c r="A349" t="s">
        <v>687</v>
      </c>
      <c r="B349" t="s">
        <v>688</v>
      </c>
      <c r="C349" t="s">
        <v>3</v>
      </c>
      <c r="D349" t="s">
        <v>204</v>
      </c>
      <c r="E349" t="s">
        <v>4850</v>
      </c>
      <c r="F349" t="s">
        <v>4860</v>
      </c>
      <c r="G349" t="s">
        <v>4852</v>
      </c>
      <c r="H349" t="s">
        <v>807</v>
      </c>
      <c r="I349" t="s">
        <v>977</v>
      </c>
      <c r="J349" t="s">
        <v>932</v>
      </c>
      <c r="K349" t="s">
        <v>762</v>
      </c>
      <c r="L349" t="s">
        <v>763</v>
      </c>
      <c r="M349" s="9">
        <f>SUMIFS(#REF!,#REF!,
$A349,#REF!,
"&gt;="&amp;'Faturado mensal'!M$2,#REF!,
"&lt;"&amp;EOMONTH('Faturado mensal'!M$2,0))</f>
        <v>0</v>
      </c>
      <c r="N349" s="9">
        <f>SUMIFS(#REF!,#REF!,
$A349,#REF!,
"&gt;="&amp;'Faturado mensal'!N$2,#REF!,
"&lt;"&amp;EOMONTH('Faturado mensal'!N$2,0))</f>
        <v>0</v>
      </c>
      <c r="O349" s="9">
        <f>SUMIFS(#REF!,#REF!,
$A349,#REF!,
"&gt;="&amp;'Faturado mensal'!O$2,#REF!,
"&lt;"&amp;EOMONTH('Faturado mensal'!O$2,0))</f>
        <v>0</v>
      </c>
      <c r="P349" s="9">
        <f>SUMIFS(#REF!,#REF!,
$A349,#REF!,
"&gt;="&amp;'Faturado mensal'!P$2,#REF!,
"&lt;"&amp;EOMONTH('Faturado mensal'!P$2,0))</f>
        <v>0</v>
      </c>
      <c r="Q349" s="9">
        <f>SUMIFS(#REF!,#REF!,
$A349,#REF!,
"&gt;="&amp;'Faturado mensal'!Q$2,#REF!,
"&lt;"&amp;EOMONTH('Faturado mensal'!Q$2,0))</f>
        <v>0</v>
      </c>
      <c r="R349" s="9">
        <f>SUMIFS(#REF!,#REF!,
$A349,#REF!,
"&gt;="&amp;'Faturado mensal'!R$2,#REF!,
"&lt;"&amp;EOMONTH('Faturado mensal'!R$2,0))</f>
        <v>0</v>
      </c>
      <c r="S349" s="9">
        <f>SUMIFS(#REF!,#REF!,
$A349,#REF!,
"&gt;="&amp;'Faturado mensal'!S$2,#REF!,
"&lt;"&amp;EOMONTH('Faturado mensal'!S$2,0))</f>
        <v>0</v>
      </c>
      <c r="T349" s="9">
        <f>SUMIFS(#REF!,#REF!,
$A349,#REF!,
"&gt;="&amp;'Faturado mensal'!T$2,#REF!,
"&lt;"&amp;EOMONTH('Faturado mensal'!T$2,0))</f>
        <v>0</v>
      </c>
      <c r="U349" s="9">
        <f>SUMIFS(#REF!,#REF!,
$A349,#REF!,
"&gt;="&amp;'Faturado mensal'!U$2,#REF!,
"&lt;"&amp;EOMONTH('Faturado mensal'!U$2,0))</f>
        <v>0</v>
      </c>
      <c r="V349" s="9">
        <f>SUMIFS(#REF!,#REF!,
$A349,#REF!,
"&gt;="&amp;'Faturado mensal'!V$2,#REF!,
"&lt;"&amp;EOMONTH('Faturado mensal'!V$2,0))</f>
        <v>0</v>
      </c>
      <c r="W349" s="9">
        <f>SUMIFS(#REF!,#REF!,
$A349,#REF!,
"&gt;="&amp;'Faturado mensal'!W$2,#REF!,
"&lt;"&amp;EOMONTH('Faturado mensal'!W$2,0))</f>
        <v>0</v>
      </c>
      <c r="X349" s="9">
        <f>SUMIFS(#REF!,#REF!,
$A349,#REF!,
"&gt;="&amp;'Faturado mensal'!X$2,#REF!,
"&lt;"&amp;EOMONTH('Faturado mensal'!X$2,0))</f>
        <v>0</v>
      </c>
      <c r="Y349" s="11">
        <f>SUMIFS(#REF!,#REF!,
$A349,#REF!,
"&gt;="&amp;'Faturado mensal'!M$2,#REF!,
"&lt;"&amp;EOMONTH('Faturado mensal'!M$2,12))</f>
        <v>0</v>
      </c>
      <c r="Z349" s="9">
        <f>SUMIFS(#REF!,#REF!,
$A349,#REF!,
"&gt;="&amp;'Faturado mensal'!Z$2,#REF!,
"&lt;"&amp;EOMONTH('Faturado mensal'!Z$2,0))</f>
        <v>0</v>
      </c>
      <c r="AA349" s="9">
        <f>SUMIFS(#REF!,#REF!,
$A349,#REF!,
"&gt;="&amp;'Faturado mensal'!AA$2,#REF!,
"&lt;"&amp;EOMONTH('Faturado mensal'!AA$2,0))</f>
        <v>88998</v>
      </c>
      <c r="AB349" s="9">
        <f>SUMIFS(#REF!,#REF!,
$A349,#REF!,
"&gt;="&amp;'Faturado mensal'!AB$2,#REF!,
"&lt;"&amp;EOMONTH('Faturado mensal'!AB$2,0))</f>
        <v>0</v>
      </c>
      <c r="AC349" s="9">
        <f>SUMIFS(#REF!,#REF!,
$A349,#REF!,
"&gt;="&amp;'Faturado mensal'!AC$2,#REF!,
"&lt;"&amp;EOMONTH('Faturado mensal'!AC$2,0))</f>
        <v>0</v>
      </c>
      <c r="AD349" s="9">
        <f>SUMIFS(#REF!,#REF!,
$A349,#REF!,
"&gt;="&amp;'Faturado mensal'!AD$2,#REF!,
"&lt;"&amp;EOMONTH('Faturado mensal'!AD$2,0))</f>
        <v>0</v>
      </c>
      <c r="AE349" s="9">
        <f>SUMIFS(#REF!,#REF!,
$A349,#REF!,
"&gt;="&amp;'Faturado mensal'!AE$2,#REF!,
"&lt;"&amp;EOMONTH('Faturado mensal'!AE$2,0))</f>
        <v>0</v>
      </c>
      <c r="AF349" s="9">
        <f>SUMIFS(#REF!,#REF!,
$A349,#REF!,
"&gt;="&amp;'Faturado mensal'!AF$2,#REF!,
"&lt;"&amp;EOMONTH('Faturado mensal'!AF$2,0))</f>
        <v>0</v>
      </c>
      <c r="AG349" s="9">
        <f>SUMIFS(#REF!,#REF!,
$A349,#REF!,
"&gt;="&amp;'Faturado mensal'!AG$2,#REF!,
"&lt;"&amp;EOMONTH('Faturado mensal'!AG$2,0))</f>
        <v>0</v>
      </c>
      <c r="AH349" s="9">
        <f>SUMIFS(#REF!,#REF!,
$A349,#REF!,
"&gt;="&amp;'Faturado mensal'!AH$2,#REF!,
"&lt;"&amp;EOMONTH('Faturado mensal'!AH$2,0))</f>
        <v>0</v>
      </c>
      <c r="AI349" s="9">
        <f>SUMIFS(#REF!,#REF!,
$A349,#REF!,
"&gt;="&amp;'Faturado mensal'!AI$2,#REF!,
"&lt;"&amp;EOMONTH('Faturado mensal'!AI$2,0))</f>
        <v>0</v>
      </c>
      <c r="AJ349" s="9">
        <f>SUMIFS(#REF!,#REF!,
$A349,#REF!,
"&gt;="&amp;'Faturado mensal'!AJ$2,#REF!,
"&lt;"&amp;EOMONTH('Faturado mensal'!AJ$2,0))</f>
        <v>0</v>
      </c>
      <c r="AK349" s="9">
        <f>SUMIFS(#REF!,#REF!,
$A349,#REF!,
"&gt;="&amp;'Faturado mensal'!AK$2,#REF!,
"&lt;"&amp;EOMONTH('Faturado mensal'!AK$2,0))</f>
        <v>0</v>
      </c>
      <c r="AL349" s="9">
        <f>SUMIFS(#REF!,#REF!,
$A349,#REF!,
"&gt;="&amp;Z$2,#REF!,
"&lt;"&amp;EOMONTH(AK$2,0))</f>
        <v>88998</v>
      </c>
    </row>
    <row r="350" spans="1:38" x14ac:dyDescent="0.3">
      <c r="A350" t="s">
        <v>689</v>
      </c>
      <c r="B350" t="s">
        <v>690</v>
      </c>
      <c r="C350" t="s">
        <v>65</v>
      </c>
      <c r="D350" t="s">
        <v>204</v>
      </c>
      <c r="E350" t="s">
        <v>1042</v>
      </c>
      <c r="F350" t="s">
        <v>1006</v>
      </c>
      <c r="G350" t="s">
        <v>4852</v>
      </c>
      <c r="H350" t="s">
        <v>807</v>
      </c>
      <c r="I350" t="s">
        <v>1006</v>
      </c>
      <c r="J350" t="s">
        <v>710</v>
      </c>
      <c r="K350" t="s">
        <v>762</v>
      </c>
      <c r="L350" t="s">
        <v>763</v>
      </c>
      <c r="M350" s="9">
        <f>SUMIFS(#REF!,#REF!,
$A350,#REF!,
"&gt;="&amp;'Faturado mensal'!M$2,#REF!,
"&lt;"&amp;EOMONTH('Faturado mensal'!M$2,0))</f>
        <v>0</v>
      </c>
      <c r="N350" s="9">
        <f>SUMIFS(#REF!,#REF!,
$A350,#REF!,
"&gt;="&amp;'Faturado mensal'!N$2,#REF!,
"&lt;"&amp;EOMONTH('Faturado mensal'!N$2,0))</f>
        <v>0</v>
      </c>
      <c r="O350" s="9">
        <f>SUMIFS(#REF!,#REF!,
$A350,#REF!,
"&gt;="&amp;'Faturado mensal'!O$2,#REF!,
"&lt;"&amp;EOMONTH('Faturado mensal'!O$2,0))</f>
        <v>0</v>
      </c>
      <c r="P350" s="9">
        <f>SUMIFS(#REF!,#REF!,
$A350,#REF!,
"&gt;="&amp;'Faturado mensal'!P$2,#REF!,
"&lt;"&amp;EOMONTH('Faturado mensal'!P$2,0))</f>
        <v>0</v>
      </c>
      <c r="Q350" s="9">
        <f>SUMIFS(#REF!,#REF!,
$A350,#REF!,
"&gt;="&amp;'Faturado mensal'!Q$2,#REF!,
"&lt;"&amp;EOMONTH('Faturado mensal'!Q$2,0))</f>
        <v>0</v>
      </c>
      <c r="R350" s="9">
        <f>SUMIFS(#REF!,#REF!,
$A350,#REF!,
"&gt;="&amp;'Faturado mensal'!R$2,#REF!,
"&lt;"&amp;EOMONTH('Faturado mensal'!R$2,0))</f>
        <v>0</v>
      </c>
      <c r="S350" s="9">
        <f>SUMIFS(#REF!,#REF!,
$A350,#REF!,
"&gt;="&amp;'Faturado mensal'!S$2,#REF!,
"&lt;"&amp;EOMONTH('Faturado mensal'!S$2,0))</f>
        <v>0</v>
      </c>
      <c r="T350" s="9">
        <f>SUMIFS(#REF!,#REF!,
$A350,#REF!,
"&gt;="&amp;'Faturado mensal'!T$2,#REF!,
"&lt;"&amp;EOMONTH('Faturado mensal'!T$2,0))</f>
        <v>0</v>
      </c>
      <c r="U350" s="9">
        <f>SUMIFS(#REF!,#REF!,
$A350,#REF!,
"&gt;="&amp;'Faturado mensal'!U$2,#REF!,
"&lt;"&amp;EOMONTH('Faturado mensal'!U$2,0))</f>
        <v>0</v>
      </c>
      <c r="V350" s="9">
        <f>SUMIFS(#REF!,#REF!,
$A350,#REF!,
"&gt;="&amp;'Faturado mensal'!V$2,#REF!,
"&lt;"&amp;EOMONTH('Faturado mensal'!V$2,0))</f>
        <v>0</v>
      </c>
      <c r="W350" s="9">
        <f>SUMIFS(#REF!,#REF!,
$A350,#REF!,
"&gt;="&amp;'Faturado mensal'!W$2,#REF!,
"&lt;"&amp;EOMONTH('Faturado mensal'!W$2,0))</f>
        <v>0</v>
      </c>
      <c r="X350" s="9">
        <f>SUMIFS(#REF!,#REF!,
$A350,#REF!,
"&gt;="&amp;'Faturado mensal'!X$2,#REF!,
"&lt;"&amp;EOMONTH('Faturado mensal'!X$2,0))</f>
        <v>0</v>
      </c>
      <c r="Y350" s="11">
        <f>SUMIFS(#REF!,#REF!,
$A350,#REF!,
"&gt;="&amp;'Faturado mensal'!M$2,#REF!,
"&lt;"&amp;EOMONTH('Faturado mensal'!M$2,12))</f>
        <v>0</v>
      </c>
      <c r="Z350" s="9">
        <f>SUMIFS(#REF!,#REF!,
$A350,#REF!,
"&gt;="&amp;'Faturado mensal'!Z$2,#REF!,
"&lt;"&amp;EOMONTH('Faturado mensal'!Z$2,0))</f>
        <v>0</v>
      </c>
      <c r="AA350" s="9">
        <f>SUMIFS(#REF!,#REF!,
$A350,#REF!,
"&gt;="&amp;'Faturado mensal'!AA$2,#REF!,
"&lt;"&amp;EOMONTH('Faturado mensal'!AA$2,0))</f>
        <v>1260</v>
      </c>
      <c r="AB350" s="9">
        <f>SUMIFS(#REF!,#REF!,
$A350,#REF!,
"&gt;="&amp;'Faturado mensal'!AB$2,#REF!,
"&lt;"&amp;EOMONTH('Faturado mensal'!AB$2,0))</f>
        <v>0</v>
      </c>
      <c r="AC350" s="9">
        <f>SUMIFS(#REF!,#REF!,
$A350,#REF!,
"&gt;="&amp;'Faturado mensal'!AC$2,#REF!,
"&lt;"&amp;EOMONTH('Faturado mensal'!AC$2,0))</f>
        <v>1470</v>
      </c>
      <c r="AD350" s="9">
        <f>SUMIFS(#REF!,#REF!,
$A350,#REF!,
"&gt;="&amp;'Faturado mensal'!AD$2,#REF!,
"&lt;"&amp;EOMONTH('Faturado mensal'!AD$2,0))</f>
        <v>0</v>
      </c>
      <c r="AE350" s="9">
        <f>SUMIFS(#REF!,#REF!,
$A350,#REF!,
"&gt;="&amp;'Faturado mensal'!AE$2,#REF!,
"&lt;"&amp;EOMONTH('Faturado mensal'!AE$2,0))</f>
        <v>0</v>
      </c>
      <c r="AF350" s="9">
        <f>SUMIFS(#REF!,#REF!,
$A350,#REF!,
"&gt;="&amp;'Faturado mensal'!AF$2,#REF!,
"&lt;"&amp;EOMONTH('Faturado mensal'!AF$2,0))</f>
        <v>0</v>
      </c>
      <c r="AG350" s="9">
        <f>SUMIFS(#REF!,#REF!,
$A350,#REF!,
"&gt;="&amp;'Faturado mensal'!AG$2,#REF!,
"&lt;"&amp;EOMONTH('Faturado mensal'!AG$2,0))</f>
        <v>0</v>
      </c>
      <c r="AH350" s="9">
        <f>SUMIFS(#REF!,#REF!,
$A350,#REF!,
"&gt;="&amp;'Faturado mensal'!AH$2,#REF!,
"&lt;"&amp;EOMONTH('Faturado mensal'!AH$2,0))</f>
        <v>0</v>
      </c>
      <c r="AI350" s="9">
        <f>SUMIFS(#REF!,#REF!,
$A350,#REF!,
"&gt;="&amp;'Faturado mensal'!AI$2,#REF!,
"&lt;"&amp;EOMONTH('Faturado mensal'!AI$2,0))</f>
        <v>0</v>
      </c>
      <c r="AJ350" s="9">
        <f>SUMIFS(#REF!,#REF!,
$A350,#REF!,
"&gt;="&amp;'Faturado mensal'!AJ$2,#REF!,
"&lt;"&amp;EOMONTH('Faturado mensal'!AJ$2,0))</f>
        <v>0</v>
      </c>
      <c r="AK350" s="9">
        <f>SUMIFS(#REF!,#REF!,
$A350,#REF!,
"&gt;="&amp;'Faturado mensal'!AK$2,#REF!,
"&lt;"&amp;EOMONTH('Faturado mensal'!AK$2,0))</f>
        <v>0</v>
      </c>
      <c r="AL350" s="9">
        <f>SUMIFS(#REF!,#REF!,
$A350,#REF!,
"&gt;="&amp;Z$2,#REF!,
"&lt;"&amp;EOMONTH(AK$2,0))</f>
        <v>2730</v>
      </c>
    </row>
    <row r="351" spans="1:38" x14ac:dyDescent="0.3">
      <c r="A351" t="s">
        <v>691</v>
      </c>
      <c r="B351" t="s">
        <v>692</v>
      </c>
      <c r="C351" t="s">
        <v>119</v>
      </c>
      <c r="D351" t="s">
        <v>204</v>
      </c>
      <c r="E351" t="s">
        <v>4833</v>
      </c>
      <c r="F351" t="s">
        <v>1007</v>
      </c>
      <c r="G351" t="s">
        <v>4852</v>
      </c>
      <c r="H351" t="s">
        <v>807</v>
      </c>
      <c r="I351" t="s">
        <v>1008</v>
      </c>
      <c r="J351" t="s">
        <v>710</v>
      </c>
      <c r="K351" t="s">
        <v>762</v>
      </c>
      <c r="L351" t="s">
        <v>763</v>
      </c>
      <c r="M351" s="9">
        <f>SUMIFS(#REF!,#REF!,
$A351,#REF!,
"&gt;="&amp;'Faturado mensal'!M$2,#REF!,
"&lt;"&amp;EOMONTH('Faturado mensal'!M$2,0))</f>
        <v>0</v>
      </c>
      <c r="N351" s="9">
        <f>SUMIFS(#REF!,#REF!,
$A351,#REF!,
"&gt;="&amp;'Faturado mensal'!N$2,#REF!,
"&lt;"&amp;EOMONTH('Faturado mensal'!N$2,0))</f>
        <v>0</v>
      </c>
      <c r="O351" s="9">
        <f>SUMIFS(#REF!,#REF!,
$A351,#REF!,
"&gt;="&amp;'Faturado mensal'!O$2,#REF!,
"&lt;"&amp;EOMONTH('Faturado mensal'!O$2,0))</f>
        <v>0</v>
      </c>
      <c r="P351" s="9">
        <f>SUMIFS(#REF!,#REF!,
$A351,#REF!,
"&gt;="&amp;'Faturado mensal'!P$2,#REF!,
"&lt;"&amp;EOMONTH('Faturado mensal'!P$2,0))</f>
        <v>0</v>
      </c>
      <c r="Q351" s="9">
        <f>SUMIFS(#REF!,#REF!,
$A351,#REF!,
"&gt;="&amp;'Faturado mensal'!Q$2,#REF!,
"&lt;"&amp;EOMONTH('Faturado mensal'!Q$2,0))</f>
        <v>0</v>
      </c>
      <c r="R351" s="9">
        <f>SUMIFS(#REF!,#REF!,
$A351,#REF!,
"&gt;="&amp;'Faturado mensal'!R$2,#REF!,
"&lt;"&amp;EOMONTH('Faturado mensal'!R$2,0))</f>
        <v>0</v>
      </c>
      <c r="S351" s="9">
        <f>SUMIFS(#REF!,#REF!,
$A351,#REF!,
"&gt;="&amp;'Faturado mensal'!S$2,#REF!,
"&lt;"&amp;EOMONTH('Faturado mensal'!S$2,0))</f>
        <v>0</v>
      </c>
      <c r="T351" s="9">
        <f>SUMIFS(#REF!,#REF!,
$A351,#REF!,
"&gt;="&amp;'Faturado mensal'!T$2,#REF!,
"&lt;"&amp;EOMONTH('Faturado mensal'!T$2,0))</f>
        <v>0</v>
      </c>
      <c r="U351" s="9">
        <f>SUMIFS(#REF!,#REF!,
$A351,#REF!,
"&gt;="&amp;'Faturado mensal'!U$2,#REF!,
"&lt;"&amp;EOMONTH('Faturado mensal'!U$2,0))</f>
        <v>0</v>
      </c>
      <c r="V351" s="9">
        <f>SUMIFS(#REF!,#REF!,
$A351,#REF!,
"&gt;="&amp;'Faturado mensal'!V$2,#REF!,
"&lt;"&amp;EOMONTH('Faturado mensal'!V$2,0))</f>
        <v>0</v>
      </c>
      <c r="W351" s="9">
        <f>SUMIFS(#REF!,#REF!,
$A351,#REF!,
"&gt;="&amp;'Faturado mensal'!W$2,#REF!,
"&lt;"&amp;EOMONTH('Faturado mensal'!W$2,0))</f>
        <v>0</v>
      </c>
      <c r="X351" s="9">
        <f>SUMIFS(#REF!,#REF!,
$A351,#REF!,
"&gt;="&amp;'Faturado mensal'!X$2,#REF!,
"&lt;"&amp;EOMONTH('Faturado mensal'!X$2,0))</f>
        <v>0</v>
      </c>
      <c r="Y351" s="11">
        <f>SUMIFS(#REF!,#REF!,
$A351,#REF!,
"&gt;="&amp;'Faturado mensal'!M$2,#REF!,
"&lt;"&amp;EOMONTH('Faturado mensal'!M$2,12))</f>
        <v>0</v>
      </c>
      <c r="Z351" s="9">
        <f>SUMIFS(#REF!,#REF!,
$A351,#REF!,
"&gt;="&amp;'Faturado mensal'!Z$2,#REF!,
"&lt;"&amp;EOMONTH('Faturado mensal'!Z$2,0))</f>
        <v>0</v>
      </c>
      <c r="AA351" s="9">
        <f>SUMIFS(#REF!,#REF!,
$A351,#REF!,
"&gt;="&amp;'Faturado mensal'!AA$2,#REF!,
"&lt;"&amp;EOMONTH('Faturado mensal'!AA$2,0))</f>
        <v>0</v>
      </c>
      <c r="AB351" s="9">
        <f>SUMIFS(#REF!,#REF!,
$A351,#REF!,
"&gt;="&amp;'Faturado mensal'!AB$2,#REF!,
"&lt;"&amp;EOMONTH('Faturado mensal'!AB$2,0))</f>
        <v>142.6</v>
      </c>
      <c r="AC351" s="9">
        <f>SUMIFS(#REF!,#REF!,
$A351,#REF!,
"&gt;="&amp;'Faturado mensal'!AC$2,#REF!,
"&lt;"&amp;EOMONTH('Faturado mensal'!AC$2,0))</f>
        <v>0</v>
      </c>
      <c r="AD351" s="9">
        <f>SUMIFS(#REF!,#REF!,
$A351,#REF!,
"&gt;="&amp;'Faturado mensal'!AD$2,#REF!,
"&lt;"&amp;EOMONTH('Faturado mensal'!AD$2,0))</f>
        <v>142.6</v>
      </c>
      <c r="AE351" s="9">
        <f>SUMIFS(#REF!,#REF!,
$A351,#REF!,
"&gt;="&amp;'Faturado mensal'!AE$2,#REF!,
"&lt;"&amp;EOMONTH('Faturado mensal'!AE$2,0))</f>
        <v>142.6</v>
      </c>
      <c r="AF351" s="9">
        <f>SUMIFS(#REF!,#REF!,
$A351,#REF!,
"&gt;="&amp;'Faturado mensal'!AF$2,#REF!,
"&lt;"&amp;EOMONTH('Faturado mensal'!AF$2,0))</f>
        <v>0</v>
      </c>
      <c r="AG351" s="9">
        <f>SUMIFS(#REF!,#REF!,
$A351,#REF!,
"&gt;="&amp;'Faturado mensal'!AG$2,#REF!,
"&lt;"&amp;EOMONTH('Faturado mensal'!AG$2,0))</f>
        <v>0</v>
      </c>
      <c r="AH351" s="9">
        <f>SUMIFS(#REF!,#REF!,
$A351,#REF!,
"&gt;="&amp;'Faturado mensal'!AH$2,#REF!,
"&lt;"&amp;EOMONTH('Faturado mensal'!AH$2,0))</f>
        <v>0</v>
      </c>
      <c r="AI351" s="9">
        <f>SUMIFS(#REF!,#REF!,
$A351,#REF!,
"&gt;="&amp;'Faturado mensal'!AI$2,#REF!,
"&lt;"&amp;EOMONTH('Faturado mensal'!AI$2,0))</f>
        <v>0</v>
      </c>
      <c r="AJ351" s="9">
        <f>SUMIFS(#REF!,#REF!,
$A351,#REF!,
"&gt;="&amp;'Faturado mensal'!AJ$2,#REF!,
"&lt;"&amp;EOMONTH('Faturado mensal'!AJ$2,0))</f>
        <v>0</v>
      </c>
      <c r="AK351" s="9">
        <f>SUMIFS(#REF!,#REF!,
$A351,#REF!,
"&gt;="&amp;'Faturado mensal'!AK$2,#REF!,
"&lt;"&amp;EOMONTH('Faturado mensal'!AK$2,0))</f>
        <v>0</v>
      </c>
      <c r="AL351" s="9">
        <f>SUMIFS(#REF!,#REF!,
$A351,#REF!,
"&gt;="&amp;Z$2,#REF!,
"&lt;"&amp;EOMONTH(AK$2,0))</f>
        <v>427.79999999999995</v>
      </c>
    </row>
    <row r="352" spans="1:38" x14ac:dyDescent="0.3">
      <c r="A352" t="s">
        <v>693</v>
      </c>
      <c r="B352" t="s">
        <v>694</v>
      </c>
      <c r="C352" t="s">
        <v>157</v>
      </c>
      <c r="D352" t="s">
        <v>204</v>
      </c>
      <c r="E352" t="s">
        <v>4845</v>
      </c>
      <c r="F352" t="s">
        <v>1009</v>
      </c>
      <c r="G352" t="s">
        <v>4845</v>
      </c>
      <c r="H352" t="s">
        <v>807</v>
      </c>
      <c r="I352" t="s">
        <v>1010</v>
      </c>
      <c r="J352" t="s">
        <v>809</v>
      </c>
      <c r="K352" t="s">
        <v>717</v>
      </c>
      <c r="L352" t="s">
        <v>718</v>
      </c>
      <c r="M352" s="9">
        <f>SUMIFS(#REF!,#REF!,
$A352,#REF!,
"&gt;="&amp;'Faturado mensal'!M$2,#REF!,
"&lt;"&amp;EOMONTH('Faturado mensal'!M$2,0))</f>
        <v>0</v>
      </c>
      <c r="N352" s="9">
        <f>SUMIFS(#REF!,#REF!,
$A352,#REF!,
"&gt;="&amp;'Faturado mensal'!N$2,#REF!,
"&lt;"&amp;EOMONTH('Faturado mensal'!N$2,0))</f>
        <v>0</v>
      </c>
      <c r="O352" s="9">
        <f>SUMIFS(#REF!,#REF!,
$A352,#REF!,
"&gt;="&amp;'Faturado mensal'!O$2,#REF!,
"&lt;"&amp;EOMONTH('Faturado mensal'!O$2,0))</f>
        <v>0</v>
      </c>
      <c r="P352" s="9">
        <f>SUMIFS(#REF!,#REF!,
$A352,#REF!,
"&gt;="&amp;'Faturado mensal'!P$2,#REF!,
"&lt;"&amp;EOMONTH('Faturado mensal'!P$2,0))</f>
        <v>0</v>
      </c>
      <c r="Q352" s="9">
        <f>SUMIFS(#REF!,#REF!,
$A352,#REF!,
"&gt;="&amp;'Faturado mensal'!Q$2,#REF!,
"&lt;"&amp;EOMONTH('Faturado mensal'!Q$2,0))</f>
        <v>0</v>
      </c>
      <c r="R352" s="9">
        <f>SUMIFS(#REF!,#REF!,
$A352,#REF!,
"&gt;="&amp;'Faturado mensal'!R$2,#REF!,
"&lt;"&amp;EOMONTH('Faturado mensal'!R$2,0))</f>
        <v>0</v>
      </c>
      <c r="S352" s="9">
        <f>SUMIFS(#REF!,#REF!,
$A352,#REF!,
"&gt;="&amp;'Faturado mensal'!S$2,#REF!,
"&lt;"&amp;EOMONTH('Faturado mensal'!S$2,0))</f>
        <v>0</v>
      </c>
      <c r="T352" s="9">
        <f>SUMIFS(#REF!,#REF!,
$A352,#REF!,
"&gt;="&amp;'Faturado mensal'!T$2,#REF!,
"&lt;"&amp;EOMONTH('Faturado mensal'!T$2,0))</f>
        <v>0</v>
      </c>
      <c r="U352" s="9">
        <f>SUMIFS(#REF!,#REF!,
$A352,#REF!,
"&gt;="&amp;'Faturado mensal'!U$2,#REF!,
"&lt;"&amp;EOMONTH('Faturado mensal'!U$2,0))</f>
        <v>0</v>
      </c>
      <c r="V352" s="9">
        <f>SUMIFS(#REF!,#REF!,
$A352,#REF!,
"&gt;="&amp;'Faturado mensal'!V$2,#REF!,
"&lt;"&amp;EOMONTH('Faturado mensal'!V$2,0))</f>
        <v>0</v>
      </c>
      <c r="W352" s="9">
        <f>SUMIFS(#REF!,#REF!,
$A352,#REF!,
"&gt;="&amp;'Faturado mensal'!W$2,#REF!,
"&lt;"&amp;EOMONTH('Faturado mensal'!W$2,0))</f>
        <v>0</v>
      </c>
      <c r="X352" s="9">
        <f>SUMIFS(#REF!,#REF!,
$A352,#REF!,
"&gt;="&amp;'Faturado mensal'!X$2,#REF!,
"&lt;"&amp;EOMONTH('Faturado mensal'!X$2,0))</f>
        <v>0</v>
      </c>
      <c r="Y352" s="11">
        <f>SUMIFS(#REF!,#REF!,
$A352,#REF!,
"&gt;="&amp;'Faturado mensal'!M$2,#REF!,
"&lt;"&amp;EOMONTH('Faturado mensal'!M$2,12))</f>
        <v>0</v>
      </c>
      <c r="Z352" s="9">
        <f>SUMIFS(#REF!,#REF!,
$A352,#REF!,
"&gt;="&amp;'Faturado mensal'!Z$2,#REF!,
"&lt;"&amp;EOMONTH('Faturado mensal'!Z$2,0))</f>
        <v>0</v>
      </c>
      <c r="AA352" s="9">
        <f>SUMIFS(#REF!,#REF!,
$A352,#REF!,
"&gt;="&amp;'Faturado mensal'!AA$2,#REF!,
"&lt;"&amp;EOMONTH('Faturado mensal'!AA$2,0))</f>
        <v>0</v>
      </c>
      <c r="AB352" s="9">
        <f>SUMIFS(#REF!,#REF!,
$A352,#REF!,
"&gt;="&amp;'Faturado mensal'!AB$2,#REF!,
"&lt;"&amp;EOMONTH('Faturado mensal'!AB$2,0))</f>
        <v>9120</v>
      </c>
      <c r="AC352" s="9">
        <f>SUMIFS(#REF!,#REF!,
$A352,#REF!,
"&gt;="&amp;'Faturado mensal'!AC$2,#REF!,
"&lt;"&amp;EOMONTH('Faturado mensal'!AC$2,0))</f>
        <v>4560</v>
      </c>
      <c r="AD352" s="9">
        <f>SUMIFS(#REF!,#REF!,
$A352,#REF!,
"&gt;="&amp;'Faturado mensal'!AD$2,#REF!,
"&lt;"&amp;EOMONTH('Faturado mensal'!AD$2,0))</f>
        <v>4560</v>
      </c>
      <c r="AE352" s="9">
        <f>SUMIFS(#REF!,#REF!,
$A352,#REF!,
"&gt;="&amp;'Faturado mensal'!AE$2,#REF!,
"&lt;"&amp;EOMONTH('Faturado mensal'!AE$2,0))</f>
        <v>5440</v>
      </c>
      <c r="AF352" s="9">
        <f>SUMIFS(#REF!,#REF!,
$A352,#REF!,
"&gt;="&amp;'Faturado mensal'!AF$2,#REF!,
"&lt;"&amp;EOMONTH('Faturado mensal'!AF$2,0))</f>
        <v>0</v>
      </c>
      <c r="AG352" s="9">
        <f>SUMIFS(#REF!,#REF!,
$A352,#REF!,
"&gt;="&amp;'Faturado mensal'!AG$2,#REF!,
"&lt;"&amp;EOMONTH('Faturado mensal'!AG$2,0))</f>
        <v>0</v>
      </c>
      <c r="AH352" s="9">
        <f>SUMIFS(#REF!,#REF!,
$A352,#REF!,
"&gt;="&amp;'Faturado mensal'!AH$2,#REF!,
"&lt;"&amp;EOMONTH('Faturado mensal'!AH$2,0))</f>
        <v>0</v>
      </c>
      <c r="AI352" s="9">
        <f>SUMIFS(#REF!,#REF!,
$A352,#REF!,
"&gt;="&amp;'Faturado mensal'!AI$2,#REF!,
"&lt;"&amp;EOMONTH('Faturado mensal'!AI$2,0))</f>
        <v>0</v>
      </c>
      <c r="AJ352" s="9">
        <f>SUMIFS(#REF!,#REF!,
$A352,#REF!,
"&gt;="&amp;'Faturado mensal'!AJ$2,#REF!,
"&lt;"&amp;EOMONTH('Faturado mensal'!AJ$2,0))</f>
        <v>0</v>
      </c>
      <c r="AK352" s="9">
        <f>SUMIFS(#REF!,#REF!,
$A352,#REF!,
"&gt;="&amp;'Faturado mensal'!AK$2,#REF!,
"&lt;"&amp;EOMONTH('Faturado mensal'!AK$2,0))</f>
        <v>0</v>
      </c>
      <c r="AL352" s="9">
        <f>SUMIFS(#REF!,#REF!,
$A352,#REF!,
"&gt;="&amp;Z$2,#REF!,
"&lt;"&amp;EOMONTH(AK$2,0))</f>
        <v>23680</v>
      </c>
    </row>
    <row r="353" spans="1:38" x14ac:dyDescent="0.3">
      <c r="A353" t="s">
        <v>1011</v>
      </c>
      <c r="B353" t="s">
        <v>1013</v>
      </c>
      <c r="C353" t="s">
        <v>1014</v>
      </c>
      <c r="D353" t="s">
        <v>204</v>
      </c>
      <c r="E353" t="s">
        <v>4844</v>
      </c>
      <c r="F353" t="s">
        <v>1012</v>
      </c>
      <c r="G353" t="s">
        <v>4853</v>
      </c>
      <c r="H353" t="s">
        <v>807</v>
      </c>
      <c r="I353" t="s">
        <v>1012</v>
      </c>
      <c r="J353" t="s">
        <v>710</v>
      </c>
      <c r="K353" t="s">
        <v>711</v>
      </c>
      <c r="L353" t="s">
        <v>712</v>
      </c>
      <c r="M353" s="9">
        <f>SUMIFS(#REF!,#REF!,
$A353,#REF!,
"&gt;="&amp;'Faturado mensal'!M$2,#REF!,
"&lt;"&amp;EOMONTH('Faturado mensal'!M$2,0))</f>
        <v>0</v>
      </c>
      <c r="N353" s="9">
        <f>SUMIFS(#REF!,#REF!,
$A353,#REF!,
"&gt;="&amp;'Faturado mensal'!N$2,#REF!,
"&lt;"&amp;EOMONTH('Faturado mensal'!N$2,0))</f>
        <v>0</v>
      </c>
      <c r="O353" s="9">
        <f>SUMIFS(#REF!,#REF!,
$A353,#REF!,
"&gt;="&amp;'Faturado mensal'!O$2,#REF!,
"&lt;"&amp;EOMONTH('Faturado mensal'!O$2,0))</f>
        <v>0</v>
      </c>
      <c r="P353" s="9">
        <f>SUMIFS(#REF!,#REF!,
$A353,#REF!,
"&gt;="&amp;'Faturado mensal'!P$2,#REF!,
"&lt;"&amp;EOMONTH('Faturado mensal'!P$2,0))</f>
        <v>0</v>
      </c>
      <c r="Q353" s="9">
        <f>SUMIFS(#REF!,#REF!,
$A353,#REF!,
"&gt;="&amp;'Faturado mensal'!Q$2,#REF!,
"&lt;"&amp;EOMONTH('Faturado mensal'!Q$2,0))</f>
        <v>0</v>
      </c>
      <c r="R353" s="9">
        <f>SUMIFS(#REF!,#REF!,
$A353,#REF!,
"&gt;="&amp;'Faturado mensal'!R$2,#REF!,
"&lt;"&amp;EOMONTH('Faturado mensal'!R$2,0))</f>
        <v>0</v>
      </c>
      <c r="S353" s="9">
        <f>SUMIFS(#REF!,#REF!,
$A353,#REF!,
"&gt;="&amp;'Faturado mensal'!S$2,#REF!,
"&lt;"&amp;EOMONTH('Faturado mensal'!S$2,0))</f>
        <v>0</v>
      </c>
      <c r="T353" s="9">
        <f>SUMIFS(#REF!,#REF!,
$A353,#REF!,
"&gt;="&amp;'Faturado mensal'!T$2,#REF!,
"&lt;"&amp;EOMONTH('Faturado mensal'!T$2,0))</f>
        <v>0</v>
      </c>
      <c r="U353" s="9">
        <f>SUMIFS(#REF!,#REF!,
$A353,#REF!,
"&gt;="&amp;'Faturado mensal'!U$2,#REF!,
"&lt;"&amp;EOMONTH('Faturado mensal'!U$2,0))</f>
        <v>0</v>
      </c>
      <c r="V353" s="9">
        <f>SUMIFS(#REF!,#REF!,
$A353,#REF!,
"&gt;="&amp;'Faturado mensal'!V$2,#REF!,
"&lt;"&amp;EOMONTH('Faturado mensal'!V$2,0))</f>
        <v>0</v>
      </c>
      <c r="W353" s="9">
        <f>SUMIFS(#REF!,#REF!,
$A353,#REF!,
"&gt;="&amp;'Faturado mensal'!W$2,#REF!,
"&lt;"&amp;EOMONTH('Faturado mensal'!W$2,0))</f>
        <v>0</v>
      </c>
      <c r="X353" s="9">
        <f>SUMIFS(#REF!,#REF!,
$A353,#REF!,
"&gt;="&amp;'Faturado mensal'!X$2,#REF!,
"&lt;"&amp;EOMONTH('Faturado mensal'!X$2,0))</f>
        <v>0</v>
      </c>
      <c r="Y353" s="11">
        <f>SUMIFS(#REF!,#REF!,
$A353,#REF!,
"&gt;="&amp;'Faturado mensal'!M$2,#REF!,
"&lt;"&amp;EOMONTH('Faturado mensal'!M$2,12))</f>
        <v>0</v>
      </c>
      <c r="Z353" s="9">
        <f>SUMIFS(#REF!,#REF!,
$A353,#REF!,
"&gt;="&amp;'Faturado mensal'!Z$2,#REF!,
"&lt;"&amp;EOMONTH('Faturado mensal'!Z$2,0))</f>
        <v>0</v>
      </c>
      <c r="AA353" s="9">
        <f>SUMIFS(#REF!,#REF!,
$A353,#REF!,
"&gt;="&amp;'Faturado mensal'!AA$2,#REF!,
"&lt;"&amp;EOMONTH('Faturado mensal'!AA$2,0))</f>
        <v>0</v>
      </c>
      <c r="AB353" s="9">
        <f>SUMIFS(#REF!,#REF!,
$A353,#REF!,
"&gt;="&amp;'Faturado mensal'!AB$2,#REF!,
"&lt;"&amp;EOMONTH('Faturado mensal'!AB$2,0))</f>
        <v>0</v>
      </c>
      <c r="AC353" s="9">
        <f>SUMIFS(#REF!,#REF!,
$A353,#REF!,
"&gt;="&amp;'Faturado mensal'!AC$2,#REF!,
"&lt;"&amp;EOMONTH('Faturado mensal'!AC$2,0))</f>
        <v>0</v>
      </c>
      <c r="AD353" s="9">
        <f>SUMIFS(#REF!,#REF!,
$A353,#REF!,
"&gt;="&amp;'Faturado mensal'!AD$2,#REF!,
"&lt;"&amp;EOMONTH('Faturado mensal'!AD$2,0))</f>
        <v>10113.57</v>
      </c>
      <c r="AE353" s="9">
        <f>SUMIFS(#REF!,#REF!,
$A353,#REF!,
"&gt;="&amp;'Faturado mensal'!AE$2,#REF!,
"&lt;"&amp;EOMONTH('Faturado mensal'!AE$2,0))</f>
        <v>0</v>
      </c>
      <c r="AF353" s="9">
        <f>SUMIFS(#REF!,#REF!,
$A353,#REF!,
"&gt;="&amp;'Faturado mensal'!AF$2,#REF!,
"&lt;"&amp;EOMONTH('Faturado mensal'!AF$2,0))</f>
        <v>0</v>
      </c>
      <c r="AG353" s="9">
        <f>SUMIFS(#REF!,#REF!,
$A353,#REF!,
"&gt;="&amp;'Faturado mensal'!AG$2,#REF!,
"&lt;"&amp;EOMONTH('Faturado mensal'!AG$2,0))</f>
        <v>0</v>
      </c>
      <c r="AH353" s="9">
        <f>SUMIFS(#REF!,#REF!,
$A353,#REF!,
"&gt;="&amp;'Faturado mensal'!AH$2,#REF!,
"&lt;"&amp;EOMONTH('Faturado mensal'!AH$2,0))</f>
        <v>0</v>
      </c>
      <c r="AI353" s="9">
        <f>SUMIFS(#REF!,#REF!,
$A353,#REF!,
"&gt;="&amp;'Faturado mensal'!AI$2,#REF!,
"&lt;"&amp;EOMONTH('Faturado mensal'!AI$2,0))</f>
        <v>0</v>
      </c>
      <c r="AJ353" s="9">
        <f>SUMIFS(#REF!,#REF!,
$A353,#REF!,
"&gt;="&amp;'Faturado mensal'!AJ$2,#REF!,
"&lt;"&amp;EOMONTH('Faturado mensal'!AJ$2,0))</f>
        <v>0</v>
      </c>
      <c r="AK353" s="9">
        <f>SUMIFS(#REF!,#REF!,
$A353,#REF!,
"&gt;="&amp;'Faturado mensal'!AK$2,#REF!,
"&lt;"&amp;EOMONTH('Faturado mensal'!AK$2,0))</f>
        <v>0</v>
      </c>
      <c r="AL353" s="9">
        <f>SUMIFS(#REF!,#REF!,
$A353,#REF!,
"&gt;="&amp;Z$2,#REF!,
"&lt;"&amp;EOMONTH(AK$2,0))</f>
        <v>10113.57</v>
      </c>
    </row>
    <row r="354" spans="1:38" x14ac:dyDescent="0.3">
      <c r="A354" t="s">
        <v>695</v>
      </c>
      <c r="B354" t="s">
        <v>696</v>
      </c>
      <c r="C354" t="s">
        <v>108</v>
      </c>
      <c r="D354" t="s">
        <v>204</v>
      </c>
      <c r="E354" t="s">
        <v>1037</v>
      </c>
      <c r="F354" t="s">
        <v>4806</v>
      </c>
      <c r="G354" t="s">
        <v>4852</v>
      </c>
      <c r="H354" t="s">
        <v>4772</v>
      </c>
      <c r="I354" t="s">
        <v>106</v>
      </c>
      <c r="J354" t="s">
        <v>710</v>
      </c>
      <c r="K354" t="s">
        <v>762</v>
      </c>
      <c r="L354" t="s">
        <v>763</v>
      </c>
      <c r="M354" s="9">
        <f>SUMIFS(#REF!,#REF!,
$A354,#REF!,
"&gt;="&amp;'Faturado mensal'!M$2,#REF!,
"&lt;"&amp;EOMONTH('Faturado mensal'!M$2,0))</f>
        <v>0</v>
      </c>
      <c r="N354" s="9">
        <f>SUMIFS(#REF!,#REF!,
$A354,#REF!,
"&gt;="&amp;'Faturado mensal'!N$2,#REF!,
"&lt;"&amp;EOMONTH('Faturado mensal'!N$2,0))</f>
        <v>0</v>
      </c>
      <c r="O354" s="9">
        <f>SUMIFS(#REF!,#REF!,
$A354,#REF!,
"&gt;="&amp;'Faturado mensal'!O$2,#REF!,
"&lt;"&amp;EOMONTH('Faturado mensal'!O$2,0))</f>
        <v>0</v>
      </c>
      <c r="P354" s="9">
        <f>SUMIFS(#REF!,#REF!,
$A354,#REF!,
"&gt;="&amp;'Faturado mensal'!P$2,#REF!,
"&lt;"&amp;EOMONTH('Faturado mensal'!P$2,0))</f>
        <v>0</v>
      </c>
      <c r="Q354" s="9">
        <f>SUMIFS(#REF!,#REF!,
$A354,#REF!,
"&gt;="&amp;'Faturado mensal'!Q$2,#REF!,
"&lt;"&amp;EOMONTH('Faturado mensal'!Q$2,0))</f>
        <v>0</v>
      </c>
      <c r="R354" s="9">
        <f>SUMIFS(#REF!,#REF!,
$A354,#REF!,
"&gt;="&amp;'Faturado mensal'!R$2,#REF!,
"&lt;"&amp;EOMONTH('Faturado mensal'!R$2,0))</f>
        <v>0</v>
      </c>
      <c r="S354" s="9">
        <f>SUMIFS(#REF!,#REF!,
$A354,#REF!,
"&gt;="&amp;'Faturado mensal'!S$2,#REF!,
"&lt;"&amp;EOMONTH('Faturado mensal'!S$2,0))</f>
        <v>0</v>
      </c>
      <c r="T354" s="9">
        <f>SUMIFS(#REF!,#REF!,
$A354,#REF!,
"&gt;="&amp;'Faturado mensal'!T$2,#REF!,
"&lt;"&amp;EOMONTH('Faturado mensal'!T$2,0))</f>
        <v>0</v>
      </c>
      <c r="U354" s="9">
        <f>SUMIFS(#REF!,#REF!,
$A354,#REF!,
"&gt;="&amp;'Faturado mensal'!U$2,#REF!,
"&lt;"&amp;EOMONTH('Faturado mensal'!U$2,0))</f>
        <v>0</v>
      </c>
      <c r="V354" s="9">
        <f>SUMIFS(#REF!,#REF!,
$A354,#REF!,
"&gt;="&amp;'Faturado mensal'!V$2,#REF!,
"&lt;"&amp;EOMONTH('Faturado mensal'!V$2,0))</f>
        <v>0</v>
      </c>
      <c r="W354" s="9">
        <f>SUMIFS(#REF!,#REF!,
$A354,#REF!,
"&gt;="&amp;'Faturado mensal'!W$2,#REF!,
"&lt;"&amp;EOMONTH('Faturado mensal'!W$2,0))</f>
        <v>0</v>
      </c>
      <c r="X354" s="9">
        <f>SUMIFS(#REF!,#REF!,
$A354,#REF!,
"&gt;="&amp;'Faturado mensal'!X$2,#REF!,
"&lt;"&amp;EOMONTH('Faturado mensal'!X$2,0))</f>
        <v>0</v>
      </c>
      <c r="Y354" s="11">
        <f>SUMIFS(#REF!,#REF!,
$A354,#REF!,
"&gt;="&amp;'Faturado mensal'!M$2,#REF!,
"&lt;"&amp;EOMONTH('Faturado mensal'!M$2,12))</f>
        <v>0</v>
      </c>
      <c r="Z354" s="9">
        <f>SUMIFS(#REF!,#REF!,
$A354,#REF!,
"&gt;="&amp;'Faturado mensal'!Z$2,#REF!,
"&lt;"&amp;EOMONTH('Faturado mensal'!Z$2,0))</f>
        <v>0</v>
      </c>
      <c r="AA354" s="9">
        <f>SUMIFS(#REF!,#REF!,
$A354,#REF!,
"&gt;="&amp;'Faturado mensal'!AA$2,#REF!,
"&lt;"&amp;EOMONTH('Faturado mensal'!AA$2,0))</f>
        <v>0</v>
      </c>
      <c r="AB354" s="9">
        <f>SUMIFS(#REF!,#REF!,
$A354,#REF!,
"&gt;="&amp;'Faturado mensal'!AB$2,#REF!,
"&lt;"&amp;EOMONTH('Faturado mensal'!AB$2,0))</f>
        <v>0</v>
      </c>
      <c r="AC354" s="9">
        <f>SUMIFS(#REF!,#REF!,
$A354,#REF!,
"&gt;="&amp;'Faturado mensal'!AC$2,#REF!,
"&lt;"&amp;EOMONTH('Faturado mensal'!AC$2,0))</f>
        <v>6330.42</v>
      </c>
      <c r="AD354" s="9">
        <f>SUMIFS(#REF!,#REF!,
$A354,#REF!,
"&gt;="&amp;'Faturado mensal'!AD$2,#REF!,
"&lt;"&amp;EOMONTH('Faturado mensal'!AD$2,0))</f>
        <v>6330.42</v>
      </c>
      <c r="AE354" s="9">
        <f>SUMIFS(#REF!,#REF!,
$A354,#REF!,
"&gt;="&amp;'Faturado mensal'!AE$2,#REF!,
"&lt;"&amp;EOMONTH('Faturado mensal'!AE$2,0))</f>
        <v>0</v>
      </c>
      <c r="AF354" s="9">
        <f>SUMIFS(#REF!,#REF!,
$A354,#REF!,
"&gt;="&amp;'Faturado mensal'!AF$2,#REF!,
"&lt;"&amp;EOMONTH('Faturado mensal'!AF$2,0))</f>
        <v>0</v>
      </c>
      <c r="AG354" s="9">
        <f>SUMIFS(#REF!,#REF!,
$A354,#REF!,
"&gt;="&amp;'Faturado mensal'!AG$2,#REF!,
"&lt;"&amp;EOMONTH('Faturado mensal'!AG$2,0))</f>
        <v>0</v>
      </c>
      <c r="AH354" s="9">
        <f>SUMIFS(#REF!,#REF!,
$A354,#REF!,
"&gt;="&amp;'Faturado mensal'!AH$2,#REF!,
"&lt;"&amp;EOMONTH('Faturado mensal'!AH$2,0))</f>
        <v>0</v>
      </c>
      <c r="AI354" s="9">
        <f>SUMIFS(#REF!,#REF!,
$A354,#REF!,
"&gt;="&amp;'Faturado mensal'!AI$2,#REF!,
"&lt;"&amp;EOMONTH('Faturado mensal'!AI$2,0))</f>
        <v>0</v>
      </c>
      <c r="AJ354" s="9">
        <f>SUMIFS(#REF!,#REF!,
$A354,#REF!,
"&gt;="&amp;'Faturado mensal'!AJ$2,#REF!,
"&lt;"&amp;EOMONTH('Faturado mensal'!AJ$2,0))</f>
        <v>0</v>
      </c>
      <c r="AK354" s="9">
        <f>SUMIFS(#REF!,#REF!,
$A354,#REF!,
"&gt;="&amp;'Faturado mensal'!AK$2,#REF!,
"&lt;"&amp;EOMONTH('Faturado mensal'!AK$2,0))</f>
        <v>0</v>
      </c>
      <c r="AL354" s="9">
        <f>SUMIFS(#REF!,#REF!,
$A354,#REF!,
"&gt;="&amp;Z$2,#REF!,
"&lt;"&amp;EOMONTH(AK$2,0))</f>
        <v>12660.84</v>
      </c>
    </row>
    <row r="355" spans="1:38" x14ac:dyDescent="0.3">
      <c r="A355" t="s">
        <v>697</v>
      </c>
      <c r="B355" t="s">
        <v>698</v>
      </c>
      <c r="C355" t="s">
        <v>67</v>
      </c>
      <c r="D355" t="s">
        <v>204</v>
      </c>
      <c r="E355" t="s">
        <v>1042</v>
      </c>
      <c r="F355" t="s">
        <v>1006</v>
      </c>
      <c r="G355" t="s">
        <v>4852</v>
      </c>
      <c r="H355" t="s">
        <v>807</v>
      </c>
      <c r="I355" t="s">
        <v>1015</v>
      </c>
      <c r="J355" t="s">
        <v>814</v>
      </c>
      <c r="K355" t="s">
        <v>717</v>
      </c>
      <c r="L355" t="s">
        <v>718</v>
      </c>
      <c r="M355" s="9">
        <f>SUMIFS(#REF!,#REF!,
$A355,#REF!,
"&gt;="&amp;'Faturado mensal'!M$2,#REF!,
"&lt;"&amp;EOMONTH('Faturado mensal'!M$2,0))</f>
        <v>0</v>
      </c>
      <c r="N355" s="9">
        <f>SUMIFS(#REF!,#REF!,
$A355,#REF!,
"&gt;="&amp;'Faturado mensal'!N$2,#REF!,
"&lt;"&amp;EOMONTH('Faturado mensal'!N$2,0))</f>
        <v>0</v>
      </c>
      <c r="O355" s="9">
        <f>SUMIFS(#REF!,#REF!,
$A355,#REF!,
"&gt;="&amp;'Faturado mensal'!O$2,#REF!,
"&lt;"&amp;EOMONTH('Faturado mensal'!O$2,0))</f>
        <v>0</v>
      </c>
      <c r="P355" s="9">
        <f>SUMIFS(#REF!,#REF!,
$A355,#REF!,
"&gt;="&amp;'Faturado mensal'!P$2,#REF!,
"&lt;"&amp;EOMONTH('Faturado mensal'!P$2,0))</f>
        <v>0</v>
      </c>
      <c r="Q355" s="9">
        <f>SUMIFS(#REF!,#REF!,
$A355,#REF!,
"&gt;="&amp;'Faturado mensal'!Q$2,#REF!,
"&lt;"&amp;EOMONTH('Faturado mensal'!Q$2,0))</f>
        <v>0</v>
      </c>
      <c r="R355" s="9">
        <f>SUMIFS(#REF!,#REF!,
$A355,#REF!,
"&gt;="&amp;'Faturado mensal'!R$2,#REF!,
"&lt;"&amp;EOMONTH('Faturado mensal'!R$2,0))</f>
        <v>0</v>
      </c>
      <c r="S355" s="9">
        <f>SUMIFS(#REF!,#REF!,
$A355,#REF!,
"&gt;="&amp;'Faturado mensal'!S$2,#REF!,
"&lt;"&amp;EOMONTH('Faturado mensal'!S$2,0))</f>
        <v>0</v>
      </c>
      <c r="T355" s="9">
        <f>SUMIFS(#REF!,#REF!,
$A355,#REF!,
"&gt;="&amp;'Faturado mensal'!T$2,#REF!,
"&lt;"&amp;EOMONTH('Faturado mensal'!T$2,0))</f>
        <v>0</v>
      </c>
      <c r="U355" s="9">
        <f>SUMIFS(#REF!,#REF!,
$A355,#REF!,
"&gt;="&amp;'Faturado mensal'!U$2,#REF!,
"&lt;"&amp;EOMONTH('Faturado mensal'!U$2,0))</f>
        <v>0</v>
      </c>
      <c r="V355" s="9">
        <f>SUMIFS(#REF!,#REF!,
$A355,#REF!,
"&gt;="&amp;'Faturado mensal'!V$2,#REF!,
"&lt;"&amp;EOMONTH('Faturado mensal'!V$2,0))</f>
        <v>0</v>
      </c>
      <c r="W355" s="9">
        <f>SUMIFS(#REF!,#REF!,
$A355,#REF!,
"&gt;="&amp;'Faturado mensal'!W$2,#REF!,
"&lt;"&amp;EOMONTH('Faturado mensal'!W$2,0))</f>
        <v>0</v>
      </c>
      <c r="X355" s="9">
        <f>SUMIFS(#REF!,#REF!,
$A355,#REF!,
"&gt;="&amp;'Faturado mensal'!X$2,#REF!,
"&lt;"&amp;EOMONTH('Faturado mensal'!X$2,0))</f>
        <v>0</v>
      </c>
      <c r="Y355" s="11">
        <f>SUMIFS(#REF!,#REF!,
$A355,#REF!,
"&gt;="&amp;'Faturado mensal'!M$2,#REF!,
"&lt;"&amp;EOMONTH('Faturado mensal'!M$2,12))</f>
        <v>0</v>
      </c>
      <c r="Z355" s="9">
        <f>SUMIFS(#REF!,#REF!,
$A355,#REF!,
"&gt;="&amp;'Faturado mensal'!Z$2,#REF!,
"&lt;"&amp;EOMONTH('Faturado mensal'!Z$2,0))</f>
        <v>0</v>
      </c>
      <c r="AA355" s="9">
        <f>SUMIFS(#REF!,#REF!,
$A355,#REF!,
"&gt;="&amp;'Faturado mensal'!AA$2,#REF!,
"&lt;"&amp;EOMONTH('Faturado mensal'!AA$2,0))</f>
        <v>0</v>
      </c>
      <c r="AB355" s="9">
        <f>SUMIFS(#REF!,#REF!,
$A355,#REF!,
"&gt;="&amp;'Faturado mensal'!AB$2,#REF!,
"&lt;"&amp;EOMONTH('Faturado mensal'!AB$2,0))</f>
        <v>0</v>
      </c>
      <c r="AC355" s="9">
        <f>SUMIFS(#REF!,#REF!,
$A355,#REF!,
"&gt;="&amp;'Faturado mensal'!AC$2,#REF!,
"&lt;"&amp;EOMONTH('Faturado mensal'!AC$2,0))</f>
        <v>18961.830000000002</v>
      </c>
      <c r="AD355" s="9">
        <f>SUMIFS(#REF!,#REF!,
$A355,#REF!,
"&gt;="&amp;'Faturado mensal'!AD$2,#REF!,
"&lt;"&amp;EOMONTH('Faturado mensal'!AD$2,0))</f>
        <v>0</v>
      </c>
      <c r="AE355" s="9">
        <f>SUMIFS(#REF!,#REF!,
$A355,#REF!,
"&gt;="&amp;'Faturado mensal'!AE$2,#REF!,
"&lt;"&amp;EOMONTH('Faturado mensal'!AE$2,0))</f>
        <v>0</v>
      </c>
      <c r="AF355" s="9">
        <f>SUMIFS(#REF!,#REF!,
$A355,#REF!,
"&gt;="&amp;'Faturado mensal'!AF$2,#REF!,
"&lt;"&amp;EOMONTH('Faturado mensal'!AF$2,0))</f>
        <v>0</v>
      </c>
      <c r="AG355" s="9">
        <f>SUMIFS(#REF!,#REF!,
$A355,#REF!,
"&gt;="&amp;'Faturado mensal'!AG$2,#REF!,
"&lt;"&amp;EOMONTH('Faturado mensal'!AG$2,0))</f>
        <v>0</v>
      </c>
      <c r="AH355" s="9">
        <f>SUMIFS(#REF!,#REF!,
$A355,#REF!,
"&gt;="&amp;'Faturado mensal'!AH$2,#REF!,
"&lt;"&amp;EOMONTH('Faturado mensal'!AH$2,0))</f>
        <v>0</v>
      </c>
      <c r="AI355" s="9">
        <f>SUMIFS(#REF!,#REF!,
$A355,#REF!,
"&gt;="&amp;'Faturado mensal'!AI$2,#REF!,
"&lt;"&amp;EOMONTH('Faturado mensal'!AI$2,0))</f>
        <v>0</v>
      </c>
      <c r="AJ355" s="9">
        <f>SUMIFS(#REF!,#REF!,
$A355,#REF!,
"&gt;="&amp;'Faturado mensal'!AJ$2,#REF!,
"&lt;"&amp;EOMONTH('Faturado mensal'!AJ$2,0))</f>
        <v>0</v>
      </c>
      <c r="AK355" s="9">
        <f>SUMIFS(#REF!,#REF!,
$A355,#REF!,
"&gt;="&amp;'Faturado mensal'!AK$2,#REF!,
"&lt;"&amp;EOMONTH('Faturado mensal'!AK$2,0))</f>
        <v>0</v>
      </c>
      <c r="AL355" s="9">
        <f>SUMIFS(#REF!,#REF!,
$A355,#REF!,
"&gt;="&amp;Z$2,#REF!,
"&lt;"&amp;EOMONTH(AK$2,0))</f>
        <v>18961.830000000002</v>
      </c>
    </row>
    <row r="356" spans="1:38" x14ac:dyDescent="0.3">
      <c r="A356" t="s">
        <v>699</v>
      </c>
      <c r="B356" t="s">
        <v>433</v>
      </c>
      <c r="C356" t="s">
        <v>168</v>
      </c>
      <c r="D356" t="s">
        <v>204</v>
      </c>
      <c r="E356" t="s">
        <v>4833</v>
      </c>
      <c r="F356" t="s">
        <v>4802</v>
      </c>
      <c r="G356" t="s">
        <v>4852</v>
      </c>
      <c r="H356" t="s">
        <v>807</v>
      </c>
      <c r="I356" t="s">
        <v>168</v>
      </c>
      <c r="J356" t="s">
        <v>719</v>
      </c>
      <c r="K356" t="s">
        <v>717</v>
      </c>
      <c r="L356" t="s">
        <v>718</v>
      </c>
      <c r="M356" s="9">
        <f>SUMIFS(#REF!,#REF!,
$A356,#REF!,
"&gt;="&amp;'Faturado mensal'!M$2,#REF!,
"&lt;"&amp;EOMONTH('Faturado mensal'!M$2,0))</f>
        <v>0</v>
      </c>
      <c r="N356" s="9">
        <f>SUMIFS(#REF!,#REF!,
$A356,#REF!,
"&gt;="&amp;'Faturado mensal'!N$2,#REF!,
"&lt;"&amp;EOMONTH('Faturado mensal'!N$2,0))</f>
        <v>0</v>
      </c>
      <c r="O356" s="9">
        <f>SUMIFS(#REF!,#REF!,
$A356,#REF!,
"&gt;="&amp;'Faturado mensal'!O$2,#REF!,
"&lt;"&amp;EOMONTH('Faturado mensal'!O$2,0))</f>
        <v>0</v>
      </c>
      <c r="P356" s="9">
        <f>SUMIFS(#REF!,#REF!,
$A356,#REF!,
"&gt;="&amp;'Faturado mensal'!P$2,#REF!,
"&lt;"&amp;EOMONTH('Faturado mensal'!P$2,0))</f>
        <v>0</v>
      </c>
      <c r="Q356" s="9">
        <f>SUMIFS(#REF!,#REF!,
$A356,#REF!,
"&gt;="&amp;'Faturado mensal'!Q$2,#REF!,
"&lt;"&amp;EOMONTH('Faturado mensal'!Q$2,0))</f>
        <v>0</v>
      </c>
      <c r="R356" s="9">
        <f>SUMIFS(#REF!,#REF!,
$A356,#REF!,
"&gt;="&amp;'Faturado mensal'!R$2,#REF!,
"&lt;"&amp;EOMONTH('Faturado mensal'!R$2,0))</f>
        <v>0</v>
      </c>
      <c r="S356" s="9">
        <f>SUMIFS(#REF!,#REF!,
$A356,#REF!,
"&gt;="&amp;'Faturado mensal'!S$2,#REF!,
"&lt;"&amp;EOMONTH('Faturado mensal'!S$2,0))</f>
        <v>0</v>
      </c>
      <c r="T356" s="9">
        <f>SUMIFS(#REF!,#REF!,
$A356,#REF!,
"&gt;="&amp;'Faturado mensal'!T$2,#REF!,
"&lt;"&amp;EOMONTH('Faturado mensal'!T$2,0))</f>
        <v>0</v>
      </c>
      <c r="U356" s="9">
        <f>SUMIFS(#REF!,#REF!,
$A356,#REF!,
"&gt;="&amp;'Faturado mensal'!U$2,#REF!,
"&lt;"&amp;EOMONTH('Faturado mensal'!U$2,0))</f>
        <v>0</v>
      </c>
      <c r="V356" s="9">
        <f>SUMIFS(#REF!,#REF!,
$A356,#REF!,
"&gt;="&amp;'Faturado mensal'!V$2,#REF!,
"&lt;"&amp;EOMONTH('Faturado mensal'!V$2,0))</f>
        <v>0</v>
      </c>
      <c r="W356" s="9">
        <f>SUMIFS(#REF!,#REF!,
$A356,#REF!,
"&gt;="&amp;'Faturado mensal'!W$2,#REF!,
"&lt;"&amp;EOMONTH('Faturado mensal'!W$2,0))</f>
        <v>0</v>
      </c>
      <c r="X356" s="9">
        <f>SUMIFS(#REF!,#REF!,
$A356,#REF!,
"&gt;="&amp;'Faturado mensal'!X$2,#REF!,
"&lt;"&amp;EOMONTH('Faturado mensal'!X$2,0))</f>
        <v>0</v>
      </c>
      <c r="Y356" s="11">
        <f>SUMIFS(#REF!,#REF!,
$A356,#REF!,
"&gt;="&amp;'Faturado mensal'!M$2,#REF!,
"&lt;"&amp;EOMONTH('Faturado mensal'!M$2,12))</f>
        <v>0</v>
      </c>
      <c r="Z356" s="9">
        <f>SUMIFS(#REF!,#REF!,
$A356,#REF!,
"&gt;="&amp;'Faturado mensal'!Z$2,#REF!,
"&lt;"&amp;EOMONTH('Faturado mensal'!Z$2,0))</f>
        <v>0</v>
      </c>
      <c r="AA356" s="9">
        <f>SUMIFS(#REF!,#REF!,
$A356,#REF!,
"&gt;="&amp;'Faturado mensal'!AA$2,#REF!,
"&lt;"&amp;EOMONTH('Faturado mensal'!AA$2,0))</f>
        <v>0</v>
      </c>
      <c r="AB356" s="9">
        <f>SUMIFS(#REF!,#REF!,
$A356,#REF!,
"&gt;="&amp;'Faturado mensal'!AB$2,#REF!,
"&lt;"&amp;EOMONTH('Faturado mensal'!AB$2,0))</f>
        <v>0</v>
      </c>
      <c r="AC356" s="9">
        <f>SUMIFS(#REF!,#REF!,
$A356,#REF!,
"&gt;="&amp;'Faturado mensal'!AC$2,#REF!,
"&lt;"&amp;EOMONTH('Faturado mensal'!AC$2,0))</f>
        <v>654.04</v>
      </c>
      <c r="AD356" s="9">
        <f>SUMIFS(#REF!,#REF!,
$A356,#REF!,
"&gt;="&amp;'Faturado mensal'!AD$2,#REF!,
"&lt;"&amp;EOMONTH('Faturado mensal'!AD$2,0))</f>
        <v>327.02</v>
      </c>
      <c r="AE356" s="9">
        <f>SUMIFS(#REF!,#REF!,
$A356,#REF!,
"&gt;="&amp;'Faturado mensal'!AE$2,#REF!,
"&lt;"&amp;EOMONTH('Faturado mensal'!AE$2,0))</f>
        <v>327.02</v>
      </c>
      <c r="AF356" s="9">
        <f>SUMIFS(#REF!,#REF!,
$A356,#REF!,
"&gt;="&amp;'Faturado mensal'!AF$2,#REF!,
"&lt;"&amp;EOMONTH('Faturado mensal'!AF$2,0))</f>
        <v>0</v>
      </c>
      <c r="AG356" s="9">
        <f>SUMIFS(#REF!,#REF!,
$A356,#REF!,
"&gt;="&amp;'Faturado mensal'!AG$2,#REF!,
"&lt;"&amp;EOMONTH('Faturado mensal'!AG$2,0))</f>
        <v>0</v>
      </c>
      <c r="AH356" s="9">
        <f>SUMIFS(#REF!,#REF!,
$A356,#REF!,
"&gt;="&amp;'Faturado mensal'!AH$2,#REF!,
"&lt;"&amp;EOMONTH('Faturado mensal'!AH$2,0))</f>
        <v>0</v>
      </c>
      <c r="AI356" s="9">
        <f>SUMIFS(#REF!,#REF!,
$A356,#REF!,
"&gt;="&amp;'Faturado mensal'!AI$2,#REF!,
"&lt;"&amp;EOMONTH('Faturado mensal'!AI$2,0))</f>
        <v>0</v>
      </c>
      <c r="AJ356" s="9">
        <f>SUMIFS(#REF!,#REF!,
$A356,#REF!,
"&gt;="&amp;'Faturado mensal'!AJ$2,#REF!,
"&lt;"&amp;EOMONTH('Faturado mensal'!AJ$2,0))</f>
        <v>0</v>
      </c>
      <c r="AK356" s="9">
        <f>SUMIFS(#REF!,#REF!,
$A356,#REF!,
"&gt;="&amp;'Faturado mensal'!AK$2,#REF!,
"&lt;"&amp;EOMONTH('Faturado mensal'!AK$2,0))</f>
        <v>0</v>
      </c>
      <c r="AL356" s="9">
        <f>SUMIFS(#REF!,#REF!,
$A356,#REF!,
"&gt;="&amp;Z$2,#REF!,
"&lt;"&amp;EOMONTH(AK$2,0))</f>
        <v>1308.08</v>
      </c>
    </row>
    <row r="357" spans="1:38" x14ac:dyDescent="0.3">
      <c r="A357" t="s">
        <v>1016</v>
      </c>
      <c r="B357" t="s">
        <v>1017</v>
      </c>
      <c r="C357" t="s">
        <v>1018</v>
      </c>
      <c r="D357" t="s">
        <v>204</v>
      </c>
      <c r="E357" t="s">
        <v>1037</v>
      </c>
      <c r="F357" t="s">
        <v>4776</v>
      </c>
      <c r="G357" t="s">
        <v>4852</v>
      </c>
      <c r="H357" t="s">
        <v>807</v>
      </c>
      <c r="I357" t="s">
        <v>1019</v>
      </c>
      <c r="J357" t="s">
        <v>1020</v>
      </c>
      <c r="K357" t="s">
        <v>768</v>
      </c>
      <c r="L357" t="s">
        <v>769</v>
      </c>
      <c r="M357" s="9">
        <f>SUMIFS(#REF!,#REF!,
$A357,#REF!,
"&gt;="&amp;'Faturado mensal'!M$2,#REF!,
"&lt;"&amp;EOMONTH('Faturado mensal'!M$2,0))</f>
        <v>0</v>
      </c>
      <c r="N357" s="9">
        <f>SUMIFS(#REF!,#REF!,
$A357,#REF!,
"&gt;="&amp;'Faturado mensal'!N$2,#REF!,
"&lt;"&amp;EOMONTH('Faturado mensal'!N$2,0))</f>
        <v>0</v>
      </c>
      <c r="O357" s="9">
        <f>SUMIFS(#REF!,#REF!,
$A357,#REF!,
"&gt;="&amp;'Faturado mensal'!O$2,#REF!,
"&lt;"&amp;EOMONTH('Faturado mensal'!O$2,0))</f>
        <v>0</v>
      </c>
      <c r="P357" s="9">
        <f>SUMIFS(#REF!,#REF!,
$A357,#REF!,
"&gt;="&amp;'Faturado mensal'!P$2,#REF!,
"&lt;"&amp;EOMONTH('Faturado mensal'!P$2,0))</f>
        <v>0</v>
      </c>
      <c r="Q357" s="9">
        <f>SUMIFS(#REF!,#REF!,
$A357,#REF!,
"&gt;="&amp;'Faturado mensal'!Q$2,#REF!,
"&lt;"&amp;EOMONTH('Faturado mensal'!Q$2,0))</f>
        <v>0</v>
      </c>
      <c r="R357" s="9">
        <f>SUMIFS(#REF!,#REF!,
$A357,#REF!,
"&gt;="&amp;'Faturado mensal'!R$2,#REF!,
"&lt;"&amp;EOMONTH('Faturado mensal'!R$2,0))</f>
        <v>0</v>
      </c>
      <c r="S357" s="9">
        <f>SUMIFS(#REF!,#REF!,
$A357,#REF!,
"&gt;="&amp;'Faturado mensal'!S$2,#REF!,
"&lt;"&amp;EOMONTH('Faturado mensal'!S$2,0))</f>
        <v>0</v>
      </c>
      <c r="T357" s="9">
        <f>SUMIFS(#REF!,#REF!,
$A357,#REF!,
"&gt;="&amp;'Faturado mensal'!T$2,#REF!,
"&lt;"&amp;EOMONTH('Faturado mensal'!T$2,0))</f>
        <v>0</v>
      </c>
      <c r="U357" s="9">
        <f>SUMIFS(#REF!,#REF!,
$A357,#REF!,
"&gt;="&amp;'Faturado mensal'!U$2,#REF!,
"&lt;"&amp;EOMONTH('Faturado mensal'!U$2,0))</f>
        <v>0</v>
      </c>
      <c r="V357" s="9">
        <f>SUMIFS(#REF!,#REF!,
$A357,#REF!,
"&gt;="&amp;'Faturado mensal'!V$2,#REF!,
"&lt;"&amp;EOMONTH('Faturado mensal'!V$2,0))</f>
        <v>0</v>
      </c>
      <c r="W357" s="9">
        <f>SUMIFS(#REF!,#REF!,
$A357,#REF!,
"&gt;="&amp;'Faturado mensal'!W$2,#REF!,
"&lt;"&amp;EOMONTH('Faturado mensal'!W$2,0))</f>
        <v>0</v>
      </c>
      <c r="X357" s="9">
        <f>SUMIFS(#REF!,#REF!,
$A357,#REF!,
"&gt;="&amp;'Faturado mensal'!X$2,#REF!,
"&lt;"&amp;EOMONTH('Faturado mensal'!X$2,0))</f>
        <v>0</v>
      </c>
      <c r="Y357" s="11">
        <f>SUMIFS(#REF!,#REF!,
$A357,#REF!,
"&gt;="&amp;'Faturado mensal'!M$2,#REF!,
"&lt;"&amp;EOMONTH('Faturado mensal'!M$2,12))</f>
        <v>0</v>
      </c>
      <c r="Z357" s="9">
        <f>SUMIFS(#REF!,#REF!,
$A357,#REF!,
"&gt;="&amp;'Faturado mensal'!Z$2,#REF!,
"&lt;"&amp;EOMONTH('Faturado mensal'!Z$2,0))</f>
        <v>0</v>
      </c>
      <c r="AA357" s="9">
        <f>SUMIFS(#REF!,#REF!,
$A357,#REF!,
"&gt;="&amp;'Faturado mensal'!AA$2,#REF!,
"&lt;"&amp;EOMONTH('Faturado mensal'!AA$2,0))</f>
        <v>0</v>
      </c>
      <c r="AB357" s="9">
        <f>SUMIFS(#REF!,#REF!,
$A357,#REF!,
"&gt;="&amp;'Faturado mensal'!AB$2,#REF!,
"&lt;"&amp;EOMONTH('Faturado mensal'!AB$2,0))</f>
        <v>0</v>
      </c>
      <c r="AC357" s="9">
        <f>SUMIFS(#REF!,#REF!,
$A357,#REF!,
"&gt;="&amp;'Faturado mensal'!AC$2,#REF!,
"&lt;"&amp;EOMONTH('Faturado mensal'!AC$2,0))</f>
        <v>0</v>
      </c>
      <c r="AD357" s="9">
        <f>SUMIFS(#REF!,#REF!,
$A357,#REF!,
"&gt;="&amp;'Faturado mensal'!AD$2,#REF!,
"&lt;"&amp;EOMONTH('Faturado mensal'!AD$2,0))</f>
        <v>0</v>
      </c>
      <c r="AE357" s="9">
        <f>SUMIFS(#REF!,#REF!,
$A357,#REF!,
"&gt;="&amp;'Faturado mensal'!AE$2,#REF!,
"&lt;"&amp;EOMONTH('Faturado mensal'!AE$2,0))</f>
        <v>24660.880000000001</v>
      </c>
      <c r="AF357" s="9">
        <f>SUMIFS(#REF!,#REF!,
$A357,#REF!,
"&gt;="&amp;'Faturado mensal'!AF$2,#REF!,
"&lt;"&amp;EOMONTH('Faturado mensal'!AF$2,0))</f>
        <v>0</v>
      </c>
      <c r="AG357" s="9">
        <f>SUMIFS(#REF!,#REF!,
$A357,#REF!,
"&gt;="&amp;'Faturado mensal'!AG$2,#REF!,
"&lt;"&amp;EOMONTH('Faturado mensal'!AG$2,0))</f>
        <v>0</v>
      </c>
      <c r="AH357" s="9">
        <f>SUMIFS(#REF!,#REF!,
$A357,#REF!,
"&gt;="&amp;'Faturado mensal'!AH$2,#REF!,
"&lt;"&amp;EOMONTH('Faturado mensal'!AH$2,0))</f>
        <v>0</v>
      </c>
      <c r="AI357" s="9">
        <f>SUMIFS(#REF!,#REF!,
$A357,#REF!,
"&gt;="&amp;'Faturado mensal'!AI$2,#REF!,
"&lt;"&amp;EOMONTH('Faturado mensal'!AI$2,0))</f>
        <v>0</v>
      </c>
      <c r="AJ357" s="9">
        <f>SUMIFS(#REF!,#REF!,
$A357,#REF!,
"&gt;="&amp;'Faturado mensal'!AJ$2,#REF!,
"&lt;"&amp;EOMONTH('Faturado mensal'!AJ$2,0))</f>
        <v>0</v>
      </c>
      <c r="AK357" s="9">
        <f>SUMIFS(#REF!,#REF!,
$A357,#REF!,
"&gt;="&amp;'Faturado mensal'!AK$2,#REF!,
"&lt;"&amp;EOMONTH('Faturado mensal'!AK$2,0))</f>
        <v>0</v>
      </c>
      <c r="AL357" s="9">
        <f>SUMIFS(#REF!,#REF!,
$A357,#REF!,
"&gt;="&amp;Z$2,#REF!,
"&lt;"&amp;EOMONTH(AK$2,0))</f>
        <v>24660.880000000001</v>
      </c>
    </row>
    <row r="358" spans="1:38" x14ac:dyDescent="0.3">
      <c r="A358" t="s">
        <v>1021</v>
      </c>
      <c r="B358" t="s">
        <v>1023</v>
      </c>
      <c r="C358" t="s">
        <v>1024</v>
      </c>
      <c r="D358" t="s">
        <v>204</v>
      </c>
      <c r="E358" t="s">
        <v>1037</v>
      </c>
      <c r="F358" t="s">
        <v>4789</v>
      </c>
      <c r="G358" t="s">
        <v>4852</v>
      </c>
      <c r="H358" t="s">
        <v>807</v>
      </c>
      <c r="I358" t="s">
        <v>1022</v>
      </c>
      <c r="J358" t="s">
        <v>1025</v>
      </c>
      <c r="K358" t="s">
        <v>762</v>
      </c>
      <c r="L358" t="s">
        <v>763</v>
      </c>
      <c r="M358" s="9">
        <f>SUMIFS(#REF!,#REF!,
$A358,#REF!,
"&gt;="&amp;'Faturado mensal'!M$2,#REF!,
"&lt;"&amp;EOMONTH('Faturado mensal'!M$2,0))</f>
        <v>0</v>
      </c>
      <c r="N358" s="9">
        <f>SUMIFS(#REF!,#REF!,
$A358,#REF!,
"&gt;="&amp;'Faturado mensal'!N$2,#REF!,
"&lt;"&amp;EOMONTH('Faturado mensal'!N$2,0))</f>
        <v>0</v>
      </c>
      <c r="O358" s="9">
        <f>SUMIFS(#REF!,#REF!,
$A358,#REF!,
"&gt;="&amp;'Faturado mensal'!O$2,#REF!,
"&lt;"&amp;EOMONTH('Faturado mensal'!O$2,0))</f>
        <v>0</v>
      </c>
      <c r="P358" s="9">
        <f>SUMIFS(#REF!,#REF!,
$A358,#REF!,
"&gt;="&amp;'Faturado mensal'!P$2,#REF!,
"&lt;"&amp;EOMONTH('Faturado mensal'!P$2,0))</f>
        <v>0</v>
      </c>
      <c r="Q358" s="9">
        <f>SUMIFS(#REF!,#REF!,
$A358,#REF!,
"&gt;="&amp;'Faturado mensal'!Q$2,#REF!,
"&lt;"&amp;EOMONTH('Faturado mensal'!Q$2,0))</f>
        <v>0</v>
      </c>
      <c r="R358" s="9">
        <f>SUMIFS(#REF!,#REF!,
$A358,#REF!,
"&gt;="&amp;'Faturado mensal'!R$2,#REF!,
"&lt;"&amp;EOMONTH('Faturado mensal'!R$2,0))</f>
        <v>0</v>
      </c>
      <c r="S358" s="9">
        <f>SUMIFS(#REF!,#REF!,
$A358,#REF!,
"&gt;="&amp;'Faturado mensal'!S$2,#REF!,
"&lt;"&amp;EOMONTH('Faturado mensal'!S$2,0))</f>
        <v>0</v>
      </c>
      <c r="T358" s="9">
        <f>SUMIFS(#REF!,#REF!,
$A358,#REF!,
"&gt;="&amp;'Faturado mensal'!T$2,#REF!,
"&lt;"&amp;EOMONTH('Faturado mensal'!T$2,0))</f>
        <v>0</v>
      </c>
      <c r="U358" s="9">
        <f>SUMIFS(#REF!,#REF!,
$A358,#REF!,
"&gt;="&amp;'Faturado mensal'!U$2,#REF!,
"&lt;"&amp;EOMONTH('Faturado mensal'!U$2,0))</f>
        <v>0</v>
      </c>
      <c r="V358" s="9">
        <f>SUMIFS(#REF!,#REF!,
$A358,#REF!,
"&gt;="&amp;'Faturado mensal'!V$2,#REF!,
"&lt;"&amp;EOMONTH('Faturado mensal'!V$2,0))</f>
        <v>0</v>
      </c>
      <c r="W358" s="9">
        <f>SUMIFS(#REF!,#REF!,
$A358,#REF!,
"&gt;="&amp;'Faturado mensal'!W$2,#REF!,
"&lt;"&amp;EOMONTH('Faturado mensal'!W$2,0))</f>
        <v>0</v>
      </c>
      <c r="X358" s="9">
        <f>SUMIFS(#REF!,#REF!,
$A358,#REF!,
"&gt;="&amp;'Faturado mensal'!X$2,#REF!,
"&lt;"&amp;EOMONTH('Faturado mensal'!X$2,0))</f>
        <v>0</v>
      </c>
      <c r="Y358" s="11">
        <f>SUMIFS(#REF!,#REF!,
$A358,#REF!,
"&gt;="&amp;'Faturado mensal'!M$2,#REF!,
"&lt;"&amp;EOMONTH('Faturado mensal'!M$2,12))</f>
        <v>0</v>
      </c>
      <c r="Z358" s="9">
        <f>SUMIFS(#REF!,#REF!,
$A358,#REF!,
"&gt;="&amp;'Faturado mensal'!Z$2,#REF!,
"&lt;"&amp;EOMONTH('Faturado mensal'!Z$2,0))</f>
        <v>0</v>
      </c>
      <c r="AA358" s="9">
        <f>SUMIFS(#REF!,#REF!,
$A358,#REF!,
"&gt;="&amp;'Faturado mensal'!AA$2,#REF!,
"&lt;"&amp;EOMONTH('Faturado mensal'!AA$2,0))</f>
        <v>0</v>
      </c>
      <c r="AB358" s="9">
        <f>SUMIFS(#REF!,#REF!,
$A358,#REF!,
"&gt;="&amp;'Faturado mensal'!AB$2,#REF!,
"&lt;"&amp;EOMONTH('Faturado mensal'!AB$2,0))</f>
        <v>0</v>
      </c>
      <c r="AC358" s="9">
        <f>SUMIFS(#REF!,#REF!,
$A358,#REF!,
"&gt;="&amp;'Faturado mensal'!AC$2,#REF!,
"&lt;"&amp;EOMONTH('Faturado mensal'!AC$2,0))</f>
        <v>0</v>
      </c>
      <c r="AD358" s="9">
        <f>SUMIFS(#REF!,#REF!,
$A358,#REF!,
"&gt;="&amp;'Faturado mensal'!AD$2,#REF!,
"&lt;"&amp;EOMONTH('Faturado mensal'!AD$2,0))</f>
        <v>34091.379999999997</v>
      </c>
      <c r="AE358" s="9">
        <f>SUMIFS(#REF!,#REF!,
$A358,#REF!,
"&gt;="&amp;'Faturado mensal'!AE$2,#REF!,
"&lt;"&amp;EOMONTH('Faturado mensal'!AE$2,0))</f>
        <v>0</v>
      </c>
      <c r="AF358" s="9">
        <f>SUMIFS(#REF!,#REF!,
$A358,#REF!,
"&gt;="&amp;'Faturado mensal'!AF$2,#REF!,
"&lt;"&amp;EOMONTH('Faturado mensal'!AF$2,0))</f>
        <v>0</v>
      </c>
      <c r="AG358" s="9">
        <f>SUMIFS(#REF!,#REF!,
$A358,#REF!,
"&gt;="&amp;'Faturado mensal'!AG$2,#REF!,
"&lt;"&amp;EOMONTH('Faturado mensal'!AG$2,0))</f>
        <v>0</v>
      </c>
      <c r="AH358" s="9">
        <f>SUMIFS(#REF!,#REF!,
$A358,#REF!,
"&gt;="&amp;'Faturado mensal'!AH$2,#REF!,
"&lt;"&amp;EOMONTH('Faturado mensal'!AH$2,0))</f>
        <v>0</v>
      </c>
      <c r="AI358" s="9">
        <f>SUMIFS(#REF!,#REF!,
$A358,#REF!,
"&gt;="&amp;'Faturado mensal'!AI$2,#REF!,
"&lt;"&amp;EOMONTH('Faturado mensal'!AI$2,0))</f>
        <v>0</v>
      </c>
      <c r="AJ358" s="9">
        <f>SUMIFS(#REF!,#REF!,
$A358,#REF!,
"&gt;="&amp;'Faturado mensal'!AJ$2,#REF!,
"&lt;"&amp;EOMONTH('Faturado mensal'!AJ$2,0))</f>
        <v>0</v>
      </c>
      <c r="AK358" s="9">
        <f>SUMIFS(#REF!,#REF!,
$A358,#REF!,
"&gt;="&amp;'Faturado mensal'!AK$2,#REF!,
"&lt;"&amp;EOMONTH('Faturado mensal'!AK$2,0))</f>
        <v>0</v>
      </c>
      <c r="AL358" s="9">
        <f>SUMIFS(#REF!,#REF!,
$A358,#REF!,
"&gt;="&amp;Z$2,#REF!,
"&lt;"&amp;EOMONTH(AK$2,0))</f>
        <v>34091.379999999997</v>
      </c>
    </row>
    <row r="359" spans="1:38" x14ac:dyDescent="0.3">
      <c r="A359" t="s">
        <v>1026</v>
      </c>
      <c r="B359" t="s">
        <v>1028</v>
      </c>
      <c r="C359" t="s">
        <v>1029</v>
      </c>
      <c r="D359" t="s">
        <v>204</v>
      </c>
      <c r="E359" t="s">
        <v>4834</v>
      </c>
      <c r="F359" t="s">
        <v>4809</v>
      </c>
      <c r="G359" t="s">
        <v>4853</v>
      </c>
      <c r="H359" t="s">
        <v>807</v>
      </c>
      <c r="I359" t="s">
        <v>1027</v>
      </c>
      <c r="J359" t="s">
        <v>890</v>
      </c>
      <c r="K359" t="s">
        <v>711</v>
      </c>
      <c r="L359" t="s">
        <v>712</v>
      </c>
      <c r="M359" s="9">
        <f>SUMIFS(#REF!,#REF!,
$A359,#REF!,
"&gt;="&amp;'Faturado mensal'!M$2,#REF!,
"&lt;"&amp;EOMONTH('Faturado mensal'!M$2,0))</f>
        <v>0</v>
      </c>
      <c r="N359" s="9">
        <f>SUMIFS(#REF!,#REF!,
$A359,#REF!,
"&gt;="&amp;'Faturado mensal'!N$2,#REF!,
"&lt;"&amp;EOMONTH('Faturado mensal'!N$2,0))</f>
        <v>0</v>
      </c>
      <c r="O359" s="9">
        <f>SUMIFS(#REF!,#REF!,
$A359,#REF!,
"&gt;="&amp;'Faturado mensal'!O$2,#REF!,
"&lt;"&amp;EOMONTH('Faturado mensal'!O$2,0))</f>
        <v>0</v>
      </c>
      <c r="P359" s="9">
        <f>SUMIFS(#REF!,#REF!,
$A359,#REF!,
"&gt;="&amp;'Faturado mensal'!P$2,#REF!,
"&lt;"&amp;EOMONTH('Faturado mensal'!P$2,0))</f>
        <v>0</v>
      </c>
      <c r="Q359" s="9">
        <f>SUMIFS(#REF!,#REF!,
$A359,#REF!,
"&gt;="&amp;'Faturado mensal'!Q$2,#REF!,
"&lt;"&amp;EOMONTH('Faturado mensal'!Q$2,0))</f>
        <v>0</v>
      </c>
      <c r="R359" s="9">
        <f>SUMIFS(#REF!,#REF!,
$A359,#REF!,
"&gt;="&amp;'Faturado mensal'!R$2,#REF!,
"&lt;"&amp;EOMONTH('Faturado mensal'!R$2,0))</f>
        <v>0</v>
      </c>
      <c r="S359" s="9">
        <f>SUMIFS(#REF!,#REF!,
$A359,#REF!,
"&gt;="&amp;'Faturado mensal'!S$2,#REF!,
"&lt;"&amp;EOMONTH('Faturado mensal'!S$2,0))</f>
        <v>0</v>
      </c>
      <c r="T359" s="9">
        <f>SUMIFS(#REF!,#REF!,
$A359,#REF!,
"&gt;="&amp;'Faturado mensal'!T$2,#REF!,
"&lt;"&amp;EOMONTH('Faturado mensal'!T$2,0))</f>
        <v>0</v>
      </c>
      <c r="U359" s="9">
        <f>SUMIFS(#REF!,#REF!,
$A359,#REF!,
"&gt;="&amp;'Faturado mensal'!U$2,#REF!,
"&lt;"&amp;EOMONTH('Faturado mensal'!U$2,0))</f>
        <v>0</v>
      </c>
      <c r="V359" s="9">
        <f>SUMIFS(#REF!,#REF!,
$A359,#REF!,
"&gt;="&amp;'Faturado mensal'!V$2,#REF!,
"&lt;"&amp;EOMONTH('Faturado mensal'!V$2,0))</f>
        <v>0</v>
      </c>
      <c r="W359" s="9">
        <f>SUMIFS(#REF!,#REF!,
$A359,#REF!,
"&gt;="&amp;'Faturado mensal'!W$2,#REF!,
"&lt;"&amp;EOMONTH('Faturado mensal'!W$2,0))</f>
        <v>0</v>
      </c>
      <c r="X359" s="9">
        <f>SUMIFS(#REF!,#REF!,
$A359,#REF!,
"&gt;="&amp;'Faturado mensal'!X$2,#REF!,
"&lt;"&amp;EOMONTH('Faturado mensal'!X$2,0))</f>
        <v>0</v>
      </c>
      <c r="Y359" s="11">
        <f>SUMIFS(#REF!,#REF!,
$A359,#REF!,
"&gt;="&amp;'Faturado mensal'!M$2,#REF!,
"&lt;"&amp;EOMONTH('Faturado mensal'!M$2,12))</f>
        <v>0</v>
      </c>
      <c r="Z359" s="9">
        <f>SUMIFS(#REF!,#REF!,
$A359,#REF!,
"&gt;="&amp;'Faturado mensal'!Z$2,#REF!,
"&lt;"&amp;EOMONTH('Faturado mensal'!Z$2,0))</f>
        <v>0</v>
      </c>
      <c r="AA359" s="9">
        <f>SUMIFS(#REF!,#REF!,
$A359,#REF!,
"&gt;="&amp;'Faturado mensal'!AA$2,#REF!,
"&lt;"&amp;EOMONTH('Faturado mensal'!AA$2,0))</f>
        <v>0</v>
      </c>
      <c r="AB359" s="9">
        <f>SUMIFS(#REF!,#REF!,
$A359,#REF!,
"&gt;="&amp;'Faturado mensal'!AB$2,#REF!,
"&lt;"&amp;EOMONTH('Faturado mensal'!AB$2,0))</f>
        <v>0</v>
      </c>
      <c r="AC359" s="9">
        <f>SUMIFS(#REF!,#REF!,
$A359,#REF!,
"&gt;="&amp;'Faturado mensal'!AC$2,#REF!,
"&lt;"&amp;EOMONTH('Faturado mensal'!AC$2,0))</f>
        <v>0</v>
      </c>
      <c r="AD359" s="9">
        <f>SUMIFS(#REF!,#REF!,
$A359,#REF!,
"&gt;="&amp;'Faturado mensal'!AD$2,#REF!,
"&lt;"&amp;EOMONTH('Faturado mensal'!AD$2,0))</f>
        <v>4385.2</v>
      </c>
      <c r="AE359" s="9">
        <f>SUMIFS(#REF!,#REF!,
$A359,#REF!,
"&gt;="&amp;'Faturado mensal'!AE$2,#REF!,
"&lt;"&amp;EOMONTH('Faturado mensal'!AE$2,0))</f>
        <v>3504.8</v>
      </c>
      <c r="AF359" s="9">
        <f>SUMIFS(#REF!,#REF!,
$A359,#REF!,
"&gt;="&amp;'Faturado mensal'!AF$2,#REF!,
"&lt;"&amp;EOMONTH('Faturado mensal'!AF$2,0))</f>
        <v>0</v>
      </c>
      <c r="AG359" s="9">
        <f>SUMIFS(#REF!,#REF!,
$A359,#REF!,
"&gt;="&amp;'Faturado mensal'!AG$2,#REF!,
"&lt;"&amp;EOMONTH('Faturado mensal'!AG$2,0))</f>
        <v>0</v>
      </c>
      <c r="AH359" s="9">
        <f>SUMIFS(#REF!,#REF!,
$A359,#REF!,
"&gt;="&amp;'Faturado mensal'!AH$2,#REF!,
"&lt;"&amp;EOMONTH('Faturado mensal'!AH$2,0))</f>
        <v>0</v>
      </c>
      <c r="AI359" s="9">
        <f>SUMIFS(#REF!,#REF!,
$A359,#REF!,
"&gt;="&amp;'Faturado mensal'!AI$2,#REF!,
"&lt;"&amp;EOMONTH('Faturado mensal'!AI$2,0))</f>
        <v>0</v>
      </c>
      <c r="AJ359" s="9">
        <f>SUMIFS(#REF!,#REF!,
$A359,#REF!,
"&gt;="&amp;'Faturado mensal'!AJ$2,#REF!,
"&lt;"&amp;EOMONTH('Faturado mensal'!AJ$2,0))</f>
        <v>0</v>
      </c>
      <c r="AK359" s="9">
        <f>SUMIFS(#REF!,#REF!,
$A359,#REF!,
"&gt;="&amp;'Faturado mensal'!AK$2,#REF!,
"&lt;"&amp;EOMONTH('Faturado mensal'!AK$2,0))</f>
        <v>0</v>
      </c>
      <c r="AL359" s="9">
        <f>SUMIFS(#REF!,#REF!,
$A359,#REF!,
"&gt;="&amp;Z$2,#REF!,
"&lt;"&amp;EOMONTH(AK$2,0))</f>
        <v>7890</v>
      </c>
    </row>
    <row r="360" spans="1:38" x14ac:dyDescent="0.3">
      <c r="A360" t="s">
        <v>1030</v>
      </c>
      <c r="B360" t="s">
        <v>1031</v>
      </c>
      <c r="C360" t="s">
        <v>1032</v>
      </c>
      <c r="D360" t="s">
        <v>204</v>
      </c>
      <c r="E360" t="s">
        <v>4843</v>
      </c>
      <c r="F360" t="s">
        <v>4809</v>
      </c>
      <c r="G360" t="s">
        <v>4854</v>
      </c>
      <c r="H360" t="s">
        <v>807</v>
      </c>
      <c r="I360" t="s">
        <v>4458</v>
      </c>
      <c r="J360" t="s">
        <v>710</v>
      </c>
      <c r="K360" t="s">
        <v>720</v>
      </c>
      <c r="L360" t="s">
        <v>721</v>
      </c>
      <c r="M360" s="9">
        <f>SUMIFS(#REF!,#REF!,
$A360,#REF!,
"&gt;="&amp;'Faturado mensal'!M$2,#REF!,
"&lt;"&amp;EOMONTH('Faturado mensal'!M$2,0))</f>
        <v>0</v>
      </c>
      <c r="N360" s="9">
        <f>SUMIFS(#REF!,#REF!,
$A360,#REF!,
"&gt;="&amp;'Faturado mensal'!N$2,#REF!,
"&lt;"&amp;EOMONTH('Faturado mensal'!N$2,0))</f>
        <v>0</v>
      </c>
      <c r="O360" s="9">
        <f>SUMIFS(#REF!,#REF!,
$A360,#REF!,
"&gt;="&amp;'Faturado mensal'!O$2,#REF!,
"&lt;"&amp;EOMONTH('Faturado mensal'!O$2,0))</f>
        <v>0</v>
      </c>
      <c r="P360" s="9">
        <f>SUMIFS(#REF!,#REF!,
$A360,#REF!,
"&gt;="&amp;'Faturado mensal'!P$2,#REF!,
"&lt;"&amp;EOMONTH('Faturado mensal'!P$2,0))</f>
        <v>0</v>
      </c>
      <c r="Q360" s="9">
        <f>SUMIFS(#REF!,#REF!,
$A360,#REF!,
"&gt;="&amp;'Faturado mensal'!Q$2,#REF!,
"&lt;"&amp;EOMONTH('Faturado mensal'!Q$2,0))</f>
        <v>0</v>
      </c>
      <c r="R360" s="9">
        <f>SUMIFS(#REF!,#REF!,
$A360,#REF!,
"&gt;="&amp;'Faturado mensal'!R$2,#REF!,
"&lt;"&amp;EOMONTH('Faturado mensal'!R$2,0))</f>
        <v>0</v>
      </c>
      <c r="S360" s="9">
        <f>SUMIFS(#REF!,#REF!,
$A360,#REF!,
"&gt;="&amp;'Faturado mensal'!S$2,#REF!,
"&lt;"&amp;EOMONTH('Faturado mensal'!S$2,0))</f>
        <v>0</v>
      </c>
      <c r="T360" s="9">
        <f>SUMIFS(#REF!,#REF!,
$A360,#REF!,
"&gt;="&amp;'Faturado mensal'!T$2,#REF!,
"&lt;"&amp;EOMONTH('Faturado mensal'!T$2,0))</f>
        <v>0</v>
      </c>
      <c r="U360" s="9">
        <f>SUMIFS(#REF!,#REF!,
$A360,#REF!,
"&gt;="&amp;'Faturado mensal'!U$2,#REF!,
"&lt;"&amp;EOMONTH('Faturado mensal'!U$2,0))</f>
        <v>0</v>
      </c>
      <c r="V360" s="9">
        <f>SUMIFS(#REF!,#REF!,
$A360,#REF!,
"&gt;="&amp;'Faturado mensal'!V$2,#REF!,
"&lt;"&amp;EOMONTH('Faturado mensal'!V$2,0))</f>
        <v>0</v>
      </c>
      <c r="W360" s="9">
        <f>SUMIFS(#REF!,#REF!,
$A360,#REF!,
"&gt;="&amp;'Faturado mensal'!W$2,#REF!,
"&lt;"&amp;EOMONTH('Faturado mensal'!W$2,0))</f>
        <v>0</v>
      </c>
      <c r="X360" s="9">
        <f>SUMIFS(#REF!,#REF!,
$A360,#REF!,
"&gt;="&amp;'Faturado mensal'!X$2,#REF!,
"&lt;"&amp;EOMONTH('Faturado mensal'!X$2,0))</f>
        <v>0</v>
      </c>
      <c r="Y360" s="11">
        <f>SUMIFS(#REF!,#REF!,
$A360,#REF!,
"&gt;="&amp;'Faturado mensal'!M$2,#REF!,
"&lt;"&amp;EOMONTH('Faturado mensal'!M$2,12))</f>
        <v>0</v>
      </c>
      <c r="Z360" s="9">
        <f>SUMIFS(#REF!,#REF!,
$A360,#REF!,
"&gt;="&amp;'Faturado mensal'!Z$2,#REF!,
"&lt;"&amp;EOMONTH('Faturado mensal'!Z$2,0))</f>
        <v>0</v>
      </c>
      <c r="AA360" s="9">
        <f>SUMIFS(#REF!,#REF!,
$A360,#REF!,
"&gt;="&amp;'Faturado mensal'!AA$2,#REF!,
"&lt;"&amp;EOMONTH('Faturado mensal'!AA$2,0))</f>
        <v>0</v>
      </c>
      <c r="AB360" s="9">
        <f>SUMIFS(#REF!,#REF!,
$A360,#REF!,
"&gt;="&amp;'Faturado mensal'!AB$2,#REF!,
"&lt;"&amp;EOMONTH('Faturado mensal'!AB$2,0))</f>
        <v>0</v>
      </c>
      <c r="AC360" s="9">
        <f>SUMIFS(#REF!,#REF!,
$A360,#REF!,
"&gt;="&amp;'Faturado mensal'!AC$2,#REF!,
"&lt;"&amp;EOMONTH('Faturado mensal'!AC$2,0))</f>
        <v>0</v>
      </c>
      <c r="AD360" s="9">
        <f>SUMIFS(#REF!,#REF!,
$A360,#REF!,
"&gt;="&amp;'Faturado mensal'!AD$2,#REF!,
"&lt;"&amp;EOMONTH('Faturado mensal'!AD$2,0))</f>
        <v>0</v>
      </c>
      <c r="AE360" s="9">
        <f>SUMIFS(#REF!,#REF!,
$A360,#REF!,
"&gt;="&amp;'Faturado mensal'!AE$2,#REF!,
"&lt;"&amp;EOMONTH('Faturado mensal'!AE$2,0))</f>
        <v>10260</v>
      </c>
      <c r="AF360" s="9">
        <f>SUMIFS(#REF!,#REF!,
$A360,#REF!,
"&gt;="&amp;'Faturado mensal'!AF$2,#REF!,
"&lt;"&amp;EOMONTH('Faturado mensal'!AF$2,0))</f>
        <v>0</v>
      </c>
      <c r="AG360" s="9">
        <f>SUMIFS(#REF!,#REF!,
$A360,#REF!,
"&gt;="&amp;'Faturado mensal'!AG$2,#REF!,
"&lt;"&amp;EOMONTH('Faturado mensal'!AG$2,0))</f>
        <v>0</v>
      </c>
      <c r="AH360" s="9">
        <f>SUMIFS(#REF!,#REF!,
$A360,#REF!,
"&gt;="&amp;'Faturado mensal'!AH$2,#REF!,
"&lt;"&amp;EOMONTH('Faturado mensal'!AH$2,0))</f>
        <v>0</v>
      </c>
      <c r="AI360" s="9">
        <f>SUMIFS(#REF!,#REF!,
$A360,#REF!,
"&gt;="&amp;'Faturado mensal'!AI$2,#REF!,
"&lt;"&amp;EOMONTH('Faturado mensal'!AI$2,0))</f>
        <v>0</v>
      </c>
      <c r="AJ360" s="9">
        <f>SUMIFS(#REF!,#REF!,
$A360,#REF!,
"&gt;="&amp;'Faturado mensal'!AJ$2,#REF!,
"&lt;"&amp;EOMONTH('Faturado mensal'!AJ$2,0))</f>
        <v>0</v>
      </c>
      <c r="AK360" s="9">
        <f>SUMIFS(#REF!,#REF!,
$A360,#REF!,
"&gt;="&amp;'Faturado mensal'!AK$2,#REF!,
"&lt;"&amp;EOMONTH('Faturado mensal'!AK$2,0))</f>
        <v>0</v>
      </c>
      <c r="AL360" s="9">
        <f>SUMIFS(#REF!,#REF!,
$A360,#REF!,
"&gt;="&amp;Z$2,#REF!,
"&lt;"&amp;EOMONTH(AK$2,0))</f>
        <v>10260</v>
      </c>
    </row>
    <row r="361" spans="1:38" x14ac:dyDescent="0.3">
      <c r="A361" t="s">
        <v>4459</v>
      </c>
      <c r="B361" t="s">
        <v>435</v>
      </c>
      <c r="C361" t="s">
        <v>30</v>
      </c>
      <c r="D361" t="s">
        <v>204</v>
      </c>
      <c r="E361" t="s">
        <v>1036</v>
      </c>
      <c r="F361" t="s">
        <v>4787</v>
      </c>
      <c r="G361" t="s">
        <v>4853</v>
      </c>
      <c r="H361" t="s">
        <v>807</v>
      </c>
      <c r="I361" t="s">
        <v>4460</v>
      </c>
      <c r="J361" t="s">
        <v>998</v>
      </c>
      <c r="K361" t="s">
        <v>711</v>
      </c>
      <c r="L361" t="s">
        <v>712</v>
      </c>
      <c r="M361" s="9">
        <f>SUMIFS(#REF!,#REF!,
$A361,#REF!,
"&gt;="&amp;'Faturado mensal'!M$2,#REF!,
"&lt;"&amp;EOMONTH('Faturado mensal'!M$2,0))</f>
        <v>0</v>
      </c>
      <c r="N361" s="9">
        <f>SUMIFS(#REF!,#REF!,
$A361,#REF!,
"&gt;="&amp;'Faturado mensal'!N$2,#REF!,
"&lt;"&amp;EOMONTH('Faturado mensal'!N$2,0))</f>
        <v>0</v>
      </c>
      <c r="O361" s="9">
        <f>SUMIFS(#REF!,#REF!,
$A361,#REF!,
"&gt;="&amp;'Faturado mensal'!O$2,#REF!,
"&lt;"&amp;EOMONTH('Faturado mensal'!O$2,0))</f>
        <v>0</v>
      </c>
      <c r="P361" s="9">
        <f>SUMIFS(#REF!,#REF!,
$A361,#REF!,
"&gt;="&amp;'Faturado mensal'!P$2,#REF!,
"&lt;"&amp;EOMONTH('Faturado mensal'!P$2,0))</f>
        <v>0</v>
      </c>
      <c r="Q361" s="9">
        <f>SUMIFS(#REF!,#REF!,
$A361,#REF!,
"&gt;="&amp;'Faturado mensal'!Q$2,#REF!,
"&lt;"&amp;EOMONTH('Faturado mensal'!Q$2,0))</f>
        <v>0</v>
      </c>
      <c r="R361" s="9">
        <f>SUMIFS(#REF!,#REF!,
$A361,#REF!,
"&gt;="&amp;'Faturado mensal'!R$2,#REF!,
"&lt;"&amp;EOMONTH('Faturado mensal'!R$2,0))</f>
        <v>0</v>
      </c>
      <c r="S361" s="9">
        <f>SUMIFS(#REF!,#REF!,
$A361,#REF!,
"&gt;="&amp;'Faturado mensal'!S$2,#REF!,
"&lt;"&amp;EOMONTH('Faturado mensal'!S$2,0))</f>
        <v>0</v>
      </c>
      <c r="T361" s="9">
        <f>SUMIFS(#REF!,#REF!,
$A361,#REF!,
"&gt;="&amp;'Faturado mensal'!T$2,#REF!,
"&lt;"&amp;EOMONTH('Faturado mensal'!T$2,0))</f>
        <v>0</v>
      </c>
      <c r="U361" s="9">
        <f>SUMIFS(#REF!,#REF!,
$A361,#REF!,
"&gt;="&amp;'Faturado mensal'!U$2,#REF!,
"&lt;"&amp;EOMONTH('Faturado mensal'!U$2,0))</f>
        <v>0</v>
      </c>
      <c r="V361" s="9">
        <f>SUMIFS(#REF!,#REF!,
$A361,#REF!,
"&gt;="&amp;'Faturado mensal'!V$2,#REF!,
"&lt;"&amp;EOMONTH('Faturado mensal'!V$2,0))</f>
        <v>0</v>
      </c>
      <c r="W361" s="9">
        <f>SUMIFS(#REF!,#REF!,
$A361,#REF!,
"&gt;="&amp;'Faturado mensal'!W$2,#REF!,
"&lt;"&amp;EOMONTH('Faturado mensal'!W$2,0))</f>
        <v>0</v>
      </c>
      <c r="X361" s="9">
        <f>SUMIFS(#REF!,#REF!,
$A361,#REF!,
"&gt;="&amp;'Faturado mensal'!X$2,#REF!,
"&lt;"&amp;EOMONTH('Faturado mensal'!X$2,0))</f>
        <v>0</v>
      </c>
      <c r="Y361" s="11">
        <f>SUMIFS(#REF!,#REF!,
$A361,#REF!,
"&gt;="&amp;'Faturado mensal'!M$2,#REF!,
"&lt;"&amp;EOMONTH('Faturado mensal'!M$2,12))</f>
        <v>0</v>
      </c>
      <c r="Z361" s="9">
        <f>SUMIFS(#REF!,#REF!,
$A361,#REF!,
"&gt;="&amp;'Faturado mensal'!Z$2,#REF!,
"&lt;"&amp;EOMONTH('Faturado mensal'!Z$2,0))</f>
        <v>0</v>
      </c>
      <c r="AA361" s="9">
        <f>SUMIFS(#REF!,#REF!,
$A361,#REF!,
"&gt;="&amp;'Faturado mensal'!AA$2,#REF!,
"&lt;"&amp;EOMONTH('Faturado mensal'!AA$2,0))</f>
        <v>0</v>
      </c>
      <c r="AB361" s="9">
        <f>SUMIFS(#REF!,#REF!,
$A361,#REF!,
"&gt;="&amp;'Faturado mensal'!AB$2,#REF!,
"&lt;"&amp;EOMONTH('Faturado mensal'!AB$2,0))</f>
        <v>0</v>
      </c>
      <c r="AC361" s="9">
        <f>SUMIFS(#REF!,#REF!,
$A361,#REF!,
"&gt;="&amp;'Faturado mensal'!AC$2,#REF!,
"&lt;"&amp;EOMONTH('Faturado mensal'!AC$2,0))</f>
        <v>0</v>
      </c>
      <c r="AD361" s="9">
        <f>SUMIFS(#REF!,#REF!,
$A361,#REF!,
"&gt;="&amp;'Faturado mensal'!AD$2,#REF!,
"&lt;"&amp;EOMONTH('Faturado mensal'!AD$2,0))</f>
        <v>0</v>
      </c>
      <c r="AE361" s="9">
        <f>SUMIFS(#REF!,#REF!,
$A361,#REF!,
"&gt;="&amp;'Faturado mensal'!AE$2,#REF!,
"&lt;"&amp;EOMONTH('Faturado mensal'!AE$2,0))</f>
        <v>193991.66</v>
      </c>
      <c r="AF361" s="9">
        <f>SUMIFS(#REF!,#REF!,
$A361,#REF!,
"&gt;="&amp;'Faturado mensal'!AF$2,#REF!,
"&lt;"&amp;EOMONTH('Faturado mensal'!AF$2,0))</f>
        <v>0</v>
      </c>
      <c r="AG361" s="9">
        <f>SUMIFS(#REF!,#REF!,
$A361,#REF!,
"&gt;="&amp;'Faturado mensal'!AG$2,#REF!,
"&lt;"&amp;EOMONTH('Faturado mensal'!AG$2,0))</f>
        <v>0</v>
      </c>
      <c r="AH361" s="9">
        <f>SUMIFS(#REF!,#REF!,
$A361,#REF!,
"&gt;="&amp;'Faturado mensal'!AH$2,#REF!,
"&lt;"&amp;EOMONTH('Faturado mensal'!AH$2,0))</f>
        <v>0</v>
      </c>
      <c r="AI361" s="9">
        <f>SUMIFS(#REF!,#REF!,
$A361,#REF!,
"&gt;="&amp;'Faturado mensal'!AI$2,#REF!,
"&lt;"&amp;EOMONTH('Faturado mensal'!AI$2,0))</f>
        <v>0</v>
      </c>
      <c r="AJ361" s="9">
        <f>SUMIFS(#REF!,#REF!,
$A361,#REF!,
"&gt;="&amp;'Faturado mensal'!AJ$2,#REF!,
"&lt;"&amp;EOMONTH('Faturado mensal'!AJ$2,0))</f>
        <v>0</v>
      </c>
      <c r="AK361" s="9">
        <f>SUMIFS(#REF!,#REF!,
$A361,#REF!,
"&gt;="&amp;'Faturado mensal'!AK$2,#REF!,
"&lt;"&amp;EOMONTH('Faturado mensal'!AK$2,0))</f>
        <v>0</v>
      </c>
      <c r="AL361" s="9">
        <f>SUMIFS(#REF!,#REF!,
$A361,#REF!,
"&gt;="&amp;Z$2,#REF!,
"&lt;"&amp;EOMONTH(AK$2,0))</f>
        <v>193991.66</v>
      </c>
    </row>
    <row r="362" spans="1:38" x14ac:dyDescent="0.3">
      <c r="A362" t="s">
        <v>4461</v>
      </c>
      <c r="B362" t="s">
        <v>435</v>
      </c>
      <c r="C362" t="s">
        <v>30</v>
      </c>
      <c r="D362" t="s">
        <v>204</v>
      </c>
      <c r="E362" t="s">
        <v>1040</v>
      </c>
      <c r="F362" t="s">
        <v>4787</v>
      </c>
      <c r="G362" t="s">
        <v>4856</v>
      </c>
      <c r="H362" t="s">
        <v>807</v>
      </c>
      <c r="I362" t="s">
        <v>4460</v>
      </c>
      <c r="J362" t="s">
        <v>998</v>
      </c>
      <c r="K362" t="s">
        <v>748</v>
      </c>
      <c r="L362" t="s">
        <v>749</v>
      </c>
      <c r="M362" s="9">
        <f>SUMIFS(#REF!,#REF!,
$A362,#REF!,
"&gt;="&amp;'Faturado mensal'!M$2,#REF!,
"&lt;"&amp;EOMONTH('Faturado mensal'!M$2,0))</f>
        <v>0</v>
      </c>
      <c r="N362" s="9">
        <f>SUMIFS(#REF!,#REF!,
$A362,#REF!,
"&gt;="&amp;'Faturado mensal'!N$2,#REF!,
"&lt;"&amp;EOMONTH('Faturado mensal'!N$2,0))</f>
        <v>0</v>
      </c>
      <c r="O362" s="9">
        <f>SUMIFS(#REF!,#REF!,
$A362,#REF!,
"&gt;="&amp;'Faturado mensal'!O$2,#REF!,
"&lt;"&amp;EOMONTH('Faturado mensal'!O$2,0))</f>
        <v>0</v>
      </c>
      <c r="P362" s="9">
        <f>SUMIFS(#REF!,#REF!,
$A362,#REF!,
"&gt;="&amp;'Faturado mensal'!P$2,#REF!,
"&lt;"&amp;EOMONTH('Faturado mensal'!P$2,0))</f>
        <v>0</v>
      </c>
      <c r="Q362" s="9">
        <f>SUMIFS(#REF!,#REF!,
$A362,#REF!,
"&gt;="&amp;'Faturado mensal'!Q$2,#REF!,
"&lt;"&amp;EOMONTH('Faturado mensal'!Q$2,0))</f>
        <v>0</v>
      </c>
      <c r="R362" s="9">
        <f>SUMIFS(#REF!,#REF!,
$A362,#REF!,
"&gt;="&amp;'Faturado mensal'!R$2,#REF!,
"&lt;"&amp;EOMONTH('Faturado mensal'!R$2,0))</f>
        <v>0</v>
      </c>
      <c r="S362" s="9">
        <f>SUMIFS(#REF!,#REF!,
$A362,#REF!,
"&gt;="&amp;'Faturado mensal'!S$2,#REF!,
"&lt;"&amp;EOMONTH('Faturado mensal'!S$2,0))</f>
        <v>0</v>
      </c>
      <c r="T362" s="9">
        <f>SUMIFS(#REF!,#REF!,
$A362,#REF!,
"&gt;="&amp;'Faturado mensal'!T$2,#REF!,
"&lt;"&amp;EOMONTH('Faturado mensal'!T$2,0))</f>
        <v>0</v>
      </c>
      <c r="U362" s="9">
        <f>SUMIFS(#REF!,#REF!,
$A362,#REF!,
"&gt;="&amp;'Faturado mensal'!U$2,#REF!,
"&lt;"&amp;EOMONTH('Faturado mensal'!U$2,0))</f>
        <v>0</v>
      </c>
      <c r="V362" s="9">
        <f>SUMIFS(#REF!,#REF!,
$A362,#REF!,
"&gt;="&amp;'Faturado mensal'!V$2,#REF!,
"&lt;"&amp;EOMONTH('Faturado mensal'!V$2,0))</f>
        <v>0</v>
      </c>
      <c r="W362" s="9">
        <f>SUMIFS(#REF!,#REF!,
$A362,#REF!,
"&gt;="&amp;'Faturado mensal'!W$2,#REF!,
"&lt;"&amp;EOMONTH('Faturado mensal'!W$2,0))</f>
        <v>0</v>
      </c>
      <c r="X362" s="9">
        <f>SUMIFS(#REF!,#REF!,
$A362,#REF!,
"&gt;="&amp;'Faturado mensal'!X$2,#REF!,
"&lt;"&amp;EOMONTH('Faturado mensal'!X$2,0))</f>
        <v>0</v>
      </c>
      <c r="Y362" s="11">
        <f>SUMIFS(#REF!,#REF!,
$A362,#REF!,
"&gt;="&amp;'Faturado mensal'!M$2,#REF!,
"&lt;"&amp;EOMONTH('Faturado mensal'!M$2,12))</f>
        <v>0</v>
      </c>
      <c r="Z362" s="9">
        <f>SUMIFS(#REF!,#REF!,
$A362,#REF!,
"&gt;="&amp;'Faturado mensal'!Z$2,#REF!,
"&lt;"&amp;EOMONTH('Faturado mensal'!Z$2,0))</f>
        <v>0</v>
      </c>
      <c r="AA362" s="9">
        <f>SUMIFS(#REF!,#REF!,
$A362,#REF!,
"&gt;="&amp;'Faturado mensal'!AA$2,#REF!,
"&lt;"&amp;EOMONTH('Faturado mensal'!AA$2,0))</f>
        <v>0</v>
      </c>
      <c r="AB362" s="9">
        <f>SUMIFS(#REF!,#REF!,
$A362,#REF!,
"&gt;="&amp;'Faturado mensal'!AB$2,#REF!,
"&lt;"&amp;EOMONTH('Faturado mensal'!AB$2,0))</f>
        <v>0</v>
      </c>
      <c r="AC362" s="9">
        <f>SUMIFS(#REF!,#REF!,
$A362,#REF!,
"&gt;="&amp;'Faturado mensal'!AC$2,#REF!,
"&lt;"&amp;EOMONTH('Faturado mensal'!AC$2,0))</f>
        <v>0</v>
      </c>
      <c r="AD362" s="9">
        <f>SUMIFS(#REF!,#REF!,
$A362,#REF!,
"&gt;="&amp;'Faturado mensal'!AD$2,#REF!,
"&lt;"&amp;EOMONTH('Faturado mensal'!AD$2,0))</f>
        <v>0</v>
      </c>
      <c r="AE362" s="9">
        <f>SUMIFS(#REF!,#REF!,
$A362,#REF!,
"&gt;="&amp;'Faturado mensal'!AE$2,#REF!,
"&lt;"&amp;EOMONTH('Faturado mensal'!AE$2,0))</f>
        <v>70358.98</v>
      </c>
      <c r="AF362" s="9">
        <f>SUMIFS(#REF!,#REF!,
$A362,#REF!,
"&gt;="&amp;'Faturado mensal'!AF$2,#REF!,
"&lt;"&amp;EOMONTH('Faturado mensal'!AF$2,0))</f>
        <v>0</v>
      </c>
      <c r="AG362" s="9">
        <f>SUMIFS(#REF!,#REF!,
$A362,#REF!,
"&gt;="&amp;'Faturado mensal'!AG$2,#REF!,
"&lt;"&amp;EOMONTH('Faturado mensal'!AG$2,0))</f>
        <v>0</v>
      </c>
      <c r="AH362" s="9">
        <f>SUMIFS(#REF!,#REF!,
$A362,#REF!,
"&gt;="&amp;'Faturado mensal'!AH$2,#REF!,
"&lt;"&amp;EOMONTH('Faturado mensal'!AH$2,0))</f>
        <v>0</v>
      </c>
      <c r="AI362" s="9">
        <f>SUMIFS(#REF!,#REF!,
$A362,#REF!,
"&gt;="&amp;'Faturado mensal'!AI$2,#REF!,
"&lt;"&amp;EOMONTH('Faturado mensal'!AI$2,0))</f>
        <v>0</v>
      </c>
      <c r="AJ362" s="9">
        <f>SUMIFS(#REF!,#REF!,
$A362,#REF!,
"&gt;="&amp;'Faturado mensal'!AJ$2,#REF!,
"&lt;"&amp;EOMONTH('Faturado mensal'!AJ$2,0))</f>
        <v>0</v>
      </c>
      <c r="AK362" s="9">
        <f>SUMIFS(#REF!,#REF!,
$A362,#REF!,
"&gt;="&amp;'Faturado mensal'!AK$2,#REF!,
"&lt;"&amp;EOMONTH('Faturado mensal'!AK$2,0))</f>
        <v>0</v>
      </c>
      <c r="AL362" s="9">
        <f>SUMIFS(#REF!,#REF!,
$A362,#REF!,
"&gt;="&amp;Z$2,#REF!,
"&lt;"&amp;EOMONTH(AK$2,0))</f>
        <v>70358.98</v>
      </c>
    </row>
    <row r="368" spans="1:38" x14ac:dyDescent="0.3">
      <c r="L368" s="2" t="s">
        <v>4438</v>
      </c>
      <c r="Z368" s="2"/>
    </row>
    <row r="369" spans="12:26" x14ac:dyDescent="0.3">
      <c r="L369" s="2">
        <v>0</v>
      </c>
      <c r="Z369" s="2"/>
    </row>
    <row r="370" spans="12:26" x14ac:dyDescent="0.3">
      <c r="L370" s="2">
        <v>0</v>
      </c>
      <c r="Z370" s="2"/>
    </row>
    <row r="371" spans="12:26" x14ac:dyDescent="0.3">
      <c r="L371" s="2">
        <v>0</v>
      </c>
      <c r="Z371" s="2"/>
    </row>
    <row r="372" spans="12:26" x14ac:dyDescent="0.3">
      <c r="L372" s="2">
        <v>0</v>
      </c>
      <c r="Z372" s="2"/>
    </row>
    <row r="373" spans="12:26" x14ac:dyDescent="0.3">
      <c r="L373" s="2">
        <v>0</v>
      </c>
      <c r="Z373" s="2"/>
    </row>
    <row r="374" spans="12:26" x14ac:dyDescent="0.3">
      <c r="L374" s="2">
        <v>0</v>
      </c>
      <c r="Z374" s="2"/>
    </row>
    <row r="375" spans="12:26" x14ac:dyDescent="0.3">
      <c r="L375" s="2">
        <v>0</v>
      </c>
      <c r="Z375" s="2"/>
    </row>
    <row r="376" spans="12:26" x14ac:dyDescent="0.3">
      <c r="L376" s="2">
        <v>0</v>
      </c>
      <c r="Z376" s="2"/>
    </row>
  </sheetData>
  <sortState xmlns:xlrd2="http://schemas.microsoft.com/office/spreadsheetml/2017/richdata2" ref="A369:H376">
    <sortCondition descending="1" ref="H368:H376"/>
  </sortState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7429-1C45-4E71-8359-D0888D822655}">
  <sheetPr codeName="Planilha7">
    <tabColor theme="5"/>
  </sheetPr>
  <dimension ref="A1:N363"/>
  <sheetViews>
    <sheetView tabSelected="1" topLeftCell="B1" workbookViewId="0">
      <pane ySplit="3" topLeftCell="A4" activePane="bottomLeft" state="frozen"/>
      <selection pane="bottomLeft" activeCell="I4" sqref="I4"/>
    </sheetView>
  </sheetViews>
  <sheetFormatPr defaultRowHeight="14.4" x14ac:dyDescent="0.3"/>
  <cols>
    <col min="1" max="1" width="11.6640625" bestFit="1" customWidth="1"/>
    <col min="2" max="2" width="15.109375" bestFit="1" customWidth="1"/>
    <col min="3" max="3" width="37.88671875" bestFit="1" customWidth="1"/>
    <col min="4" max="4" width="29.6640625" bestFit="1" customWidth="1"/>
    <col min="5" max="5" width="35.5546875" bestFit="1" customWidth="1"/>
    <col min="6" max="6" width="26.21875" customWidth="1"/>
    <col min="7" max="7" width="11.6640625" bestFit="1" customWidth="1"/>
    <col min="8" max="8" width="9.5546875" bestFit="1" customWidth="1"/>
    <col min="9" max="9" width="13" bestFit="1" customWidth="1"/>
    <col min="10" max="10" width="11.44140625" bestFit="1" customWidth="1"/>
    <col min="13" max="13" width="10.5546875" bestFit="1" customWidth="1"/>
    <col min="14" max="14" width="10.21875" bestFit="1" customWidth="1"/>
  </cols>
  <sheetData>
    <row r="1" spans="1:14" x14ac:dyDescent="0.3">
      <c r="A1" s="8">
        <f>SUBTOTAL(3,COMPL[contrato])</f>
        <v>360</v>
      </c>
      <c r="B1" s="8">
        <f>SUBTOTAL(3,COMPL[pn_fornecedor])-$A$1</f>
        <v>0</v>
      </c>
      <c r="C1" s="8">
        <f>SUBTOTAL(3,COMPL[descricao_fornecedor])-$A$1</f>
        <v>0</v>
      </c>
      <c r="D1" s="8">
        <f>SUBTOTAL(3,COMPL[departamento])-$A$1</f>
        <v>-117</v>
      </c>
      <c r="E1" s="8">
        <f>SUBTOTAL(3,COMPL[família])-$A$1</f>
        <v>-112</v>
      </c>
      <c r="F1" s="8">
        <f>SUBTOTAL(3,COMPL[gestão])-$A$1</f>
        <v>-43</v>
      </c>
      <c r="G1" s="8">
        <f>SUBTOTAL(3,COMPL[curva])-$A$1</f>
        <v>-69</v>
      </c>
      <c r="H1" s="8">
        <f>SUBTOTAL(3,COMPL[STATUS])-$A$1</f>
        <v>0</v>
      </c>
      <c r="I1" s="8">
        <f>SUBTOTAL(3,COMPL[vencimento])-$A$1</f>
        <v>0</v>
      </c>
    </row>
    <row r="2" spans="1:14" ht="5.4" customHeight="1" x14ac:dyDescent="0.3"/>
    <row r="3" spans="1:14" x14ac:dyDescent="0.3">
      <c r="A3" s="3" t="s">
        <v>700</v>
      </c>
      <c r="B3" s="3" t="s">
        <v>701</v>
      </c>
      <c r="C3" s="3" t="s">
        <v>702</v>
      </c>
      <c r="D3" s="4" t="s">
        <v>4767</v>
      </c>
      <c r="E3" s="4" t="s">
        <v>4768</v>
      </c>
      <c r="F3" s="4" t="s">
        <v>4770</v>
      </c>
      <c r="G3" s="4" t="s">
        <v>4769</v>
      </c>
      <c r="H3" s="4" t="s">
        <v>4775</v>
      </c>
      <c r="I3" s="4" t="s">
        <v>4928</v>
      </c>
      <c r="J3" s="4" t="s">
        <v>4929</v>
      </c>
      <c r="M3" s="10" t="s">
        <v>4871</v>
      </c>
      <c r="N3" s="10" t="s">
        <v>4872</v>
      </c>
    </row>
    <row r="4" spans="1:14" x14ac:dyDescent="0.3">
      <c r="A4" s="5" t="s">
        <v>707</v>
      </c>
      <c r="B4" s="5" t="s">
        <v>708</v>
      </c>
      <c r="C4" s="5" t="s">
        <v>709</v>
      </c>
      <c r="F4" s="6" t="s">
        <v>4901</v>
      </c>
      <c r="G4" s="6" t="s">
        <v>4771</v>
      </c>
      <c r="H4" t="s">
        <v>209</v>
      </c>
      <c r="I4" s="1">
        <v>54878</v>
      </c>
      <c r="J4" s="16">
        <v>0</v>
      </c>
      <c r="M4" t="s">
        <v>1043</v>
      </c>
      <c r="N4" t="s">
        <v>466</v>
      </c>
    </row>
    <row r="5" spans="1:14" x14ac:dyDescent="0.3">
      <c r="A5" s="5" t="s">
        <v>713</v>
      </c>
      <c r="B5" s="5" t="s">
        <v>714</v>
      </c>
      <c r="C5" s="5" t="s">
        <v>715</v>
      </c>
      <c r="G5" s="5"/>
      <c r="H5" t="s">
        <v>209</v>
      </c>
      <c r="I5" s="1">
        <v>54878</v>
      </c>
      <c r="J5" s="16">
        <v>0</v>
      </c>
      <c r="M5" t="s">
        <v>1048</v>
      </c>
      <c r="N5" t="s">
        <v>576</v>
      </c>
    </row>
    <row r="6" spans="1:14" x14ac:dyDescent="0.3">
      <c r="A6" s="5" t="s">
        <v>202</v>
      </c>
      <c r="B6" s="5" t="s">
        <v>203</v>
      </c>
      <c r="C6" s="5" t="s">
        <v>118</v>
      </c>
      <c r="D6" t="s">
        <v>1037</v>
      </c>
      <c r="E6" t="s">
        <v>4776</v>
      </c>
      <c r="F6" t="s">
        <v>4852</v>
      </c>
      <c r="G6" s="5" t="s">
        <v>4772</v>
      </c>
      <c r="H6" t="s">
        <v>204</v>
      </c>
      <c r="I6" s="1">
        <v>46387</v>
      </c>
      <c r="J6" s="16">
        <v>132.19499999999999</v>
      </c>
      <c r="M6" t="s">
        <v>1052</v>
      </c>
      <c r="N6" t="s">
        <v>215</v>
      </c>
    </row>
    <row r="7" spans="1:14" x14ac:dyDescent="0.3">
      <c r="A7" s="5" t="s">
        <v>207</v>
      </c>
      <c r="B7" s="5" t="s">
        <v>210</v>
      </c>
      <c r="C7" s="5" t="s">
        <v>163</v>
      </c>
      <c r="F7" t="s">
        <v>4901</v>
      </c>
      <c r="G7" s="5" t="s">
        <v>4773</v>
      </c>
      <c r="H7" t="s">
        <v>209</v>
      </c>
      <c r="I7" s="1">
        <v>54878</v>
      </c>
      <c r="J7" s="16">
        <v>0</v>
      </c>
      <c r="M7" t="s">
        <v>1053</v>
      </c>
      <c r="N7" t="s">
        <v>215</v>
      </c>
    </row>
    <row r="8" spans="1:14" x14ac:dyDescent="0.3">
      <c r="A8" s="5" t="s">
        <v>211</v>
      </c>
      <c r="B8" s="5" t="s">
        <v>212</v>
      </c>
      <c r="C8" s="5" t="s">
        <v>62</v>
      </c>
      <c r="D8" t="s">
        <v>4834</v>
      </c>
      <c r="E8" t="s">
        <v>4776</v>
      </c>
      <c r="F8" t="s">
        <v>4858</v>
      </c>
      <c r="G8" s="5" t="s">
        <v>4771</v>
      </c>
      <c r="H8" t="s">
        <v>204</v>
      </c>
      <c r="I8" s="1">
        <v>54878</v>
      </c>
      <c r="J8" s="16">
        <v>1000</v>
      </c>
    </row>
    <row r="9" spans="1:14" x14ac:dyDescent="0.3">
      <c r="A9" s="5" t="s">
        <v>722</v>
      </c>
      <c r="B9" s="5" t="s">
        <v>723</v>
      </c>
      <c r="C9" s="5" t="s">
        <v>724</v>
      </c>
      <c r="G9" s="5"/>
      <c r="H9" t="s">
        <v>209</v>
      </c>
      <c r="I9" s="1">
        <v>54878</v>
      </c>
      <c r="J9" s="16">
        <v>0</v>
      </c>
    </row>
    <row r="10" spans="1:14" x14ac:dyDescent="0.3">
      <c r="A10" s="5" t="s">
        <v>213</v>
      </c>
      <c r="B10" s="5" t="s">
        <v>214</v>
      </c>
      <c r="C10" s="5" t="s">
        <v>94</v>
      </c>
      <c r="D10" t="s">
        <v>4834</v>
      </c>
      <c r="E10" t="s">
        <v>4776</v>
      </c>
      <c r="F10" t="s">
        <v>4858</v>
      </c>
      <c r="G10" s="5" t="s">
        <v>4772</v>
      </c>
      <c r="H10" t="s">
        <v>204</v>
      </c>
      <c r="I10" s="1">
        <v>46309</v>
      </c>
      <c r="J10" s="16">
        <v>23520.179444444442</v>
      </c>
    </row>
    <row r="11" spans="1:14" x14ac:dyDescent="0.3">
      <c r="A11" s="5" t="s">
        <v>215</v>
      </c>
      <c r="B11" s="5" t="s">
        <v>216</v>
      </c>
      <c r="C11" s="5" t="s">
        <v>141</v>
      </c>
      <c r="D11" t="s">
        <v>1038</v>
      </c>
      <c r="E11" t="s">
        <v>4777</v>
      </c>
      <c r="F11" t="s">
        <v>4858</v>
      </c>
      <c r="G11" s="5" t="s">
        <v>4771</v>
      </c>
      <c r="H11" t="s">
        <v>204</v>
      </c>
      <c r="I11" s="1">
        <v>54878</v>
      </c>
      <c r="J11" s="16">
        <v>2065.8333333333335</v>
      </c>
    </row>
    <row r="12" spans="1:14" x14ac:dyDescent="0.3">
      <c r="A12" s="5" t="s">
        <v>726</v>
      </c>
      <c r="B12" s="5" t="s">
        <v>349</v>
      </c>
      <c r="C12" s="5" t="s">
        <v>9</v>
      </c>
      <c r="G12" s="5"/>
      <c r="H12" t="s">
        <v>209</v>
      </c>
      <c r="I12" s="1">
        <v>54878</v>
      </c>
      <c r="J12" s="16">
        <v>0</v>
      </c>
    </row>
    <row r="13" spans="1:14" x14ac:dyDescent="0.3">
      <c r="A13" s="5" t="s">
        <v>217</v>
      </c>
      <c r="B13" s="5" t="s">
        <v>218</v>
      </c>
      <c r="C13" s="5" t="s">
        <v>180</v>
      </c>
      <c r="D13" t="s">
        <v>4834</v>
      </c>
      <c r="E13" t="s">
        <v>4776</v>
      </c>
      <c r="F13" t="s">
        <v>4901</v>
      </c>
      <c r="G13" s="5" t="s">
        <v>4773</v>
      </c>
      <c r="H13" t="s">
        <v>204</v>
      </c>
      <c r="I13" s="1">
        <v>54878</v>
      </c>
      <c r="J13" s="16">
        <v>1118.2611111111109</v>
      </c>
    </row>
    <row r="14" spans="1:14" x14ac:dyDescent="0.3">
      <c r="A14" s="5" t="s">
        <v>728</v>
      </c>
      <c r="B14" s="5" t="s">
        <v>729</v>
      </c>
      <c r="C14" s="5" t="s">
        <v>730</v>
      </c>
      <c r="G14" s="5"/>
      <c r="H14" t="s">
        <v>209</v>
      </c>
      <c r="I14" s="1">
        <v>54878</v>
      </c>
      <c r="J14" s="16">
        <v>0</v>
      </c>
    </row>
    <row r="15" spans="1:14" x14ac:dyDescent="0.3">
      <c r="A15" s="5" t="s">
        <v>732</v>
      </c>
      <c r="B15" s="5" t="s">
        <v>733</v>
      </c>
      <c r="C15" s="5" t="s">
        <v>734</v>
      </c>
      <c r="F15" t="s">
        <v>4901</v>
      </c>
      <c r="G15" s="5" t="s">
        <v>4773</v>
      </c>
      <c r="H15" t="s">
        <v>209</v>
      </c>
      <c r="I15" s="1">
        <v>54878</v>
      </c>
      <c r="J15" s="16">
        <v>0</v>
      </c>
    </row>
    <row r="16" spans="1:14" x14ac:dyDescent="0.3">
      <c r="A16" s="5" t="s">
        <v>219</v>
      </c>
      <c r="B16" s="5" t="s">
        <v>220</v>
      </c>
      <c r="C16" s="5" t="s">
        <v>15</v>
      </c>
      <c r="D16" t="s">
        <v>4834</v>
      </c>
      <c r="E16" t="s">
        <v>4776</v>
      </c>
      <c r="F16" t="s">
        <v>4901</v>
      </c>
      <c r="G16" s="5" t="s">
        <v>4773</v>
      </c>
      <c r="H16" t="s">
        <v>204</v>
      </c>
      <c r="I16" s="1">
        <v>54878</v>
      </c>
      <c r="J16" s="16">
        <v>486.55555555555554</v>
      </c>
    </row>
    <row r="17" spans="1:10" x14ac:dyDescent="0.3">
      <c r="A17" s="5" t="s">
        <v>735</v>
      </c>
      <c r="B17" s="5" t="s">
        <v>736</v>
      </c>
      <c r="C17" s="5" t="s">
        <v>737</v>
      </c>
      <c r="G17" s="5"/>
      <c r="H17" t="s">
        <v>209</v>
      </c>
      <c r="I17" s="1">
        <v>54878</v>
      </c>
      <c r="J17" s="16">
        <v>0</v>
      </c>
    </row>
    <row r="18" spans="1:10" x14ac:dyDescent="0.3">
      <c r="A18" s="5" t="s">
        <v>738</v>
      </c>
      <c r="B18" s="5" t="s">
        <v>739</v>
      </c>
      <c r="C18" s="5" t="s">
        <v>740</v>
      </c>
      <c r="F18" t="s">
        <v>4901</v>
      </c>
      <c r="G18" s="5" t="s">
        <v>4774</v>
      </c>
      <c r="H18" t="s">
        <v>209</v>
      </c>
      <c r="I18" s="1">
        <v>54878</v>
      </c>
      <c r="J18" s="16">
        <v>0</v>
      </c>
    </row>
    <row r="19" spans="1:10" x14ac:dyDescent="0.3">
      <c r="A19" s="5" t="s">
        <v>221</v>
      </c>
      <c r="B19" s="5" t="s">
        <v>222</v>
      </c>
      <c r="C19" s="5" t="s">
        <v>80</v>
      </c>
      <c r="D19" t="s">
        <v>4834</v>
      </c>
      <c r="E19" t="s">
        <v>4778</v>
      </c>
      <c r="F19" t="s">
        <v>4858</v>
      </c>
      <c r="G19" s="5" t="s">
        <v>4773</v>
      </c>
      <c r="H19" t="s">
        <v>209</v>
      </c>
      <c r="I19" s="1">
        <v>54878</v>
      </c>
      <c r="J19" s="16">
        <v>0</v>
      </c>
    </row>
    <row r="20" spans="1:10" x14ac:dyDescent="0.3">
      <c r="A20" s="5" t="s">
        <v>223</v>
      </c>
      <c r="B20" s="5" t="s">
        <v>222</v>
      </c>
      <c r="C20" s="5" t="s">
        <v>80</v>
      </c>
      <c r="D20" t="s">
        <v>4834</v>
      </c>
      <c r="E20" t="s">
        <v>4778</v>
      </c>
      <c r="F20" t="s">
        <v>4858</v>
      </c>
      <c r="G20" s="5" t="s">
        <v>4773</v>
      </c>
      <c r="H20" t="s">
        <v>204</v>
      </c>
      <c r="I20" s="1">
        <v>46504</v>
      </c>
      <c r="J20" s="16">
        <v>930.25</v>
      </c>
    </row>
    <row r="21" spans="1:10" x14ac:dyDescent="0.3">
      <c r="A21" s="5" t="s">
        <v>224</v>
      </c>
      <c r="B21" s="5" t="s">
        <v>225</v>
      </c>
      <c r="C21" s="5" t="s">
        <v>166</v>
      </c>
      <c r="D21" t="s">
        <v>4849</v>
      </c>
      <c r="E21" t="s">
        <v>4776</v>
      </c>
      <c r="F21" t="s">
        <v>4855</v>
      </c>
      <c r="G21" s="5" t="s">
        <v>4773</v>
      </c>
      <c r="H21" t="s">
        <v>204</v>
      </c>
      <c r="I21" s="1">
        <v>54878</v>
      </c>
      <c r="J21" s="16">
        <v>476.3599999999999</v>
      </c>
    </row>
    <row r="22" spans="1:10" x14ac:dyDescent="0.3">
      <c r="A22" s="5" t="s">
        <v>741</v>
      </c>
      <c r="B22" s="5" t="s">
        <v>742</v>
      </c>
      <c r="C22" s="5" t="s">
        <v>743</v>
      </c>
      <c r="G22" s="5"/>
      <c r="H22" t="s">
        <v>209</v>
      </c>
      <c r="I22" s="1">
        <v>54878</v>
      </c>
      <c r="J22" s="16">
        <v>0</v>
      </c>
    </row>
    <row r="23" spans="1:10" x14ac:dyDescent="0.3">
      <c r="A23" s="5" t="s">
        <v>226</v>
      </c>
      <c r="B23" s="5" t="s">
        <v>228</v>
      </c>
      <c r="C23" s="5" t="s">
        <v>188</v>
      </c>
      <c r="G23" s="5"/>
      <c r="H23" t="s">
        <v>209</v>
      </c>
      <c r="I23" s="1">
        <v>54878</v>
      </c>
      <c r="J23" s="16">
        <v>0</v>
      </c>
    </row>
    <row r="24" spans="1:10" x14ac:dyDescent="0.3">
      <c r="A24" s="5" t="s">
        <v>229</v>
      </c>
      <c r="B24" s="5" t="s">
        <v>230</v>
      </c>
      <c r="C24" s="5" t="s">
        <v>85</v>
      </c>
      <c r="D24" t="s">
        <v>1033</v>
      </c>
      <c r="E24" t="s">
        <v>4781</v>
      </c>
      <c r="F24" s="24" t="s">
        <v>4852</v>
      </c>
      <c r="G24" s="5" t="s">
        <v>4771</v>
      </c>
      <c r="H24" t="s">
        <v>204</v>
      </c>
      <c r="I24" s="1">
        <v>46203</v>
      </c>
      <c r="J24" s="16">
        <v>100720.06722222239</v>
      </c>
    </row>
    <row r="25" spans="1:10" x14ac:dyDescent="0.3">
      <c r="A25" s="5" t="s">
        <v>746</v>
      </c>
      <c r="B25" s="5" t="s">
        <v>465</v>
      </c>
      <c r="C25" s="5" t="s">
        <v>172</v>
      </c>
      <c r="G25" s="5"/>
      <c r="H25" t="s">
        <v>209</v>
      </c>
      <c r="I25" s="1">
        <v>54878</v>
      </c>
      <c r="J25" s="16">
        <v>0</v>
      </c>
    </row>
    <row r="26" spans="1:10" x14ac:dyDescent="0.3">
      <c r="A26" s="5" t="s">
        <v>231</v>
      </c>
      <c r="B26" s="5" t="s">
        <v>232</v>
      </c>
      <c r="C26" s="5" t="s">
        <v>87</v>
      </c>
      <c r="D26" t="s">
        <v>4834</v>
      </c>
      <c r="E26" t="s">
        <v>4776</v>
      </c>
      <c r="F26" t="s">
        <v>4901</v>
      </c>
      <c r="G26" s="5" t="s">
        <v>4773</v>
      </c>
      <c r="H26" t="s">
        <v>204</v>
      </c>
      <c r="I26" s="1">
        <v>47208</v>
      </c>
      <c r="J26" s="16">
        <v>2852.3888888888887</v>
      </c>
    </row>
    <row r="27" spans="1:10" x14ac:dyDescent="0.3">
      <c r="A27" s="5" t="s">
        <v>233</v>
      </c>
      <c r="B27" s="5" t="s">
        <v>222</v>
      </c>
      <c r="C27" s="5" t="s">
        <v>80</v>
      </c>
      <c r="D27" t="s">
        <v>4834</v>
      </c>
      <c r="E27" t="s">
        <v>4776</v>
      </c>
      <c r="F27" t="s">
        <v>4901</v>
      </c>
      <c r="G27" s="5" t="s">
        <v>4773</v>
      </c>
      <c r="H27" t="s">
        <v>204</v>
      </c>
      <c r="I27" s="1">
        <v>54878</v>
      </c>
      <c r="J27" s="16">
        <v>508.66833333333329</v>
      </c>
    </row>
    <row r="28" spans="1:10" x14ac:dyDescent="0.3">
      <c r="A28" s="5" t="s">
        <v>234</v>
      </c>
      <c r="B28" s="5" t="s">
        <v>235</v>
      </c>
      <c r="C28" s="5" t="s">
        <v>129</v>
      </c>
      <c r="D28" t="s">
        <v>4833</v>
      </c>
      <c r="E28" t="s">
        <v>4802</v>
      </c>
      <c r="F28" t="s">
        <v>4852</v>
      </c>
      <c r="G28" s="5" t="s">
        <v>4771</v>
      </c>
      <c r="H28" t="s">
        <v>204</v>
      </c>
      <c r="I28" s="1">
        <v>46627</v>
      </c>
      <c r="J28" s="16">
        <v>27.12222222222222</v>
      </c>
    </row>
    <row r="29" spans="1:10" x14ac:dyDescent="0.3">
      <c r="A29" s="5" t="s">
        <v>751</v>
      </c>
      <c r="B29" s="5" t="s">
        <v>752</v>
      </c>
      <c r="C29" s="5" t="s">
        <v>753</v>
      </c>
      <c r="F29" t="s">
        <v>4852</v>
      </c>
      <c r="G29" s="5" t="s">
        <v>4771</v>
      </c>
      <c r="H29" t="s">
        <v>209</v>
      </c>
      <c r="I29" s="1">
        <v>54878</v>
      </c>
      <c r="J29" s="16">
        <v>0</v>
      </c>
    </row>
    <row r="30" spans="1:10" x14ac:dyDescent="0.3">
      <c r="A30" s="5" t="s">
        <v>236</v>
      </c>
      <c r="B30" s="5" t="s">
        <v>237</v>
      </c>
      <c r="C30" s="5" t="s">
        <v>4</v>
      </c>
      <c r="D30" t="s">
        <v>1038</v>
      </c>
      <c r="E30" t="s">
        <v>4776</v>
      </c>
      <c r="F30" t="s">
        <v>4858</v>
      </c>
      <c r="G30" s="5" t="s">
        <v>4771</v>
      </c>
      <c r="H30" t="s">
        <v>204</v>
      </c>
      <c r="I30" s="1">
        <v>54878</v>
      </c>
      <c r="J30" s="16">
        <v>5156.0466666666662</v>
      </c>
    </row>
    <row r="31" spans="1:10" x14ac:dyDescent="0.3">
      <c r="A31" s="5" t="s">
        <v>238</v>
      </c>
      <c r="B31" s="5" t="s">
        <v>239</v>
      </c>
      <c r="C31" s="5" t="s">
        <v>199</v>
      </c>
      <c r="D31" t="s">
        <v>4903</v>
      </c>
      <c r="E31" t="s">
        <v>4779</v>
      </c>
      <c r="F31" t="s">
        <v>4858</v>
      </c>
      <c r="G31" s="5" t="s">
        <v>4771</v>
      </c>
      <c r="H31" t="s">
        <v>204</v>
      </c>
      <c r="I31" s="1">
        <v>54878</v>
      </c>
      <c r="J31" s="16">
        <v>75.668888888888887</v>
      </c>
    </row>
    <row r="32" spans="1:10" x14ac:dyDescent="0.3">
      <c r="A32" s="5" t="s">
        <v>240</v>
      </c>
      <c r="B32" s="5" t="s">
        <v>241</v>
      </c>
      <c r="C32" s="5" t="s">
        <v>10</v>
      </c>
      <c r="F32" t="s">
        <v>4856</v>
      </c>
      <c r="G32" s="5" t="s">
        <v>4773</v>
      </c>
      <c r="H32" t="s">
        <v>209</v>
      </c>
      <c r="I32" s="1">
        <v>54878</v>
      </c>
      <c r="J32" s="16">
        <v>0</v>
      </c>
    </row>
    <row r="33" spans="1:10" x14ac:dyDescent="0.3">
      <c r="A33" s="5" t="s">
        <v>242</v>
      </c>
      <c r="B33" s="5" t="s">
        <v>243</v>
      </c>
      <c r="C33" s="5" t="s">
        <v>61</v>
      </c>
      <c r="D33" t="s">
        <v>4834</v>
      </c>
      <c r="E33" t="s">
        <v>4776</v>
      </c>
      <c r="F33" t="s">
        <v>4856</v>
      </c>
      <c r="G33" s="5" t="s">
        <v>4771</v>
      </c>
      <c r="H33" t="s">
        <v>204</v>
      </c>
      <c r="I33" s="1">
        <v>54878</v>
      </c>
      <c r="J33" s="16">
        <v>2678.9888888888891</v>
      </c>
    </row>
    <row r="34" spans="1:10" x14ac:dyDescent="0.3">
      <c r="A34" s="5" t="s">
        <v>756</v>
      </c>
      <c r="B34" s="5" t="s">
        <v>757</v>
      </c>
      <c r="C34" s="5" t="s">
        <v>758</v>
      </c>
      <c r="F34" t="s">
        <v>4856</v>
      </c>
      <c r="G34" s="5" t="s">
        <v>4771</v>
      </c>
      <c r="H34" t="s">
        <v>209</v>
      </c>
      <c r="I34" s="1">
        <v>54878</v>
      </c>
      <c r="J34" s="16">
        <v>0</v>
      </c>
    </row>
    <row r="35" spans="1:10" x14ac:dyDescent="0.3">
      <c r="A35" s="5" t="s">
        <v>759</v>
      </c>
      <c r="B35" s="5" t="s">
        <v>340</v>
      </c>
      <c r="C35" s="5" t="s">
        <v>114</v>
      </c>
      <c r="G35" s="5"/>
      <c r="H35" t="s">
        <v>209</v>
      </c>
      <c r="I35" s="1">
        <v>54878</v>
      </c>
      <c r="J35" s="16">
        <v>0</v>
      </c>
    </row>
    <row r="36" spans="1:10" x14ac:dyDescent="0.3">
      <c r="A36" s="5" t="s">
        <v>244</v>
      </c>
      <c r="B36" s="5" t="s">
        <v>245</v>
      </c>
      <c r="C36" s="5" t="s">
        <v>137</v>
      </c>
      <c r="F36" t="s">
        <v>4901</v>
      </c>
      <c r="G36" s="5" t="s">
        <v>4773</v>
      </c>
      <c r="H36" t="s">
        <v>209</v>
      </c>
      <c r="I36" s="1">
        <v>54878</v>
      </c>
      <c r="J36" s="16">
        <v>0</v>
      </c>
    </row>
    <row r="37" spans="1:10" x14ac:dyDescent="0.3">
      <c r="A37" s="5" t="s">
        <v>246</v>
      </c>
      <c r="B37" s="5" t="s">
        <v>243</v>
      </c>
      <c r="C37" s="5" t="s">
        <v>61</v>
      </c>
      <c r="D37" t="s">
        <v>4834</v>
      </c>
      <c r="E37" t="s">
        <v>4776</v>
      </c>
      <c r="F37" t="s">
        <v>4901</v>
      </c>
      <c r="G37" s="5" t="s">
        <v>4771</v>
      </c>
      <c r="H37" t="s">
        <v>204</v>
      </c>
      <c r="I37" s="1">
        <v>46203</v>
      </c>
      <c r="J37" s="16">
        <v>5536.21</v>
      </c>
    </row>
    <row r="38" spans="1:10" x14ac:dyDescent="0.3">
      <c r="A38" s="5" t="s">
        <v>247</v>
      </c>
      <c r="B38" s="5" t="s">
        <v>248</v>
      </c>
      <c r="C38" s="5" t="s">
        <v>13</v>
      </c>
      <c r="D38" t="s">
        <v>1038</v>
      </c>
      <c r="E38" t="s">
        <v>4779</v>
      </c>
      <c r="F38" t="s">
        <v>4858</v>
      </c>
      <c r="G38" s="5" t="s">
        <v>4773</v>
      </c>
      <c r="H38" t="s">
        <v>204</v>
      </c>
      <c r="I38" s="1">
        <v>54878</v>
      </c>
      <c r="J38" s="16">
        <v>535.79999999999995</v>
      </c>
    </row>
    <row r="39" spans="1:10" x14ac:dyDescent="0.3">
      <c r="A39" s="5" t="s">
        <v>249</v>
      </c>
      <c r="B39" s="5" t="s">
        <v>250</v>
      </c>
      <c r="C39" s="5" t="s">
        <v>55</v>
      </c>
      <c r="D39" t="s">
        <v>1038</v>
      </c>
      <c r="E39" t="s">
        <v>4778</v>
      </c>
      <c r="F39" t="s">
        <v>4858</v>
      </c>
      <c r="G39" s="5" t="s">
        <v>4771</v>
      </c>
      <c r="H39" t="s">
        <v>204</v>
      </c>
      <c r="I39" s="1">
        <v>54878</v>
      </c>
      <c r="J39" s="16">
        <v>637.81666666666661</v>
      </c>
    </row>
    <row r="40" spans="1:10" x14ac:dyDescent="0.3">
      <c r="A40" s="5" t="s">
        <v>251</v>
      </c>
      <c r="B40" s="5" t="s">
        <v>252</v>
      </c>
      <c r="C40" s="5" t="s">
        <v>183</v>
      </c>
      <c r="D40" t="s">
        <v>4904</v>
      </c>
      <c r="E40" t="s">
        <v>4792</v>
      </c>
      <c r="F40" t="s">
        <v>4904</v>
      </c>
      <c r="G40" s="5" t="s">
        <v>4773</v>
      </c>
      <c r="H40" t="s">
        <v>204</v>
      </c>
      <c r="I40" s="1">
        <v>46418</v>
      </c>
      <c r="J40" s="16">
        <v>19425</v>
      </c>
    </row>
    <row r="41" spans="1:10" x14ac:dyDescent="0.3">
      <c r="A41" s="5" t="s">
        <v>764</v>
      </c>
      <c r="B41" s="5" t="s">
        <v>765</v>
      </c>
      <c r="C41" s="5" t="s">
        <v>766</v>
      </c>
      <c r="G41" s="5"/>
      <c r="H41" t="s">
        <v>209</v>
      </c>
      <c r="I41" s="1">
        <v>54878</v>
      </c>
      <c r="J41" s="16">
        <v>0</v>
      </c>
    </row>
    <row r="42" spans="1:10" x14ac:dyDescent="0.3">
      <c r="A42" s="5" t="s">
        <v>767</v>
      </c>
      <c r="B42" s="5" t="s">
        <v>254</v>
      </c>
      <c r="C42" s="5" t="s">
        <v>151</v>
      </c>
      <c r="F42" t="s">
        <v>4856</v>
      </c>
      <c r="G42" s="5" t="s">
        <v>4771</v>
      </c>
      <c r="H42" t="s">
        <v>209</v>
      </c>
      <c r="I42" s="1">
        <v>54878</v>
      </c>
      <c r="J42" s="16">
        <v>0</v>
      </c>
    </row>
    <row r="43" spans="1:10" x14ac:dyDescent="0.3">
      <c r="A43" s="5" t="s">
        <v>253</v>
      </c>
      <c r="B43" s="5" t="s">
        <v>254</v>
      </c>
      <c r="C43" s="5" t="s">
        <v>151</v>
      </c>
      <c r="F43" t="s">
        <v>4856</v>
      </c>
      <c r="G43" s="5" t="s">
        <v>4771</v>
      </c>
      <c r="H43" t="s">
        <v>209</v>
      </c>
      <c r="I43" s="1">
        <v>54878</v>
      </c>
      <c r="J43" s="16">
        <v>0</v>
      </c>
    </row>
    <row r="44" spans="1:10" x14ac:dyDescent="0.3">
      <c r="A44" s="5" t="s">
        <v>770</v>
      </c>
      <c r="B44" s="5" t="s">
        <v>771</v>
      </c>
      <c r="C44" s="5" t="s">
        <v>772</v>
      </c>
      <c r="G44" s="5"/>
      <c r="H44" t="s">
        <v>209</v>
      </c>
      <c r="I44" s="1">
        <v>54878</v>
      </c>
      <c r="J44" s="16">
        <v>0</v>
      </c>
    </row>
    <row r="45" spans="1:10" x14ac:dyDescent="0.3">
      <c r="A45" s="5" t="s">
        <v>773</v>
      </c>
      <c r="B45" s="5" t="s">
        <v>774</v>
      </c>
      <c r="C45" s="5" t="s">
        <v>775</v>
      </c>
      <c r="D45" t="s">
        <v>1042</v>
      </c>
      <c r="E45" t="s">
        <v>1006</v>
      </c>
      <c r="F45" t="s">
        <v>4852</v>
      </c>
      <c r="G45" s="5" t="s">
        <v>4771</v>
      </c>
      <c r="H45" t="s">
        <v>204</v>
      </c>
      <c r="I45" s="1">
        <v>54878</v>
      </c>
      <c r="J45" s="16">
        <v>0</v>
      </c>
    </row>
    <row r="46" spans="1:10" x14ac:dyDescent="0.3">
      <c r="A46" s="5" t="s">
        <v>776</v>
      </c>
      <c r="B46" s="5" t="s">
        <v>777</v>
      </c>
      <c r="C46" s="5" t="s">
        <v>778</v>
      </c>
      <c r="G46" s="5"/>
      <c r="H46" t="s">
        <v>209</v>
      </c>
      <c r="I46" s="1">
        <v>54878</v>
      </c>
      <c r="J46" s="16">
        <v>0</v>
      </c>
    </row>
    <row r="47" spans="1:10" x14ac:dyDescent="0.3">
      <c r="A47" s="5" t="s">
        <v>255</v>
      </c>
      <c r="B47" s="5" t="s">
        <v>241</v>
      </c>
      <c r="C47" s="5" t="s">
        <v>10</v>
      </c>
      <c r="F47" t="s">
        <v>4856</v>
      </c>
      <c r="G47" s="5" t="s">
        <v>4773</v>
      </c>
      <c r="H47" t="s">
        <v>209</v>
      </c>
      <c r="I47" s="1">
        <v>54878</v>
      </c>
      <c r="J47" s="16">
        <v>7.8744444444444452</v>
      </c>
    </row>
    <row r="48" spans="1:10" x14ac:dyDescent="0.3">
      <c r="A48" s="5" t="s">
        <v>256</v>
      </c>
      <c r="B48" s="5" t="s">
        <v>257</v>
      </c>
      <c r="C48" s="5" t="s">
        <v>139</v>
      </c>
      <c r="D48" t="s">
        <v>4811</v>
      </c>
      <c r="E48" t="s">
        <v>4776</v>
      </c>
      <c r="F48" t="s">
        <v>4859</v>
      </c>
      <c r="G48" s="5" t="s">
        <v>4773</v>
      </c>
      <c r="H48" t="s">
        <v>204</v>
      </c>
      <c r="I48" s="1">
        <v>54878</v>
      </c>
      <c r="J48" s="16">
        <v>896.66666666666663</v>
      </c>
    </row>
    <row r="49" spans="1:10" x14ac:dyDescent="0.3">
      <c r="A49" s="5" t="s">
        <v>258</v>
      </c>
      <c r="B49" s="5" t="s">
        <v>259</v>
      </c>
      <c r="C49" s="5" t="s">
        <v>122</v>
      </c>
      <c r="D49" t="s">
        <v>1038</v>
      </c>
      <c r="E49" t="s">
        <v>4777</v>
      </c>
      <c r="F49" t="s">
        <v>4858</v>
      </c>
      <c r="G49" s="5" t="s">
        <v>4771</v>
      </c>
      <c r="H49" t="s">
        <v>204</v>
      </c>
      <c r="I49" s="1">
        <v>46337</v>
      </c>
      <c r="J49" s="16">
        <v>26277.70277777778</v>
      </c>
    </row>
    <row r="50" spans="1:10" x14ac:dyDescent="0.3">
      <c r="A50" s="5" t="s">
        <v>260</v>
      </c>
      <c r="B50" s="5" t="s">
        <v>262</v>
      </c>
      <c r="C50" s="5" t="s">
        <v>155</v>
      </c>
      <c r="E50" t="s">
        <v>4776</v>
      </c>
      <c r="F50" t="s">
        <v>4858</v>
      </c>
      <c r="G50" s="5" t="s">
        <v>4773</v>
      </c>
      <c r="H50" t="s">
        <v>209</v>
      </c>
      <c r="I50" s="1">
        <v>46255</v>
      </c>
      <c r="J50" s="16">
        <v>567.93833333333328</v>
      </c>
    </row>
    <row r="51" spans="1:10" x14ac:dyDescent="0.3">
      <c r="A51" s="5" t="s">
        <v>263</v>
      </c>
      <c r="B51" s="5" t="s">
        <v>262</v>
      </c>
      <c r="C51" s="5" t="s">
        <v>155</v>
      </c>
      <c r="E51" t="s">
        <v>4776</v>
      </c>
      <c r="F51" t="s">
        <v>4858</v>
      </c>
      <c r="G51" s="5" t="s">
        <v>4773</v>
      </c>
      <c r="H51" t="s">
        <v>209</v>
      </c>
      <c r="I51" s="1">
        <v>54878</v>
      </c>
      <c r="J51" s="16">
        <v>0</v>
      </c>
    </row>
    <row r="52" spans="1:10" x14ac:dyDescent="0.3">
      <c r="A52" s="5" t="s">
        <v>779</v>
      </c>
      <c r="B52" s="5" t="s">
        <v>714</v>
      </c>
      <c r="C52" s="5" t="s">
        <v>715</v>
      </c>
      <c r="G52" s="5"/>
      <c r="H52" t="s">
        <v>209</v>
      </c>
      <c r="I52" s="1">
        <v>54878</v>
      </c>
      <c r="J52" s="16">
        <v>0</v>
      </c>
    </row>
    <row r="53" spans="1:10" x14ac:dyDescent="0.3">
      <c r="A53" s="5" t="s">
        <v>264</v>
      </c>
      <c r="B53" s="5" t="s">
        <v>265</v>
      </c>
      <c r="C53" s="5" t="s">
        <v>176</v>
      </c>
      <c r="G53" s="5"/>
      <c r="H53" t="s">
        <v>209</v>
      </c>
      <c r="I53" s="1">
        <v>54878</v>
      </c>
      <c r="J53" s="16">
        <v>0</v>
      </c>
    </row>
    <row r="54" spans="1:10" x14ac:dyDescent="0.3">
      <c r="A54" s="5" t="s">
        <v>266</v>
      </c>
      <c r="B54" s="5" t="s">
        <v>267</v>
      </c>
      <c r="C54" s="5" t="s">
        <v>186</v>
      </c>
      <c r="D54" t="s">
        <v>1037</v>
      </c>
      <c r="E54" t="s">
        <v>4780</v>
      </c>
      <c r="F54" t="s">
        <v>4852</v>
      </c>
      <c r="G54" s="5" t="s">
        <v>4772</v>
      </c>
      <c r="H54" t="s">
        <v>204</v>
      </c>
      <c r="I54" s="1">
        <v>46259</v>
      </c>
      <c r="J54" s="16">
        <v>179278.91222222228</v>
      </c>
    </row>
    <row r="55" spans="1:10" x14ac:dyDescent="0.3">
      <c r="A55" s="5" t="s">
        <v>268</v>
      </c>
      <c r="B55" s="5" t="s">
        <v>239</v>
      </c>
      <c r="C55" s="5" t="s">
        <v>199</v>
      </c>
      <c r="D55" t="s">
        <v>1038</v>
      </c>
      <c r="E55" t="s">
        <v>4779</v>
      </c>
      <c r="F55" t="s">
        <v>4858</v>
      </c>
      <c r="G55" s="5" t="s">
        <v>4771</v>
      </c>
      <c r="H55" t="s">
        <v>204</v>
      </c>
      <c r="I55" s="1">
        <v>46172</v>
      </c>
      <c r="J55" s="16">
        <v>676.86666666666656</v>
      </c>
    </row>
    <row r="56" spans="1:10" x14ac:dyDescent="0.3">
      <c r="A56" s="5" t="s">
        <v>269</v>
      </c>
      <c r="B56" s="5" t="s">
        <v>270</v>
      </c>
      <c r="C56" s="5" t="s">
        <v>82</v>
      </c>
      <c r="G56" s="5"/>
      <c r="H56" t="s">
        <v>209</v>
      </c>
      <c r="I56" s="1">
        <v>54878</v>
      </c>
      <c r="J56" s="16">
        <v>0</v>
      </c>
    </row>
    <row r="57" spans="1:10" x14ac:dyDescent="0.3">
      <c r="A57" s="5" t="s">
        <v>271</v>
      </c>
      <c r="B57" s="5" t="s">
        <v>243</v>
      </c>
      <c r="C57" s="5" t="s">
        <v>61</v>
      </c>
      <c r="D57" t="s">
        <v>4834</v>
      </c>
      <c r="E57" t="s">
        <v>4776</v>
      </c>
      <c r="F57" t="s">
        <v>4858</v>
      </c>
      <c r="G57" s="5" t="s">
        <v>4771</v>
      </c>
      <c r="H57" t="s">
        <v>204</v>
      </c>
      <c r="I57" s="1">
        <v>46424</v>
      </c>
      <c r="J57" s="16">
        <v>1658.6527777777778</v>
      </c>
    </row>
    <row r="58" spans="1:10" x14ac:dyDescent="0.3">
      <c r="A58" s="5" t="s">
        <v>780</v>
      </c>
      <c r="B58" s="5" t="s">
        <v>232</v>
      </c>
      <c r="C58" s="5" t="s">
        <v>87</v>
      </c>
      <c r="D58" t="s">
        <v>4834</v>
      </c>
      <c r="E58" t="s">
        <v>4776</v>
      </c>
      <c r="F58" t="s">
        <v>4901</v>
      </c>
      <c r="G58" s="5" t="s">
        <v>4773</v>
      </c>
      <c r="H58" t="s">
        <v>209</v>
      </c>
      <c r="I58" s="1">
        <v>54878</v>
      </c>
      <c r="J58" s="16">
        <v>0</v>
      </c>
    </row>
    <row r="59" spans="1:10" x14ac:dyDescent="0.3">
      <c r="A59" s="5" t="s">
        <v>272</v>
      </c>
      <c r="B59" s="5" t="s">
        <v>218</v>
      </c>
      <c r="C59" s="5" t="s">
        <v>180</v>
      </c>
      <c r="D59" t="s">
        <v>4834</v>
      </c>
      <c r="E59" t="s">
        <v>4776</v>
      </c>
      <c r="F59" t="s">
        <v>4856</v>
      </c>
      <c r="G59" s="5" t="s">
        <v>4773</v>
      </c>
      <c r="H59" t="s">
        <v>204</v>
      </c>
      <c r="I59" s="1">
        <v>54878</v>
      </c>
      <c r="J59" s="16">
        <v>798.40500000000009</v>
      </c>
    </row>
    <row r="60" spans="1:10" x14ac:dyDescent="0.3">
      <c r="A60" s="5" t="s">
        <v>273</v>
      </c>
      <c r="B60" s="5" t="s">
        <v>220</v>
      </c>
      <c r="C60" s="5" t="s">
        <v>15</v>
      </c>
      <c r="D60" t="s">
        <v>4834</v>
      </c>
      <c r="E60" t="s">
        <v>4776</v>
      </c>
      <c r="F60" t="s">
        <v>4856</v>
      </c>
      <c r="G60" s="5" t="s">
        <v>4773</v>
      </c>
      <c r="H60" t="s">
        <v>204</v>
      </c>
      <c r="I60" s="1">
        <v>54878</v>
      </c>
      <c r="J60" s="16">
        <v>480.66666666666669</v>
      </c>
    </row>
    <row r="61" spans="1:10" x14ac:dyDescent="0.3">
      <c r="A61" s="5" t="s">
        <v>274</v>
      </c>
      <c r="B61" s="5" t="s">
        <v>254</v>
      </c>
      <c r="C61" s="5" t="s">
        <v>151</v>
      </c>
      <c r="F61" t="s">
        <v>4856</v>
      </c>
      <c r="G61" s="5" t="s">
        <v>4771</v>
      </c>
      <c r="H61" t="s">
        <v>209</v>
      </c>
      <c r="I61" s="1">
        <v>54878</v>
      </c>
      <c r="J61" s="16">
        <v>0</v>
      </c>
    </row>
    <row r="62" spans="1:10" x14ac:dyDescent="0.3">
      <c r="A62" s="5" t="s">
        <v>781</v>
      </c>
      <c r="B62" s="5" t="s">
        <v>254</v>
      </c>
      <c r="C62" s="5" t="s">
        <v>151</v>
      </c>
      <c r="F62" t="s">
        <v>4856</v>
      </c>
      <c r="G62" s="5" t="s">
        <v>4771</v>
      </c>
      <c r="H62" t="s">
        <v>209</v>
      </c>
      <c r="I62" s="1">
        <v>54878</v>
      </c>
      <c r="J62" s="16">
        <v>0</v>
      </c>
    </row>
    <row r="63" spans="1:10" x14ac:dyDescent="0.3">
      <c r="A63" s="5" t="s">
        <v>782</v>
      </c>
      <c r="B63" s="5" t="s">
        <v>783</v>
      </c>
      <c r="C63" s="5" t="s">
        <v>784</v>
      </c>
      <c r="F63" t="s">
        <v>4901</v>
      </c>
      <c r="G63" s="5" t="s">
        <v>4773</v>
      </c>
      <c r="H63" t="s">
        <v>209</v>
      </c>
      <c r="I63" s="1">
        <v>54878</v>
      </c>
      <c r="J63" s="16">
        <v>0</v>
      </c>
    </row>
    <row r="64" spans="1:10" x14ac:dyDescent="0.3">
      <c r="A64" s="5" t="s">
        <v>275</v>
      </c>
      <c r="B64" s="5" t="s">
        <v>276</v>
      </c>
      <c r="C64" s="5" t="s">
        <v>5</v>
      </c>
      <c r="D64" t="s">
        <v>1037</v>
      </c>
      <c r="E64" t="s">
        <v>4776</v>
      </c>
      <c r="F64" t="s">
        <v>4852</v>
      </c>
      <c r="G64" s="5" t="s">
        <v>4773</v>
      </c>
      <c r="H64" t="s">
        <v>204</v>
      </c>
      <c r="I64" s="1">
        <v>46904</v>
      </c>
      <c r="J64" s="16">
        <v>39377.43722222223</v>
      </c>
    </row>
    <row r="65" spans="1:10" x14ac:dyDescent="0.3">
      <c r="A65" s="5" t="s">
        <v>277</v>
      </c>
      <c r="B65" s="5" t="s">
        <v>278</v>
      </c>
      <c r="C65" s="5" t="s">
        <v>17</v>
      </c>
      <c r="D65" t="s">
        <v>1040</v>
      </c>
      <c r="E65" t="s">
        <v>4776</v>
      </c>
      <c r="F65" t="s">
        <v>4856</v>
      </c>
      <c r="G65" s="5" t="s">
        <v>4771</v>
      </c>
      <c r="H65" t="s">
        <v>204</v>
      </c>
      <c r="I65" s="1">
        <v>54878</v>
      </c>
      <c r="J65" s="16">
        <v>233.33333333333334</v>
      </c>
    </row>
    <row r="66" spans="1:10" x14ac:dyDescent="0.3">
      <c r="A66" s="5" t="s">
        <v>279</v>
      </c>
      <c r="B66" s="5" t="s">
        <v>280</v>
      </c>
      <c r="C66" s="5" t="s">
        <v>133</v>
      </c>
      <c r="D66" t="s">
        <v>1037</v>
      </c>
      <c r="E66" t="s">
        <v>4776</v>
      </c>
      <c r="F66" t="s">
        <v>4852</v>
      </c>
      <c r="G66" s="5"/>
      <c r="H66" t="s">
        <v>209</v>
      </c>
      <c r="I66" s="1">
        <v>54878</v>
      </c>
      <c r="J66" s="16">
        <v>2902.6666666666665</v>
      </c>
    </row>
    <row r="67" spans="1:10" x14ac:dyDescent="0.3">
      <c r="A67" s="5" t="s">
        <v>281</v>
      </c>
      <c r="B67" s="5" t="s">
        <v>282</v>
      </c>
      <c r="C67" s="5" t="s">
        <v>6</v>
      </c>
      <c r="D67" t="s">
        <v>4845</v>
      </c>
      <c r="E67" t="s">
        <v>4803</v>
      </c>
      <c r="F67" t="s">
        <v>4845</v>
      </c>
      <c r="G67" s="5"/>
      <c r="H67" t="s">
        <v>204</v>
      </c>
      <c r="I67" s="1">
        <v>46254</v>
      </c>
      <c r="J67" s="16">
        <v>242.05555555555554</v>
      </c>
    </row>
    <row r="68" spans="1:10" x14ac:dyDescent="0.3">
      <c r="A68" s="5" t="s">
        <v>283</v>
      </c>
      <c r="B68" s="5" t="s">
        <v>227</v>
      </c>
      <c r="C68" s="5" t="s">
        <v>191</v>
      </c>
      <c r="D68" t="s">
        <v>4904</v>
      </c>
      <c r="E68" t="s">
        <v>4792</v>
      </c>
      <c r="F68" t="s">
        <v>4904</v>
      </c>
      <c r="G68" s="5" t="s">
        <v>4772</v>
      </c>
      <c r="H68" t="s">
        <v>209</v>
      </c>
      <c r="I68" s="1">
        <v>54878</v>
      </c>
      <c r="J68" s="16">
        <v>0</v>
      </c>
    </row>
    <row r="69" spans="1:10" x14ac:dyDescent="0.3">
      <c r="A69" s="5" t="s">
        <v>787</v>
      </c>
      <c r="B69" s="5" t="s">
        <v>788</v>
      </c>
      <c r="C69" s="5" t="s">
        <v>789</v>
      </c>
      <c r="G69" s="5"/>
      <c r="H69" t="s">
        <v>209</v>
      </c>
      <c r="I69" s="1">
        <v>54878</v>
      </c>
      <c r="J69" s="16">
        <v>0</v>
      </c>
    </row>
    <row r="70" spans="1:10" x14ac:dyDescent="0.3">
      <c r="A70" s="5" t="s">
        <v>284</v>
      </c>
      <c r="B70" s="5" t="s">
        <v>262</v>
      </c>
      <c r="C70" s="5" t="s">
        <v>155</v>
      </c>
      <c r="E70" t="s">
        <v>4776</v>
      </c>
      <c r="F70" t="s">
        <v>4858</v>
      </c>
      <c r="G70" s="5" t="s">
        <v>4773</v>
      </c>
      <c r="H70" t="s">
        <v>209</v>
      </c>
      <c r="I70" s="1">
        <v>54878</v>
      </c>
      <c r="J70" s="16">
        <v>0</v>
      </c>
    </row>
    <row r="71" spans="1:10" x14ac:dyDescent="0.3">
      <c r="A71" s="5" t="s">
        <v>285</v>
      </c>
      <c r="B71" s="5" t="s">
        <v>286</v>
      </c>
      <c r="C71" s="5" t="s">
        <v>12</v>
      </c>
      <c r="G71" s="5"/>
      <c r="H71" t="s">
        <v>209</v>
      </c>
      <c r="I71" s="1">
        <v>54878</v>
      </c>
      <c r="J71" s="16">
        <v>0</v>
      </c>
    </row>
    <row r="72" spans="1:10" x14ac:dyDescent="0.3">
      <c r="A72" s="5" t="s">
        <v>287</v>
      </c>
      <c r="B72" s="5" t="s">
        <v>790</v>
      </c>
      <c r="C72" s="5" t="s">
        <v>19</v>
      </c>
      <c r="D72" t="s">
        <v>1037</v>
      </c>
      <c r="E72" t="s">
        <v>4781</v>
      </c>
      <c r="F72" t="s">
        <v>4852</v>
      </c>
      <c r="G72" s="5" t="s">
        <v>4771</v>
      </c>
      <c r="H72" t="s">
        <v>209</v>
      </c>
      <c r="I72" s="1">
        <v>54878</v>
      </c>
      <c r="J72" s="16">
        <v>2950</v>
      </c>
    </row>
    <row r="73" spans="1:10" x14ac:dyDescent="0.3">
      <c r="A73" s="5" t="s">
        <v>791</v>
      </c>
      <c r="B73" s="5" t="s">
        <v>792</v>
      </c>
      <c r="C73" s="5" t="s">
        <v>793</v>
      </c>
      <c r="F73" t="s">
        <v>4901</v>
      </c>
      <c r="G73" s="5" t="s">
        <v>4774</v>
      </c>
      <c r="H73" t="s">
        <v>209</v>
      </c>
      <c r="I73" s="1">
        <v>54878</v>
      </c>
      <c r="J73" s="16">
        <v>0</v>
      </c>
    </row>
    <row r="74" spans="1:10" x14ac:dyDescent="0.3">
      <c r="A74" s="5" t="s">
        <v>288</v>
      </c>
      <c r="B74" s="5" t="s">
        <v>289</v>
      </c>
      <c r="C74" s="5" t="s">
        <v>196</v>
      </c>
      <c r="F74" t="s">
        <v>4852</v>
      </c>
      <c r="G74" s="5" t="s">
        <v>4773</v>
      </c>
      <c r="H74" t="s">
        <v>209</v>
      </c>
      <c r="I74" s="1">
        <v>54878</v>
      </c>
      <c r="J74" s="16">
        <v>0</v>
      </c>
    </row>
    <row r="75" spans="1:10" x14ac:dyDescent="0.3">
      <c r="A75" s="5" t="s">
        <v>290</v>
      </c>
      <c r="B75" s="5" t="s">
        <v>261</v>
      </c>
      <c r="C75" s="5" t="s">
        <v>167</v>
      </c>
      <c r="D75" t="s">
        <v>4849</v>
      </c>
      <c r="E75" t="s">
        <v>4804</v>
      </c>
      <c r="F75" t="s">
        <v>4855</v>
      </c>
      <c r="G75" s="5" t="s">
        <v>4773</v>
      </c>
      <c r="H75" t="s">
        <v>204</v>
      </c>
      <c r="I75" s="1">
        <v>46264</v>
      </c>
      <c r="J75" s="16">
        <v>4626.3572222222219</v>
      </c>
    </row>
    <row r="76" spans="1:10" x14ac:dyDescent="0.3">
      <c r="A76" s="5" t="s">
        <v>798</v>
      </c>
      <c r="B76" s="5" t="s">
        <v>799</v>
      </c>
      <c r="C76" s="5" t="s">
        <v>800</v>
      </c>
      <c r="F76" t="s">
        <v>4852</v>
      </c>
      <c r="G76" s="5" t="s">
        <v>4771</v>
      </c>
      <c r="H76" t="s">
        <v>209</v>
      </c>
      <c r="I76" s="1">
        <v>54878</v>
      </c>
      <c r="J76" s="16">
        <v>0</v>
      </c>
    </row>
    <row r="77" spans="1:10" x14ac:dyDescent="0.3">
      <c r="A77" s="5" t="s">
        <v>291</v>
      </c>
      <c r="B77" s="5" t="s">
        <v>292</v>
      </c>
      <c r="C77" s="5" t="s">
        <v>165</v>
      </c>
      <c r="G77" s="5"/>
      <c r="H77" t="s">
        <v>209</v>
      </c>
      <c r="I77" s="1">
        <v>54878</v>
      </c>
      <c r="J77" s="16">
        <v>0</v>
      </c>
    </row>
    <row r="78" spans="1:10" x14ac:dyDescent="0.3">
      <c r="A78" s="5" t="s">
        <v>801</v>
      </c>
      <c r="B78" s="5" t="s">
        <v>802</v>
      </c>
      <c r="C78" s="5" t="s">
        <v>803</v>
      </c>
      <c r="G78" s="5"/>
      <c r="H78" t="s">
        <v>209</v>
      </c>
      <c r="I78" s="1">
        <v>54878</v>
      </c>
      <c r="J78" s="16">
        <v>0</v>
      </c>
    </row>
    <row r="79" spans="1:10" x14ac:dyDescent="0.3">
      <c r="A79" s="5" t="s">
        <v>293</v>
      </c>
      <c r="B79" s="5" t="s">
        <v>294</v>
      </c>
      <c r="C79" s="5" t="s">
        <v>101</v>
      </c>
      <c r="D79" t="s">
        <v>4834</v>
      </c>
      <c r="E79" t="s">
        <v>4776</v>
      </c>
      <c r="F79" t="s">
        <v>4858</v>
      </c>
      <c r="G79" s="5" t="s">
        <v>4773</v>
      </c>
      <c r="H79" t="s">
        <v>204</v>
      </c>
      <c r="I79" s="1">
        <v>46191</v>
      </c>
      <c r="J79" s="16">
        <v>245</v>
      </c>
    </row>
    <row r="80" spans="1:10" x14ac:dyDescent="0.3">
      <c r="A80" s="5" t="s">
        <v>804</v>
      </c>
      <c r="B80" s="5" t="s">
        <v>456</v>
      </c>
      <c r="C80" s="5" t="s">
        <v>71</v>
      </c>
      <c r="D80" t="s">
        <v>1042</v>
      </c>
      <c r="E80" t="s">
        <v>1006</v>
      </c>
      <c r="F80" t="s">
        <v>4852</v>
      </c>
      <c r="G80" s="5" t="s">
        <v>4771</v>
      </c>
      <c r="H80" t="s">
        <v>204</v>
      </c>
      <c r="I80" s="1">
        <v>54878</v>
      </c>
      <c r="J80" s="16">
        <v>0</v>
      </c>
    </row>
    <row r="81" spans="1:10" x14ac:dyDescent="0.3">
      <c r="A81" s="5" t="s">
        <v>295</v>
      </c>
      <c r="B81" s="5" t="s">
        <v>296</v>
      </c>
      <c r="C81" s="5" t="s">
        <v>93</v>
      </c>
      <c r="F81" t="s">
        <v>4845</v>
      </c>
      <c r="G81" s="5" t="s">
        <v>4772</v>
      </c>
      <c r="H81" t="s">
        <v>209</v>
      </c>
      <c r="I81" s="1">
        <v>54878</v>
      </c>
      <c r="J81" s="16">
        <v>3622.5922222222225</v>
      </c>
    </row>
    <row r="82" spans="1:10" x14ac:dyDescent="0.3">
      <c r="A82" s="5" t="s">
        <v>297</v>
      </c>
      <c r="B82" s="5" t="s">
        <v>298</v>
      </c>
      <c r="C82" s="5" t="s">
        <v>11</v>
      </c>
      <c r="D82" t="s">
        <v>1038</v>
      </c>
      <c r="E82" t="s">
        <v>4779</v>
      </c>
      <c r="F82" t="s">
        <v>4858</v>
      </c>
      <c r="G82" s="5" t="s">
        <v>4771</v>
      </c>
      <c r="H82" t="s">
        <v>204</v>
      </c>
      <c r="I82" s="1">
        <v>54878</v>
      </c>
      <c r="J82" s="16">
        <v>1210.365</v>
      </c>
    </row>
    <row r="83" spans="1:10" x14ac:dyDescent="0.3">
      <c r="A83" s="5" t="s">
        <v>299</v>
      </c>
      <c r="B83" s="5" t="s">
        <v>230</v>
      </c>
      <c r="C83" s="5" t="s">
        <v>85</v>
      </c>
      <c r="D83" t="s">
        <v>1033</v>
      </c>
      <c r="E83" t="s">
        <v>4781</v>
      </c>
      <c r="F83" t="s">
        <v>4852</v>
      </c>
      <c r="G83" s="5" t="s">
        <v>4771</v>
      </c>
      <c r="H83" t="s">
        <v>204</v>
      </c>
      <c r="I83" s="1">
        <v>46536</v>
      </c>
      <c r="J83" s="16">
        <v>209271.53833333324</v>
      </c>
    </row>
    <row r="84" spans="1:10" x14ac:dyDescent="0.3">
      <c r="A84" s="5" t="s">
        <v>806</v>
      </c>
      <c r="B84" s="5" t="s">
        <v>757</v>
      </c>
      <c r="C84" s="5" t="s">
        <v>758</v>
      </c>
      <c r="F84" t="s">
        <v>4856</v>
      </c>
      <c r="G84" s="5" t="s">
        <v>4771</v>
      </c>
      <c r="H84" t="s">
        <v>209</v>
      </c>
      <c r="I84" s="1">
        <v>54878</v>
      </c>
      <c r="J84" s="16">
        <v>0</v>
      </c>
    </row>
    <row r="85" spans="1:10" x14ac:dyDescent="0.3">
      <c r="A85" s="5" t="s">
        <v>300</v>
      </c>
      <c r="B85" s="5" t="s">
        <v>301</v>
      </c>
      <c r="C85" s="5" t="s">
        <v>23</v>
      </c>
      <c r="D85" t="s">
        <v>1038</v>
      </c>
      <c r="E85" t="s">
        <v>4782</v>
      </c>
      <c r="F85" t="s">
        <v>4858</v>
      </c>
      <c r="G85" s="5" t="s">
        <v>4773</v>
      </c>
      <c r="H85" t="s">
        <v>204</v>
      </c>
      <c r="I85" s="1">
        <v>46418</v>
      </c>
      <c r="J85" s="16">
        <v>5374.704999999999</v>
      </c>
    </row>
    <row r="86" spans="1:10" x14ac:dyDescent="0.3">
      <c r="A86" s="5" t="s">
        <v>302</v>
      </c>
      <c r="B86" s="5" t="s">
        <v>303</v>
      </c>
      <c r="C86" s="5" t="s">
        <v>22</v>
      </c>
      <c r="D86" t="s">
        <v>4834</v>
      </c>
      <c r="E86" t="s">
        <v>4776</v>
      </c>
      <c r="F86" t="s">
        <v>4858</v>
      </c>
      <c r="G86" s="5" t="s">
        <v>4773</v>
      </c>
      <c r="H86" t="s">
        <v>204</v>
      </c>
      <c r="I86" s="1">
        <v>46270</v>
      </c>
      <c r="J86" s="16">
        <v>135.35277777777776</v>
      </c>
    </row>
    <row r="87" spans="1:10" x14ac:dyDescent="0.3">
      <c r="A87" s="5" t="s">
        <v>304</v>
      </c>
      <c r="B87" s="5" t="s">
        <v>305</v>
      </c>
      <c r="C87" s="5" t="s">
        <v>59</v>
      </c>
      <c r="D87" t="s">
        <v>1038</v>
      </c>
      <c r="E87" t="s">
        <v>4783</v>
      </c>
      <c r="F87" t="s">
        <v>4858</v>
      </c>
      <c r="G87" s="5" t="s">
        <v>4771</v>
      </c>
      <c r="H87" t="s">
        <v>204</v>
      </c>
      <c r="I87" s="1">
        <v>46481</v>
      </c>
      <c r="J87" s="16">
        <v>6328.7611111111109</v>
      </c>
    </row>
    <row r="88" spans="1:10" x14ac:dyDescent="0.3">
      <c r="A88" s="5" t="s">
        <v>810</v>
      </c>
      <c r="B88" s="5" t="s">
        <v>811</v>
      </c>
      <c r="C88" s="5" t="s">
        <v>812</v>
      </c>
      <c r="G88" s="5"/>
      <c r="H88" t="s">
        <v>209</v>
      </c>
      <c r="I88" s="1">
        <v>54878</v>
      </c>
      <c r="J88" s="16">
        <v>0</v>
      </c>
    </row>
    <row r="89" spans="1:10" x14ac:dyDescent="0.3">
      <c r="A89" s="5" t="s">
        <v>306</v>
      </c>
      <c r="B89" s="5" t="s">
        <v>307</v>
      </c>
      <c r="C89" s="5" t="s">
        <v>126</v>
      </c>
      <c r="F89" t="s">
        <v>4852</v>
      </c>
      <c r="G89" s="5" t="s">
        <v>4772</v>
      </c>
      <c r="H89" t="s">
        <v>209</v>
      </c>
      <c r="I89" s="1">
        <v>54878</v>
      </c>
      <c r="J89" s="16">
        <v>0</v>
      </c>
    </row>
    <row r="90" spans="1:10" x14ac:dyDescent="0.3">
      <c r="A90" s="5" t="s">
        <v>308</v>
      </c>
      <c r="B90" s="5" t="s">
        <v>307</v>
      </c>
      <c r="C90" s="5" t="s">
        <v>126</v>
      </c>
      <c r="F90" t="s">
        <v>4852</v>
      </c>
      <c r="G90" s="5" t="s">
        <v>4772</v>
      </c>
      <c r="H90" t="s">
        <v>209</v>
      </c>
      <c r="I90" s="1">
        <v>54878</v>
      </c>
      <c r="J90" s="16">
        <v>0</v>
      </c>
    </row>
    <row r="91" spans="1:10" x14ac:dyDescent="0.3">
      <c r="A91" s="5" t="s">
        <v>309</v>
      </c>
      <c r="B91" s="5" t="s">
        <v>310</v>
      </c>
      <c r="C91" s="5" t="s">
        <v>153</v>
      </c>
      <c r="G91" s="5"/>
      <c r="H91" t="s">
        <v>209</v>
      </c>
      <c r="I91" s="1">
        <v>54878</v>
      </c>
      <c r="J91" s="16">
        <v>0</v>
      </c>
    </row>
    <row r="92" spans="1:10" x14ac:dyDescent="0.3">
      <c r="A92" s="5" t="s">
        <v>311</v>
      </c>
      <c r="B92" s="5" t="s">
        <v>312</v>
      </c>
      <c r="C92" s="5" t="s">
        <v>73</v>
      </c>
      <c r="D92" t="s">
        <v>4834</v>
      </c>
      <c r="E92" t="s">
        <v>1006</v>
      </c>
      <c r="F92" t="s">
        <v>4901</v>
      </c>
      <c r="G92" s="5" t="s">
        <v>4773</v>
      </c>
      <c r="H92" t="s">
        <v>204</v>
      </c>
      <c r="I92" s="1">
        <v>54878</v>
      </c>
      <c r="J92" s="16">
        <v>2290.3333333333335</v>
      </c>
    </row>
    <row r="93" spans="1:10" x14ac:dyDescent="0.3">
      <c r="A93" s="5" t="s">
        <v>313</v>
      </c>
      <c r="B93" s="5" t="s">
        <v>314</v>
      </c>
      <c r="C93" s="5" t="s">
        <v>39</v>
      </c>
      <c r="D93" t="s">
        <v>4834</v>
      </c>
      <c r="E93" t="s">
        <v>4779</v>
      </c>
      <c r="F93" t="s">
        <v>4901</v>
      </c>
      <c r="G93" s="5" t="s">
        <v>4773</v>
      </c>
      <c r="H93" t="s">
        <v>204</v>
      </c>
      <c r="I93" s="1">
        <v>46237</v>
      </c>
      <c r="J93" s="16">
        <v>1001.7888888888889</v>
      </c>
    </row>
    <row r="94" spans="1:10" x14ac:dyDescent="0.3">
      <c r="A94" s="5" t="s">
        <v>315</v>
      </c>
      <c r="B94" s="5" t="s">
        <v>248</v>
      </c>
      <c r="C94" s="5" t="s">
        <v>13</v>
      </c>
      <c r="D94" t="s">
        <v>1036</v>
      </c>
      <c r="E94" t="s">
        <v>4779</v>
      </c>
      <c r="F94" t="s">
        <v>4901</v>
      </c>
      <c r="G94" s="5" t="s">
        <v>4773</v>
      </c>
      <c r="H94" t="s">
        <v>204</v>
      </c>
      <c r="I94" s="1">
        <v>46073</v>
      </c>
      <c r="J94" s="16">
        <v>6152.6794444444467</v>
      </c>
    </row>
    <row r="95" spans="1:10" x14ac:dyDescent="0.3">
      <c r="A95" s="5" t="s">
        <v>316</v>
      </c>
      <c r="B95" s="5" t="s">
        <v>317</v>
      </c>
      <c r="C95" s="5" t="s">
        <v>78</v>
      </c>
      <c r="G95" s="5"/>
      <c r="H95" t="s">
        <v>209</v>
      </c>
      <c r="I95" s="1">
        <v>54878</v>
      </c>
      <c r="J95" s="16">
        <v>0</v>
      </c>
    </row>
    <row r="96" spans="1:10" x14ac:dyDescent="0.3">
      <c r="A96" s="5" t="s">
        <v>318</v>
      </c>
      <c r="B96" s="5" t="s">
        <v>319</v>
      </c>
      <c r="C96" s="5" t="s">
        <v>36</v>
      </c>
      <c r="D96" t="s">
        <v>1036</v>
      </c>
      <c r="E96" t="s">
        <v>4784</v>
      </c>
      <c r="F96" t="s">
        <v>4901</v>
      </c>
      <c r="G96" s="5" t="s">
        <v>4771</v>
      </c>
      <c r="H96" t="s">
        <v>204</v>
      </c>
      <c r="I96" s="1">
        <v>46214</v>
      </c>
      <c r="J96" s="16">
        <v>10322.079999999994</v>
      </c>
    </row>
    <row r="97" spans="1:10" x14ac:dyDescent="0.3">
      <c r="A97" s="5" t="s">
        <v>320</v>
      </c>
      <c r="B97" s="5" t="s">
        <v>248</v>
      </c>
      <c r="C97" s="5" t="s">
        <v>13</v>
      </c>
      <c r="D97" t="s">
        <v>1040</v>
      </c>
      <c r="E97" t="s">
        <v>4779</v>
      </c>
      <c r="F97" t="s">
        <v>4858</v>
      </c>
      <c r="G97" s="5" t="s">
        <v>4773</v>
      </c>
      <c r="H97" t="s">
        <v>209</v>
      </c>
      <c r="I97" s="1">
        <v>54878</v>
      </c>
      <c r="J97" s="16">
        <v>0</v>
      </c>
    </row>
    <row r="98" spans="1:10" x14ac:dyDescent="0.3">
      <c r="A98" s="5" t="s">
        <v>321</v>
      </c>
      <c r="B98" s="5" t="s">
        <v>322</v>
      </c>
      <c r="C98" s="5" t="s">
        <v>158</v>
      </c>
      <c r="D98" t="s">
        <v>1040</v>
      </c>
      <c r="E98" t="s">
        <v>4782</v>
      </c>
      <c r="F98" t="s">
        <v>4856</v>
      </c>
      <c r="G98" s="5" t="s">
        <v>4773</v>
      </c>
      <c r="H98" t="s">
        <v>204</v>
      </c>
      <c r="I98" s="1">
        <v>46310</v>
      </c>
      <c r="J98" s="16">
        <v>21565.638333333336</v>
      </c>
    </row>
    <row r="99" spans="1:10" x14ac:dyDescent="0.3">
      <c r="A99" s="5" t="s">
        <v>323</v>
      </c>
      <c r="B99" s="5" t="s">
        <v>301</v>
      </c>
      <c r="C99" s="5" t="s">
        <v>23</v>
      </c>
      <c r="D99" t="s">
        <v>1036</v>
      </c>
      <c r="E99" t="s">
        <v>4782</v>
      </c>
      <c r="F99" t="s">
        <v>4901</v>
      </c>
      <c r="G99" s="5" t="s">
        <v>4773</v>
      </c>
      <c r="H99" t="s">
        <v>204</v>
      </c>
      <c r="I99" s="1">
        <v>46538</v>
      </c>
      <c r="J99" s="16">
        <v>6155.271111111113</v>
      </c>
    </row>
    <row r="100" spans="1:10" x14ac:dyDescent="0.3">
      <c r="A100" s="5" t="s">
        <v>324</v>
      </c>
      <c r="B100" s="5" t="s">
        <v>325</v>
      </c>
      <c r="C100" s="5" t="s">
        <v>193</v>
      </c>
      <c r="D100" t="s">
        <v>4844</v>
      </c>
      <c r="E100" t="s">
        <v>4779</v>
      </c>
      <c r="F100" t="s">
        <v>4901</v>
      </c>
      <c r="G100" s="5" t="s">
        <v>4773</v>
      </c>
      <c r="H100" t="s">
        <v>204</v>
      </c>
      <c r="I100" s="1">
        <v>54878</v>
      </c>
      <c r="J100" s="16">
        <v>3900</v>
      </c>
    </row>
    <row r="101" spans="1:10" x14ac:dyDescent="0.3">
      <c r="A101" s="5" t="s">
        <v>326</v>
      </c>
      <c r="B101" s="5" t="s">
        <v>327</v>
      </c>
      <c r="C101" s="5" t="s">
        <v>159</v>
      </c>
      <c r="D101" t="s">
        <v>4834</v>
      </c>
      <c r="E101" t="s">
        <v>4776</v>
      </c>
      <c r="F101" t="s">
        <v>4856</v>
      </c>
      <c r="G101" s="5" t="s">
        <v>4773</v>
      </c>
      <c r="H101" t="s">
        <v>204</v>
      </c>
      <c r="I101" s="1">
        <v>54878</v>
      </c>
      <c r="J101" s="16">
        <v>5252.7449999999999</v>
      </c>
    </row>
    <row r="102" spans="1:10" x14ac:dyDescent="0.3">
      <c r="A102" s="5" t="s">
        <v>328</v>
      </c>
      <c r="B102" s="5" t="s">
        <v>329</v>
      </c>
      <c r="C102" s="5" t="s">
        <v>125</v>
      </c>
      <c r="D102" t="s">
        <v>4834</v>
      </c>
      <c r="E102" t="s">
        <v>4784</v>
      </c>
      <c r="F102" t="s">
        <v>4901</v>
      </c>
      <c r="G102" s="5" t="s">
        <v>4771</v>
      </c>
      <c r="H102" t="s">
        <v>204</v>
      </c>
      <c r="I102" s="1">
        <v>54878</v>
      </c>
      <c r="J102" s="16">
        <v>71.64</v>
      </c>
    </row>
    <row r="103" spans="1:10" x14ac:dyDescent="0.3">
      <c r="A103" s="5" t="s">
        <v>330</v>
      </c>
      <c r="B103" s="5" t="s">
        <v>331</v>
      </c>
      <c r="C103" s="5" t="s">
        <v>142</v>
      </c>
      <c r="G103" s="5"/>
      <c r="H103" t="s">
        <v>209</v>
      </c>
      <c r="I103" s="1">
        <v>54878</v>
      </c>
      <c r="J103" s="16">
        <v>0</v>
      </c>
    </row>
    <row r="104" spans="1:10" x14ac:dyDescent="0.3">
      <c r="A104" s="5" t="s">
        <v>332</v>
      </c>
      <c r="B104" s="5" t="s">
        <v>333</v>
      </c>
      <c r="C104" s="5" t="s">
        <v>29</v>
      </c>
      <c r="D104" t="s">
        <v>1036</v>
      </c>
      <c r="E104" t="s">
        <v>4776</v>
      </c>
      <c r="F104" t="s">
        <v>4901</v>
      </c>
      <c r="G104" s="5" t="s">
        <v>4771</v>
      </c>
      <c r="H104" t="s">
        <v>204</v>
      </c>
      <c r="I104" s="1">
        <v>54878</v>
      </c>
      <c r="J104" s="16">
        <v>287.84888888888895</v>
      </c>
    </row>
    <row r="105" spans="1:10" x14ac:dyDescent="0.3">
      <c r="A105" s="5" t="s">
        <v>334</v>
      </c>
      <c r="B105" s="5" t="s">
        <v>270</v>
      </c>
      <c r="C105" s="5" t="s">
        <v>82</v>
      </c>
      <c r="G105" s="5"/>
      <c r="H105" t="s">
        <v>209</v>
      </c>
      <c r="I105" s="1">
        <v>54878</v>
      </c>
      <c r="J105" s="16">
        <v>280.22222222222223</v>
      </c>
    </row>
    <row r="106" spans="1:10" x14ac:dyDescent="0.3">
      <c r="A106" s="5" t="s">
        <v>335</v>
      </c>
      <c r="B106" s="5" t="s">
        <v>333</v>
      </c>
      <c r="C106" s="5" t="s">
        <v>29</v>
      </c>
      <c r="D106" t="s">
        <v>1040</v>
      </c>
      <c r="E106" t="s">
        <v>4776</v>
      </c>
      <c r="F106" t="s">
        <v>4856</v>
      </c>
      <c r="G106" s="5" t="s">
        <v>4771</v>
      </c>
      <c r="H106" t="s">
        <v>204</v>
      </c>
      <c r="I106" s="1">
        <v>54878</v>
      </c>
      <c r="J106" s="16">
        <v>259.53722222222217</v>
      </c>
    </row>
    <row r="107" spans="1:10" x14ac:dyDescent="0.3">
      <c r="A107" s="5" t="s">
        <v>336</v>
      </c>
      <c r="B107" s="5" t="s">
        <v>319</v>
      </c>
      <c r="C107" s="5" t="s">
        <v>36</v>
      </c>
      <c r="D107" t="s">
        <v>1040</v>
      </c>
      <c r="E107" t="s">
        <v>4784</v>
      </c>
      <c r="F107" t="s">
        <v>4856</v>
      </c>
      <c r="G107" s="5" t="s">
        <v>4771</v>
      </c>
      <c r="H107" t="s">
        <v>204</v>
      </c>
      <c r="I107" s="1">
        <v>46075</v>
      </c>
      <c r="J107" s="16">
        <v>55038.90388888889</v>
      </c>
    </row>
    <row r="108" spans="1:10" x14ac:dyDescent="0.3">
      <c r="A108" s="5" t="s">
        <v>337</v>
      </c>
      <c r="B108" s="5" t="s">
        <v>338</v>
      </c>
      <c r="C108" s="5" t="s">
        <v>31</v>
      </c>
      <c r="D108" t="s">
        <v>1036</v>
      </c>
      <c r="E108" t="s">
        <v>4785</v>
      </c>
      <c r="F108" t="s">
        <v>4901</v>
      </c>
      <c r="G108" s="5" t="s">
        <v>4773</v>
      </c>
      <c r="H108" t="s">
        <v>204</v>
      </c>
      <c r="I108" s="1">
        <v>54878</v>
      </c>
      <c r="J108" s="16">
        <v>28789.031666666669</v>
      </c>
    </row>
    <row r="109" spans="1:10" x14ac:dyDescent="0.3">
      <c r="A109" s="5" t="s">
        <v>339</v>
      </c>
      <c r="B109" s="5" t="s">
        <v>340</v>
      </c>
      <c r="C109" s="5" t="s">
        <v>114</v>
      </c>
      <c r="G109" s="5"/>
      <c r="H109" t="s">
        <v>209</v>
      </c>
      <c r="I109" s="1">
        <v>54878</v>
      </c>
      <c r="J109" s="16">
        <v>0</v>
      </c>
    </row>
    <row r="110" spans="1:10" x14ac:dyDescent="0.3">
      <c r="A110" s="5" t="s">
        <v>825</v>
      </c>
      <c r="B110" s="5" t="s">
        <v>826</v>
      </c>
      <c r="C110" s="5" t="s">
        <v>827</v>
      </c>
      <c r="F110" t="s">
        <v>4901</v>
      </c>
      <c r="G110" s="5" t="s">
        <v>4774</v>
      </c>
      <c r="H110" t="s">
        <v>209</v>
      </c>
      <c r="I110" s="1">
        <v>54878</v>
      </c>
      <c r="J110" s="16">
        <v>0</v>
      </c>
    </row>
    <row r="111" spans="1:10" x14ac:dyDescent="0.3">
      <c r="A111" s="5" t="s">
        <v>341</v>
      </c>
      <c r="B111" s="5" t="s">
        <v>314</v>
      </c>
      <c r="C111" s="5" t="s">
        <v>39</v>
      </c>
      <c r="D111" t="s">
        <v>4834</v>
      </c>
      <c r="E111" t="s">
        <v>4776</v>
      </c>
      <c r="F111" t="s">
        <v>4856</v>
      </c>
      <c r="G111" s="5" t="s">
        <v>4773</v>
      </c>
      <c r="H111" t="s">
        <v>204</v>
      </c>
      <c r="I111" s="1">
        <v>46266</v>
      </c>
      <c r="J111" s="16">
        <v>843.45555555555552</v>
      </c>
    </row>
    <row r="112" spans="1:10" x14ac:dyDescent="0.3">
      <c r="A112" s="5" t="s">
        <v>342</v>
      </c>
      <c r="B112" s="5" t="s">
        <v>301</v>
      </c>
      <c r="C112" s="5" t="s">
        <v>23</v>
      </c>
      <c r="D112" t="s">
        <v>1040</v>
      </c>
      <c r="E112" t="s">
        <v>4782</v>
      </c>
      <c r="F112" t="s">
        <v>4856</v>
      </c>
      <c r="G112" s="5" t="s">
        <v>4773</v>
      </c>
      <c r="H112" t="s">
        <v>204</v>
      </c>
      <c r="I112" s="1">
        <v>46285</v>
      </c>
      <c r="J112" s="16">
        <v>5055.684444444445</v>
      </c>
    </row>
    <row r="113" spans="1:10" x14ac:dyDescent="0.3">
      <c r="A113" s="5" t="s">
        <v>343</v>
      </c>
      <c r="B113" s="5" t="s">
        <v>344</v>
      </c>
      <c r="C113" s="5" t="s">
        <v>138</v>
      </c>
      <c r="F113" t="s">
        <v>4856</v>
      </c>
      <c r="G113" s="5" t="s">
        <v>4771</v>
      </c>
      <c r="H113" t="s">
        <v>209</v>
      </c>
      <c r="I113" s="1">
        <v>54878</v>
      </c>
      <c r="J113" s="16">
        <v>235.03333333333336</v>
      </c>
    </row>
    <row r="114" spans="1:10" x14ac:dyDescent="0.3">
      <c r="A114" s="5" t="s">
        <v>345</v>
      </c>
      <c r="B114" s="5" t="s">
        <v>292</v>
      </c>
      <c r="C114" s="5" t="s">
        <v>165</v>
      </c>
      <c r="G114" s="5"/>
      <c r="H114" t="s">
        <v>209</v>
      </c>
      <c r="I114" s="1">
        <v>54878</v>
      </c>
      <c r="J114" s="16">
        <v>-1247.6705555555554</v>
      </c>
    </row>
    <row r="115" spans="1:10" x14ac:dyDescent="0.3">
      <c r="A115" s="5" t="s">
        <v>346</v>
      </c>
      <c r="B115" s="5" t="s">
        <v>322</v>
      </c>
      <c r="C115" s="5" t="s">
        <v>158</v>
      </c>
      <c r="D115" t="s">
        <v>1040</v>
      </c>
      <c r="E115" t="s">
        <v>4782</v>
      </c>
      <c r="F115" t="s">
        <v>4856</v>
      </c>
      <c r="G115" s="5" t="s">
        <v>4773</v>
      </c>
      <c r="H115" t="s">
        <v>204</v>
      </c>
      <c r="I115" s="1">
        <v>46310</v>
      </c>
      <c r="J115" s="16">
        <v>21192.554444444446</v>
      </c>
    </row>
    <row r="116" spans="1:10" x14ac:dyDescent="0.3">
      <c r="A116" s="5" t="s">
        <v>347</v>
      </c>
      <c r="B116" s="5" t="s">
        <v>292</v>
      </c>
      <c r="C116" s="5" t="s">
        <v>165</v>
      </c>
      <c r="G116" s="5"/>
      <c r="H116" t="s">
        <v>209</v>
      </c>
      <c r="I116" s="1">
        <v>54878</v>
      </c>
      <c r="J116" s="16">
        <v>0</v>
      </c>
    </row>
    <row r="117" spans="1:10" x14ac:dyDescent="0.3">
      <c r="A117" s="5" t="s">
        <v>348</v>
      </c>
      <c r="B117" s="5" t="s">
        <v>349</v>
      </c>
      <c r="C117" s="5" t="s">
        <v>9</v>
      </c>
      <c r="G117" s="5"/>
      <c r="H117" t="s">
        <v>209</v>
      </c>
      <c r="I117" s="1">
        <v>54878</v>
      </c>
      <c r="J117" s="16">
        <v>0</v>
      </c>
    </row>
    <row r="118" spans="1:10" x14ac:dyDescent="0.3">
      <c r="A118" s="5" t="s">
        <v>350</v>
      </c>
      <c r="B118" s="5" t="s">
        <v>265</v>
      </c>
      <c r="C118" s="5" t="s">
        <v>176</v>
      </c>
      <c r="G118" s="5"/>
      <c r="H118" t="s">
        <v>209</v>
      </c>
      <c r="I118" s="1">
        <v>54878</v>
      </c>
      <c r="J118" s="16">
        <v>0</v>
      </c>
    </row>
    <row r="119" spans="1:10" x14ac:dyDescent="0.3">
      <c r="A119" s="5" t="s">
        <v>351</v>
      </c>
      <c r="B119" s="5" t="s">
        <v>248</v>
      </c>
      <c r="C119" s="5" t="s">
        <v>13</v>
      </c>
      <c r="D119" t="s">
        <v>1040</v>
      </c>
      <c r="E119" t="s">
        <v>4779</v>
      </c>
      <c r="F119" t="s">
        <v>4856</v>
      </c>
      <c r="G119" s="5" t="s">
        <v>4773</v>
      </c>
      <c r="H119" t="s">
        <v>204</v>
      </c>
      <c r="I119" s="1">
        <v>54878</v>
      </c>
      <c r="J119" s="16">
        <v>1466.9594444444447</v>
      </c>
    </row>
    <row r="120" spans="1:10" x14ac:dyDescent="0.3">
      <c r="A120" s="5" t="s">
        <v>352</v>
      </c>
      <c r="B120" s="5" t="s">
        <v>322</v>
      </c>
      <c r="C120" s="5" t="s">
        <v>158</v>
      </c>
      <c r="D120" t="s">
        <v>1040</v>
      </c>
      <c r="E120" t="s">
        <v>4782</v>
      </c>
      <c r="F120" t="s">
        <v>4856</v>
      </c>
      <c r="G120" s="5" t="s">
        <v>4773</v>
      </c>
      <c r="H120" t="s">
        <v>204</v>
      </c>
      <c r="I120" s="1">
        <v>46310</v>
      </c>
      <c r="J120" s="16">
        <v>2281.8922222222218</v>
      </c>
    </row>
    <row r="121" spans="1:10" x14ac:dyDescent="0.3">
      <c r="A121" s="5" t="s">
        <v>353</v>
      </c>
      <c r="B121" s="5" t="s">
        <v>338</v>
      </c>
      <c r="C121" s="5" t="s">
        <v>31</v>
      </c>
      <c r="D121" t="s">
        <v>1040</v>
      </c>
      <c r="E121" t="s">
        <v>4785</v>
      </c>
      <c r="F121" t="s">
        <v>4856</v>
      </c>
      <c r="G121" s="5" t="s">
        <v>4773</v>
      </c>
      <c r="H121" t="s">
        <v>204</v>
      </c>
      <c r="I121" s="1">
        <v>54878</v>
      </c>
      <c r="J121" s="16">
        <v>5867.1488888888898</v>
      </c>
    </row>
    <row r="122" spans="1:10" x14ac:dyDescent="0.3">
      <c r="A122" s="5" t="s">
        <v>354</v>
      </c>
      <c r="B122" s="5" t="s">
        <v>355</v>
      </c>
      <c r="C122" s="5" t="s">
        <v>143</v>
      </c>
      <c r="D122" t="s">
        <v>4834</v>
      </c>
      <c r="E122" t="s">
        <v>4776</v>
      </c>
      <c r="F122" t="s">
        <v>4856</v>
      </c>
      <c r="G122" s="5" t="s">
        <v>4771</v>
      </c>
      <c r="H122" t="s">
        <v>204</v>
      </c>
      <c r="I122" s="1">
        <v>54878</v>
      </c>
      <c r="J122" s="16">
        <v>798.18611111111113</v>
      </c>
    </row>
    <row r="123" spans="1:10" x14ac:dyDescent="0.3">
      <c r="A123" s="5" t="s">
        <v>356</v>
      </c>
      <c r="B123" s="5" t="s">
        <v>210</v>
      </c>
      <c r="C123" s="5" t="s">
        <v>163</v>
      </c>
      <c r="F123" t="s">
        <v>4901</v>
      </c>
      <c r="G123" s="5" t="s">
        <v>4773</v>
      </c>
      <c r="H123" t="s">
        <v>209</v>
      </c>
      <c r="I123" s="1">
        <v>54878</v>
      </c>
      <c r="J123" s="16">
        <v>20</v>
      </c>
    </row>
    <row r="124" spans="1:10" x14ac:dyDescent="0.3">
      <c r="A124" s="5" t="s">
        <v>357</v>
      </c>
      <c r="B124" s="5" t="s">
        <v>327</v>
      </c>
      <c r="C124" s="5" t="s">
        <v>159</v>
      </c>
      <c r="D124" t="s">
        <v>4834</v>
      </c>
      <c r="E124" t="s">
        <v>4776</v>
      </c>
      <c r="F124" t="s">
        <v>4901</v>
      </c>
      <c r="G124" s="5" t="s">
        <v>4773</v>
      </c>
      <c r="H124" t="s">
        <v>204</v>
      </c>
      <c r="I124" s="1">
        <v>46476</v>
      </c>
      <c r="J124" s="16">
        <v>18370.385555555553</v>
      </c>
    </row>
    <row r="125" spans="1:10" x14ac:dyDescent="0.3">
      <c r="A125" s="5" t="s">
        <v>358</v>
      </c>
      <c r="B125" s="5" t="s">
        <v>359</v>
      </c>
      <c r="C125" s="5" t="s">
        <v>53</v>
      </c>
      <c r="D125" t="s">
        <v>1036</v>
      </c>
      <c r="E125" t="s">
        <v>4776</v>
      </c>
      <c r="F125" t="s">
        <v>4901</v>
      </c>
      <c r="G125" s="5" t="s">
        <v>4773</v>
      </c>
      <c r="H125" t="s">
        <v>204</v>
      </c>
      <c r="I125" s="1">
        <v>54878</v>
      </c>
      <c r="J125" s="16">
        <v>900.24111111111165</v>
      </c>
    </row>
    <row r="126" spans="1:10" x14ac:dyDescent="0.3">
      <c r="A126" s="5" t="s">
        <v>360</v>
      </c>
      <c r="B126" s="5" t="s">
        <v>239</v>
      </c>
      <c r="C126" s="5" t="s">
        <v>199</v>
      </c>
      <c r="D126" t="s">
        <v>4903</v>
      </c>
      <c r="E126" t="s">
        <v>4779</v>
      </c>
      <c r="F126" t="s">
        <v>4901</v>
      </c>
      <c r="G126" s="5" t="s">
        <v>4771</v>
      </c>
      <c r="H126" t="s">
        <v>209</v>
      </c>
      <c r="I126" s="1">
        <v>54878</v>
      </c>
      <c r="J126" s="16">
        <v>0</v>
      </c>
    </row>
    <row r="127" spans="1:10" x14ac:dyDescent="0.3">
      <c r="A127" s="5" t="s">
        <v>361</v>
      </c>
      <c r="B127" s="5" t="s">
        <v>355</v>
      </c>
      <c r="C127" s="5" t="s">
        <v>143</v>
      </c>
      <c r="D127" t="s">
        <v>4834</v>
      </c>
      <c r="E127" t="s">
        <v>4776</v>
      </c>
      <c r="F127" t="s">
        <v>4901</v>
      </c>
      <c r="G127" s="5" t="s">
        <v>4771</v>
      </c>
      <c r="H127" t="s">
        <v>204</v>
      </c>
      <c r="I127" s="1">
        <v>54878</v>
      </c>
      <c r="J127" s="16">
        <v>537.61111111111109</v>
      </c>
    </row>
    <row r="128" spans="1:10" x14ac:dyDescent="0.3">
      <c r="A128" s="5" t="s">
        <v>362</v>
      </c>
      <c r="B128" s="5" t="s">
        <v>270</v>
      </c>
      <c r="C128" s="5" t="s">
        <v>82</v>
      </c>
      <c r="G128" s="5"/>
      <c r="H128" t="s">
        <v>209</v>
      </c>
      <c r="I128" s="1">
        <v>54878</v>
      </c>
      <c r="J128" s="16">
        <v>627.33333333333337</v>
      </c>
    </row>
    <row r="129" spans="1:10" x14ac:dyDescent="0.3">
      <c r="A129" s="5" t="s">
        <v>363</v>
      </c>
      <c r="B129" s="5" t="s">
        <v>364</v>
      </c>
      <c r="C129" s="5" t="s">
        <v>72</v>
      </c>
      <c r="D129" t="s">
        <v>4834</v>
      </c>
      <c r="E129" t="s">
        <v>4776</v>
      </c>
      <c r="F129" t="s">
        <v>4901</v>
      </c>
      <c r="G129" s="5" t="s">
        <v>4773</v>
      </c>
      <c r="H129" t="s">
        <v>209</v>
      </c>
      <c r="I129" s="1">
        <v>46092</v>
      </c>
      <c r="J129" s="16">
        <v>5613.9444444444443</v>
      </c>
    </row>
    <row r="130" spans="1:10" x14ac:dyDescent="0.3">
      <c r="A130" s="5" t="s">
        <v>365</v>
      </c>
      <c r="B130" s="5" t="s">
        <v>312</v>
      </c>
      <c r="C130" s="5" t="s">
        <v>73</v>
      </c>
      <c r="D130" t="s">
        <v>4834</v>
      </c>
      <c r="E130" t="s">
        <v>1006</v>
      </c>
      <c r="F130" t="s">
        <v>4856</v>
      </c>
      <c r="G130" s="5" t="s">
        <v>4773</v>
      </c>
      <c r="H130" t="s">
        <v>204</v>
      </c>
      <c r="I130" s="1">
        <v>46418</v>
      </c>
      <c r="J130" s="16">
        <v>2290.3333333333335</v>
      </c>
    </row>
    <row r="131" spans="1:10" x14ac:dyDescent="0.3">
      <c r="A131" s="5" t="s">
        <v>366</v>
      </c>
      <c r="B131" s="5" t="s">
        <v>349</v>
      </c>
      <c r="C131" s="5" t="s">
        <v>9</v>
      </c>
      <c r="G131" s="5"/>
      <c r="H131" t="s">
        <v>209</v>
      </c>
      <c r="I131" s="1">
        <v>54878</v>
      </c>
      <c r="J131" s="16">
        <v>0</v>
      </c>
    </row>
    <row r="132" spans="1:10" x14ac:dyDescent="0.3">
      <c r="A132" s="5" t="s">
        <v>367</v>
      </c>
      <c r="B132" s="5" t="s">
        <v>368</v>
      </c>
      <c r="C132" s="5" t="s">
        <v>198</v>
      </c>
      <c r="G132" s="5"/>
      <c r="H132" t="s">
        <v>209</v>
      </c>
      <c r="I132" s="1">
        <v>54878</v>
      </c>
      <c r="J132" s="16">
        <v>0</v>
      </c>
    </row>
    <row r="133" spans="1:10" x14ac:dyDescent="0.3">
      <c r="A133" s="5" t="s">
        <v>830</v>
      </c>
      <c r="B133" s="5" t="s">
        <v>243</v>
      </c>
      <c r="C133" s="5" t="s">
        <v>61</v>
      </c>
      <c r="D133" t="s">
        <v>4834</v>
      </c>
      <c r="E133" t="s">
        <v>4805</v>
      </c>
      <c r="F133" t="s">
        <v>4901</v>
      </c>
      <c r="G133" s="5"/>
      <c r="H133" t="s">
        <v>204</v>
      </c>
      <c r="I133" s="1">
        <v>54878</v>
      </c>
      <c r="J133" s="16">
        <v>0</v>
      </c>
    </row>
    <row r="134" spans="1:10" x14ac:dyDescent="0.3">
      <c r="A134" s="5" t="s">
        <v>369</v>
      </c>
      <c r="B134" s="5" t="s">
        <v>370</v>
      </c>
      <c r="C134" s="5" t="s">
        <v>115</v>
      </c>
      <c r="G134" s="5"/>
      <c r="H134" t="s">
        <v>209</v>
      </c>
      <c r="I134" s="1">
        <v>54878</v>
      </c>
      <c r="J134" s="16">
        <v>0</v>
      </c>
    </row>
    <row r="135" spans="1:10" x14ac:dyDescent="0.3">
      <c r="A135" s="5" t="s">
        <v>371</v>
      </c>
      <c r="B135" s="5" t="s">
        <v>372</v>
      </c>
      <c r="C135" s="5" t="s">
        <v>105</v>
      </c>
      <c r="D135" t="s">
        <v>1038</v>
      </c>
      <c r="E135" t="s">
        <v>4777</v>
      </c>
      <c r="F135" t="s">
        <v>4858</v>
      </c>
      <c r="G135" s="5" t="s">
        <v>4773</v>
      </c>
      <c r="H135" t="s">
        <v>209</v>
      </c>
      <c r="I135" s="1">
        <v>45904</v>
      </c>
      <c r="J135" s="16">
        <v>8188.9866666666676</v>
      </c>
    </row>
    <row r="136" spans="1:10" x14ac:dyDescent="0.3">
      <c r="A136" s="5" t="s">
        <v>373</v>
      </c>
      <c r="B136" s="5" t="s">
        <v>374</v>
      </c>
      <c r="C136" s="5" t="s">
        <v>123</v>
      </c>
      <c r="G136" s="5"/>
      <c r="H136" t="s">
        <v>209</v>
      </c>
      <c r="I136" s="1">
        <v>45107</v>
      </c>
      <c r="J136" s="16">
        <v>0</v>
      </c>
    </row>
    <row r="137" spans="1:10" x14ac:dyDescent="0.3">
      <c r="A137" s="5" t="s">
        <v>375</v>
      </c>
      <c r="B137" s="5" t="s">
        <v>376</v>
      </c>
      <c r="C137" s="5" t="s">
        <v>35</v>
      </c>
      <c r="D137" t="s">
        <v>1037</v>
      </c>
      <c r="E137" t="s">
        <v>4807</v>
      </c>
      <c r="F137" t="s">
        <v>4852</v>
      </c>
      <c r="G137" s="5" t="s">
        <v>4771</v>
      </c>
      <c r="H137" t="s">
        <v>209</v>
      </c>
      <c r="I137" s="1">
        <v>54878</v>
      </c>
      <c r="J137" s="16">
        <v>70672.139444444445</v>
      </c>
    </row>
    <row r="138" spans="1:10" x14ac:dyDescent="0.3">
      <c r="A138" s="5" t="s">
        <v>377</v>
      </c>
      <c r="B138" s="5" t="s">
        <v>376</v>
      </c>
      <c r="C138" s="5" t="s">
        <v>35</v>
      </c>
      <c r="F138" t="s">
        <v>4852</v>
      </c>
      <c r="G138" s="5" t="s">
        <v>4771</v>
      </c>
      <c r="H138" t="s">
        <v>209</v>
      </c>
      <c r="I138" s="1">
        <v>54878</v>
      </c>
      <c r="J138" s="16">
        <v>23444.390555555558</v>
      </c>
    </row>
    <row r="139" spans="1:10" x14ac:dyDescent="0.3">
      <c r="A139" s="5" t="s">
        <v>378</v>
      </c>
      <c r="B139" s="5" t="s">
        <v>379</v>
      </c>
      <c r="C139" s="5" t="s">
        <v>131</v>
      </c>
      <c r="D139" t="s">
        <v>4833</v>
      </c>
      <c r="E139" t="s">
        <v>4776</v>
      </c>
      <c r="F139" t="s">
        <v>4852</v>
      </c>
      <c r="G139" s="5" t="s">
        <v>4773</v>
      </c>
      <c r="H139" t="s">
        <v>204</v>
      </c>
      <c r="I139" s="1">
        <v>54878</v>
      </c>
      <c r="J139" s="16">
        <v>68.510000000000005</v>
      </c>
    </row>
    <row r="140" spans="1:10" x14ac:dyDescent="0.3">
      <c r="A140" s="5" t="s">
        <v>380</v>
      </c>
      <c r="B140" s="5" t="s">
        <v>381</v>
      </c>
      <c r="C140" s="5" t="s">
        <v>40</v>
      </c>
      <c r="F140" t="s">
        <v>4852</v>
      </c>
      <c r="G140" s="5" t="s">
        <v>4773</v>
      </c>
      <c r="H140" t="s">
        <v>209</v>
      </c>
      <c r="I140" s="1">
        <v>54878</v>
      </c>
      <c r="J140" s="16">
        <v>0</v>
      </c>
    </row>
    <row r="141" spans="1:10" x14ac:dyDescent="0.3">
      <c r="A141" s="5" t="s">
        <v>382</v>
      </c>
      <c r="B141" s="5" t="s">
        <v>383</v>
      </c>
      <c r="C141" s="5" t="s">
        <v>120</v>
      </c>
      <c r="G141" s="5"/>
      <c r="H141" t="s">
        <v>209</v>
      </c>
      <c r="I141" s="1">
        <v>54878</v>
      </c>
      <c r="J141" s="16">
        <v>0</v>
      </c>
    </row>
    <row r="142" spans="1:10" x14ac:dyDescent="0.3">
      <c r="A142" s="5" t="s">
        <v>384</v>
      </c>
      <c r="B142" s="5" t="s">
        <v>385</v>
      </c>
      <c r="C142" s="5" t="s">
        <v>45</v>
      </c>
      <c r="G142" s="5"/>
      <c r="H142" t="s">
        <v>209</v>
      </c>
      <c r="I142" s="1">
        <v>54878</v>
      </c>
      <c r="J142" s="16">
        <v>0</v>
      </c>
    </row>
    <row r="143" spans="1:10" x14ac:dyDescent="0.3">
      <c r="A143" s="5" t="s">
        <v>386</v>
      </c>
      <c r="B143" s="5" t="s">
        <v>387</v>
      </c>
      <c r="C143" s="5" t="s">
        <v>42</v>
      </c>
      <c r="D143" t="s">
        <v>4833</v>
      </c>
      <c r="E143" t="s">
        <v>4776</v>
      </c>
      <c r="F143" t="s">
        <v>4852</v>
      </c>
      <c r="G143" s="5" t="s">
        <v>4773</v>
      </c>
      <c r="H143" t="s">
        <v>204</v>
      </c>
      <c r="I143" s="1">
        <v>54878</v>
      </c>
      <c r="J143" s="16">
        <v>1876.6111111111111</v>
      </c>
    </row>
    <row r="144" spans="1:10" x14ac:dyDescent="0.3">
      <c r="A144" s="5" t="s">
        <v>388</v>
      </c>
      <c r="B144" s="5" t="s">
        <v>389</v>
      </c>
      <c r="C144" s="5" t="s">
        <v>32</v>
      </c>
      <c r="D144" t="s">
        <v>1038</v>
      </c>
      <c r="E144" t="s">
        <v>4785</v>
      </c>
      <c r="F144" t="s">
        <v>4858</v>
      </c>
      <c r="G144" s="5" t="s">
        <v>4771</v>
      </c>
      <c r="H144" t="s">
        <v>204</v>
      </c>
      <c r="I144" s="1">
        <v>46752</v>
      </c>
      <c r="J144" s="16">
        <v>42067.441111111104</v>
      </c>
    </row>
    <row r="145" spans="1:10" x14ac:dyDescent="0.3">
      <c r="A145" s="5" t="s">
        <v>390</v>
      </c>
      <c r="B145" s="5" t="s">
        <v>391</v>
      </c>
      <c r="C145" s="5" t="s">
        <v>104</v>
      </c>
      <c r="D145" t="s">
        <v>4833</v>
      </c>
      <c r="E145" t="s">
        <v>4776</v>
      </c>
      <c r="F145" t="s">
        <v>4852</v>
      </c>
      <c r="G145" s="5" t="s">
        <v>4773</v>
      </c>
      <c r="H145" t="s">
        <v>204</v>
      </c>
      <c r="I145" s="1">
        <v>54878</v>
      </c>
      <c r="J145" s="16">
        <v>1599.5144444444463</v>
      </c>
    </row>
    <row r="146" spans="1:10" x14ac:dyDescent="0.3">
      <c r="A146" s="5" t="s">
        <v>392</v>
      </c>
      <c r="B146" s="5" t="s">
        <v>393</v>
      </c>
      <c r="C146" s="5" t="s">
        <v>34</v>
      </c>
      <c r="G146" s="5"/>
      <c r="H146" t="s">
        <v>209</v>
      </c>
      <c r="I146" s="1">
        <v>54878</v>
      </c>
      <c r="J146" s="16">
        <v>0</v>
      </c>
    </row>
    <row r="147" spans="1:10" x14ac:dyDescent="0.3">
      <c r="A147" s="5" t="s">
        <v>394</v>
      </c>
      <c r="B147" s="5" t="s">
        <v>395</v>
      </c>
      <c r="C147" s="5" t="s">
        <v>77</v>
      </c>
      <c r="F147" t="s">
        <v>4845</v>
      </c>
      <c r="G147" s="5" t="s">
        <v>4773</v>
      </c>
      <c r="H147" t="s">
        <v>209</v>
      </c>
      <c r="I147" s="1">
        <v>54878</v>
      </c>
      <c r="J147" s="16">
        <v>0</v>
      </c>
    </row>
    <row r="148" spans="1:10" x14ac:dyDescent="0.3">
      <c r="A148" s="5" t="s">
        <v>396</v>
      </c>
      <c r="B148" s="5" t="s">
        <v>397</v>
      </c>
      <c r="C148" s="5" t="s">
        <v>161</v>
      </c>
      <c r="F148" t="s">
        <v>4852</v>
      </c>
      <c r="G148" s="5" t="s">
        <v>4772</v>
      </c>
      <c r="H148" t="s">
        <v>209</v>
      </c>
      <c r="I148" s="1">
        <v>54878</v>
      </c>
      <c r="J148" s="16">
        <v>1.1866666666666665</v>
      </c>
    </row>
    <row r="149" spans="1:10" x14ac:dyDescent="0.3">
      <c r="A149" s="5" t="s">
        <v>398</v>
      </c>
      <c r="B149" s="5" t="s">
        <v>399</v>
      </c>
      <c r="C149" s="5" t="s">
        <v>97</v>
      </c>
      <c r="D149" t="s">
        <v>4902</v>
      </c>
      <c r="E149" t="s">
        <v>4776</v>
      </c>
      <c r="F149" t="s">
        <v>4852</v>
      </c>
      <c r="G149" s="5" t="s">
        <v>4773</v>
      </c>
      <c r="H149" t="s">
        <v>204</v>
      </c>
      <c r="I149" s="1">
        <v>46274</v>
      </c>
      <c r="J149" s="16">
        <v>15526.043333333335</v>
      </c>
    </row>
    <row r="150" spans="1:10" x14ac:dyDescent="0.3">
      <c r="A150" s="5" t="s">
        <v>400</v>
      </c>
      <c r="B150" s="5" t="s">
        <v>401</v>
      </c>
      <c r="C150" s="5" t="s">
        <v>187</v>
      </c>
      <c r="D150" t="s">
        <v>4833</v>
      </c>
      <c r="E150" t="s">
        <v>4776</v>
      </c>
      <c r="F150" t="s">
        <v>4852</v>
      </c>
      <c r="G150" s="5" t="s">
        <v>4773</v>
      </c>
      <c r="H150" t="s">
        <v>204</v>
      </c>
      <c r="I150" s="1">
        <v>54878</v>
      </c>
      <c r="J150" s="16">
        <v>390</v>
      </c>
    </row>
    <row r="151" spans="1:10" x14ac:dyDescent="0.3">
      <c r="A151" s="5" t="s">
        <v>402</v>
      </c>
      <c r="B151" s="5" t="s">
        <v>403</v>
      </c>
      <c r="C151" s="5" t="s">
        <v>106</v>
      </c>
      <c r="D151" t="s">
        <v>1037</v>
      </c>
      <c r="E151" t="s">
        <v>4779</v>
      </c>
      <c r="F151" t="s">
        <v>4852</v>
      </c>
      <c r="G151" s="5" t="s">
        <v>4772</v>
      </c>
      <c r="H151" t="s">
        <v>204</v>
      </c>
      <c r="I151" s="1">
        <v>46386</v>
      </c>
      <c r="J151" s="16">
        <v>10320.988333333333</v>
      </c>
    </row>
    <row r="152" spans="1:10" x14ac:dyDescent="0.3">
      <c r="A152" s="5" t="s">
        <v>404</v>
      </c>
      <c r="B152" s="5" t="s">
        <v>405</v>
      </c>
      <c r="C152" s="5" t="s">
        <v>107</v>
      </c>
      <c r="D152" t="s">
        <v>1037</v>
      </c>
      <c r="E152" t="s">
        <v>4806</v>
      </c>
      <c r="F152" t="s">
        <v>4852</v>
      </c>
      <c r="G152" s="5" t="s">
        <v>4772</v>
      </c>
      <c r="H152" t="s">
        <v>204</v>
      </c>
      <c r="I152" s="1">
        <v>46477</v>
      </c>
      <c r="J152" s="16">
        <v>25702.952777777777</v>
      </c>
    </row>
    <row r="153" spans="1:10" x14ac:dyDescent="0.3">
      <c r="A153" s="5" t="s">
        <v>406</v>
      </c>
      <c r="B153" s="5" t="s">
        <v>407</v>
      </c>
      <c r="C153" s="5" t="s">
        <v>170</v>
      </c>
      <c r="D153" t="s">
        <v>4833</v>
      </c>
      <c r="E153" t="s">
        <v>4776</v>
      </c>
      <c r="F153" t="s">
        <v>4852</v>
      </c>
      <c r="G153" s="5" t="s">
        <v>4771</v>
      </c>
      <c r="H153" t="s">
        <v>204</v>
      </c>
      <c r="I153" s="1">
        <v>46387</v>
      </c>
      <c r="J153" s="16">
        <v>36143.147777777776</v>
      </c>
    </row>
    <row r="154" spans="1:10" x14ac:dyDescent="0.3">
      <c r="A154" s="5" t="s">
        <v>408</v>
      </c>
      <c r="B154" s="5" t="s">
        <v>409</v>
      </c>
      <c r="C154" s="5" t="s">
        <v>28</v>
      </c>
      <c r="D154" t="s">
        <v>4833</v>
      </c>
      <c r="E154" t="s">
        <v>4776</v>
      </c>
      <c r="F154" t="s">
        <v>4852</v>
      </c>
      <c r="G154" s="5" t="s">
        <v>4773</v>
      </c>
      <c r="H154" t="s">
        <v>204</v>
      </c>
      <c r="I154" s="1">
        <v>54878</v>
      </c>
      <c r="J154" s="16">
        <v>26048.925000000003</v>
      </c>
    </row>
    <row r="155" spans="1:10" x14ac:dyDescent="0.3">
      <c r="A155" s="5" t="s">
        <v>410</v>
      </c>
      <c r="B155" s="5" t="s">
        <v>411</v>
      </c>
      <c r="C155" s="5" t="s">
        <v>154</v>
      </c>
      <c r="D155" t="s">
        <v>4833</v>
      </c>
      <c r="E155" t="s">
        <v>4776</v>
      </c>
      <c r="F155" t="s">
        <v>4852</v>
      </c>
      <c r="G155" s="5" t="s">
        <v>4773</v>
      </c>
      <c r="H155" t="s">
        <v>204</v>
      </c>
      <c r="I155" s="1">
        <v>46344</v>
      </c>
      <c r="J155" s="16">
        <v>19011.427777777782</v>
      </c>
    </row>
    <row r="156" spans="1:10" x14ac:dyDescent="0.3">
      <c r="A156" s="5" t="s">
        <v>412</v>
      </c>
      <c r="B156" s="5" t="s">
        <v>413</v>
      </c>
      <c r="C156" s="5" t="s">
        <v>111</v>
      </c>
      <c r="G156" s="5"/>
      <c r="H156" t="s">
        <v>209</v>
      </c>
      <c r="I156" s="1">
        <v>54878</v>
      </c>
      <c r="J156" s="16">
        <v>0</v>
      </c>
    </row>
    <row r="157" spans="1:10" x14ac:dyDescent="0.3">
      <c r="A157" s="5" t="s">
        <v>414</v>
      </c>
      <c r="B157" s="5" t="s">
        <v>415</v>
      </c>
      <c r="C157" s="5" t="s">
        <v>60</v>
      </c>
      <c r="D157" t="s">
        <v>1037</v>
      </c>
      <c r="E157" t="s">
        <v>4807</v>
      </c>
      <c r="F157" t="s">
        <v>4852</v>
      </c>
      <c r="G157" s="5" t="s">
        <v>4771</v>
      </c>
      <c r="H157" t="s">
        <v>204</v>
      </c>
      <c r="I157" s="1">
        <v>46386</v>
      </c>
      <c r="J157" s="16">
        <v>2416.3466666666668</v>
      </c>
    </row>
    <row r="158" spans="1:10" x14ac:dyDescent="0.3">
      <c r="A158" s="5" t="s">
        <v>416</v>
      </c>
      <c r="B158" s="5" t="s">
        <v>417</v>
      </c>
      <c r="C158" s="5" t="s">
        <v>185</v>
      </c>
      <c r="D158" t="s">
        <v>1037</v>
      </c>
      <c r="E158" t="s">
        <v>4780</v>
      </c>
      <c r="F158" t="s">
        <v>4852</v>
      </c>
      <c r="G158" s="5" t="s">
        <v>4771</v>
      </c>
      <c r="H158" t="s">
        <v>204</v>
      </c>
      <c r="I158" s="1">
        <v>54878</v>
      </c>
      <c r="J158" s="16">
        <v>4408.1427777777762</v>
      </c>
    </row>
    <row r="159" spans="1:10" x14ac:dyDescent="0.3">
      <c r="A159" s="5" t="s">
        <v>418</v>
      </c>
      <c r="B159" s="5" t="s">
        <v>419</v>
      </c>
      <c r="C159" s="5" t="s">
        <v>92</v>
      </c>
      <c r="F159" t="s">
        <v>4852</v>
      </c>
      <c r="G159" s="5" t="s">
        <v>4771</v>
      </c>
      <c r="H159" t="s">
        <v>209</v>
      </c>
      <c r="I159" s="1">
        <v>54878</v>
      </c>
      <c r="J159" s="16">
        <v>0</v>
      </c>
    </row>
    <row r="160" spans="1:10" x14ac:dyDescent="0.3">
      <c r="A160" s="5" t="s">
        <v>421</v>
      </c>
      <c r="B160" s="5" t="s">
        <v>422</v>
      </c>
      <c r="C160" s="5" t="s">
        <v>37</v>
      </c>
      <c r="D160" t="s">
        <v>4833</v>
      </c>
      <c r="E160" t="s">
        <v>4786</v>
      </c>
      <c r="F160" t="s">
        <v>4852</v>
      </c>
      <c r="G160" s="5" t="s">
        <v>4773</v>
      </c>
      <c r="H160" t="s">
        <v>204</v>
      </c>
      <c r="I160" s="1">
        <v>46080</v>
      </c>
      <c r="J160" s="16">
        <v>752.12444444444452</v>
      </c>
    </row>
    <row r="161" spans="1:10" x14ac:dyDescent="0.3">
      <c r="A161" s="5" t="s">
        <v>423</v>
      </c>
      <c r="B161" s="5" t="s">
        <v>424</v>
      </c>
      <c r="C161" s="5" t="s">
        <v>132</v>
      </c>
      <c r="D161" t="s">
        <v>1042</v>
      </c>
      <c r="E161" t="s">
        <v>1006</v>
      </c>
      <c r="F161" t="s">
        <v>4852</v>
      </c>
      <c r="G161" s="5" t="s">
        <v>4771</v>
      </c>
      <c r="H161" t="s">
        <v>204</v>
      </c>
      <c r="I161" s="1">
        <v>54878</v>
      </c>
      <c r="J161" s="16">
        <v>550.83333333333337</v>
      </c>
    </row>
    <row r="162" spans="1:10" x14ac:dyDescent="0.3">
      <c r="A162" s="5" t="s">
        <v>425</v>
      </c>
      <c r="B162" s="5" t="s">
        <v>426</v>
      </c>
      <c r="C162" s="5" t="s">
        <v>54</v>
      </c>
      <c r="D162" t="s">
        <v>1038</v>
      </c>
      <c r="E162" t="s">
        <v>4787</v>
      </c>
      <c r="F162" t="s">
        <v>4858</v>
      </c>
      <c r="G162" s="5" t="s">
        <v>4771</v>
      </c>
      <c r="H162" t="s">
        <v>204</v>
      </c>
      <c r="I162" s="1">
        <v>46752</v>
      </c>
      <c r="J162" s="16">
        <v>99253.573333333334</v>
      </c>
    </row>
    <row r="163" spans="1:10" x14ac:dyDescent="0.3">
      <c r="A163" s="5" t="s">
        <v>427</v>
      </c>
      <c r="B163" s="5" t="s">
        <v>428</v>
      </c>
      <c r="C163" s="5" t="s">
        <v>127</v>
      </c>
      <c r="F163" t="s">
        <v>4852</v>
      </c>
      <c r="G163" s="5" t="s">
        <v>4772</v>
      </c>
      <c r="H163" t="s">
        <v>209</v>
      </c>
      <c r="I163" s="1">
        <v>54878</v>
      </c>
      <c r="J163" s="16">
        <v>22464.517777777779</v>
      </c>
    </row>
    <row r="164" spans="1:10" x14ac:dyDescent="0.3">
      <c r="A164" s="5" t="s">
        <v>429</v>
      </c>
      <c r="B164" s="5" t="s">
        <v>430</v>
      </c>
      <c r="C164" s="5" t="s">
        <v>109</v>
      </c>
      <c r="F164" t="s">
        <v>4845</v>
      </c>
      <c r="G164" s="5" t="s">
        <v>4771</v>
      </c>
      <c r="H164" t="s">
        <v>209</v>
      </c>
      <c r="I164" s="1">
        <v>54878</v>
      </c>
      <c r="J164" s="16">
        <v>0</v>
      </c>
    </row>
    <row r="165" spans="1:10" x14ac:dyDescent="0.3">
      <c r="A165" s="5" t="s">
        <v>431</v>
      </c>
      <c r="B165" s="5" t="s">
        <v>415</v>
      </c>
      <c r="C165" s="5" t="s">
        <v>60</v>
      </c>
      <c r="D165" t="s">
        <v>1037</v>
      </c>
      <c r="E165" t="s">
        <v>4807</v>
      </c>
      <c r="F165" t="s">
        <v>4852</v>
      </c>
      <c r="G165" s="5" t="s">
        <v>4771</v>
      </c>
      <c r="H165" t="s">
        <v>204</v>
      </c>
      <c r="I165" s="1">
        <v>46386</v>
      </c>
      <c r="J165" s="16">
        <v>14561.277777777779</v>
      </c>
    </row>
    <row r="166" spans="1:10" x14ac:dyDescent="0.3">
      <c r="A166" s="5" t="s">
        <v>432</v>
      </c>
      <c r="B166" s="5" t="s">
        <v>433</v>
      </c>
      <c r="C166" s="5" t="s">
        <v>168</v>
      </c>
      <c r="D166" t="s">
        <v>4833</v>
      </c>
      <c r="E166" t="s">
        <v>4802</v>
      </c>
      <c r="F166" t="s">
        <v>4852</v>
      </c>
      <c r="G166" s="5" t="s">
        <v>4771</v>
      </c>
      <c r="H166" t="s">
        <v>204</v>
      </c>
      <c r="I166" s="1">
        <v>46473</v>
      </c>
      <c r="J166" s="16">
        <v>6434.5772222222258</v>
      </c>
    </row>
    <row r="167" spans="1:10" x14ac:dyDescent="0.3">
      <c r="A167" s="5" t="s">
        <v>434</v>
      </c>
      <c r="B167" s="5" t="s">
        <v>435</v>
      </c>
      <c r="C167" s="5" t="s">
        <v>30</v>
      </c>
      <c r="D167" t="s">
        <v>1038</v>
      </c>
      <c r="E167" t="s">
        <v>4787</v>
      </c>
      <c r="F167" t="s">
        <v>4858</v>
      </c>
      <c r="G167" s="5" t="s">
        <v>4771</v>
      </c>
      <c r="H167" t="s">
        <v>204</v>
      </c>
      <c r="I167" s="1">
        <v>46752</v>
      </c>
      <c r="J167" s="16">
        <v>375742.72888888884</v>
      </c>
    </row>
    <row r="168" spans="1:10" x14ac:dyDescent="0.3">
      <c r="A168" s="5" t="s">
        <v>436</v>
      </c>
      <c r="B168" s="5" t="s">
        <v>437</v>
      </c>
      <c r="C168" s="5" t="s">
        <v>150</v>
      </c>
      <c r="D168" t="s">
        <v>1037</v>
      </c>
      <c r="E168" t="s">
        <v>4788</v>
      </c>
      <c r="F168" t="s">
        <v>4852</v>
      </c>
      <c r="G168" s="5" t="s">
        <v>4771</v>
      </c>
      <c r="H168" t="s">
        <v>204</v>
      </c>
      <c r="I168" s="1">
        <v>54878</v>
      </c>
      <c r="J168" s="16">
        <v>839.16666666666663</v>
      </c>
    </row>
    <row r="169" spans="1:10" x14ac:dyDescent="0.3">
      <c r="A169" s="5" t="s">
        <v>438</v>
      </c>
      <c r="B169" s="5" t="s">
        <v>439</v>
      </c>
      <c r="C169" s="5" t="s">
        <v>156</v>
      </c>
      <c r="D169" t="s">
        <v>1037</v>
      </c>
      <c r="E169" t="s">
        <v>4789</v>
      </c>
      <c r="F169" t="s">
        <v>4852</v>
      </c>
      <c r="G169" s="5" t="s">
        <v>4771</v>
      </c>
      <c r="H169" t="s">
        <v>204</v>
      </c>
      <c r="I169" s="1">
        <v>46265</v>
      </c>
      <c r="J169" s="16">
        <v>19755.601666666669</v>
      </c>
    </row>
    <row r="170" spans="1:10" x14ac:dyDescent="0.3">
      <c r="A170" s="5" t="s">
        <v>440</v>
      </c>
      <c r="B170" s="5" t="s">
        <v>441</v>
      </c>
      <c r="C170" s="5" t="s">
        <v>38</v>
      </c>
      <c r="D170" t="s">
        <v>4833</v>
      </c>
      <c r="E170" t="s">
        <v>4786</v>
      </c>
      <c r="F170" t="s">
        <v>4852</v>
      </c>
      <c r="G170" s="5" t="s">
        <v>4773</v>
      </c>
      <c r="H170" t="s">
        <v>204</v>
      </c>
      <c r="I170" s="1">
        <v>46191</v>
      </c>
      <c r="J170" s="16">
        <v>10627.558888888887</v>
      </c>
    </row>
    <row r="171" spans="1:10" x14ac:dyDescent="0.3">
      <c r="A171" s="5" t="s">
        <v>442</v>
      </c>
      <c r="B171" s="5" t="s">
        <v>376</v>
      </c>
      <c r="C171" s="5" t="s">
        <v>35</v>
      </c>
      <c r="F171" t="s">
        <v>4852</v>
      </c>
      <c r="G171" s="5" t="s">
        <v>4771</v>
      </c>
      <c r="H171" t="s">
        <v>209</v>
      </c>
      <c r="I171" s="1">
        <v>54878</v>
      </c>
      <c r="J171" s="16">
        <v>51909.41777777778</v>
      </c>
    </row>
    <row r="172" spans="1:10" x14ac:dyDescent="0.3">
      <c r="A172" s="5" t="s">
        <v>443</v>
      </c>
      <c r="B172" s="5" t="s">
        <v>444</v>
      </c>
      <c r="C172" s="5" t="s">
        <v>21</v>
      </c>
      <c r="D172" t="s">
        <v>1037</v>
      </c>
      <c r="E172" t="s">
        <v>4808</v>
      </c>
      <c r="F172" t="s">
        <v>4852</v>
      </c>
      <c r="G172" s="5" t="s">
        <v>4772</v>
      </c>
      <c r="H172" t="s">
        <v>209</v>
      </c>
      <c r="I172" s="1">
        <v>54878</v>
      </c>
      <c r="J172" s="16">
        <v>275.55555555555554</v>
      </c>
    </row>
    <row r="173" spans="1:10" x14ac:dyDescent="0.3">
      <c r="A173" s="5" t="s">
        <v>446</v>
      </c>
      <c r="B173" s="5" t="s">
        <v>447</v>
      </c>
      <c r="C173" s="5" t="s">
        <v>57</v>
      </c>
      <c r="D173" t="s">
        <v>1038</v>
      </c>
      <c r="E173" t="s">
        <v>4776</v>
      </c>
      <c r="F173" t="s">
        <v>4858</v>
      </c>
      <c r="G173" s="5" t="s">
        <v>4774</v>
      </c>
      <c r="H173" t="s">
        <v>204</v>
      </c>
      <c r="I173" s="1">
        <v>46203</v>
      </c>
      <c r="J173" s="16">
        <v>779.87333333333322</v>
      </c>
    </row>
    <row r="174" spans="1:10" x14ac:dyDescent="0.3">
      <c r="A174" s="5" t="s">
        <v>448</v>
      </c>
      <c r="B174" s="5" t="s">
        <v>449</v>
      </c>
      <c r="C174" s="5" t="s">
        <v>20</v>
      </c>
      <c r="D174" t="s">
        <v>4902</v>
      </c>
      <c r="E174" t="s">
        <v>4776</v>
      </c>
      <c r="F174" t="s">
        <v>4852</v>
      </c>
      <c r="G174" s="5" t="s">
        <v>4771</v>
      </c>
      <c r="H174" t="s">
        <v>204</v>
      </c>
      <c r="I174" s="1">
        <v>46219</v>
      </c>
      <c r="J174" s="16">
        <v>8142.5361111111124</v>
      </c>
    </row>
    <row r="175" spans="1:10" x14ac:dyDescent="0.3">
      <c r="A175" s="5" t="s">
        <v>450</v>
      </c>
      <c r="B175" s="5" t="s">
        <v>452</v>
      </c>
      <c r="C175" s="5" t="s">
        <v>171</v>
      </c>
      <c r="F175" t="s">
        <v>4852</v>
      </c>
      <c r="G175" s="5" t="s">
        <v>4771</v>
      </c>
      <c r="H175" t="s">
        <v>209</v>
      </c>
      <c r="I175" s="1">
        <v>54878</v>
      </c>
      <c r="J175" s="16">
        <v>2687.7294444444442</v>
      </c>
    </row>
    <row r="176" spans="1:10" x14ac:dyDescent="0.3">
      <c r="A176" s="5" t="s">
        <v>849</v>
      </c>
      <c r="B176" s="5" t="s">
        <v>452</v>
      </c>
      <c r="C176" s="5" t="s">
        <v>171</v>
      </c>
      <c r="F176" t="s">
        <v>4852</v>
      </c>
      <c r="G176" s="5" t="s">
        <v>4771</v>
      </c>
      <c r="H176" t="s">
        <v>209</v>
      </c>
      <c r="I176" s="1">
        <v>54878</v>
      </c>
      <c r="J176" s="16">
        <v>0</v>
      </c>
    </row>
    <row r="177" spans="1:10" x14ac:dyDescent="0.3">
      <c r="A177" s="5" t="s">
        <v>453</v>
      </c>
      <c r="B177" s="5" t="s">
        <v>454</v>
      </c>
      <c r="C177" s="5" t="s">
        <v>162</v>
      </c>
      <c r="F177" t="s">
        <v>4852</v>
      </c>
      <c r="G177" s="5" t="s">
        <v>4772</v>
      </c>
      <c r="H177" t="s">
        <v>209</v>
      </c>
      <c r="I177" s="1">
        <v>54878</v>
      </c>
      <c r="J177" s="16">
        <v>0</v>
      </c>
    </row>
    <row r="178" spans="1:10" x14ac:dyDescent="0.3">
      <c r="A178" s="5" t="s">
        <v>455</v>
      </c>
      <c r="B178" s="5" t="s">
        <v>456</v>
      </c>
      <c r="C178" s="5" t="s">
        <v>71</v>
      </c>
      <c r="D178" t="s">
        <v>1042</v>
      </c>
      <c r="E178" t="s">
        <v>1006</v>
      </c>
      <c r="F178" t="s">
        <v>4852</v>
      </c>
      <c r="G178" s="5" t="s">
        <v>4771</v>
      </c>
      <c r="H178" t="s">
        <v>204</v>
      </c>
      <c r="I178" s="1">
        <v>54878</v>
      </c>
      <c r="J178" s="16">
        <v>5738.2499999999991</v>
      </c>
    </row>
    <row r="179" spans="1:10" x14ac:dyDescent="0.3">
      <c r="A179" s="5" t="s">
        <v>457</v>
      </c>
      <c r="B179" s="5" t="s">
        <v>415</v>
      </c>
      <c r="C179" s="5" t="s">
        <v>60</v>
      </c>
      <c r="D179" t="s">
        <v>1037</v>
      </c>
      <c r="E179" t="s">
        <v>4807</v>
      </c>
      <c r="F179" t="s">
        <v>4852</v>
      </c>
      <c r="G179" s="5" t="s">
        <v>4771</v>
      </c>
      <c r="H179" t="s">
        <v>204</v>
      </c>
      <c r="I179" s="1">
        <v>46387</v>
      </c>
      <c r="J179" s="16">
        <v>4926.8227777777774</v>
      </c>
    </row>
    <row r="180" spans="1:10" x14ac:dyDescent="0.3">
      <c r="A180" s="5" t="s">
        <v>458</v>
      </c>
      <c r="B180" s="5" t="s">
        <v>459</v>
      </c>
      <c r="C180" s="5" t="s">
        <v>160</v>
      </c>
      <c r="F180" t="s">
        <v>4852</v>
      </c>
      <c r="G180" s="5" t="s">
        <v>4772</v>
      </c>
      <c r="H180" t="s">
        <v>209</v>
      </c>
      <c r="I180" s="1">
        <v>54878</v>
      </c>
      <c r="J180" s="16">
        <v>15454.741666666665</v>
      </c>
    </row>
    <row r="181" spans="1:10" x14ac:dyDescent="0.3">
      <c r="A181" s="5" t="s">
        <v>460</v>
      </c>
      <c r="B181" s="5" t="s">
        <v>333</v>
      </c>
      <c r="C181" s="5" t="s">
        <v>29</v>
      </c>
      <c r="D181" t="s">
        <v>1038</v>
      </c>
      <c r="E181" t="s">
        <v>4776</v>
      </c>
      <c r="F181" t="s">
        <v>4858</v>
      </c>
      <c r="G181" s="5" t="s">
        <v>4771</v>
      </c>
      <c r="H181" t="s">
        <v>204</v>
      </c>
      <c r="I181" s="1">
        <v>54878</v>
      </c>
      <c r="J181" s="16">
        <v>289.27333333333331</v>
      </c>
    </row>
    <row r="182" spans="1:10" x14ac:dyDescent="0.3">
      <c r="A182" s="5" t="s">
        <v>461</v>
      </c>
      <c r="B182" s="5" t="s">
        <v>417</v>
      </c>
      <c r="C182" s="5" t="s">
        <v>185</v>
      </c>
      <c r="D182" t="s">
        <v>1037</v>
      </c>
      <c r="E182" t="s">
        <v>4780</v>
      </c>
      <c r="F182" t="s">
        <v>4852</v>
      </c>
      <c r="G182" s="5" t="s">
        <v>4771</v>
      </c>
      <c r="H182" t="s">
        <v>204</v>
      </c>
      <c r="I182" s="1">
        <v>54878</v>
      </c>
      <c r="J182" s="16">
        <v>26972.568888888887</v>
      </c>
    </row>
    <row r="183" spans="1:10" x14ac:dyDescent="0.3">
      <c r="A183" s="5" t="s">
        <v>462</v>
      </c>
      <c r="B183" s="5" t="s">
        <v>463</v>
      </c>
      <c r="C183" s="5" t="s">
        <v>147</v>
      </c>
      <c r="D183" t="s">
        <v>1033</v>
      </c>
      <c r="E183" t="s">
        <v>4776</v>
      </c>
      <c r="F183" t="s">
        <v>4852</v>
      </c>
      <c r="G183" s="5" t="s">
        <v>4771</v>
      </c>
      <c r="H183" t="s">
        <v>204</v>
      </c>
      <c r="I183" s="1">
        <v>46752</v>
      </c>
      <c r="J183" s="16">
        <v>1155.4711111111112</v>
      </c>
    </row>
    <row r="184" spans="1:10" x14ac:dyDescent="0.3">
      <c r="A184" s="5" t="s">
        <v>464</v>
      </c>
      <c r="B184" s="5" t="s">
        <v>465</v>
      </c>
      <c r="C184" s="5" t="s">
        <v>172</v>
      </c>
      <c r="G184" s="5"/>
      <c r="H184" t="s">
        <v>209</v>
      </c>
      <c r="I184" s="1">
        <v>54878</v>
      </c>
      <c r="J184" s="16">
        <v>0</v>
      </c>
    </row>
    <row r="185" spans="1:10" x14ac:dyDescent="0.3">
      <c r="A185" s="5" t="s">
        <v>466</v>
      </c>
      <c r="B185" s="5" t="s">
        <v>467</v>
      </c>
      <c r="C185" s="5" t="s">
        <v>175</v>
      </c>
      <c r="D185" t="s">
        <v>4845</v>
      </c>
      <c r="E185" t="s">
        <v>4776</v>
      </c>
      <c r="F185" t="s">
        <v>4845</v>
      </c>
      <c r="G185" s="5" t="s">
        <v>4773</v>
      </c>
      <c r="H185" t="s">
        <v>204</v>
      </c>
      <c r="I185" s="1">
        <v>46266</v>
      </c>
      <c r="J185" s="16">
        <v>13991.806666666665</v>
      </c>
    </row>
    <row r="186" spans="1:10" x14ac:dyDescent="0.3">
      <c r="A186" s="5" t="s">
        <v>468</v>
      </c>
      <c r="B186" s="5" t="s">
        <v>469</v>
      </c>
      <c r="C186" s="5" t="s">
        <v>124</v>
      </c>
      <c r="D186" t="s">
        <v>4845</v>
      </c>
      <c r="E186" t="s">
        <v>4776</v>
      </c>
      <c r="F186" t="s">
        <v>4845</v>
      </c>
      <c r="G186" s="5" t="s">
        <v>4771</v>
      </c>
      <c r="H186" t="s">
        <v>204</v>
      </c>
      <c r="I186" s="1">
        <v>54878</v>
      </c>
      <c r="J186" s="16">
        <v>1099.1055555555556</v>
      </c>
    </row>
    <row r="187" spans="1:10" x14ac:dyDescent="0.3">
      <c r="A187" s="5" t="s">
        <v>853</v>
      </c>
      <c r="B187" s="5" t="s">
        <v>854</v>
      </c>
      <c r="C187" s="5" t="s">
        <v>855</v>
      </c>
      <c r="F187" t="s">
        <v>4845</v>
      </c>
      <c r="G187" s="5" t="s">
        <v>4771</v>
      </c>
      <c r="H187" t="s">
        <v>209</v>
      </c>
      <c r="I187" s="1">
        <v>54878</v>
      </c>
      <c r="J187" s="16">
        <v>0</v>
      </c>
    </row>
    <row r="188" spans="1:10" x14ac:dyDescent="0.3">
      <c r="A188" s="5" t="s">
        <v>470</v>
      </c>
      <c r="B188" s="5" t="s">
        <v>454</v>
      </c>
      <c r="C188" s="5" t="s">
        <v>162</v>
      </c>
      <c r="F188" t="s">
        <v>4852</v>
      </c>
      <c r="G188" s="5" t="s">
        <v>4772</v>
      </c>
      <c r="H188" t="s">
        <v>209</v>
      </c>
      <c r="I188" s="1">
        <v>54878</v>
      </c>
      <c r="J188" s="16">
        <v>0</v>
      </c>
    </row>
    <row r="189" spans="1:10" x14ac:dyDescent="0.3">
      <c r="A189" s="5" t="s">
        <v>471</v>
      </c>
      <c r="B189" s="5" t="s">
        <v>472</v>
      </c>
      <c r="C189" s="5" t="s">
        <v>48</v>
      </c>
      <c r="D189" t="s">
        <v>4845</v>
      </c>
      <c r="E189" t="s">
        <v>4776</v>
      </c>
      <c r="F189" t="s">
        <v>4845</v>
      </c>
      <c r="G189" s="5" t="s">
        <v>4773</v>
      </c>
      <c r="H189" t="s">
        <v>204</v>
      </c>
      <c r="I189" s="1">
        <v>46270</v>
      </c>
      <c r="J189" s="16">
        <v>583.84777777777776</v>
      </c>
    </row>
    <row r="190" spans="1:10" x14ac:dyDescent="0.3">
      <c r="A190" s="5" t="s">
        <v>473</v>
      </c>
      <c r="B190" s="5" t="s">
        <v>474</v>
      </c>
      <c r="C190" s="5" t="s">
        <v>100</v>
      </c>
      <c r="F190" t="s">
        <v>4852</v>
      </c>
      <c r="G190" s="5" t="s">
        <v>4772</v>
      </c>
      <c r="H190" t="s">
        <v>209</v>
      </c>
      <c r="I190" s="1">
        <v>54878</v>
      </c>
      <c r="J190" s="16">
        <v>9214.3883333333306</v>
      </c>
    </row>
    <row r="191" spans="1:10" x14ac:dyDescent="0.3">
      <c r="A191" s="5" t="s">
        <v>475</v>
      </c>
      <c r="B191" s="5" t="s">
        <v>476</v>
      </c>
      <c r="C191" s="5" t="s">
        <v>195</v>
      </c>
      <c r="D191" t="s">
        <v>1042</v>
      </c>
      <c r="E191" t="s">
        <v>1006</v>
      </c>
      <c r="F191" t="s">
        <v>4852</v>
      </c>
      <c r="G191" s="5" t="s">
        <v>4771</v>
      </c>
      <c r="H191" t="s">
        <v>204</v>
      </c>
      <c r="I191" s="1">
        <v>54878</v>
      </c>
      <c r="J191" s="16">
        <v>39330</v>
      </c>
    </row>
    <row r="192" spans="1:10" x14ac:dyDescent="0.3">
      <c r="A192" s="5" t="s">
        <v>477</v>
      </c>
      <c r="B192" s="5" t="s">
        <v>454</v>
      </c>
      <c r="C192" s="5" t="s">
        <v>162</v>
      </c>
      <c r="F192" t="s">
        <v>4852</v>
      </c>
      <c r="G192" s="5" t="s">
        <v>4772</v>
      </c>
      <c r="H192" t="s">
        <v>209</v>
      </c>
      <c r="I192" s="1">
        <v>54878</v>
      </c>
      <c r="J192" s="16">
        <v>0</v>
      </c>
    </row>
    <row r="193" spans="1:10" x14ac:dyDescent="0.3">
      <c r="A193" s="5" t="s">
        <v>478</v>
      </c>
      <c r="B193" s="5" t="s">
        <v>479</v>
      </c>
      <c r="C193" s="5" t="s">
        <v>99</v>
      </c>
      <c r="D193" t="s">
        <v>1037</v>
      </c>
      <c r="E193" t="s">
        <v>4790</v>
      </c>
      <c r="F193" t="s">
        <v>4852</v>
      </c>
      <c r="G193" s="5" t="s">
        <v>4772</v>
      </c>
      <c r="H193" t="s">
        <v>204</v>
      </c>
      <c r="I193" s="1">
        <v>46239</v>
      </c>
      <c r="J193" s="16">
        <v>131305.00722222216</v>
      </c>
    </row>
    <row r="194" spans="1:10" x14ac:dyDescent="0.3">
      <c r="A194" s="5" t="s">
        <v>480</v>
      </c>
      <c r="B194" s="5" t="s">
        <v>481</v>
      </c>
      <c r="C194" s="5" t="s">
        <v>169</v>
      </c>
      <c r="D194" t="s">
        <v>4833</v>
      </c>
      <c r="E194" t="s">
        <v>4802</v>
      </c>
      <c r="F194" t="s">
        <v>4852</v>
      </c>
      <c r="G194" s="5" t="s">
        <v>4771</v>
      </c>
      <c r="H194" t="s">
        <v>204</v>
      </c>
      <c r="I194" s="1">
        <v>54878</v>
      </c>
      <c r="J194" s="16">
        <v>0</v>
      </c>
    </row>
    <row r="195" spans="1:10" x14ac:dyDescent="0.3">
      <c r="A195" s="5" t="s">
        <v>482</v>
      </c>
      <c r="B195" s="5" t="s">
        <v>397</v>
      </c>
      <c r="C195" s="5" t="s">
        <v>161</v>
      </c>
      <c r="F195" t="s">
        <v>4852</v>
      </c>
      <c r="G195" s="5" t="s">
        <v>4772</v>
      </c>
      <c r="H195" t="s">
        <v>209</v>
      </c>
      <c r="I195" s="1">
        <v>54878</v>
      </c>
      <c r="J195" s="16">
        <v>251.17055555555558</v>
      </c>
    </row>
    <row r="196" spans="1:10" x14ac:dyDescent="0.3">
      <c r="A196" s="5" t="s">
        <v>483</v>
      </c>
      <c r="B196" s="5" t="s">
        <v>484</v>
      </c>
      <c r="C196" s="5" t="s">
        <v>140</v>
      </c>
      <c r="D196" t="s">
        <v>4833</v>
      </c>
      <c r="E196" t="s">
        <v>4776</v>
      </c>
      <c r="F196" t="s">
        <v>4852</v>
      </c>
      <c r="G196" s="5" t="s">
        <v>4773</v>
      </c>
      <c r="H196" t="s">
        <v>204</v>
      </c>
      <c r="I196" s="1">
        <v>46508</v>
      </c>
      <c r="J196" s="16">
        <v>43763.077777777777</v>
      </c>
    </row>
    <row r="197" spans="1:10" x14ac:dyDescent="0.3">
      <c r="A197" s="5" t="s">
        <v>485</v>
      </c>
      <c r="B197" s="5" t="s">
        <v>439</v>
      </c>
      <c r="C197" s="5" t="s">
        <v>156</v>
      </c>
      <c r="D197" t="s">
        <v>1037</v>
      </c>
      <c r="E197" t="s">
        <v>4776</v>
      </c>
      <c r="F197" t="s">
        <v>4852</v>
      </c>
      <c r="G197" s="5" t="s">
        <v>4771</v>
      </c>
      <c r="H197" t="s">
        <v>204</v>
      </c>
      <c r="I197" s="1">
        <v>54878</v>
      </c>
      <c r="J197" s="16">
        <v>4803.1344444444439</v>
      </c>
    </row>
    <row r="198" spans="1:10" x14ac:dyDescent="0.3">
      <c r="A198" s="5" t="s">
        <v>486</v>
      </c>
      <c r="B198" s="5" t="s">
        <v>376</v>
      </c>
      <c r="C198" s="5" t="s">
        <v>35</v>
      </c>
      <c r="F198" t="s">
        <v>4852</v>
      </c>
      <c r="G198" s="5" t="s">
        <v>4771</v>
      </c>
      <c r="H198" t="s">
        <v>209</v>
      </c>
      <c r="I198" s="1">
        <v>54878</v>
      </c>
      <c r="J198" s="16">
        <v>20589.404444444444</v>
      </c>
    </row>
    <row r="199" spans="1:10" x14ac:dyDescent="0.3">
      <c r="A199" s="5" t="s">
        <v>487</v>
      </c>
      <c r="B199" s="5" t="s">
        <v>488</v>
      </c>
      <c r="C199" s="5" t="s">
        <v>178</v>
      </c>
      <c r="D199" t="s">
        <v>4833</v>
      </c>
      <c r="E199" t="s">
        <v>4776</v>
      </c>
      <c r="F199" t="s">
        <v>4852</v>
      </c>
      <c r="G199" s="5" t="s">
        <v>4773</v>
      </c>
      <c r="H199" t="s">
        <v>204</v>
      </c>
      <c r="I199" s="1">
        <v>54878</v>
      </c>
      <c r="J199" s="16">
        <v>6036.2138888888894</v>
      </c>
    </row>
    <row r="200" spans="1:10" x14ac:dyDescent="0.3">
      <c r="A200" s="5" t="s">
        <v>858</v>
      </c>
      <c r="B200" s="5" t="s">
        <v>205</v>
      </c>
      <c r="C200" s="5" t="s">
        <v>206</v>
      </c>
      <c r="D200" t="s">
        <v>1037</v>
      </c>
      <c r="E200" t="s">
        <v>4776</v>
      </c>
      <c r="F200" t="s">
        <v>4852</v>
      </c>
      <c r="G200" s="5" t="s">
        <v>4772</v>
      </c>
      <c r="H200" t="s">
        <v>204</v>
      </c>
      <c r="I200" s="1">
        <v>54878</v>
      </c>
      <c r="J200" s="16">
        <v>0</v>
      </c>
    </row>
    <row r="201" spans="1:10" x14ac:dyDescent="0.3">
      <c r="A201" s="5" t="s">
        <v>859</v>
      </c>
      <c r="B201" s="5" t="s">
        <v>860</v>
      </c>
      <c r="C201" s="5" t="s">
        <v>861</v>
      </c>
      <c r="F201" t="s">
        <v>4845</v>
      </c>
      <c r="G201" s="5" t="s">
        <v>4772</v>
      </c>
      <c r="H201" t="s">
        <v>209</v>
      </c>
      <c r="I201" s="1">
        <v>54878</v>
      </c>
      <c r="J201" s="16">
        <v>0</v>
      </c>
    </row>
    <row r="202" spans="1:10" x14ac:dyDescent="0.3">
      <c r="A202" s="5" t="s">
        <v>489</v>
      </c>
      <c r="B202" s="5" t="s">
        <v>397</v>
      </c>
      <c r="C202" s="5" t="s">
        <v>161</v>
      </c>
      <c r="F202" t="s">
        <v>4852</v>
      </c>
      <c r="G202" s="5" t="s">
        <v>4772</v>
      </c>
      <c r="H202" t="s">
        <v>209</v>
      </c>
      <c r="I202" s="1">
        <v>54878</v>
      </c>
      <c r="J202" s="16">
        <v>11.684444444444445</v>
      </c>
    </row>
    <row r="203" spans="1:10" x14ac:dyDescent="0.3">
      <c r="A203" s="5" t="s">
        <v>490</v>
      </c>
      <c r="B203" s="5" t="s">
        <v>491</v>
      </c>
      <c r="C203" s="5" t="s">
        <v>33</v>
      </c>
      <c r="D203" t="s">
        <v>4845</v>
      </c>
      <c r="E203" t="s">
        <v>4776</v>
      </c>
      <c r="F203" t="s">
        <v>4845</v>
      </c>
      <c r="G203" s="5" t="s">
        <v>4771</v>
      </c>
      <c r="H203" t="s">
        <v>204</v>
      </c>
      <c r="I203" s="1">
        <v>54878</v>
      </c>
      <c r="J203" s="16">
        <v>428.12611111111113</v>
      </c>
    </row>
    <row r="204" spans="1:10" x14ac:dyDescent="0.3">
      <c r="A204" s="5" t="s">
        <v>863</v>
      </c>
      <c r="B204" s="5" t="s">
        <v>376</v>
      </c>
      <c r="C204" s="5" t="s">
        <v>35</v>
      </c>
      <c r="F204" t="s">
        <v>4852</v>
      </c>
      <c r="G204" s="5" t="s">
        <v>4771</v>
      </c>
      <c r="H204" t="s">
        <v>209</v>
      </c>
      <c r="I204" s="1">
        <v>54878</v>
      </c>
      <c r="J204" s="16">
        <v>0</v>
      </c>
    </row>
    <row r="205" spans="1:10" x14ac:dyDescent="0.3">
      <c r="A205" s="5" t="s">
        <v>492</v>
      </c>
      <c r="B205" s="5" t="s">
        <v>493</v>
      </c>
      <c r="C205" s="5" t="s">
        <v>197</v>
      </c>
      <c r="D205" t="s">
        <v>4833</v>
      </c>
      <c r="E205" t="s">
        <v>4786</v>
      </c>
      <c r="F205" t="s">
        <v>4852</v>
      </c>
      <c r="G205" s="5" t="s">
        <v>4773</v>
      </c>
      <c r="H205" t="s">
        <v>204</v>
      </c>
      <c r="I205" s="1">
        <v>54878</v>
      </c>
      <c r="J205" s="16">
        <v>1124</v>
      </c>
    </row>
    <row r="206" spans="1:10" x14ac:dyDescent="0.3">
      <c r="A206" s="5" t="s">
        <v>494</v>
      </c>
      <c r="B206" s="5" t="s">
        <v>495</v>
      </c>
      <c r="C206" s="5" t="s">
        <v>44</v>
      </c>
      <c r="D206" t="s">
        <v>4833</v>
      </c>
      <c r="E206" t="s">
        <v>4776</v>
      </c>
      <c r="F206" t="s">
        <v>4852</v>
      </c>
      <c r="G206" s="5" t="s">
        <v>4773</v>
      </c>
      <c r="H206" t="s">
        <v>204</v>
      </c>
      <c r="I206" s="1">
        <v>54878</v>
      </c>
      <c r="J206" s="16">
        <v>1716.9294444444445</v>
      </c>
    </row>
    <row r="207" spans="1:10" x14ac:dyDescent="0.3">
      <c r="A207" s="5" t="s">
        <v>864</v>
      </c>
      <c r="B207" s="5" t="s">
        <v>495</v>
      </c>
      <c r="C207" s="5" t="s">
        <v>44</v>
      </c>
      <c r="D207" t="s">
        <v>4833</v>
      </c>
      <c r="E207" t="s">
        <v>4776</v>
      </c>
      <c r="F207" t="s">
        <v>4852</v>
      </c>
      <c r="G207" s="5" t="s">
        <v>4773</v>
      </c>
      <c r="H207" t="s">
        <v>209</v>
      </c>
      <c r="I207" s="1">
        <v>54878</v>
      </c>
      <c r="J207" s="16">
        <v>0</v>
      </c>
    </row>
    <row r="208" spans="1:10" x14ac:dyDescent="0.3">
      <c r="A208" s="5" t="s">
        <v>865</v>
      </c>
      <c r="B208" s="5" t="s">
        <v>495</v>
      </c>
      <c r="C208" s="5" t="s">
        <v>44</v>
      </c>
      <c r="D208" t="s">
        <v>4833</v>
      </c>
      <c r="E208" t="s">
        <v>4776</v>
      </c>
      <c r="F208" t="s">
        <v>4852</v>
      </c>
      <c r="G208" s="5" t="s">
        <v>4773</v>
      </c>
      <c r="H208" t="s">
        <v>209</v>
      </c>
      <c r="I208" s="1">
        <v>54878</v>
      </c>
      <c r="J208" s="16">
        <v>0</v>
      </c>
    </row>
    <row r="209" spans="1:10" x14ac:dyDescent="0.3">
      <c r="A209" s="5" t="s">
        <v>866</v>
      </c>
      <c r="B209" s="5" t="s">
        <v>495</v>
      </c>
      <c r="C209" s="5" t="s">
        <v>44</v>
      </c>
      <c r="D209" t="s">
        <v>4833</v>
      </c>
      <c r="E209" t="s">
        <v>4776</v>
      </c>
      <c r="F209" t="s">
        <v>4852</v>
      </c>
      <c r="G209" s="5" t="s">
        <v>4773</v>
      </c>
      <c r="H209" t="s">
        <v>209</v>
      </c>
      <c r="I209" s="1">
        <v>54878</v>
      </c>
      <c r="J209" s="16">
        <v>0</v>
      </c>
    </row>
    <row r="210" spans="1:10" x14ac:dyDescent="0.3">
      <c r="A210" s="5" t="s">
        <v>496</v>
      </c>
      <c r="B210" s="5" t="s">
        <v>497</v>
      </c>
      <c r="C210" s="5" t="s">
        <v>58</v>
      </c>
      <c r="D210" t="s">
        <v>4833</v>
      </c>
      <c r="E210" t="s">
        <v>4776</v>
      </c>
      <c r="F210" t="s">
        <v>4852</v>
      </c>
      <c r="G210" s="5" t="s">
        <v>4773</v>
      </c>
      <c r="H210" t="s">
        <v>204</v>
      </c>
      <c r="I210" s="1">
        <v>46265</v>
      </c>
      <c r="J210" s="16">
        <v>4692.7999999999993</v>
      </c>
    </row>
    <row r="211" spans="1:10" x14ac:dyDescent="0.3">
      <c r="A211" s="5" t="s">
        <v>498</v>
      </c>
      <c r="B211" s="5" t="s">
        <v>497</v>
      </c>
      <c r="C211" s="5" t="s">
        <v>58</v>
      </c>
      <c r="D211" t="s">
        <v>4833</v>
      </c>
      <c r="E211" t="s">
        <v>4776</v>
      </c>
      <c r="F211" t="s">
        <v>4852</v>
      </c>
      <c r="G211" s="5" t="s">
        <v>4773</v>
      </c>
      <c r="H211" t="s">
        <v>204</v>
      </c>
      <c r="I211" s="1">
        <v>46265</v>
      </c>
      <c r="J211" s="16">
        <v>913.72444444444454</v>
      </c>
    </row>
    <row r="212" spans="1:10" x14ac:dyDescent="0.3">
      <c r="A212" s="5" t="s">
        <v>499</v>
      </c>
      <c r="B212" s="5" t="s">
        <v>500</v>
      </c>
      <c r="C212" s="5" t="s">
        <v>16</v>
      </c>
      <c r="D212" t="s">
        <v>4833</v>
      </c>
      <c r="E212" t="s">
        <v>4786</v>
      </c>
      <c r="F212" t="s">
        <v>4852</v>
      </c>
      <c r="G212" s="5" t="s">
        <v>4773</v>
      </c>
      <c r="H212" t="s">
        <v>204</v>
      </c>
      <c r="I212" s="1">
        <v>54878</v>
      </c>
      <c r="J212" s="16">
        <v>2427.1666666666661</v>
      </c>
    </row>
    <row r="213" spans="1:10" x14ac:dyDescent="0.3">
      <c r="A213" s="5" t="s">
        <v>501</v>
      </c>
      <c r="B213" s="5" t="s">
        <v>502</v>
      </c>
      <c r="C213" s="5" t="s">
        <v>2</v>
      </c>
      <c r="D213" t="s">
        <v>4833</v>
      </c>
      <c r="E213" t="s">
        <v>4776</v>
      </c>
      <c r="F213" t="s">
        <v>4852</v>
      </c>
      <c r="G213" s="5" t="s">
        <v>4774</v>
      </c>
      <c r="H213" t="s">
        <v>204</v>
      </c>
      <c r="I213" s="1">
        <v>54878</v>
      </c>
      <c r="J213" s="16">
        <v>1890.9694444444442</v>
      </c>
    </row>
    <row r="214" spans="1:10" x14ac:dyDescent="0.3">
      <c r="A214" s="5" t="s">
        <v>503</v>
      </c>
      <c r="B214" s="5" t="s">
        <v>465</v>
      </c>
      <c r="C214" s="5" t="s">
        <v>172</v>
      </c>
      <c r="G214" s="5"/>
      <c r="H214" t="s">
        <v>209</v>
      </c>
      <c r="I214" s="1">
        <v>54878</v>
      </c>
      <c r="J214" s="16">
        <v>0</v>
      </c>
    </row>
    <row r="215" spans="1:10" x14ac:dyDescent="0.3">
      <c r="A215" s="5" t="s">
        <v>504</v>
      </c>
      <c r="B215" s="5" t="s">
        <v>505</v>
      </c>
      <c r="C215" s="5" t="s">
        <v>95</v>
      </c>
      <c r="F215" t="s">
        <v>807</v>
      </c>
      <c r="G215" s="5"/>
      <c r="H215" t="s">
        <v>209</v>
      </c>
      <c r="I215" s="1">
        <v>45107</v>
      </c>
      <c r="J215" s="16">
        <v>0</v>
      </c>
    </row>
    <row r="216" spans="1:10" x14ac:dyDescent="0.3">
      <c r="A216" s="5" t="s">
        <v>506</v>
      </c>
      <c r="B216" s="5" t="s">
        <v>507</v>
      </c>
      <c r="C216" s="5" t="s">
        <v>18</v>
      </c>
      <c r="D216" t="s">
        <v>1036</v>
      </c>
      <c r="E216" t="s">
        <v>4777</v>
      </c>
      <c r="F216" t="s">
        <v>4901</v>
      </c>
      <c r="G216" s="5" t="s">
        <v>4773</v>
      </c>
      <c r="H216" t="s">
        <v>204</v>
      </c>
      <c r="I216" s="1">
        <v>46741</v>
      </c>
      <c r="J216" s="16">
        <v>11297.222222222223</v>
      </c>
    </row>
    <row r="217" spans="1:10" x14ac:dyDescent="0.3">
      <c r="A217" s="5" t="s">
        <v>508</v>
      </c>
      <c r="B217" s="5" t="s">
        <v>509</v>
      </c>
      <c r="C217" s="5" t="s">
        <v>91</v>
      </c>
      <c r="D217" t="s">
        <v>1036</v>
      </c>
      <c r="E217" t="s">
        <v>4778</v>
      </c>
      <c r="F217" t="s">
        <v>4856</v>
      </c>
      <c r="G217" s="5" t="s">
        <v>4771</v>
      </c>
      <c r="H217" t="s">
        <v>209</v>
      </c>
      <c r="I217" s="1">
        <v>45107</v>
      </c>
      <c r="J217" s="16">
        <v>0</v>
      </c>
    </row>
    <row r="218" spans="1:10" x14ac:dyDescent="0.3">
      <c r="A218" s="5" t="s">
        <v>510</v>
      </c>
      <c r="B218" s="5" t="s">
        <v>278</v>
      </c>
      <c r="C218" s="5" t="s">
        <v>17</v>
      </c>
      <c r="D218" t="s">
        <v>1036</v>
      </c>
      <c r="E218" t="s">
        <v>4776</v>
      </c>
      <c r="F218" t="s">
        <v>4901</v>
      </c>
      <c r="G218" s="5" t="s">
        <v>4771</v>
      </c>
      <c r="H218" t="s">
        <v>204</v>
      </c>
      <c r="I218" s="1">
        <v>46599</v>
      </c>
      <c r="J218" s="16">
        <v>150</v>
      </c>
    </row>
    <row r="219" spans="1:10" x14ac:dyDescent="0.3">
      <c r="A219" s="5" t="s">
        <v>870</v>
      </c>
      <c r="B219" s="5" t="s">
        <v>872</v>
      </c>
      <c r="C219" s="5" t="s">
        <v>873</v>
      </c>
      <c r="D219" t="s">
        <v>1037</v>
      </c>
      <c r="E219" t="s">
        <v>871</v>
      </c>
      <c r="F219" t="s">
        <v>4852</v>
      </c>
      <c r="G219" s="5" t="s">
        <v>4772</v>
      </c>
      <c r="H219" t="s">
        <v>204</v>
      </c>
      <c r="I219" s="1">
        <v>46599</v>
      </c>
      <c r="J219" s="16">
        <v>0</v>
      </c>
    </row>
    <row r="220" spans="1:10" x14ac:dyDescent="0.3">
      <c r="A220" s="5" t="s">
        <v>874</v>
      </c>
      <c r="B220" s="5" t="s">
        <v>733</v>
      </c>
      <c r="C220" s="5" t="s">
        <v>734</v>
      </c>
      <c r="F220" t="s">
        <v>4901</v>
      </c>
      <c r="G220" s="5" t="s">
        <v>4773</v>
      </c>
      <c r="H220" t="s">
        <v>209</v>
      </c>
      <c r="I220" s="1">
        <v>45138</v>
      </c>
      <c r="J220" s="16">
        <v>0</v>
      </c>
    </row>
    <row r="221" spans="1:10" x14ac:dyDescent="0.3">
      <c r="A221" s="5" t="s">
        <v>511</v>
      </c>
      <c r="B221" s="5" t="s">
        <v>465</v>
      </c>
      <c r="C221" s="5" t="s">
        <v>172</v>
      </c>
      <c r="G221" s="5"/>
      <c r="H221" t="s">
        <v>209</v>
      </c>
      <c r="I221" s="1">
        <v>55243</v>
      </c>
      <c r="J221" s="16">
        <v>0</v>
      </c>
    </row>
    <row r="222" spans="1:10" x14ac:dyDescent="0.3">
      <c r="A222" s="5" t="s">
        <v>512</v>
      </c>
      <c r="B222" s="5" t="s">
        <v>452</v>
      </c>
      <c r="C222" s="5" t="s">
        <v>171</v>
      </c>
      <c r="D222" t="s">
        <v>4833</v>
      </c>
      <c r="E222" t="s">
        <v>4802</v>
      </c>
      <c r="F222" t="s">
        <v>4852</v>
      </c>
      <c r="G222" s="5" t="s">
        <v>4771</v>
      </c>
      <c r="H222" t="s">
        <v>209</v>
      </c>
      <c r="I222" s="1">
        <v>45138</v>
      </c>
      <c r="J222" s="16">
        <v>182.61722222222227</v>
      </c>
    </row>
    <row r="223" spans="1:10" x14ac:dyDescent="0.3">
      <c r="A223" s="5" t="s">
        <v>513</v>
      </c>
      <c r="B223" s="5" t="s">
        <v>514</v>
      </c>
      <c r="C223" s="5" t="s">
        <v>47</v>
      </c>
      <c r="D223" t="s">
        <v>4833</v>
      </c>
      <c r="E223" t="s">
        <v>4779</v>
      </c>
      <c r="F223" t="s">
        <v>4852</v>
      </c>
      <c r="G223" s="5"/>
      <c r="H223" t="s">
        <v>204</v>
      </c>
      <c r="I223" s="1">
        <v>46386</v>
      </c>
      <c r="J223" s="16">
        <v>7327.2772222222229</v>
      </c>
    </row>
    <row r="224" spans="1:10" x14ac:dyDescent="0.3">
      <c r="A224" s="5" t="s">
        <v>515</v>
      </c>
      <c r="B224" s="5" t="s">
        <v>516</v>
      </c>
      <c r="C224" s="5" t="s">
        <v>12</v>
      </c>
      <c r="D224" t="s">
        <v>1037</v>
      </c>
      <c r="E224" t="s">
        <v>4776</v>
      </c>
      <c r="F224" t="s">
        <v>4852</v>
      </c>
      <c r="G224" s="5" t="s">
        <v>4772</v>
      </c>
      <c r="H224" t="s">
        <v>204</v>
      </c>
      <c r="I224" s="1">
        <v>46489</v>
      </c>
      <c r="J224" s="16">
        <v>1883.8888888888889</v>
      </c>
    </row>
    <row r="225" spans="1:10" x14ac:dyDescent="0.3">
      <c r="A225" s="5" t="s">
        <v>876</v>
      </c>
      <c r="B225" s="5" t="s">
        <v>877</v>
      </c>
      <c r="C225" s="5" t="s">
        <v>878</v>
      </c>
      <c r="F225" t="s">
        <v>4845</v>
      </c>
      <c r="G225" s="5" t="s">
        <v>4772</v>
      </c>
      <c r="H225" t="s">
        <v>209</v>
      </c>
      <c r="I225" s="1">
        <v>45687</v>
      </c>
      <c r="J225" s="16">
        <v>0</v>
      </c>
    </row>
    <row r="226" spans="1:10" x14ac:dyDescent="0.3">
      <c r="A226" s="5" t="s">
        <v>517</v>
      </c>
      <c r="B226" s="5" t="s">
        <v>518</v>
      </c>
      <c r="C226" s="5" t="s">
        <v>117</v>
      </c>
      <c r="F226" t="s">
        <v>4852</v>
      </c>
      <c r="G226" s="5" t="s">
        <v>4773</v>
      </c>
      <c r="H226" t="s">
        <v>209</v>
      </c>
      <c r="I226" s="1">
        <v>45230</v>
      </c>
      <c r="J226" s="16">
        <v>0</v>
      </c>
    </row>
    <row r="227" spans="1:10" x14ac:dyDescent="0.3">
      <c r="A227" s="5" t="s">
        <v>519</v>
      </c>
      <c r="B227" s="5" t="s">
        <v>393</v>
      </c>
      <c r="C227" s="5" t="s">
        <v>34</v>
      </c>
      <c r="G227" s="5"/>
      <c r="H227" t="s">
        <v>209</v>
      </c>
      <c r="I227" s="1">
        <v>46721</v>
      </c>
      <c r="J227" s="16">
        <v>0</v>
      </c>
    </row>
    <row r="228" spans="1:10" x14ac:dyDescent="0.3">
      <c r="A228" s="5" t="s">
        <v>520</v>
      </c>
      <c r="B228" s="5" t="s">
        <v>218</v>
      </c>
      <c r="C228" s="5" t="s">
        <v>180</v>
      </c>
      <c r="D228" t="s">
        <v>4834</v>
      </c>
      <c r="E228" t="s">
        <v>4776</v>
      </c>
      <c r="F228" t="s">
        <v>4858</v>
      </c>
      <c r="G228" s="5" t="s">
        <v>4773</v>
      </c>
      <c r="H228" t="s">
        <v>204</v>
      </c>
      <c r="I228" s="1">
        <v>45291</v>
      </c>
      <c r="J228" s="16">
        <v>1023.8905555555555</v>
      </c>
    </row>
    <row r="229" spans="1:10" x14ac:dyDescent="0.3">
      <c r="A229" s="5" t="s">
        <v>881</v>
      </c>
      <c r="B229" s="5" t="s">
        <v>530</v>
      </c>
      <c r="C229" s="5" t="s">
        <v>24</v>
      </c>
      <c r="D229" t="s">
        <v>1040</v>
      </c>
      <c r="E229" t="s">
        <v>4779</v>
      </c>
      <c r="F229" t="s">
        <v>4856</v>
      </c>
      <c r="G229" s="5" t="s">
        <v>4773</v>
      </c>
      <c r="H229" t="s">
        <v>209</v>
      </c>
      <c r="I229" s="1">
        <v>45322</v>
      </c>
      <c r="J229" s="16">
        <v>0</v>
      </c>
    </row>
    <row r="230" spans="1:10" x14ac:dyDescent="0.3">
      <c r="A230" s="5" t="s">
        <v>521</v>
      </c>
      <c r="B230" s="5" t="s">
        <v>522</v>
      </c>
      <c r="C230" s="5" t="s">
        <v>50</v>
      </c>
      <c r="D230" t="s">
        <v>1037</v>
      </c>
      <c r="E230" t="s">
        <v>4776</v>
      </c>
      <c r="F230" t="s">
        <v>4852</v>
      </c>
      <c r="G230" s="5" t="s">
        <v>4773</v>
      </c>
      <c r="H230" t="s">
        <v>204</v>
      </c>
      <c r="I230" s="1">
        <v>46387</v>
      </c>
      <c r="J230" s="16">
        <v>554.17666666666685</v>
      </c>
    </row>
    <row r="231" spans="1:10" x14ac:dyDescent="0.3">
      <c r="A231" s="5" t="s">
        <v>523</v>
      </c>
      <c r="B231" s="5" t="s">
        <v>524</v>
      </c>
      <c r="C231" s="5" t="s">
        <v>135</v>
      </c>
      <c r="F231" t="s">
        <v>807</v>
      </c>
      <c r="G231" s="5"/>
      <c r="H231" t="s">
        <v>209</v>
      </c>
      <c r="I231" s="1">
        <v>45322</v>
      </c>
      <c r="J231" s="16">
        <v>0</v>
      </c>
    </row>
    <row r="232" spans="1:10" x14ac:dyDescent="0.3">
      <c r="A232" s="5" t="s">
        <v>525</v>
      </c>
      <c r="B232" s="5" t="s">
        <v>526</v>
      </c>
      <c r="C232" s="5" t="s">
        <v>70</v>
      </c>
      <c r="F232" t="s">
        <v>807</v>
      </c>
      <c r="G232" s="5"/>
      <c r="H232" t="s">
        <v>209</v>
      </c>
      <c r="I232" s="1">
        <v>45351</v>
      </c>
      <c r="J232" s="16">
        <v>0</v>
      </c>
    </row>
    <row r="233" spans="1:10" x14ac:dyDescent="0.3">
      <c r="A233" s="5" t="s">
        <v>887</v>
      </c>
      <c r="B233" s="5" t="s">
        <v>232</v>
      </c>
      <c r="C233" s="5" t="s">
        <v>87</v>
      </c>
      <c r="D233" t="s">
        <v>4834</v>
      </c>
      <c r="E233" t="s">
        <v>4776</v>
      </c>
      <c r="F233" t="s">
        <v>4901</v>
      </c>
      <c r="G233" s="5" t="s">
        <v>4773</v>
      </c>
      <c r="H233" t="s">
        <v>209</v>
      </c>
      <c r="I233" s="1">
        <v>45351</v>
      </c>
      <c r="J233" s="16">
        <v>0</v>
      </c>
    </row>
    <row r="234" spans="1:10" x14ac:dyDescent="0.3">
      <c r="A234" s="5" t="s">
        <v>527</v>
      </c>
      <c r="B234" s="5" t="s">
        <v>278</v>
      </c>
      <c r="C234" s="5" t="s">
        <v>17</v>
      </c>
      <c r="D234" t="s">
        <v>4834</v>
      </c>
      <c r="E234" t="s">
        <v>4776</v>
      </c>
      <c r="F234" t="s">
        <v>4858</v>
      </c>
      <c r="G234" s="5" t="s">
        <v>4771</v>
      </c>
      <c r="H234" t="s">
        <v>204</v>
      </c>
      <c r="I234" s="1">
        <v>45504</v>
      </c>
      <c r="J234" s="16">
        <v>0</v>
      </c>
    </row>
    <row r="235" spans="1:10" x14ac:dyDescent="0.3">
      <c r="A235" s="5" t="s">
        <v>528</v>
      </c>
      <c r="B235" s="5" t="s">
        <v>216</v>
      </c>
      <c r="C235" s="5" t="s">
        <v>141</v>
      </c>
      <c r="D235" t="s">
        <v>4844</v>
      </c>
      <c r="E235" t="s">
        <v>4776</v>
      </c>
      <c r="F235" t="s">
        <v>4901</v>
      </c>
      <c r="G235" s="5" t="s">
        <v>4771</v>
      </c>
      <c r="H235" t="s">
        <v>204</v>
      </c>
      <c r="I235" s="1">
        <v>55243</v>
      </c>
      <c r="J235" s="16">
        <v>2275.5555555555557</v>
      </c>
    </row>
    <row r="236" spans="1:10" x14ac:dyDescent="0.3">
      <c r="A236" s="5" t="s">
        <v>529</v>
      </c>
      <c r="B236" s="5" t="s">
        <v>530</v>
      </c>
      <c r="C236" s="5" t="s">
        <v>24</v>
      </c>
      <c r="D236" t="s">
        <v>1040</v>
      </c>
      <c r="E236" t="s">
        <v>4779</v>
      </c>
      <c r="F236" t="s">
        <v>4856</v>
      </c>
      <c r="G236" s="5" t="s">
        <v>4773</v>
      </c>
      <c r="H236" t="s">
        <v>204</v>
      </c>
      <c r="I236" s="1">
        <v>46477</v>
      </c>
      <c r="J236" s="16">
        <v>6911.9599999999991</v>
      </c>
    </row>
    <row r="237" spans="1:10" x14ac:dyDescent="0.3">
      <c r="A237" s="5" t="s">
        <v>531</v>
      </c>
      <c r="B237" s="5" t="s">
        <v>509</v>
      </c>
      <c r="C237" s="5" t="s">
        <v>91</v>
      </c>
      <c r="D237" t="s">
        <v>1040</v>
      </c>
      <c r="E237" t="s">
        <v>4778</v>
      </c>
      <c r="F237" t="s">
        <v>4856</v>
      </c>
      <c r="G237" s="5" t="s">
        <v>4771</v>
      </c>
      <c r="H237" t="s">
        <v>204</v>
      </c>
      <c r="I237" s="1">
        <v>45473</v>
      </c>
      <c r="J237" s="16">
        <v>100</v>
      </c>
    </row>
    <row r="238" spans="1:10" x14ac:dyDescent="0.3">
      <c r="A238" s="5" t="s">
        <v>532</v>
      </c>
      <c r="B238" s="5" t="s">
        <v>533</v>
      </c>
      <c r="C238" s="5" t="s">
        <v>103</v>
      </c>
      <c r="D238" t="s">
        <v>4811</v>
      </c>
      <c r="E238" t="s">
        <v>4776</v>
      </c>
      <c r="F238" t="s">
        <v>4859</v>
      </c>
      <c r="G238" s="5" t="s">
        <v>4771</v>
      </c>
      <c r="H238" t="s">
        <v>204</v>
      </c>
      <c r="I238" s="1">
        <v>46568</v>
      </c>
      <c r="J238" s="16">
        <v>12235.555555555555</v>
      </c>
    </row>
    <row r="239" spans="1:10" x14ac:dyDescent="0.3">
      <c r="A239" s="5" t="s">
        <v>534</v>
      </c>
      <c r="B239" s="5" t="s">
        <v>535</v>
      </c>
      <c r="C239" s="5" t="s">
        <v>148</v>
      </c>
      <c r="D239" t="s">
        <v>1036</v>
      </c>
      <c r="E239" t="s">
        <v>4779</v>
      </c>
      <c r="F239" t="s">
        <v>4856</v>
      </c>
      <c r="G239" s="5" t="s">
        <v>807</v>
      </c>
      <c r="H239" t="s">
        <v>209</v>
      </c>
      <c r="I239" s="1">
        <v>46295</v>
      </c>
      <c r="J239" s="16">
        <v>2800.5555555555557</v>
      </c>
    </row>
    <row r="240" spans="1:10" x14ac:dyDescent="0.3">
      <c r="A240" s="5" t="s">
        <v>536</v>
      </c>
      <c r="B240" s="5" t="s">
        <v>537</v>
      </c>
      <c r="C240" s="5" t="s">
        <v>194</v>
      </c>
      <c r="F240" t="s">
        <v>4858</v>
      </c>
      <c r="G240" s="5" t="s">
        <v>4773</v>
      </c>
      <c r="H240" t="s">
        <v>209</v>
      </c>
      <c r="I240" s="1">
        <v>45412</v>
      </c>
      <c r="J240" s="16">
        <v>203.22555555555556</v>
      </c>
    </row>
    <row r="241" spans="1:10" x14ac:dyDescent="0.3">
      <c r="A241" s="5" t="s">
        <v>538</v>
      </c>
      <c r="B241" s="5" t="s">
        <v>539</v>
      </c>
      <c r="C241" s="5" t="s">
        <v>189</v>
      </c>
      <c r="F241" t="s">
        <v>807</v>
      </c>
      <c r="G241" s="5"/>
      <c r="H241" t="s">
        <v>209</v>
      </c>
      <c r="I241" s="1">
        <v>45443</v>
      </c>
      <c r="J241" s="16">
        <v>0</v>
      </c>
    </row>
    <row r="242" spans="1:10" x14ac:dyDescent="0.3">
      <c r="A242" s="5" t="s">
        <v>540</v>
      </c>
      <c r="B242" s="5" t="s">
        <v>541</v>
      </c>
      <c r="C242" s="5" t="s">
        <v>173</v>
      </c>
      <c r="D242" t="s">
        <v>1036</v>
      </c>
      <c r="E242" t="s">
        <v>4791</v>
      </c>
      <c r="F242" t="s">
        <v>4901</v>
      </c>
      <c r="G242" s="5" t="s">
        <v>4773</v>
      </c>
      <c r="H242" t="s">
        <v>204</v>
      </c>
      <c r="I242" s="1">
        <v>46386</v>
      </c>
      <c r="J242" s="16">
        <v>2337.9499999999998</v>
      </c>
    </row>
    <row r="243" spans="1:10" x14ac:dyDescent="0.3">
      <c r="A243" s="5" t="s">
        <v>542</v>
      </c>
      <c r="B243" s="5" t="s">
        <v>541</v>
      </c>
      <c r="C243" s="5" t="s">
        <v>173</v>
      </c>
      <c r="D243" t="s">
        <v>1040</v>
      </c>
      <c r="E243" t="s">
        <v>4791</v>
      </c>
      <c r="F243" t="s">
        <v>4856</v>
      </c>
      <c r="G243" s="5" t="s">
        <v>4773</v>
      </c>
      <c r="H243" t="s">
        <v>204</v>
      </c>
      <c r="I243" s="1">
        <v>46537</v>
      </c>
      <c r="J243" s="16">
        <v>2337.9499999999998</v>
      </c>
    </row>
    <row r="244" spans="1:10" x14ac:dyDescent="0.3">
      <c r="A244" s="5" t="s">
        <v>543</v>
      </c>
      <c r="B244" s="5" t="s">
        <v>544</v>
      </c>
      <c r="C244" s="5" t="s">
        <v>144</v>
      </c>
      <c r="F244" t="s">
        <v>4852</v>
      </c>
      <c r="G244" s="5" t="s">
        <v>4771</v>
      </c>
      <c r="H244" t="s">
        <v>209</v>
      </c>
      <c r="I244" s="1">
        <v>45473</v>
      </c>
      <c r="J244" s="16">
        <v>3689.2388888888891</v>
      </c>
    </row>
    <row r="245" spans="1:10" x14ac:dyDescent="0.3">
      <c r="A245" s="5" t="s">
        <v>545</v>
      </c>
      <c r="B245" s="5" t="s">
        <v>546</v>
      </c>
      <c r="C245" s="5" t="s">
        <v>75</v>
      </c>
      <c r="D245" t="s">
        <v>4903</v>
      </c>
      <c r="E245" t="s">
        <v>4781</v>
      </c>
      <c r="F245" t="s">
        <v>4858</v>
      </c>
      <c r="G245" s="5" t="s">
        <v>4773</v>
      </c>
      <c r="H245" t="s">
        <v>204</v>
      </c>
      <c r="I245" s="1">
        <v>46325</v>
      </c>
      <c r="J245" s="16">
        <v>2675.0866666666666</v>
      </c>
    </row>
    <row r="246" spans="1:10" x14ac:dyDescent="0.3">
      <c r="A246" s="5" t="s">
        <v>547</v>
      </c>
      <c r="B246" s="5" t="s">
        <v>344</v>
      </c>
      <c r="C246" s="5" t="s">
        <v>138</v>
      </c>
      <c r="F246" t="s">
        <v>4856</v>
      </c>
      <c r="G246" s="5" t="s">
        <v>4771</v>
      </c>
      <c r="H246" t="s">
        <v>209</v>
      </c>
      <c r="I246" s="1">
        <v>45504</v>
      </c>
      <c r="J246" s="16">
        <v>0</v>
      </c>
    </row>
    <row r="247" spans="1:10" x14ac:dyDescent="0.3">
      <c r="A247" s="5" t="s">
        <v>548</v>
      </c>
      <c r="B247" s="5" t="s">
        <v>541</v>
      </c>
      <c r="C247" s="5" t="s">
        <v>173</v>
      </c>
      <c r="D247" t="s">
        <v>1038</v>
      </c>
      <c r="E247" t="s">
        <v>4791</v>
      </c>
      <c r="F247" t="s">
        <v>4858</v>
      </c>
      <c r="G247" s="5" t="s">
        <v>4773</v>
      </c>
      <c r="H247" t="s">
        <v>204</v>
      </c>
      <c r="I247" s="1">
        <v>46387</v>
      </c>
      <c r="J247" s="16">
        <v>2300</v>
      </c>
    </row>
    <row r="248" spans="1:10" x14ac:dyDescent="0.3">
      <c r="A248" s="5" t="s">
        <v>902</v>
      </c>
      <c r="B248" s="5" t="s">
        <v>445</v>
      </c>
      <c r="C248" s="5" t="s">
        <v>903</v>
      </c>
      <c r="D248" t="s">
        <v>1037</v>
      </c>
      <c r="E248" t="s">
        <v>4808</v>
      </c>
      <c r="F248" t="s">
        <v>4852</v>
      </c>
      <c r="G248" s="5" t="s">
        <v>4772</v>
      </c>
      <c r="H248" t="s">
        <v>204</v>
      </c>
      <c r="I248" s="1">
        <v>46387</v>
      </c>
      <c r="J248" s="16">
        <v>0</v>
      </c>
    </row>
    <row r="249" spans="1:10" x14ac:dyDescent="0.3">
      <c r="A249" s="5" t="s">
        <v>549</v>
      </c>
      <c r="B249" s="5" t="s">
        <v>550</v>
      </c>
      <c r="C249" s="5" t="s">
        <v>189</v>
      </c>
      <c r="D249" t="s">
        <v>4904</v>
      </c>
      <c r="E249" t="s">
        <v>4792</v>
      </c>
      <c r="F249" t="s">
        <v>4904</v>
      </c>
      <c r="G249" s="5" t="s">
        <v>4772</v>
      </c>
      <c r="H249" t="s">
        <v>209</v>
      </c>
      <c r="I249" s="1">
        <v>45504</v>
      </c>
      <c r="J249" s="16">
        <v>0</v>
      </c>
    </row>
    <row r="250" spans="1:10" x14ac:dyDescent="0.3">
      <c r="A250" s="5" t="s">
        <v>551</v>
      </c>
      <c r="B250" s="5" t="s">
        <v>550</v>
      </c>
      <c r="C250" s="5" t="s">
        <v>189</v>
      </c>
      <c r="D250" t="s">
        <v>4904</v>
      </c>
      <c r="E250" t="s">
        <v>4792</v>
      </c>
      <c r="F250" t="s">
        <v>4904</v>
      </c>
      <c r="G250" s="5" t="s">
        <v>4772</v>
      </c>
      <c r="H250" t="s">
        <v>209</v>
      </c>
      <c r="I250" s="1">
        <v>45504</v>
      </c>
      <c r="J250" s="16">
        <v>0</v>
      </c>
    </row>
    <row r="251" spans="1:10" x14ac:dyDescent="0.3">
      <c r="A251" s="5" t="s">
        <v>553</v>
      </c>
      <c r="B251" s="5" t="s">
        <v>552</v>
      </c>
      <c r="C251" s="5" t="s">
        <v>190</v>
      </c>
      <c r="D251" t="s">
        <v>4904</v>
      </c>
      <c r="E251" t="s">
        <v>4792</v>
      </c>
      <c r="F251" t="s">
        <v>4904</v>
      </c>
      <c r="G251" s="5" t="s">
        <v>4772</v>
      </c>
      <c r="H251" t="s">
        <v>209</v>
      </c>
      <c r="I251" s="1">
        <v>45504</v>
      </c>
      <c r="J251" s="16">
        <v>0</v>
      </c>
    </row>
    <row r="252" spans="1:10" x14ac:dyDescent="0.3">
      <c r="A252" s="5" t="s">
        <v>554</v>
      </c>
      <c r="B252" s="5" t="s">
        <v>555</v>
      </c>
      <c r="C252" s="5" t="s">
        <v>110</v>
      </c>
      <c r="F252" t="s">
        <v>4858</v>
      </c>
      <c r="G252" s="5" t="s">
        <v>4771</v>
      </c>
      <c r="H252" t="s">
        <v>209</v>
      </c>
      <c r="I252" s="1">
        <v>45504</v>
      </c>
      <c r="J252" s="16">
        <v>0</v>
      </c>
    </row>
    <row r="253" spans="1:10" x14ac:dyDescent="0.3">
      <c r="A253" s="5" t="s">
        <v>556</v>
      </c>
      <c r="B253" s="5" t="s">
        <v>557</v>
      </c>
      <c r="C253" s="5" t="s">
        <v>98</v>
      </c>
      <c r="F253" t="s">
        <v>807</v>
      </c>
      <c r="G253" s="5"/>
      <c r="H253" t="s">
        <v>209</v>
      </c>
      <c r="I253" s="1">
        <v>45535</v>
      </c>
      <c r="J253" s="16">
        <v>0</v>
      </c>
    </row>
    <row r="254" spans="1:10" x14ac:dyDescent="0.3">
      <c r="A254" s="5" t="s">
        <v>909</v>
      </c>
      <c r="B254" s="5" t="s">
        <v>910</v>
      </c>
      <c r="C254" s="5" t="s">
        <v>911</v>
      </c>
      <c r="F254" t="s">
        <v>807</v>
      </c>
      <c r="G254" s="5"/>
      <c r="H254" t="s">
        <v>209</v>
      </c>
      <c r="I254" s="1">
        <v>45565</v>
      </c>
      <c r="J254" s="16">
        <v>0</v>
      </c>
    </row>
    <row r="255" spans="1:10" x14ac:dyDescent="0.3">
      <c r="A255" s="5" t="s">
        <v>558</v>
      </c>
      <c r="B255" s="5" t="s">
        <v>559</v>
      </c>
      <c r="C255" s="5" t="s">
        <v>89</v>
      </c>
      <c r="E255" t="s">
        <v>4783</v>
      </c>
      <c r="F255" t="s">
        <v>4901</v>
      </c>
      <c r="G255" s="5" t="s">
        <v>4771</v>
      </c>
      <c r="H255" t="s">
        <v>209</v>
      </c>
      <c r="I255" s="1">
        <v>45565</v>
      </c>
      <c r="J255" s="16">
        <v>203.85111111111112</v>
      </c>
    </row>
    <row r="256" spans="1:10" x14ac:dyDescent="0.3">
      <c r="A256" s="5" t="s">
        <v>914</v>
      </c>
      <c r="B256" s="5" t="s">
        <v>915</v>
      </c>
      <c r="C256" s="5" t="s">
        <v>916</v>
      </c>
      <c r="F256" t="s">
        <v>4852</v>
      </c>
      <c r="G256" s="5" t="s">
        <v>4771</v>
      </c>
      <c r="H256" t="s">
        <v>209</v>
      </c>
      <c r="I256" s="1">
        <v>45596</v>
      </c>
      <c r="J256" s="16">
        <v>0</v>
      </c>
    </row>
    <row r="257" spans="1:10" x14ac:dyDescent="0.3">
      <c r="A257" s="5" t="s">
        <v>560</v>
      </c>
      <c r="B257" s="5" t="s">
        <v>561</v>
      </c>
      <c r="C257" s="5" t="s">
        <v>121</v>
      </c>
      <c r="D257" t="s">
        <v>1040</v>
      </c>
      <c r="E257" t="s">
        <v>4777</v>
      </c>
      <c r="F257" t="s">
        <v>4856</v>
      </c>
      <c r="G257" s="5" t="s">
        <v>4771</v>
      </c>
      <c r="H257" t="s">
        <v>204</v>
      </c>
      <c r="I257" s="1">
        <v>46732</v>
      </c>
      <c r="J257" s="16">
        <v>10262.222222222223</v>
      </c>
    </row>
    <row r="258" spans="1:10" x14ac:dyDescent="0.3">
      <c r="A258" s="5" t="s">
        <v>562</v>
      </c>
      <c r="B258" s="5" t="s">
        <v>563</v>
      </c>
      <c r="C258" s="5" t="s">
        <v>63</v>
      </c>
      <c r="F258" t="s">
        <v>4845</v>
      </c>
      <c r="G258" s="5" t="s">
        <v>4772</v>
      </c>
      <c r="H258" t="s">
        <v>209</v>
      </c>
      <c r="I258" s="1">
        <v>45596</v>
      </c>
      <c r="J258" s="16">
        <v>725.78833333333341</v>
      </c>
    </row>
    <row r="259" spans="1:10" x14ac:dyDescent="0.3">
      <c r="A259" s="5" t="s">
        <v>564</v>
      </c>
      <c r="B259" s="5" t="s">
        <v>565</v>
      </c>
      <c r="C259" s="5" t="s">
        <v>113</v>
      </c>
      <c r="D259" t="s">
        <v>1038</v>
      </c>
      <c r="E259" t="s">
        <v>4777</v>
      </c>
      <c r="F259" t="s">
        <v>4858</v>
      </c>
      <c r="G259" s="5" t="s">
        <v>4771</v>
      </c>
      <c r="H259" t="s">
        <v>204</v>
      </c>
      <c r="I259" s="1">
        <v>46386</v>
      </c>
      <c r="J259" s="16">
        <v>5200</v>
      </c>
    </row>
    <row r="260" spans="1:10" x14ac:dyDescent="0.3">
      <c r="A260" s="5" t="s">
        <v>566</v>
      </c>
      <c r="B260" s="5" t="s">
        <v>567</v>
      </c>
      <c r="C260" s="5" t="s">
        <v>49</v>
      </c>
      <c r="F260" t="s">
        <v>4858</v>
      </c>
      <c r="G260" s="5" t="s">
        <v>4771</v>
      </c>
      <c r="H260" t="s">
        <v>209</v>
      </c>
      <c r="I260" s="1">
        <v>45688</v>
      </c>
      <c r="J260" s="16">
        <v>0</v>
      </c>
    </row>
    <row r="261" spans="1:10" x14ac:dyDescent="0.3">
      <c r="A261" s="5" t="s">
        <v>569</v>
      </c>
      <c r="B261" s="5" t="s">
        <v>550</v>
      </c>
      <c r="C261" s="5" t="s">
        <v>189</v>
      </c>
      <c r="D261" t="s">
        <v>4904</v>
      </c>
      <c r="E261" t="s">
        <v>4792</v>
      </c>
      <c r="F261" t="s">
        <v>4904</v>
      </c>
      <c r="G261" s="5" t="s">
        <v>4772</v>
      </c>
      <c r="H261" t="s">
        <v>204</v>
      </c>
      <c r="I261" s="1">
        <v>46599</v>
      </c>
      <c r="J261" s="16">
        <v>22877.505555555559</v>
      </c>
    </row>
    <row r="262" spans="1:10" x14ac:dyDescent="0.3">
      <c r="A262" s="5" t="s">
        <v>570</v>
      </c>
      <c r="B262" s="5" t="s">
        <v>230</v>
      </c>
      <c r="C262" s="5" t="s">
        <v>85</v>
      </c>
      <c r="D262" t="s">
        <v>1033</v>
      </c>
      <c r="E262" t="s">
        <v>4781</v>
      </c>
      <c r="F262" t="s">
        <v>4852</v>
      </c>
      <c r="G262" s="5" t="s">
        <v>4771</v>
      </c>
      <c r="H262" t="s">
        <v>204</v>
      </c>
      <c r="I262" s="1">
        <v>46418</v>
      </c>
      <c r="J262" s="16">
        <v>506462.6999999999</v>
      </c>
    </row>
    <row r="263" spans="1:10" x14ac:dyDescent="0.3">
      <c r="A263" s="5" t="s">
        <v>571</v>
      </c>
      <c r="B263" s="5" t="s">
        <v>572</v>
      </c>
      <c r="C263" s="5" t="s">
        <v>43</v>
      </c>
      <c r="D263" t="s">
        <v>1038</v>
      </c>
      <c r="E263" t="s">
        <v>4782</v>
      </c>
      <c r="F263" t="s">
        <v>4858</v>
      </c>
      <c r="G263" s="5" t="s">
        <v>4771</v>
      </c>
      <c r="H263" t="s">
        <v>204</v>
      </c>
      <c r="I263" s="1">
        <v>46387</v>
      </c>
      <c r="J263" s="16">
        <v>16067.122222222222</v>
      </c>
    </row>
    <row r="264" spans="1:10" x14ac:dyDescent="0.3">
      <c r="A264" s="5" t="s">
        <v>924</v>
      </c>
      <c r="B264" s="5" t="s">
        <v>539</v>
      </c>
      <c r="C264" s="5" t="s">
        <v>189</v>
      </c>
      <c r="F264" t="s">
        <v>807</v>
      </c>
      <c r="G264" s="5"/>
      <c r="H264" t="s">
        <v>209</v>
      </c>
      <c r="I264" s="1">
        <v>45808</v>
      </c>
      <c r="J264" s="16">
        <v>0</v>
      </c>
    </row>
    <row r="265" spans="1:10" x14ac:dyDescent="0.3">
      <c r="A265" s="5" t="s">
        <v>573</v>
      </c>
      <c r="B265" s="5" t="s">
        <v>539</v>
      </c>
      <c r="C265" s="5" t="s">
        <v>189</v>
      </c>
      <c r="F265" t="s">
        <v>807</v>
      </c>
      <c r="G265" s="5"/>
      <c r="H265" t="s">
        <v>209</v>
      </c>
      <c r="I265" s="1">
        <v>45808</v>
      </c>
      <c r="J265" s="16">
        <v>3823.181111111111</v>
      </c>
    </row>
    <row r="266" spans="1:10" x14ac:dyDescent="0.3">
      <c r="A266" s="5" t="s">
        <v>574</v>
      </c>
      <c r="B266" s="5" t="s">
        <v>575</v>
      </c>
      <c r="C266" s="5" t="s">
        <v>174</v>
      </c>
      <c r="D266" t="s">
        <v>1039</v>
      </c>
      <c r="E266" t="s">
        <v>4776</v>
      </c>
      <c r="F266" t="s">
        <v>4858</v>
      </c>
      <c r="G266" s="5" t="s">
        <v>4771</v>
      </c>
      <c r="H266" t="s">
        <v>204</v>
      </c>
      <c r="I266" s="1">
        <v>46203</v>
      </c>
      <c r="J266" s="16">
        <v>7592.7794444444462</v>
      </c>
    </row>
    <row r="267" spans="1:10" x14ac:dyDescent="0.3">
      <c r="A267" s="5" t="s">
        <v>576</v>
      </c>
      <c r="B267" s="5" t="s">
        <v>568</v>
      </c>
      <c r="C267" s="5" t="s">
        <v>64</v>
      </c>
      <c r="D267" t="s">
        <v>1038</v>
      </c>
      <c r="E267" t="s">
        <v>4782</v>
      </c>
      <c r="F267" t="s">
        <v>4858</v>
      </c>
      <c r="G267" s="5" t="s">
        <v>4771</v>
      </c>
      <c r="H267" t="s">
        <v>209</v>
      </c>
      <c r="I267" s="1">
        <v>46262</v>
      </c>
      <c r="J267" s="16">
        <v>1783.0294444444444</v>
      </c>
    </row>
    <row r="268" spans="1:10" x14ac:dyDescent="0.3">
      <c r="A268" s="5" t="s">
        <v>577</v>
      </c>
      <c r="B268" s="5" t="s">
        <v>227</v>
      </c>
      <c r="C268" s="5" t="s">
        <v>191</v>
      </c>
      <c r="D268" t="s">
        <v>4904</v>
      </c>
      <c r="E268" t="s">
        <v>4792</v>
      </c>
      <c r="F268" t="s">
        <v>4904</v>
      </c>
      <c r="G268" s="5" t="s">
        <v>4772</v>
      </c>
      <c r="H268" t="s">
        <v>204</v>
      </c>
      <c r="I268" s="1">
        <v>46493</v>
      </c>
      <c r="J268" s="16">
        <v>48049.902222222212</v>
      </c>
    </row>
    <row r="269" spans="1:10" x14ac:dyDescent="0.3">
      <c r="A269" s="5" t="s">
        <v>578</v>
      </c>
      <c r="B269" s="5" t="s">
        <v>228</v>
      </c>
      <c r="C269" s="5" t="s">
        <v>188</v>
      </c>
      <c r="G269" s="5"/>
      <c r="H269" t="s">
        <v>209</v>
      </c>
      <c r="I269" s="1">
        <v>55243</v>
      </c>
      <c r="J269" s="16">
        <v>0</v>
      </c>
    </row>
    <row r="270" spans="1:10" x14ac:dyDescent="0.3">
      <c r="A270" s="5" t="s">
        <v>579</v>
      </c>
      <c r="B270" s="5" t="s">
        <v>580</v>
      </c>
      <c r="C270" s="5" t="s">
        <v>149</v>
      </c>
      <c r="F270" t="s">
        <v>4852</v>
      </c>
      <c r="G270" s="5" t="s">
        <v>4773</v>
      </c>
      <c r="H270" t="s">
        <v>209</v>
      </c>
      <c r="I270" s="1">
        <v>45716</v>
      </c>
      <c r="J270" s="16">
        <v>0</v>
      </c>
    </row>
    <row r="271" spans="1:10" x14ac:dyDescent="0.3">
      <c r="A271" s="5" t="s">
        <v>581</v>
      </c>
      <c r="B271" s="5" t="s">
        <v>546</v>
      </c>
      <c r="C271" s="5" t="s">
        <v>75</v>
      </c>
      <c r="D271" t="s">
        <v>1038</v>
      </c>
      <c r="E271" t="s">
        <v>4779</v>
      </c>
      <c r="F271" t="s">
        <v>4858</v>
      </c>
      <c r="G271" s="5" t="s">
        <v>4773</v>
      </c>
      <c r="H271" t="s">
        <v>204</v>
      </c>
      <c r="I271" s="1">
        <v>46233</v>
      </c>
      <c r="J271" s="16">
        <v>5804.8161111111131</v>
      </c>
    </row>
    <row r="272" spans="1:10" x14ac:dyDescent="0.3">
      <c r="A272" s="5" t="s">
        <v>582</v>
      </c>
      <c r="B272" s="5" t="s">
        <v>550</v>
      </c>
      <c r="C272" s="5" t="s">
        <v>189</v>
      </c>
      <c r="D272" t="s">
        <v>4904</v>
      </c>
      <c r="E272" t="s">
        <v>4792</v>
      </c>
      <c r="F272" t="s">
        <v>4904</v>
      </c>
      <c r="G272" s="5" t="s">
        <v>4772</v>
      </c>
      <c r="H272" t="s">
        <v>204</v>
      </c>
      <c r="I272" s="1">
        <v>46599</v>
      </c>
      <c r="J272" s="16">
        <v>26636.514444444434</v>
      </c>
    </row>
    <row r="273" spans="1:10" x14ac:dyDescent="0.3">
      <c r="A273" s="5" t="s">
        <v>583</v>
      </c>
      <c r="B273" s="5" t="s">
        <v>552</v>
      </c>
      <c r="C273" s="5" t="s">
        <v>190</v>
      </c>
      <c r="D273" t="s">
        <v>4904</v>
      </c>
      <c r="E273" t="s">
        <v>4792</v>
      </c>
      <c r="F273" t="s">
        <v>4904</v>
      </c>
      <c r="G273" s="5" t="s">
        <v>4772</v>
      </c>
      <c r="H273" t="s">
        <v>204</v>
      </c>
      <c r="I273" s="1">
        <v>46441</v>
      </c>
      <c r="J273" s="16">
        <v>61396.682777777794</v>
      </c>
    </row>
    <row r="274" spans="1:10" x14ac:dyDescent="0.3">
      <c r="A274" s="5" t="s">
        <v>584</v>
      </c>
      <c r="B274" s="5" t="s">
        <v>585</v>
      </c>
      <c r="C274" s="5" t="s">
        <v>179</v>
      </c>
      <c r="D274" t="s">
        <v>4833</v>
      </c>
      <c r="E274" t="s">
        <v>4786</v>
      </c>
      <c r="F274" t="s">
        <v>4852</v>
      </c>
      <c r="G274" s="5" t="s">
        <v>4771</v>
      </c>
      <c r="H274" t="s">
        <v>204</v>
      </c>
      <c r="I274" s="1">
        <v>46477</v>
      </c>
      <c r="J274" s="16">
        <v>1076.5722222222221</v>
      </c>
    </row>
    <row r="275" spans="1:10" x14ac:dyDescent="0.3">
      <c r="A275" s="5" t="s">
        <v>586</v>
      </c>
      <c r="B275" s="5" t="s">
        <v>585</v>
      </c>
      <c r="C275" s="5" t="s">
        <v>179</v>
      </c>
      <c r="D275" t="s">
        <v>4833</v>
      </c>
      <c r="E275" t="s">
        <v>4786</v>
      </c>
      <c r="F275" t="s">
        <v>4852</v>
      </c>
      <c r="G275" s="5" t="s">
        <v>4771</v>
      </c>
      <c r="H275" t="s">
        <v>204</v>
      </c>
      <c r="I275" s="1">
        <v>46477</v>
      </c>
      <c r="J275" s="16">
        <v>1076.5722222222221</v>
      </c>
    </row>
    <row r="276" spans="1:10" x14ac:dyDescent="0.3">
      <c r="A276" s="5" t="s">
        <v>587</v>
      </c>
      <c r="B276" s="5" t="s">
        <v>588</v>
      </c>
      <c r="C276" s="5" t="s">
        <v>136</v>
      </c>
      <c r="D276" t="s">
        <v>4834</v>
      </c>
      <c r="E276" t="s">
        <v>4809</v>
      </c>
      <c r="F276" t="s">
        <v>4901</v>
      </c>
      <c r="G276" s="5" t="s">
        <v>4773</v>
      </c>
      <c r="H276" t="s">
        <v>204</v>
      </c>
      <c r="I276" s="1">
        <v>46142</v>
      </c>
      <c r="J276" s="16">
        <v>1681.9250000000002</v>
      </c>
    </row>
    <row r="277" spans="1:10" x14ac:dyDescent="0.3">
      <c r="A277" s="5" t="s">
        <v>928</v>
      </c>
      <c r="B277" s="5" t="s">
        <v>930</v>
      </c>
      <c r="C277" s="5" t="s">
        <v>931</v>
      </c>
      <c r="D277" t="s">
        <v>4834</v>
      </c>
      <c r="E277" t="s">
        <v>4860</v>
      </c>
      <c r="F277" t="s">
        <v>4852</v>
      </c>
      <c r="G277" s="5" t="s">
        <v>4773</v>
      </c>
      <c r="H277" t="s">
        <v>204</v>
      </c>
      <c r="I277" s="1">
        <v>45838</v>
      </c>
      <c r="J277" s="16">
        <v>0</v>
      </c>
    </row>
    <row r="278" spans="1:10" x14ac:dyDescent="0.3">
      <c r="A278" s="5" t="s">
        <v>933</v>
      </c>
      <c r="B278" s="5" t="s">
        <v>934</v>
      </c>
      <c r="C278" s="5" t="s">
        <v>935</v>
      </c>
      <c r="F278" t="s">
        <v>4901</v>
      </c>
      <c r="G278" s="5" t="s">
        <v>4771</v>
      </c>
      <c r="H278" t="s">
        <v>209</v>
      </c>
      <c r="I278" s="1">
        <v>45838</v>
      </c>
      <c r="J278" s="16">
        <v>0</v>
      </c>
    </row>
    <row r="279" spans="1:10" x14ac:dyDescent="0.3">
      <c r="A279" s="5" t="s">
        <v>589</v>
      </c>
      <c r="B279" s="5" t="s">
        <v>590</v>
      </c>
      <c r="C279" s="5" t="s">
        <v>79</v>
      </c>
      <c r="D279" t="s">
        <v>4845</v>
      </c>
      <c r="E279" t="s">
        <v>4793</v>
      </c>
      <c r="F279" t="s">
        <v>4845</v>
      </c>
      <c r="G279" s="5" t="s">
        <v>4773</v>
      </c>
      <c r="H279" t="s">
        <v>204</v>
      </c>
      <c r="I279" s="1">
        <v>46387</v>
      </c>
      <c r="J279" s="16">
        <v>792.66666666666663</v>
      </c>
    </row>
    <row r="280" spans="1:10" x14ac:dyDescent="0.3">
      <c r="A280" s="5" t="s">
        <v>591</v>
      </c>
      <c r="B280" s="5" t="s">
        <v>939</v>
      </c>
      <c r="C280" s="5" t="s">
        <v>7</v>
      </c>
      <c r="F280" t="s">
        <v>807</v>
      </c>
      <c r="G280" s="5"/>
      <c r="H280" t="s">
        <v>209</v>
      </c>
      <c r="I280" s="1">
        <v>45865</v>
      </c>
      <c r="J280" s="16">
        <v>162.93333333333334</v>
      </c>
    </row>
    <row r="281" spans="1:10" x14ac:dyDescent="0.3">
      <c r="A281" s="5" t="s">
        <v>593</v>
      </c>
      <c r="B281" s="5" t="s">
        <v>594</v>
      </c>
      <c r="C281" s="5" t="s">
        <v>27</v>
      </c>
      <c r="D281" t="s">
        <v>1037</v>
      </c>
      <c r="E281" t="s">
        <v>4794</v>
      </c>
      <c r="F281" t="s">
        <v>4852</v>
      </c>
      <c r="G281" s="5" t="s">
        <v>4772</v>
      </c>
      <c r="H281" t="s">
        <v>204</v>
      </c>
      <c r="I281" s="1">
        <v>46204</v>
      </c>
      <c r="J281" s="16">
        <v>378376.38222222228</v>
      </c>
    </row>
    <row r="282" spans="1:10" x14ac:dyDescent="0.3">
      <c r="A282" s="5" t="s">
        <v>595</v>
      </c>
      <c r="B282" s="5" t="s">
        <v>594</v>
      </c>
      <c r="C282" s="5" t="s">
        <v>27</v>
      </c>
      <c r="D282" t="s">
        <v>1037</v>
      </c>
      <c r="E282" t="s">
        <v>4794</v>
      </c>
      <c r="F282" t="s">
        <v>4852</v>
      </c>
      <c r="G282" s="5" t="s">
        <v>4772</v>
      </c>
      <c r="H282" t="s">
        <v>204</v>
      </c>
      <c r="I282" s="1">
        <v>46204</v>
      </c>
      <c r="J282" s="16">
        <v>39872.464444444442</v>
      </c>
    </row>
    <row r="283" spans="1:10" x14ac:dyDescent="0.3">
      <c r="A283" s="5" t="s">
        <v>596</v>
      </c>
      <c r="B283" s="5" t="s">
        <v>594</v>
      </c>
      <c r="C283" s="5" t="s">
        <v>27</v>
      </c>
      <c r="D283" t="s">
        <v>1037</v>
      </c>
      <c r="E283" t="s">
        <v>4794</v>
      </c>
      <c r="F283" t="s">
        <v>4852</v>
      </c>
      <c r="G283" s="5" t="s">
        <v>4772</v>
      </c>
      <c r="H283" t="s">
        <v>204</v>
      </c>
      <c r="I283" s="1">
        <v>46204</v>
      </c>
      <c r="J283" s="16">
        <v>12983.935555555556</v>
      </c>
    </row>
    <row r="284" spans="1:10" x14ac:dyDescent="0.3">
      <c r="A284" s="5" t="s">
        <v>944</v>
      </c>
      <c r="B284" s="5" t="s">
        <v>598</v>
      </c>
      <c r="C284" s="5" t="s">
        <v>128</v>
      </c>
      <c r="D284" t="s">
        <v>1037</v>
      </c>
      <c r="E284" t="s">
        <v>4794</v>
      </c>
      <c r="F284" t="s">
        <v>4852</v>
      </c>
      <c r="G284" s="5" t="s">
        <v>4772</v>
      </c>
      <c r="H284" t="s">
        <v>209</v>
      </c>
      <c r="I284" s="1">
        <v>46357</v>
      </c>
      <c r="J284" s="16">
        <v>0</v>
      </c>
    </row>
    <row r="285" spans="1:10" x14ac:dyDescent="0.3">
      <c r="A285" s="5" t="s">
        <v>597</v>
      </c>
      <c r="B285" s="5" t="s">
        <v>598</v>
      </c>
      <c r="C285" s="5" t="s">
        <v>128</v>
      </c>
      <c r="D285" t="s">
        <v>1037</v>
      </c>
      <c r="E285" t="s">
        <v>4794</v>
      </c>
      <c r="F285" t="s">
        <v>4852</v>
      </c>
      <c r="G285" s="5" t="s">
        <v>4772</v>
      </c>
      <c r="H285" t="s">
        <v>204</v>
      </c>
      <c r="I285" s="1">
        <v>45839</v>
      </c>
      <c r="J285" s="16">
        <v>4666.8322222222232</v>
      </c>
    </row>
    <row r="286" spans="1:10" x14ac:dyDescent="0.3">
      <c r="A286" s="5" t="s">
        <v>947</v>
      </c>
      <c r="B286" s="5" t="s">
        <v>598</v>
      </c>
      <c r="C286" s="5" t="s">
        <v>128</v>
      </c>
      <c r="D286" t="s">
        <v>1037</v>
      </c>
      <c r="E286" t="s">
        <v>4794</v>
      </c>
      <c r="F286" t="s">
        <v>4852</v>
      </c>
      <c r="G286" s="5" t="s">
        <v>4772</v>
      </c>
      <c r="H286" t="s">
        <v>209</v>
      </c>
      <c r="I286" s="1">
        <v>45839</v>
      </c>
      <c r="J286" s="16">
        <v>0</v>
      </c>
    </row>
    <row r="287" spans="1:10" x14ac:dyDescent="0.3">
      <c r="A287" s="5" t="s">
        <v>599</v>
      </c>
      <c r="B287" s="5" t="s">
        <v>598</v>
      </c>
      <c r="C287" s="5" t="s">
        <v>128</v>
      </c>
      <c r="D287" t="s">
        <v>1037</v>
      </c>
      <c r="E287" t="s">
        <v>4794</v>
      </c>
      <c r="F287" t="s">
        <v>4852</v>
      </c>
      <c r="G287" s="5" t="s">
        <v>4772</v>
      </c>
      <c r="H287" t="s">
        <v>204</v>
      </c>
      <c r="I287" s="1">
        <v>45869</v>
      </c>
      <c r="J287" s="16">
        <v>3711.0461111111122</v>
      </c>
    </row>
    <row r="288" spans="1:10" x14ac:dyDescent="0.3">
      <c r="A288" s="5" t="s">
        <v>600</v>
      </c>
      <c r="B288" s="5" t="s">
        <v>598</v>
      </c>
      <c r="C288" s="5" t="s">
        <v>128</v>
      </c>
      <c r="D288" t="s">
        <v>1037</v>
      </c>
      <c r="E288" t="s">
        <v>4794</v>
      </c>
      <c r="F288" t="s">
        <v>4852</v>
      </c>
      <c r="G288" s="5" t="s">
        <v>4772</v>
      </c>
      <c r="H288" t="s">
        <v>204</v>
      </c>
      <c r="I288" s="1">
        <v>45869</v>
      </c>
      <c r="J288" s="16">
        <v>899.73</v>
      </c>
    </row>
    <row r="289" spans="1:10" x14ac:dyDescent="0.3">
      <c r="A289" s="5" t="s">
        <v>601</v>
      </c>
      <c r="B289" s="5" t="s">
        <v>592</v>
      </c>
      <c r="C289" s="5" t="s">
        <v>8</v>
      </c>
      <c r="D289" t="s">
        <v>4833</v>
      </c>
      <c r="E289" t="s">
        <v>950</v>
      </c>
      <c r="F289" t="s">
        <v>4852</v>
      </c>
      <c r="G289" s="5" t="s">
        <v>807</v>
      </c>
      <c r="H289" t="s">
        <v>209</v>
      </c>
      <c r="I289" s="1">
        <v>45945</v>
      </c>
      <c r="J289" s="16">
        <v>714.5138888888888</v>
      </c>
    </row>
    <row r="290" spans="1:10" x14ac:dyDescent="0.3">
      <c r="A290" s="5" t="s">
        <v>602</v>
      </c>
      <c r="B290" s="5" t="s">
        <v>603</v>
      </c>
      <c r="C290" s="5" t="s">
        <v>69</v>
      </c>
      <c r="D290" t="s">
        <v>4834</v>
      </c>
      <c r="E290" t="s">
        <v>952</v>
      </c>
      <c r="F290" t="s">
        <v>4901</v>
      </c>
      <c r="G290" s="5" t="s">
        <v>4771</v>
      </c>
      <c r="H290" t="s">
        <v>209</v>
      </c>
      <c r="I290" s="1">
        <v>46276</v>
      </c>
      <c r="J290" s="16">
        <v>1967.6222222222216</v>
      </c>
    </row>
    <row r="291" spans="1:10" x14ac:dyDescent="0.3">
      <c r="A291" s="5" t="s">
        <v>955</v>
      </c>
      <c r="B291" s="5" t="s">
        <v>208</v>
      </c>
      <c r="C291" s="5" t="s">
        <v>164</v>
      </c>
      <c r="D291" t="s">
        <v>1036</v>
      </c>
      <c r="E291" t="s">
        <v>4784</v>
      </c>
      <c r="F291" t="s">
        <v>4901</v>
      </c>
      <c r="G291" s="5"/>
      <c r="H291" t="s">
        <v>209</v>
      </c>
      <c r="I291" s="1">
        <v>46256</v>
      </c>
      <c r="J291" s="16">
        <v>0</v>
      </c>
    </row>
    <row r="292" spans="1:10" x14ac:dyDescent="0.3">
      <c r="A292" s="5" t="s">
        <v>604</v>
      </c>
      <c r="B292" s="5" t="s">
        <v>208</v>
      </c>
      <c r="C292" s="5" t="s">
        <v>164</v>
      </c>
      <c r="D292" t="s">
        <v>1036</v>
      </c>
      <c r="E292" t="s">
        <v>4784</v>
      </c>
      <c r="F292" t="s">
        <v>4901</v>
      </c>
      <c r="G292" s="5"/>
      <c r="H292" t="s">
        <v>204</v>
      </c>
      <c r="I292" s="1">
        <v>46256</v>
      </c>
      <c r="J292" s="16">
        <v>1645.4444444444443</v>
      </c>
    </row>
    <row r="293" spans="1:10" x14ac:dyDescent="0.3">
      <c r="A293" s="5" t="s">
        <v>605</v>
      </c>
      <c r="B293" s="5" t="s">
        <v>208</v>
      </c>
      <c r="C293" s="5" t="s">
        <v>164</v>
      </c>
      <c r="D293" t="s">
        <v>1040</v>
      </c>
      <c r="E293" t="s">
        <v>4795</v>
      </c>
      <c r="F293" t="s">
        <v>4856</v>
      </c>
      <c r="G293" s="5"/>
      <c r="H293" t="s">
        <v>204</v>
      </c>
      <c r="I293" s="1">
        <v>46256</v>
      </c>
      <c r="J293" s="16">
        <v>100</v>
      </c>
    </row>
    <row r="294" spans="1:10" x14ac:dyDescent="0.3">
      <c r="A294" s="5" t="s">
        <v>606</v>
      </c>
      <c r="B294" s="5" t="s">
        <v>607</v>
      </c>
      <c r="C294" s="5" t="s">
        <v>81</v>
      </c>
      <c r="D294" t="s">
        <v>1038</v>
      </c>
      <c r="E294" t="s">
        <v>4777</v>
      </c>
      <c r="F294" t="s">
        <v>4858</v>
      </c>
      <c r="G294" s="5" t="s">
        <v>4773</v>
      </c>
      <c r="H294" t="s">
        <v>204</v>
      </c>
      <c r="I294" s="1">
        <v>46387</v>
      </c>
      <c r="J294" s="16">
        <v>28385.645555555555</v>
      </c>
    </row>
    <row r="295" spans="1:10" x14ac:dyDescent="0.3">
      <c r="A295" s="5" t="s">
        <v>957</v>
      </c>
      <c r="B295" s="5" t="s">
        <v>372</v>
      </c>
      <c r="C295" s="5" t="s">
        <v>105</v>
      </c>
      <c r="D295" t="s">
        <v>1038</v>
      </c>
      <c r="E295" t="s">
        <v>4777</v>
      </c>
      <c r="F295" t="s">
        <v>4858</v>
      </c>
      <c r="G295" s="5" t="s">
        <v>4773</v>
      </c>
      <c r="H295" t="s">
        <v>209</v>
      </c>
      <c r="I295" s="1">
        <v>45930</v>
      </c>
      <c r="J295" s="16">
        <v>0</v>
      </c>
    </row>
    <row r="296" spans="1:10" x14ac:dyDescent="0.3">
      <c r="A296" s="5" t="s">
        <v>608</v>
      </c>
      <c r="B296" s="5" t="s">
        <v>609</v>
      </c>
      <c r="C296" s="5" t="s">
        <v>182</v>
      </c>
      <c r="D296" t="s">
        <v>1037</v>
      </c>
      <c r="E296" t="s">
        <v>4794</v>
      </c>
      <c r="F296" t="s">
        <v>4852</v>
      </c>
      <c r="G296" s="5" t="s">
        <v>4772</v>
      </c>
      <c r="H296" t="s">
        <v>204</v>
      </c>
      <c r="I296" s="1">
        <v>46281</v>
      </c>
      <c r="J296" s="16">
        <v>234377.86055555556</v>
      </c>
    </row>
    <row r="297" spans="1:10" x14ac:dyDescent="0.3">
      <c r="A297" s="5" t="s">
        <v>610</v>
      </c>
      <c r="B297" s="5" t="s">
        <v>609</v>
      </c>
      <c r="C297" s="5" t="s">
        <v>182</v>
      </c>
      <c r="D297" t="s">
        <v>1037</v>
      </c>
      <c r="E297" t="s">
        <v>4794</v>
      </c>
      <c r="F297" t="s">
        <v>4852</v>
      </c>
      <c r="G297" s="5" t="s">
        <v>4772</v>
      </c>
      <c r="H297" t="s">
        <v>204</v>
      </c>
      <c r="I297" s="1">
        <v>46282</v>
      </c>
      <c r="J297" s="16">
        <v>61814.057222222211</v>
      </c>
    </row>
    <row r="298" spans="1:10" x14ac:dyDescent="0.3">
      <c r="A298" s="5" t="s">
        <v>958</v>
      </c>
      <c r="B298" s="5" t="s">
        <v>959</v>
      </c>
      <c r="C298" s="5" t="s">
        <v>960</v>
      </c>
      <c r="F298" t="s">
        <v>807</v>
      </c>
      <c r="G298" s="5"/>
      <c r="H298" t="s">
        <v>209</v>
      </c>
      <c r="I298" s="1">
        <v>45898</v>
      </c>
      <c r="J298" s="16">
        <v>0</v>
      </c>
    </row>
    <row r="299" spans="1:10" x14ac:dyDescent="0.3">
      <c r="A299" s="5" t="s">
        <v>611</v>
      </c>
      <c r="B299" s="5" t="s">
        <v>612</v>
      </c>
      <c r="C299" s="5" t="s">
        <v>102</v>
      </c>
      <c r="D299" t="s">
        <v>1037</v>
      </c>
      <c r="E299" t="s">
        <v>4777</v>
      </c>
      <c r="F299" t="s">
        <v>4852</v>
      </c>
      <c r="G299" s="5" t="s">
        <v>4773</v>
      </c>
      <c r="H299" t="s">
        <v>209</v>
      </c>
      <c r="I299" s="1">
        <v>45961</v>
      </c>
      <c r="J299" s="16">
        <v>18552.444444444445</v>
      </c>
    </row>
    <row r="300" spans="1:10" x14ac:dyDescent="0.3">
      <c r="A300" s="5" t="s">
        <v>613</v>
      </c>
      <c r="B300" s="5" t="s">
        <v>614</v>
      </c>
      <c r="C300" s="5" t="s">
        <v>74</v>
      </c>
      <c r="D300" t="s">
        <v>1038</v>
      </c>
      <c r="E300" t="s">
        <v>4779</v>
      </c>
      <c r="F300" t="s">
        <v>4858</v>
      </c>
      <c r="G300" s="5" t="s">
        <v>4771</v>
      </c>
      <c r="H300" t="s">
        <v>204</v>
      </c>
      <c r="I300" s="1">
        <v>46993</v>
      </c>
      <c r="J300" s="16">
        <v>1608.1727777777778</v>
      </c>
    </row>
    <row r="301" spans="1:10" x14ac:dyDescent="0.3">
      <c r="A301" s="5" t="s">
        <v>615</v>
      </c>
      <c r="B301" s="5" t="s">
        <v>616</v>
      </c>
      <c r="C301" s="5" t="s">
        <v>152</v>
      </c>
      <c r="D301" t="s">
        <v>4834</v>
      </c>
      <c r="E301" t="s">
        <v>4776</v>
      </c>
      <c r="F301" t="s">
        <v>4858</v>
      </c>
      <c r="G301" s="5" t="s">
        <v>4772</v>
      </c>
      <c r="H301" t="s">
        <v>204</v>
      </c>
      <c r="I301" s="1">
        <v>46327</v>
      </c>
      <c r="J301" s="16">
        <v>94151.637777777796</v>
      </c>
    </row>
    <row r="302" spans="1:10" x14ac:dyDescent="0.3">
      <c r="A302" s="5" t="s">
        <v>965</v>
      </c>
      <c r="B302" s="5" t="s">
        <v>618</v>
      </c>
      <c r="C302" s="5" t="s">
        <v>112</v>
      </c>
      <c r="D302" t="s">
        <v>1036</v>
      </c>
      <c r="E302" t="s">
        <v>4776</v>
      </c>
      <c r="F302" t="s">
        <v>4901</v>
      </c>
      <c r="G302" s="5" t="s">
        <v>4771</v>
      </c>
      <c r="H302" t="s">
        <v>209</v>
      </c>
      <c r="I302" s="1">
        <v>45982</v>
      </c>
      <c r="J302" s="16">
        <v>0</v>
      </c>
    </row>
    <row r="303" spans="1:10" x14ac:dyDescent="0.3">
      <c r="A303" s="5" t="s">
        <v>617</v>
      </c>
      <c r="B303" s="5" t="s">
        <v>618</v>
      </c>
      <c r="C303" s="5" t="s">
        <v>112</v>
      </c>
      <c r="D303" t="s">
        <v>1036</v>
      </c>
      <c r="E303" t="s">
        <v>4776</v>
      </c>
      <c r="F303" t="s">
        <v>4901</v>
      </c>
      <c r="G303" s="5" t="s">
        <v>4771</v>
      </c>
      <c r="H303" t="s">
        <v>204</v>
      </c>
      <c r="I303" s="1">
        <v>46347</v>
      </c>
      <c r="J303" s="16">
        <v>977.16666666666663</v>
      </c>
    </row>
    <row r="304" spans="1:10" x14ac:dyDescent="0.3">
      <c r="A304" s="5" t="s">
        <v>966</v>
      </c>
      <c r="B304" s="5" t="s">
        <v>967</v>
      </c>
      <c r="C304" s="5" t="s">
        <v>968</v>
      </c>
      <c r="F304" t="s">
        <v>4856</v>
      </c>
      <c r="G304" s="5" t="s">
        <v>4772</v>
      </c>
      <c r="H304" t="s">
        <v>209</v>
      </c>
      <c r="I304" s="1">
        <v>45991</v>
      </c>
      <c r="J304" s="16">
        <v>0</v>
      </c>
    </row>
    <row r="305" spans="1:10" x14ac:dyDescent="0.3">
      <c r="A305" s="5" t="s">
        <v>619</v>
      </c>
      <c r="B305" s="5" t="s">
        <v>620</v>
      </c>
      <c r="C305" s="5" t="s">
        <v>146</v>
      </c>
      <c r="F305" t="s">
        <v>4901</v>
      </c>
      <c r="G305" s="5" t="s">
        <v>4773</v>
      </c>
      <c r="H305" t="s">
        <v>209</v>
      </c>
      <c r="I305" s="1">
        <v>46000</v>
      </c>
      <c r="J305" s="16">
        <v>1366.0361111111113</v>
      </c>
    </row>
    <row r="306" spans="1:10" x14ac:dyDescent="0.3">
      <c r="A306" s="5" t="s">
        <v>621</v>
      </c>
      <c r="B306" s="5" t="s">
        <v>616</v>
      </c>
      <c r="C306" s="5" t="s">
        <v>152</v>
      </c>
      <c r="D306" t="s">
        <v>4904</v>
      </c>
      <c r="E306" t="s">
        <v>4796</v>
      </c>
      <c r="F306" t="s">
        <v>4901</v>
      </c>
      <c r="G306" s="5" t="s">
        <v>4772</v>
      </c>
      <c r="H306" t="s">
        <v>204</v>
      </c>
      <c r="I306" s="1">
        <v>46349</v>
      </c>
      <c r="J306" s="16">
        <v>66599.598333333342</v>
      </c>
    </row>
    <row r="307" spans="1:10" x14ac:dyDescent="0.3">
      <c r="A307" s="5" t="s">
        <v>622</v>
      </c>
      <c r="B307" s="5" t="s">
        <v>616</v>
      </c>
      <c r="C307" s="5" t="s">
        <v>152</v>
      </c>
      <c r="D307" t="s">
        <v>4904</v>
      </c>
      <c r="E307" t="s">
        <v>4796</v>
      </c>
      <c r="F307" t="s">
        <v>4856</v>
      </c>
      <c r="G307" s="5" t="s">
        <v>4772</v>
      </c>
      <c r="H307" t="s">
        <v>204</v>
      </c>
      <c r="I307" s="1">
        <v>46351</v>
      </c>
      <c r="J307" s="16">
        <v>28918.778888888883</v>
      </c>
    </row>
    <row r="308" spans="1:10" x14ac:dyDescent="0.3">
      <c r="A308" s="5" t="s">
        <v>971</v>
      </c>
      <c r="B308" s="5" t="s">
        <v>626</v>
      </c>
      <c r="C308" s="5" t="s">
        <v>184</v>
      </c>
      <c r="D308" t="s">
        <v>1039</v>
      </c>
      <c r="E308" t="s">
        <v>4777</v>
      </c>
      <c r="F308" t="s">
        <v>4858</v>
      </c>
      <c r="G308" s="5" t="s">
        <v>4773</v>
      </c>
      <c r="H308" t="s">
        <v>209</v>
      </c>
      <c r="I308" s="1">
        <v>46010</v>
      </c>
      <c r="J308" s="16">
        <v>0</v>
      </c>
    </row>
    <row r="309" spans="1:10" x14ac:dyDescent="0.3">
      <c r="A309" s="5" t="s">
        <v>623</v>
      </c>
      <c r="B309" s="5" t="s">
        <v>624</v>
      </c>
      <c r="C309" s="5" t="s">
        <v>68</v>
      </c>
      <c r="D309" t="s">
        <v>1041</v>
      </c>
      <c r="E309" t="s">
        <v>4776</v>
      </c>
      <c r="F309" t="s">
        <v>4852</v>
      </c>
      <c r="G309" s="5" t="s">
        <v>4771</v>
      </c>
      <c r="H309" t="s">
        <v>204</v>
      </c>
      <c r="I309" s="1">
        <v>46017</v>
      </c>
      <c r="J309" s="16">
        <v>1814.2577777777778</v>
      </c>
    </row>
    <row r="310" spans="1:10" x14ac:dyDescent="0.3">
      <c r="A310" s="5" t="s">
        <v>625</v>
      </c>
      <c r="B310" s="5" t="s">
        <v>626</v>
      </c>
      <c r="C310" s="5" t="s">
        <v>184</v>
      </c>
      <c r="D310" t="s">
        <v>1039</v>
      </c>
      <c r="E310" t="s">
        <v>4777</v>
      </c>
      <c r="F310" t="s">
        <v>4858</v>
      </c>
      <c r="G310" s="5" t="s">
        <v>4773</v>
      </c>
      <c r="H310" t="s">
        <v>204</v>
      </c>
      <c r="I310" s="1">
        <v>46440</v>
      </c>
      <c r="J310" s="16">
        <v>15895.946666666669</v>
      </c>
    </row>
    <row r="311" spans="1:10" x14ac:dyDescent="0.3">
      <c r="A311" s="5" t="s">
        <v>627</v>
      </c>
      <c r="B311" s="5" t="s">
        <v>628</v>
      </c>
      <c r="C311" s="5" t="s">
        <v>25</v>
      </c>
      <c r="D311" t="s">
        <v>1038</v>
      </c>
      <c r="E311" t="s">
        <v>4776</v>
      </c>
      <c r="F311" t="s">
        <v>4858</v>
      </c>
      <c r="G311" s="5" t="s">
        <v>4771</v>
      </c>
      <c r="H311" t="s">
        <v>209</v>
      </c>
      <c r="I311" s="1">
        <v>46476</v>
      </c>
      <c r="J311" s="16">
        <v>1623.8888888888889</v>
      </c>
    </row>
    <row r="312" spans="1:10" x14ac:dyDescent="0.3">
      <c r="A312" s="5" t="s">
        <v>976</v>
      </c>
      <c r="B312" s="5" t="s">
        <v>978</v>
      </c>
      <c r="C312" s="5" t="s">
        <v>979</v>
      </c>
      <c r="E312" t="s">
        <v>4797</v>
      </c>
      <c r="F312" t="s">
        <v>807</v>
      </c>
      <c r="G312" s="5"/>
      <c r="H312" t="s">
        <v>209</v>
      </c>
      <c r="I312" s="1">
        <v>46077</v>
      </c>
      <c r="J312" s="16">
        <v>0</v>
      </c>
    </row>
    <row r="313" spans="1:10" x14ac:dyDescent="0.3">
      <c r="A313" s="5" t="s">
        <v>629</v>
      </c>
      <c r="B313" s="5" t="s">
        <v>630</v>
      </c>
      <c r="C313" s="5" t="s">
        <v>145</v>
      </c>
      <c r="D313" t="s">
        <v>4849</v>
      </c>
      <c r="E313" t="s">
        <v>4777</v>
      </c>
      <c r="F313" t="s">
        <v>4855</v>
      </c>
      <c r="G313" s="5" t="s">
        <v>4771</v>
      </c>
      <c r="H313" t="s">
        <v>204</v>
      </c>
      <c r="I313" s="1">
        <v>46264</v>
      </c>
      <c r="J313" s="16">
        <v>25022.222222222223</v>
      </c>
    </row>
    <row r="314" spans="1:10" x14ac:dyDescent="0.3">
      <c r="A314" s="5" t="s">
        <v>631</v>
      </c>
      <c r="B314" s="5" t="s">
        <v>632</v>
      </c>
      <c r="C314" s="5" t="s">
        <v>41</v>
      </c>
      <c r="D314" t="s">
        <v>4833</v>
      </c>
      <c r="E314" t="s">
        <v>4776</v>
      </c>
      <c r="F314" t="s">
        <v>4852</v>
      </c>
      <c r="G314" s="5" t="s">
        <v>4771</v>
      </c>
      <c r="H314" t="s">
        <v>204</v>
      </c>
      <c r="I314" s="1">
        <v>50860</v>
      </c>
      <c r="J314" s="16">
        <v>5278</v>
      </c>
    </row>
    <row r="315" spans="1:10" x14ac:dyDescent="0.3">
      <c r="A315" s="5" t="s">
        <v>633</v>
      </c>
      <c r="B315" s="5" t="s">
        <v>634</v>
      </c>
      <c r="C315" s="5" t="s">
        <v>99</v>
      </c>
      <c r="D315" t="s">
        <v>1037</v>
      </c>
      <c r="E315" t="s">
        <v>4790</v>
      </c>
      <c r="F315" t="s">
        <v>4852</v>
      </c>
      <c r="G315" s="5"/>
      <c r="H315" t="s">
        <v>204</v>
      </c>
      <c r="I315" s="1">
        <v>46204</v>
      </c>
      <c r="J315" s="16">
        <v>65221.663888888885</v>
      </c>
    </row>
    <row r="316" spans="1:10" x14ac:dyDescent="0.3">
      <c r="A316" s="5" t="s">
        <v>635</v>
      </c>
      <c r="B316" s="5" t="s">
        <v>636</v>
      </c>
      <c r="C316" s="5" t="s">
        <v>51</v>
      </c>
      <c r="D316" t="s">
        <v>4844</v>
      </c>
      <c r="E316" t="s">
        <v>4779</v>
      </c>
      <c r="F316" t="s">
        <v>4845</v>
      </c>
      <c r="G316" s="5" t="s">
        <v>4771</v>
      </c>
      <c r="H316" t="s">
        <v>204</v>
      </c>
      <c r="I316" s="1">
        <v>46193</v>
      </c>
      <c r="J316" s="16">
        <v>5729.3888888888887</v>
      </c>
    </row>
    <row r="317" spans="1:10" x14ac:dyDescent="0.3">
      <c r="A317" s="5" t="s">
        <v>637</v>
      </c>
      <c r="B317" s="5" t="s">
        <v>638</v>
      </c>
      <c r="C317" s="5" t="s">
        <v>134</v>
      </c>
      <c r="D317" t="s">
        <v>1036</v>
      </c>
      <c r="E317" t="s">
        <v>4776</v>
      </c>
      <c r="F317" t="s">
        <v>4901</v>
      </c>
      <c r="G317" s="5"/>
      <c r="H317" t="s">
        <v>204</v>
      </c>
      <c r="I317" s="1">
        <v>46537</v>
      </c>
      <c r="J317" s="16">
        <v>1294.3333333333333</v>
      </c>
    </row>
    <row r="318" spans="1:10" x14ac:dyDescent="0.3">
      <c r="A318" s="5" t="s">
        <v>639</v>
      </c>
      <c r="B318" s="5" t="s">
        <v>638</v>
      </c>
      <c r="C318" s="5" t="s">
        <v>134</v>
      </c>
      <c r="D318" t="s">
        <v>1040</v>
      </c>
      <c r="E318" t="s">
        <v>4776</v>
      </c>
      <c r="F318" t="s">
        <v>4856</v>
      </c>
      <c r="G318" s="5"/>
      <c r="H318" t="s">
        <v>204</v>
      </c>
      <c r="I318" s="1">
        <v>46537</v>
      </c>
      <c r="J318" s="16">
        <v>935.16666666666663</v>
      </c>
    </row>
    <row r="319" spans="1:10" x14ac:dyDescent="0.3">
      <c r="A319" s="5" t="s">
        <v>640</v>
      </c>
      <c r="B319" s="5" t="s">
        <v>641</v>
      </c>
      <c r="C319" s="5" t="s">
        <v>26</v>
      </c>
      <c r="D319" t="s">
        <v>1042</v>
      </c>
      <c r="E319" t="s">
        <v>1006</v>
      </c>
      <c r="F319" t="s">
        <v>4852</v>
      </c>
      <c r="G319" s="5"/>
      <c r="H319" t="s">
        <v>204</v>
      </c>
      <c r="I319" s="1">
        <v>46142</v>
      </c>
      <c r="J319" s="16">
        <v>11541.362222222222</v>
      </c>
    </row>
    <row r="320" spans="1:10" x14ac:dyDescent="0.3">
      <c r="A320" s="5" t="s">
        <v>642</v>
      </c>
      <c r="B320" s="5" t="s">
        <v>643</v>
      </c>
      <c r="C320" s="5" t="s">
        <v>52</v>
      </c>
      <c r="D320" t="s">
        <v>4834</v>
      </c>
      <c r="E320" t="s">
        <v>4776</v>
      </c>
      <c r="F320" t="s">
        <v>4901</v>
      </c>
      <c r="G320" s="5"/>
      <c r="H320" t="s">
        <v>204</v>
      </c>
      <c r="I320" s="1">
        <v>46548</v>
      </c>
      <c r="J320" s="16">
        <v>1800</v>
      </c>
    </row>
    <row r="321" spans="1:10" x14ac:dyDescent="0.3">
      <c r="A321" s="5" t="s">
        <v>644</v>
      </c>
      <c r="B321" s="5" t="s">
        <v>645</v>
      </c>
      <c r="C321" s="5" t="s">
        <v>76</v>
      </c>
      <c r="D321" t="s">
        <v>1038</v>
      </c>
      <c r="E321" t="s">
        <v>4776</v>
      </c>
      <c r="F321" t="s">
        <v>4858</v>
      </c>
      <c r="G321" s="5" t="s">
        <v>4773</v>
      </c>
      <c r="H321" t="s">
        <v>204</v>
      </c>
      <c r="I321" s="1">
        <v>46478</v>
      </c>
      <c r="J321" s="16">
        <v>3371.5444444444438</v>
      </c>
    </row>
    <row r="322" spans="1:10" x14ac:dyDescent="0.3">
      <c r="A322" s="5" t="s">
        <v>646</v>
      </c>
      <c r="B322" s="5" t="s">
        <v>647</v>
      </c>
      <c r="C322" s="5" t="s">
        <v>130</v>
      </c>
      <c r="D322" t="s">
        <v>1044</v>
      </c>
      <c r="E322" t="s">
        <v>4776</v>
      </c>
      <c r="F322" t="s">
        <v>4852</v>
      </c>
      <c r="G322" s="5"/>
      <c r="H322" t="s">
        <v>204</v>
      </c>
      <c r="I322" s="1">
        <v>46522</v>
      </c>
      <c r="J322" s="16">
        <v>10934.42222222222</v>
      </c>
    </row>
    <row r="323" spans="1:10" x14ac:dyDescent="0.3">
      <c r="A323" s="5" t="s">
        <v>648</v>
      </c>
      <c r="B323" s="5" t="s">
        <v>649</v>
      </c>
      <c r="C323" s="5" t="s">
        <v>88</v>
      </c>
      <c r="D323" t="s">
        <v>4811</v>
      </c>
      <c r="E323" t="s">
        <v>4776</v>
      </c>
      <c r="F323" t="s">
        <v>4859</v>
      </c>
      <c r="G323" s="5"/>
      <c r="H323" t="s">
        <v>204</v>
      </c>
      <c r="I323" s="1">
        <v>47847</v>
      </c>
      <c r="J323" s="16">
        <v>2421.8333333333335</v>
      </c>
    </row>
    <row r="324" spans="1:10" x14ac:dyDescent="0.3">
      <c r="A324" s="5" t="s">
        <v>650</v>
      </c>
      <c r="B324" s="5" t="s">
        <v>651</v>
      </c>
      <c r="C324" s="5" t="s">
        <v>46</v>
      </c>
      <c r="D324" t="s">
        <v>1040</v>
      </c>
      <c r="E324" t="s">
        <v>4779</v>
      </c>
      <c r="F324" t="s">
        <v>4856</v>
      </c>
      <c r="G324" s="5"/>
      <c r="H324" t="s">
        <v>204</v>
      </c>
      <c r="I324" s="1">
        <v>46173</v>
      </c>
      <c r="J324" s="16">
        <v>975</v>
      </c>
    </row>
    <row r="325" spans="1:10" x14ac:dyDescent="0.3">
      <c r="A325" s="5" t="s">
        <v>652</v>
      </c>
      <c r="B325" s="5" t="s">
        <v>653</v>
      </c>
      <c r="C325" s="5" t="s">
        <v>14</v>
      </c>
      <c r="D325" t="s">
        <v>1037</v>
      </c>
      <c r="E325" t="s">
        <v>4794</v>
      </c>
      <c r="F325" t="s">
        <v>4852</v>
      </c>
      <c r="G325" s="5" t="s">
        <v>807</v>
      </c>
      <c r="H325" t="s">
        <v>204</v>
      </c>
      <c r="I325" s="1">
        <v>46583</v>
      </c>
      <c r="J325" s="16">
        <v>54222.743888888886</v>
      </c>
    </row>
    <row r="326" spans="1:10" x14ac:dyDescent="0.3">
      <c r="A326" s="5" t="s">
        <v>654</v>
      </c>
      <c r="B326" s="5" t="s">
        <v>535</v>
      </c>
      <c r="C326" s="5" t="s">
        <v>148</v>
      </c>
      <c r="D326" t="s">
        <v>1040</v>
      </c>
      <c r="E326" t="s">
        <v>4779</v>
      </c>
      <c r="F326" t="s">
        <v>4856</v>
      </c>
      <c r="G326" s="5" t="s">
        <v>807</v>
      </c>
      <c r="H326" t="s">
        <v>204</v>
      </c>
      <c r="I326" s="1">
        <v>46227</v>
      </c>
      <c r="J326" s="16">
        <v>3361.1111111111113</v>
      </c>
    </row>
    <row r="327" spans="1:10" x14ac:dyDescent="0.3">
      <c r="A327" s="5" t="s">
        <v>655</v>
      </c>
      <c r="B327" s="5" t="s">
        <v>656</v>
      </c>
      <c r="C327" s="5" t="s">
        <v>56</v>
      </c>
      <c r="D327" t="s">
        <v>1036</v>
      </c>
      <c r="E327" t="s">
        <v>4776</v>
      </c>
      <c r="F327" t="s">
        <v>4901</v>
      </c>
      <c r="G327" s="5" t="s">
        <v>807</v>
      </c>
      <c r="H327" t="s">
        <v>204</v>
      </c>
      <c r="I327" s="1">
        <v>46600</v>
      </c>
      <c r="J327" s="16">
        <v>2472.5161111111111</v>
      </c>
    </row>
    <row r="328" spans="1:10" x14ac:dyDescent="0.3">
      <c r="A328" s="5" t="s">
        <v>991</v>
      </c>
      <c r="B328" s="5" t="s">
        <v>656</v>
      </c>
      <c r="C328" s="5" t="s">
        <v>56</v>
      </c>
      <c r="D328" t="s">
        <v>1038</v>
      </c>
      <c r="E328" t="s">
        <v>4776</v>
      </c>
      <c r="F328" t="s">
        <v>4858</v>
      </c>
      <c r="G328" s="5" t="s">
        <v>807</v>
      </c>
      <c r="H328" t="s">
        <v>204</v>
      </c>
      <c r="I328" s="1">
        <v>46387</v>
      </c>
      <c r="J328" s="16">
        <v>0</v>
      </c>
    </row>
    <row r="329" spans="1:10" x14ac:dyDescent="0.3">
      <c r="A329" s="5" t="s">
        <v>657</v>
      </c>
      <c r="B329" s="5" t="s">
        <v>658</v>
      </c>
      <c r="C329" s="5" t="s">
        <v>192</v>
      </c>
      <c r="D329" t="s">
        <v>4834</v>
      </c>
      <c r="E329" t="s">
        <v>4776</v>
      </c>
      <c r="F329" t="s">
        <v>4901</v>
      </c>
      <c r="G329" s="5" t="s">
        <v>807</v>
      </c>
      <c r="H329" t="s">
        <v>204</v>
      </c>
      <c r="I329" s="1">
        <v>46218</v>
      </c>
      <c r="J329" s="16">
        <v>2627.7777777777778</v>
      </c>
    </row>
    <row r="330" spans="1:10" x14ac:dyDescent="0.3">
      <c r="A330" s="5" t="s">
        <v>659</v>
      </c>
      <c r="B330" s="5" t="s">
        <v>660</v>
      </c>
      <c r="C330" s="5" t="s">
        <v>96</v>
      </c>
      <c r="D330" t="s">
        <v>4902</v>
      </c>
      <c r="E330" t="s">
        <v>4776</v>
      </c>
      <c r="F330" t="s">
        <v>4852</v>
      </c>
      <c r="G330" s="5" t="s">
        <v>807</v>
      </c>
      <c r="H330" t="s">
        <v>204</v>
      </c>
      <c r="I330" s="1">
        <v>46276</v>
      </c>
      <c r="J330" s="16">
        <v>5587.95</v>
      </c>
    </row>
    <row r="331" spans="1:10" x14ac:dyDescent="0.3">
      <c r="A331" s="5" t="s">
        <v>661</v>
      </c>
      <c r="B331" s="5" t="s">
        <v>660</v>
      </c>
      <c r="C331" s="5" t="s">
        <v>96</v>
      </c>
      <c r="D331" t="s">
        <v>4902</v>
      </c>
      <c r="E331" t="s">
        <v>4776</v>
      </c>
      <c r="F331" t="s">
        <v>4852</v>
      </c>
      <c r="G331" s="5" t="s">
        <v>807</v>
      </c>
      <c r="H331" t="s">
        <v>204</v>
      </c>
      <c r="I331" s="1">
        <v>46537</v>
      </c>
      <c r="J331" s="16">
        <v>13208.291666666668</v>
      </c>
    </row>
    <row r="332" spans="1:10" x14ac:dyDescent="0.3">
      <c r="A332" s="5" t="s">
        <v>995</v>
      </c>
      <c r="B332" s="5" t="s">
        <v>399</v>
      </c>
      <c r="C332" s="5" t="s">
        <v>97</v>
      </c>
      <c r="D332" t="s">
        <v>4902</v>
      </c>
      <c r="E332" t="s">
        <v>4776</v>
      </c>
      <c r="F332" t="s">
        <v>4852</v>
      </c>
      <c r="G332" s="5" t="s">
        <v>4773</v>
      </c>
      <c r="H332" t="s">
        <v>209</v>
      </c>
      <c r="I332" s="1">
        <v>46276</v>
      </c>
      <c r="J332" s="16">
        <v>0</v>
      </c>
    </row>
    <row r="333" spans="1:10" x14ac:dyDescent="0.3">
      <c r="A333" s="5" t="s">
        <v>662</v>
      </c>
      <c r="B333" s="5" t="s">
        <v>451</v>
      </c>
      <c r="C333" s="5" t="s">
        <v>129</v>
      </c>
      <c r="D333" t="s">
        <v>4833</v>
      </c>
      <c r="E333" t="s">
        <v>4802</v>
      </c>
      <c r="F333" t="s">
        <v>4852</v>
      </c>
      <c r="G333" s="5" t="s">
        <v>807</v>
      </c>
      <c r="H333" t="s">
        <v>204</v>
      </c>
      <c r="I333" s="1">
        <v>46655</v>
      </c>
      <c r="J333" s="16">
        <v>2431.9661111111109</v>
      </c>
    </row>
    <row r="334" spans="1:10" x14ac:dyDescent="0.3">
      <c r="A334" s="5" t="s">
        <v>663</v>
      </c>
      <c r="B334" s="5" t="s">
        <v>664</v>
      </c>
      <c r="C334" s="5" t="s">
        <v>83</v>
      </c>
      <c r="D334" t="s">
        <v>1037</v>
      </c>
      <c r="E334" t="s">
        <v>850</v>
      </c>
      <c r="F334" t="s">
        <v>4852</v>
      </c>
      <c r="G334" s="5" t="s">
        <v>807</v>
      </c>
      <c r="H334" t="s">
        <v>204</v>
      </c>
      <c r="I334" s="1">
        <v>46660</v>
      </c>
      <c r="J334" s="16">
        <v>33159.01222222222</v>
      </c>
    </row>
    <row r="335" spans="1:10" x14ac:dyDescent="0.3">
      <c r="A335" s="5" t="s">
        <v>665</v>
      </c>
      <c r="B335" s="5" t="s">
        <v>666</v>
      </c>
      <c r="C335" s="5" t="s">
        <v>66</v>
      </c>
      <c r="D335" t="s">
        <v>1033</v>
      </c>
      <c r="E335" t="s">
        <v>4776</v>
      </c>
      <c r="F335" t="s">
        <v>4852</v>
      </c>
      <c r="G335" s="5" t="s">
        <v>807</v>
      </c>
      <c r="H335" t="s">
        <v>204</v>
      </c>
      <c r="I335" s="1">
        <v>46296</v>
      </c>
      <c r="J335" s="16">
        <v>477.75833333333333</v>
      </c>
    </row>
    <row r="336" spans="1:10" x14ac:dyDescent="0.3">
      <c r="A336" s="5" t="s">
        <v>667</v>
      </c>
      <c r="B336" s="5" t="s">
        <v>668</v>
      </c>
      <c r="C336" s="5" t="s">
        <v>84</v>
      </c>
      <c r="D336" t="s">
        <v>1037</v>
      </c>
      <c r="E336" t="s">
        <v>4799</v>
      </c>
      <c r="F336" t="s">
        <v>4852</v>
      </c>
      <c r="G336" s="5" t="s">
        <v>807</v>
      </c>
      <c r="H336" t="s">
        <v>204</v>
      </c>
      <c r="I336" s="1">
        <v>46676</v>
      </c>
      <c r="J336" s="16">
        <v>66396.071111111116</v>
      </c>
    </row>
    <row r="337" spans="1:10" x14ac:dyDescent="0.3">
      <c r="A337" s="5" t="s">
        <v>669</v>
      </c>
      <c r="B337" s="5" t="s">
        <v>668</v>
      </c>
      <c r="C337" s="5" t="s">
        <v>84</v>
      </c>
      <c r="D337" t="s">
        <v>1037</v>
      </c>
      <c r="E337" t="s">
        <v>4799</v>
      </c>
      <c r="F337" t="s">
        <v>4852</v>
      </c>
      <c r="G337" s="5" t="s">
        <v>807</v>
      </c>
      <c r="H337" t="s">
        <v>204</v>
      </c>
      <c r="I337" s="1">
        <v>46326</v>
      </c>
      <c r="J337" s="16">
        <v>8015.2761111111113</v>
      </c>
    </row>
    <row r="338" spans="1:10" x14ac:dyDescent="0.3">
      <c r="A338" s="5" t="s">
        <v>670</v>
      </c>
      <c r="B338" s="5" t="s">
        <v>668</v>
      </c>
      <c r="C338" s="5" t="s">
        <v>84</v>
      </c>
      <c r="D338" t="s">
        <v>1037</v>
      </c>
      <c r="E338" t="s">
        <v>4799</v>
      </c>
      <c r="F338" t="s">
        <v>4852</v>
      </c>
      <c r="G338" s="5" t="s">
        <v>807</v>
      </c>
      <c r="H338" t="s">
        <v>204</v>
      </c>
      <c r="I338" s="1">
        <v>46677</v>
      </c>
      <c r="J338" s="16">
        <v>25715.111111111109</v>
      </c>
    </row>
    <row r="339" spans="1:10" x14ac:dyDescent="0.3">
      <c r="A339" s="5" t="s">
        <v>671</v>
      </c>
      <c r="B339" s="5" t="s">
        <v>668</v>
      </c>
      <c r="C339" s="5" t="s">
        <v>84</v>
      </c>
      <c r="D339" t="s">
        <v>1037</v>
      </c>
      <c r="E339" t="s">
        <v>4799</v>
      </c>
      <c r="F339" t="s">
        <v>4852</v>
      </c>
      <c r="G339" s="5" t="s">
        <v>807</v>
      </c>
      <c r="H339" t="s">
        <v>204</v>
      </c>
      <c r="I339" s="1">
        <v>46324</v>
      </c>
      <c r="J339" s="16">
        <v>80840.611111111109</v>
      </c>
    </row>
    <row r="340" spans="1:10" x14ac:dyDescent="0.3">
      <c r="A340" s="5" t="s">
        <v>672</v>
      </c>
      <c r="B340" s="5" t="s">
        <v>673</v>
      </c>
      <c r="C340" s="5" t="s">
        <v>90</v>
      </c>
      <c r="D340" t="s">
        <v>4905</v>
      </c>
      <c r="E340" t="s">
        <v>4776</v>
      </c>
      <c r="F340" t="s">
        <v>4855</v>
      </c>
      <c r="G340" s="5" t="s">
        <v>807</v>
      </c>
      <c r="H340" t="s">
        <v>204</v>
      </c>
      <c r="I340" s="1">
        <v>46337</v>
      </c>
      <c r="J340" s="16">
        <v>5459.83</v>
      </c>
    </row>
    <row r="341" spans="1:10" x14ac:dyDescent="0.3">
      <c r="A341" s="5" t="s">
        <v>674</v>
      </c>
      <c r="B341" s="5" t="s">
        <v>675</v>
      </c>
      <c r="C341" s="5" t="s">
        <v>177</v>
      </c>
      <c r="D341" t="s">
        <v>1037</v>
      </c>
      <c r="E341" t="s">
        <v>4776</v>
      </c>
      <c r="F341" t="s">
        <v>4852</v>
      </c>
      <c r="G341" s="5" t="s">
        <v>807</v>
      </c>
      <c r="H341" t="s">
        <v>204</v>
      </c>
      <c r="I341" s="1">
        <v>46356</v>
      </c>
      <c r="J341" s="16">
        <v>40.833333333333336</v>
      </c>
    </row>
    <row r="342" spans="1:10" x14ac:dyDescent="0.3">
      <c r="A342" s="5" t="s">
        <v>676</v>
      </c>
      <c r="B342" s="5" t="s">
        <v>675</v>
      </c>
      <c r="C342" s="5" t="s">
        <v>177</v>
      </c>
      <c r="D342" t="s">
        <v>1037</v>
      </c>
      <c r="E342" t="s">
        <v>4776</v>
      </c>
      <c r="F342" t="s">
        <v>4852</v>
      </c>
      <c r="G342" s="5" t="s">
        <v>807</v>
      </c>
      <c r="H342" t="s">
        <v>204</v>
      </c>
      <c r="I342" s="1">
        <v>46356</v>
      </c>
      <c r="J342" s="16">
        <v>183.88888888888889</v>
      </c>
    </row>
    <row r="343" spans="1:10" x14ac:dyDescent="0.3">
      <c r="A343" s="5" t="s">
        <v>677</v>
      </c>
      <c r="B343" s="5" t="s">
        <v>678</v>
      </c>
      <c r="C343" s="5" t="s">
        <v>181</v>
      </c>
      <c r="D343" t="s">
        <v>1037</v>
      </c>
      <c r="E343" t="s">
        <v>4794</v>
      </c>
      <c r="F343" t="s">
        <v>4852</v>
      </c>
      <c r="G343" s="5" t="s">
        <v>807</v>
      </c>
      <c r="H343" t="s">
        <v>204</v>
      </c>
      <c r="I343" s="1">
        <v>46387</v>
      </c>
      <c r="J343" s="16">
        <v>14541.34888888889</v>
      </c>
    </row>
    <row r="344" spans="1:10" x14ac:dyDescent="0.3">
      <c r="A344" s="5" t="s">
        <v>679</v>
      </c>
      <c r="B344" s="5" t="s">
        <v>680</v>
      </c>
      <c r="C344" s="5" t="s">
        <v>86</v>
      </c>
      <c r="D344" t="s">
        <v>4833</v>
      </c>
      <c r="E344" t="s">
        <v>4800</v>
      </c>
      <c r="F344" t="s">
        <v>4852</v>
      </c>
      <c r="G344" s="5" t="s">
        <v>807</v>
      </c>
      <c r="H344" t="s">
        <v>204</v>
      </c>
      <c r="I344" s="1">
        <v>47118</v>
      </c>
      <c r="J344" s="16">
        <v>46572.089444444449</v>
      </c>
    </row>
    <row r="345" spans="1:10" x14ac:dyDescent="0.3">
      <c r="A345" s="5" t="s">
        <v>681</v>
      </c>
      <c r="B345" s="5" t="s">
        <v>535</v>
      </c>
      <c r="C345" s="5" t="s">
        <v>148</v>
      </c>
      <c r="D345" t="s">
        <v>4844</v>
      </c>
      <c r="E345" t="s">
        <v>4779</v>
      </c>
      <c r="F345" t="s">
        <v>4845</v>
      </c>
      <c r="G345" s="5" t="s">
        <v>807</v>
      </c>
      <c r="H345" t="s">
        <v>204</v>
      </c>
      <c r="I345" s="1">
        <v>46295</v>
      </c>
      <c r="J345" s="16">
        <v>2600</v>
      </c>
    </row>
    <row r="346" spans="1:10" x14ac:dyDescent="0.3">
      <c r="A346" s="5" t="s">
        <v>682</v>
      </c>
      <c r="B346" s="5" t="s">
        <v>603</v>
      </c>
      <c r="C346" s="5" t="s">
        <v>69</v>
      </c>
      <c r="D346" t="s">
        <v>4834</v>
      </c>
      <c r="E346" t="s">
        <v>952</v>
      </c>
      <c r="F346" t="s">
        <v>4901</v>
      </c>
      <c r="G346" s="5" t="s">
        <v>807</v>
      </c>
      <c r="H346" t="s">
        <v>204</v>
      </c>
      <c r="I346" s="1">
        <v>46276</v>
      </c>
      <c r="J346" s="16">
        <v>670.4666666666667</v>
      </c>
    </row>
    <row r="347" spans="1:10" x14ac:dyDescent="0.3">
      <c r="A347" s="5" t="s">
        <v>683</v>
      </c>
      <c r="B347" s="5" t="s">
        <v>592</v>
      </c>
      <c r="C347" s="5" t="s">
        <v>8</v>
      </c>
      <c r="D347" t="s">
        <v>4833</v>
      </c>
      <c r="E347" t="s">
        <v>950</v>
      </c>
      <c r="F347" t="s">
        <v>4852</v>
      </c>
      <c r="G347" s="5" t="s">
        <v>807</v>
      </c>
      <c r="H347" t="s">
        <v>204</v>
      </c>
      <c r="I347" s="1">
        <v>46387</v>
      </c>
      <c r="J347" s="16">
        <v>666.34666666666669</v>
      </c>
    </row>
    <row r="348" spans="1:10" x14ac:dyDescent="0.3">
      <c r="A348" s="5" t="s">
        <v>684</v>
      </c>
      <c r="B348" s="5" t="s">
        <v>417</v>
      </c>
      <c r="C348" s="5" t="s">
        <v>185</v>
      </c>
      <c r="D348" t="s">
        <v>1037</v>
      </c>
      <c r="E348" t="s">
        <v>4810</v>
      </c>
      <c r="F348" t="s">
        <v>4852</v>
      </c>
      <c r="G348" s="5" t="s">
        <v>807</v>
      </c>
      <c r="H348" t="s">
        <v>204</v>
      </c>
      <c r="I348" s="1">
        <v>55243</v>
      </c>
      <c r="J348" s="16">
        <v>459.2572222222222</v>
      </c>
    </row>
    <row r="349" spans="1:10" x14ac:dyDescent="0.3">
      <c r="A349" s="5" t="s">
        <v>685</v>
      </c>
      <c r="B349" s="5" t="s">
        <v>686</v>
      </c>
      <c r="C349" s="5" t="s">
        <v>116</v>
      </c>
      <c r="D349" t="s">
        <v>1037</v>
      </c>
      <c r="E349" t="s">
        <v>4801</v>
      </c>
      <c r="F349" t="s">
        <v>4852</v>
      </c>
      <c r="G349" s="5" t="s">
        <v>807</v>
      </c>
      <c r="H349" t="s">
        <v>204</v>
      </c>
      <c r="I349" s="1">
        <v>46418</v>
      </c>
      <c r="J349" s="16">
        <v>505.55555555555554</v>
      </c>
    </row>
    <row r="350" spans="1:10" x14ac:dyDescent="0.3">
      <c r="A350" s="5" t="s">
        <v>687</v>
      </c>
      <c r="B350" s="5" t="s">
        <v>688</v>
      </c>
      <c r="C350" s="5" t="s">
        <v>3</v>
      </c>
      <c r="D350" t="s">
        <v>4833</v>
      </c>
      <c r="E350" t="s">
        <v>4860</v>
      </c>
      <c r="F350" t="s">
        <v>4852</v>
      </c>
      <c r="G350" s="5" t="s">
        <v>807</v>
      </c>
      <c r="H350" t="s">
        <v>204</v>
      </c>
      <c r="I350" s="1">
        <v>46418</v>
      </c>
      <c r="J350" s="16">
        <v>4944.333333333333</v>
      </c>
    </row>
    <row r="351" spans="1:10" x14ac:dyDescent="0.3">
      <c r="A351" s="5" t="s">
        <v>689</v>
      </c>
      <c r="B351" s="5" t="s">
        <v>690</v>
      </c>
      <c r="C351" s="5" t="s">
        <v>65</v>
      </c>
      <c r="D351" t="s">
        <v>1042</v>
      </c>
      <c r="E351" t="s">
        <v>1006</v>
      </c>
      <c r="F351" t="s">
        <v>4852</v>
      </c>
      <c r="G351" s="5" t="s">
        <v>807</v>
      </c>
      <c r="H351" t="s">
        <v>204</v>
      </c>
      <c r="I351" s="1">
        <v>46423</v>
      </c>
      <c r="J351" s="16">
        <v>151.66666666666666</v>
      </c>
    </row>
    <row r="352" spans="1:10" x14ac:dyDescent="0.3">
      <c r="A352" s="5" t="s">
        <v>691</v>
      </c>
      <c r="B352" s="5" t="s">
        <v>692</v>
      </c>
      <c r="C352" s="5" t="s">
        <v>119</v>
      </c>
      <c r="D352" t="s">
        <v>4833</v>
      </c>
      <c r="E352" t="s">
        <v>1007</v>
      </c>
      <c r="F352" t="s">
        <v>4852</v>
      </c>
      <c r="G352" s="5" t="s">
        <v>807</v>
      </c>
      <c r="H352" t="s">
        <v>204</v>
      </c>
      <c r="I352" s="1">
        <v>46434</v>
      </c>
      <c r="J352" s="16">
        <v>23.766666666666666</v>
      </c>
    </row>
    <row r="353" spans="1:10" x14ac:dyDescent="0.3">
      <c r="A353" s="5" t="s">
        <v>693</v>
      </c>
      <c r="B353" s="5" t="s">
        <v>694</v>
      </c>
      <c r="C353" s="5" t="s">
        <v>157</v>
      </c>
      <c r="D353" t="s">
        <v>4845</v>
      </c>
      <c r="E353" t="s">
        <v>1009</v>
      </c>
      <c r="F353" t="s">
        <v>4845</v>
      </c>
      <c r="G353" s="5" t="s">
        <v>807</v>
      </c>
      <c r="H353" t="s">
        <v>204</v>
      </c>
      <c r="I353" s="1">
        <v>46443</v>
      </c>
      <c r="J353" s="16">
        <v>1315.5555555555557</v>
      </c>
    </row>
    <row r="354" spans="1:10" x14ac:dyDescent="0.3">
      <c r="A354" s="5" t="s">
        <v>1011</v>
      </c>
      <c r="B354" s="5" t="s">
        <v>1013</v>
      </c>
      <c r="C354" s="5" t="s">
        <v>1014</v>
      </c>
      <c r="D354" t="s">
        <v>4844</v>
      </c>
      <c r="E354" t="s">
        <v>1012</v>
      </c>
      <c r="F354" t="s">
        <v>4845</v>
      </c>
      <c r="G354" s="5" t="s">
        <v>807</v>
      </c>
      <c r="H354" t="s">
        <v>204</v>
      </c>
      <c r="I354" s="1">
        <v>46407</v>
      </c>
      <c r="J354" s="16">
        <v>561.86500000000001</v>
      </c>
    </row>
    <row r="355" spans="1:10" x14ac:dyDescent="0.3">
      <c r="A355" s="5" t="s">
        <v>695</v>
      </c>
      <c r="B355" s="5" t="s">
        <v>696</v>
      </c>
      <c r="C355" s="5" t="s">
        <v>108</v>
      </c>
      <c r="D355" t="s">
        <v>1037</v>
      </c>
      <c r="E355" t="s">
        <v>4806</v>
      </c>
      <c r="F355" t="s">
        <v>4852</v>
      </c>
      <c r="G355" s="5" t="s">
        <v>4772</v>
      </c>
      <c r="H355" t="s">
        <v>204</v>
      </c>
      <c r="I355" s="1">
        <v>46535</v>
      </c>
      <c r="J355" s="16">
        <v>703.38</v>
      </c>
    </row>
    <row r="356" spans="1:10" x14ac:dyDescent="0.3">
      <c r="A356" s="5" t="s">
        <v>697</v>
      </c>
      <c r="B356" s="5" t="s">
        <v>698</v>
      </c>
      <c r="C356" s="5" t="s">
        <v>67</v>
      </c>
      <c r="D356" t="s">
        <v>1042</v>
      </c>
      <c r="E356" t="s">
        <v>1006</v>
      </c>
      <c r="F356" t="s">
        <v>4852</v>
      </c>
      <c r="G356" s="5" t="s">
        <v>807</v>
      </c>
      <c r="H356" t="s">
        <v>204</v>
      </c>
      <c r="I356" s="1">
        <v>46477</v>
      </c>
      <c r="J356" s="16">
        <v>1053.4350000000002</v>
      </c>
    </row>
    <row r="357" spans="1:10" x14ac:dyDescent="0.3">
      <c r="A357" s="5" t="s">
        <v>699</v>
      </c>
      <c r="B357" s="5" t="s">
        <v>433</v>
      </c>
      <c r="C357" s="5" t="s">
        <v>168</v>
      </c>
      <c r="D357" t="s">
        <v>4833</v>
      </c>
      <c r="E357" t="s">
        <v>4802</v>
      </c>
      <c r="F357" t="s">
        <v>4852</v>
      </c>
      <c r="G357" s="5" t="s">
        <v>807</v>
      </c>
      <c r="H357" t="s">
        <v>204</v>
      </c>
      <c r="I357" s="1">
        <v>46477</v>
      </c>
      <c r="J357" s="16">
        <v>72.671111111111102</v>
      </c>
    </row>
    <row r="358" spans="1:10" x14ac:dyDescent="0.3">
      <c r="A358" s="5" t="s">
        <v>1016</v>
      </c>
      <c r="B358" s="5" t="s">
        <v>1017</v>
      </c>
      <c r="C358" s="5" t="s">
        <v>1018</v>
      </c>
      <c r="D358" t="s">
        <v>1037</v>
      </c>
      <c r="E358" t="s">
        <v>4776</v>
      </c>
      <c r="F358" t="s">
        <v>4852</v>
      </c>
      <c r="G358" s="5" t="s">
        <v>807</v>
      </c>
      <c r="H358" t="s">
        <v>204</v>
      </c>
      <c r="I358" s="1">
        <v>46567</v>
      </c>
      <c r="J358" s="16">
        <v>1370.0488888888888</v>
      </c>
    </row>
    <row r="359" spans="1:10" x14ac:dyDescent="0.3">
      <c r="A359" s="5" t="s">
        <v>1021</v>
      </c>
      <c r="B359" s="5" t="s">
        <v>1023</v>
      </c>
      <c r="C359" s="5" t="s">
        <v>1024</v>
      </c>
      <c r="D359" t="s">
        <v>1037</v>
      </c>
      <c r="E359" t="s">
        <v>4789</v>
      </c>
      <c r="F359" t="s">
        <v>4852</v>
      </c>
      <c r="G359" s="5" t="s">
        <v>807</v>
      </c>
      <c r="H359" t="s">
        <v>204</v>
      </c>
      <c r="I359" s="1">
        <v>46507</v>
      </c>
      <c r="J359" s="16">
        <v>1893.9655555555555</v>
      </c>
    </row>
    <row r="360" spans="1:10" x14ac:dyDescent="0.3">
      <c r="A360" s="5" t="s">
        <v>1026</v>
      </c>
      <c r="B360" s="5" t="s">
        <v>1028</v>
      </c>
      <c r="C360" s="5" t="s">
        <v>1029</v>
      </c>
      <c r="D360" t="s">
        <v>4834</v>
      </c>
      <c r="E360" t="s">
        <v>4809</v>
      </c>
      <c r="F360" t="s">
        <v>4901</v>
      </c>
      <c r="G360" s="5" t="s">
        <v>807</v>
      </c>
      <c r="H360" t="s">
        <v>204</v>
      </c>
      <c r="I360" s="1">
        <v>46507</v>
      </c>
      <c r="J360" s="16">
        <v>438.33333333333331</v>
      </c>
    </row>
    <row r="361" spans="1:10" x14ac:dyDescent="0.3">
      <c r="A361" s="5" t="s">
        <v>1030</v>
      </c>
      <c r="B361" s="5" t="s">
        <v>1031</v>
      </c>
      <c r="C361" s="5" t="s">
        <v>1032</v>
      </c>
      <c r="D361" t="s">
        <v>1038</v>
      </c>
      <c r="E361" t="s">
        <v>4809</v>
      </c>
      <c r="F361" t="s">
        <v>4858</v>
      </c>
      <c r="G361" s="5" t="s">
        <v>807</v>
      </c>
      <c r="H361" t="s">
        <v>204</v>
      </c>
      <c r="I361" s="1">
        <v>46537</v>
      </c>
      <c r="J361" s="16">
        <v>570</v>
      </c>
    </row>
    <row r="362" spans="1:10" x14ac:dyDescent="0.3">
      <c r="A362" s="5" t="s">
        <v>4459</v>
      </c>
      <c r="B362" s="5" t="s">
        <v>435</v>
      </c>
      <c r="C362" s="5" t="s">
        <v>30</v>
      </c>
      <c r="D362" t="s">
        <v>1036</v>
      </c>
      <c r="E362" t="s">
        <v>4787</v>
      </c>
      <c r="F362" t="s">
        <v>4901</v>
      </c>
      <c r="G362" s="5" t="s">
        <v>807</v>
      </c>
      <c r="H362" t="s">
        <v>204</v>
      </c>
      <c r="I362" s="1">
        <v>46752</v>
      </c>
      <c r="J362" s="16">
        <v>10777.314444444444</v>
      </c>
    </row>
    <row r="363" spans="1:10" x14ac:dyDescent="0.3">
      <c r="A363" s="5" t="s">
        <v>4461</v>
      </c>
      <c r="B363" s="5" t="s">
        <v>435</v>
      </c>
      <c r="C363" s="5" t="s">
        <v>30</v>
      </c>
      <c r="D363" t="s">
        <v>1040</v>
      </c>
      <c r="E363" t="s">
        <v>4787</v>
      </c>
      <c r="F363" t="s">
        <v>4856</v>
      </c>
      <c r="G363" s="7" t="s">
        <v>807</v>
      </c>
      <c r="H363" t="s">
        <v>204</v>
      </c>
      <c r="I363" s="1">
        <v>46752</v>
      </c>
      <c r="J363" s="16">
        <v>3908.8322222222218</v>
      </c>
    </row>
  </sheetData>
  <phoneticPr fontId="2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F909-0D30-49BD-970A-607945350246}">
  <dimension ref="B3:G17"/>
  <sheetViews>
    <sheetView showGridLines="0" workbookViewId="0">
      <selection activeCell="E16" sqref="E16"/>
    </sheetView>
  </sheetViews>
  <sheetFormatPr defaultRowHeight="14.4" x14ac:dyDescent="0.3"/>
  <cols>
    <col min="2" max="2" width="11.21875" bestFit="1" customWidth="1"/>
    <col min="3" max="3" width="17.6640625" customWidth="1"/>
    <col min="4" max="4" width="11.21875" bestFit="1" customWidth="1"/>
    <col min="5" max="5" width="17.6640625" customWidth="1"/>
    <col min="6" max="6" width="11.21875" bestFit="1" customWidth="1"/>
    <col min="7" max="7" width="17.6640625" customWidth="1"/>
  </cols>
  <sheetData>
    <row r="3" spans="2:7" s="15" customFormat="1" ht="28.8" x14ac:dyDescent="0.55000000000000004">
      <c r="B3" s="21">
        <v>46023</v>
      </c>
      <c r="C3" s="23"/>
      <c r="D3" s="21">
        <f>EOMONTH(B3,0)+1</f>
        <v>46054</v>
      </c>
      <c r="E3" s="22"/>
      <c r="F3" s="21">
        <f>EOMONTH(D3,0)+1</f>
        <v>46082</v>
      </c>
      <c r="G3" s="22"/>
    </row>
    <row r="4" spans="2:7" x14ac:dyDescent="0.3">
      <c r="B4" s="14" t="s">
        <v>4930</v>
      </c>
      <c r="C4" s="14" t="s">
        <v>4931</v>
      </c>
      <c r="D4" s="14" t="s">
        <v>4930</v>
      </c>
      <c r="E4" s="14" t="s">
        <v>4931</v>
      </c>
      <c r="F4" s="14" t="s">
        <v>4930</v>
      </c>
      <c r="G4" s="14" t="s">
        <v>4931</v>
      </c>
    </row>
    <row r="5" spans="2:7" ht="33.6" customHeight="1" x14ac:dyDescent="0.3">
      <c r="B5" s="17" cm="1">
        <f t="array" ref="B5">_xlfn.LET(_xlpm.data,COMPL[vencimento],SUM((MONTH(_xlpm.data)=MONTH(B3))*1))</f>
        <v>11</v>
      </c>
      <c r="C5" s="18" cm="1">
        <f t="array" ref="C5">_xlfn.LET(_xlpm.data,COMPL[vencimento],_xlpm.VLR,COMPL[vlr médio],SUM((MONTH(_xlpm.data)=MONTH(B3))*1*_xlpm.VLR))</f>
        <v>539564.49222222215</v>
      </c>
      <c r="D5" s="17" cm="1">
        <f t="array" ref="D5">_xlfn.LET(_xlpm.data,COMPL[vencimento],SUM((MONTH(_xlpm.data)=MONTH(D3))*1))</f>
        <v>13</v>
      </c>
      <c r="E5" s="18" cm="1">
        <f t="array" ref="E5">_xlfn.LET(_xlpm.data,COMPL[vencimento],_xlpm.VLR,COMPL[vlr médio],SUM((MONTH(_xlpm.data)=MONTH(D3))*1*_xlpm.VLR))</f>
        <v>142385.9788888889</v>
      </c>
      <c r="F5" s="17" cm="1">
        <f t="array" ref="F5">_xlfn.LET(_xlpm.data,COMPL[vencimento],SUM((MONTH(_xlpm.data)=MONTH(F3))*1))</f>
        <v>167</v>
      </c>
      <c r="G5" s="18" cm="1">
        <f t="array" ref="G5">_xlfn.LET(_xlpm.data,COMPL[vencimento],_xlpm.VLR,COMPL[vlr médio],SUM((MONTH(_xlpm.data)=MONTH(F3))*1*_xlpm.VLR))</f>
        <v>501594.6994444445</v>
      </c>
    </row>
    <row r="6" spans="2:7" s="15" customFormat="1" ht="28.8" x14ac:dyDescent="0.55000000000000004">
      <c r="B6" s="21">
        <f>EOMONTH(F3,0)+1</f>
        <v>46113</v>
      </c>
      <c r="C6" s="22"/>
      <c r="D6" s="21">
        <f t="shared" ref="D6" si="0">EOMONTH(B6,0)+1</f>
        <v>46143</v>
      </c>
      <c r="E6" s="22"/>
      <c r="F6" s="21">
        <f t="shared" ref="F6" si="1">EOMONTH(D6,0)+1</f>
        <v>46174</v>
      </c>
      <c r="G6" s="22"/>
    </row>
    <row r="7" spans="2:7" x14ac:dyDescent="0.3">
      <c r="B7" s="14" t="s">
        <v>4930</v>
      </c>
      <c r="C7" s="14" t="s">
        <v>4931</v>
      </c>
      <c r="D7" s="14" t="s">
        <v>4930</v>
      </c>
      <c r="E7" s="14" t="s">
        <v>4931</v>
      </c>
      <c r="F7" s="14" t="s">
        <v>4930</v>
      </c>
      <c r="G7" s="14" t="s">
        <v>4931</v>
      </c>
    </row>
    <row r="8" spans="2:7" ht="33.6" customHeight="1" x14ac:dyDescent="0.3">
      <c r="B8" s="17" cm="1">
        <f t="array" ref="B8">_xlfn.LET(_xlpm.data,COMPL[vencimento],SUM((MONTH(_xlpm.data)=MONTH(B6))*1))</f>
        <v>10</v>
      </c>
      <c r="C8" s="18" cm="1">
        <f t="array" ref="C8">_xlfn.LET(_xlpm.data,COMPL[vencimento],_xlpm.VLR,COMPL[vlr médio],SUM((MONTH(_xlpm.data)=MONTH(B6))*1*_xlpm.VLR))</f>
        <v>76323.158333333311</v>
      </c>
      <c r="D8" s="17" cm="1">
        <f t="array" ref="D8">_xlfn.LET(_xlpm.data,COMPL[vencimento],SUM((MONTH(_xlpm.data)=MONTH(D6))*1))</f>
        <v>16</v>
      </c>
      <c r="E8" s="18" cm="1">
        <f t="array" ref="E8">_xlfn.LET(_xlpm.data,COMPL[vencimento],_xlpm.VLR,COMPL[vlr médio],SUM((MONTH(_xlpm.data)=MONTH(D6))*1*_xlpm.VLR))</f>
        <v>334025.91611111106</v>
      </c>
      <c r="F8" s="17" cm="1">
        <f t="array" ref="F8">_xlfn.LET(_xlpm.data,COMPL[vencimento],SUM((MONTH(_xlpm.data)=MONTH(F6))*1))</f>
        <v>17</v>
      </c>
      <c r="G8" s="18" cm="1">
        <f t="array" ref="G8">_xlfn.LET(_xlpm.data,COMPL[vencimento],_xlpm.VLR,COMPL[vlr médio],SUM((MONTH(_xlpm.data)=MONTH(F6))*1*_xlpm.VLR))</f>
        <v>150425.72111111128</v>
      </c>
    </row>
    <row r="9" spans="2:7" s="15" customFormat="1" ht="28.8" x14ac:dyDescent="0.55000000000000004">
      <c r="B9" s="21">
        <f t="shared" ref="B9" si="2">EOMONTH(F6,0)+1</f>
        <v>46204</v>
      </c>
      <c r="C9" s="22"/>
      <c r="D9" s="21">
        <f t="shared" ref="D9" si="3">EOMONTH(B9,0)+1</f>
        <v>46235</v>
      </c>
      <c r="E9" s="22"/>
      <c r="F9" s="21">
        <f t="shared" ref="F9" si="4">EOMONTH(D9,0)+1</f>
        <v>46266</v>
      </c>
      <c r="G9" s="22"/>
    </row>
    <row r="10" spans="2:7" x14ac:dyDescent="0.3">
      <c r="B10" s="14" t="s">
        <v>4930</v>
      </c>
      <c r="C10" s="14" t="s">
        <v>4931</v>
      </c>
      <c r="D10" s="14" t="s">
        <v>4930</v>
      </c>
      <c r="E10" s="14" t="s">
        <v>4931</v>
      </c>
      <c r="F10" s="14" t="s">
        <v>4930</v>
      </c>
      <c r="G10" s="14" t="s">
        <v>4931</v>
      </c>
    </row>
    <row r="11" spans="2:7" ht="33.6" customHeight="1" x14ac:dyDescent="0.3">
      <c r="B11" s="17" cm="1">
        <f t="array" ref="B11">_xlfn.LET(_xlpm.data,COMPL[vencimento],SUM((MONTH(_xlpm.data)=MONTH(B9))*1))</f>
        <v>27</v>
      </c>
      <c r="C11" s="18" cm="1">
        <f t="array" ref="C11">_xlfn.LET(_xlpm.data,COMPL[vencimento],_xlpm.VLR,COMPL[vlr médio],SUM((MONTH(_xlpm.data)=MONTH(B9))*1*_xlpm.VLR))</f>
        <v>640222.69000000006</v>
      </c>
      <c r="D11" s="17" cm="1">
        <f t="array" ref="D11">_xlfn.LET(_xlpm.data,COMPL[vencimento],SUM((MONTH(_xlpm.data)=MONTH(D9))*1))</f>
        <v>19</v>
      </c>
      <c r="E11" s="18" cm="1">
        <f t="array" ref="E11">_xlfn.LET(_xlpm.data,COMPL[vencimento],_xlpm.VLR,COMPL[vlr médio],SUM((MONTH(_xlpm.data)=MONTH(D9))*1*_xlpm.VLR))</f>
        <v>375042.69277777785</v>
      </c>
      <c r="F11" s="17" cm="1">
        <f t="array" ref="F11">_xlfn.LET(_xlpm.data,COMPL[vencimento],SUM((MONTH(_xlpm.data)=MONTH(F9))*1))</f>
        <v>20</v>
      </c>
      <c r="G11" s="18" cm="1">
        <f t="array" ref="G11">_xlfn.LET(_xlpm.data,COMPL[vencimento],_xlpm.VLR,COMPL[vlr médio],SUM((MONTH(_xlpm.data)=MONTH(F9))*1*_xlpm.VLR))</f>
        <v>389938.51888888888</v>
      </c>
    </row>
    <row r="12" spans="2:7" s="15" customFormat="1" ht="28.8" x14ac:dyDescent="0.55000000000000004">
      <c r="B12" s="21">
        <f t="shared" ref="B12" si="5">EOMONTH(F9,0)+1</f>
        <v>46296</v>
      </c>
      <c r="C12" s="22"/>
      <c r="D12" s="21">
        <f t="shared" ref="D12" si="6">EOMONTH(B12,0)+1</f>
        <v>46327</v>
      </c>
      <c r="E12" s="22"/>
      <c r="F12" s="21">
        <f t="shared" ref="F12" si="7">EOMONTH(D12,0)+1</f>
        <v>46357</v>
      </c>
      <c r="G12" s="22"/>
    </row>
    <row r="13" spans="2:7" x14ac:dyDescent="0.3">
      <c r="B13" s="14" t="s">
        <v>4930</v>
      </c>
      <c r="C13" s="14" t="s">
        <v>4931</v>
      </c>
      <c r="D13" s="14" t="s">
        <v>4930</v>
      </c>
      <c r="E13" s="14" t="s">
        <v>4931</v>
      </c>
      <c r="F13" s="14" t="s">
        <v>4930</v>
      </c>
      <c r="G13" s="14" t="s">
        <v>4931</v>
      </c>
    </row>
    <row r="14" spans="2:7" ht="33.6" customHeight="1" x14ac:dyDescent="0.3">
      <c r="B14" s="17" cm="1">
        <f t="array" ref="B14">_xlfn.LET(_xlpm.data,COMPL[vencimento],SUM((MONTH(_xlpm.data)=MONTH(B12))*1))</f>
        <v>15</v>
      </c>
      <c r="C14" s="18" cm="1">
        <f t="array" ref="C14">_xlfn.LET(_xlpm.data,COMPL[vencimento],_xlpm.VLR,COMPL[vlr médio],SUM((MONTH(_xlpm.data)=MONTH(B12))*1*_xlpm.VLR))</f>
        <v>272672.92555555556</v>
      </c>
      <c r="D14" s="17" cm="1">
        <f t="array" ref="D14">_xlfn.LET(_xlpm.data,COMPL[vencimento],SUM((MONTH(_xlpm.data)=MONTH(D12))*1))</f>
        <v>12</v>
      </c>
      <c r="E14" s="18" cm="1">
        <f t="array" ref="E14">_xlfn.LET(_xlpm.data,COMPL[vencimento],_xlpm.VLR,COMPL[vlr médio],SUM((MONTH(_xlpm.data)=MONTH(D12))*1*_xlpm.VLR))</f>
        <v>241620.86444444448</v>
      </c>
      <c r="F14" s="17" cm="1">
        <f t="array" ref="F14">_xlfn.LET(_xlpm.data,COMPL[vencimento],SUM((MONTH(_xlpm.data)=MONTH(F12))*1))</f>
        <v>33</v>
      </c>
      <c r="G14" s="18" cm="1">
        <f t="array" ref="G14">_xlfn.LET(_xlpm.data,COMPL[vencimento],_xlpm.VLR,COMPL[vlr médio],SUM((MONTH(_xlpm.data)=MONTH(F12))*1*_xlpm.VLR))</f>
        <v>754336.22499999986</v>
      </c>
    </row>
    <row r="16" spans="2:7" x14ac:dyDescent="0.3">
      <c r="B16" s="19" t="s">
        <v>4932</v>
      </c>
      <c r="C16" s="20"/>
    </row>
    <row r="17" spans="2:3" ht="23.4" x14ac:dyDescent="0.3">
      <c r="B17" s="17">
        <f>SUM(B5,D5,F5,B8,D8,F8,B11,D11,F11,B14,D14,F14)</f>
        <v>360</v>
      </c>
      <c r="C17" s="18">
        <f>SUM(C5,E5,G5,C8,E8,G8,C11,E11,G11,C14,E14,G14)</f>
        <v>4418153.8827777784</v>
      </c>
    </row>
  </sheetData>
  <mergeCells count="13">
    <mergeCell ref="B3:C3"/>
    <mergeCell ref="D3:E3"/>
    <mergeCell ref="F3:G3"/>
    <mergeCell ref="F6:G6"/>
    <mergeCell ref="D6:E6"/>
    <mergeCell ref="B6:C6"/>
    <mergeCell ref="B16:C16"/>
    <mergeCell ref="B9:C9"/>
    <mergeCell ref="D9:E9"/>
    <mergeCell ref="F9:G9"/>
    <mergeCell ref="B12:C12"/>
    <mergeCell ref="D12:E12"/>
    <mergeCell ref="F12:G1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9452-32F0-4BD4-B7FD-685F223985FD}">
  <dimension ref="A1:R4881"/>
  <sheetViews>
    <sheetView topLeftCell="J1" workbookViewId="0">
      <selection activeCell="L4857" sqref="L4857"/>
    </sheetView>
  </sheetViews>
  <sheetFormatPr defaultRowHeight="14.4" x14ac:dyDescent="0.3"/>
  <cols>
    <col min="1" max="1" width="12.21875" bestFit="1" customWidth="1"/>
    <col min="2" max="2" width="17.44140625" bestFit="1" customWidth="1"/>
    <col min="3" max="3" width="15.109375" bestFit="1" customWidth="1"/>
    <col min="4" max="4" width="37.88671875" bestFit="1" customWidth="1"/>
    <col min="5" max="5" width="12.33203125" bestFit="1" customWidth="1"/>
    <col min="6" max="6" width="13.88671875" bestFit="1" customWidth="1"/>
    <col min="7" max="7" width="18" bestFit="1" customWidth="1"/>
    <col min="8" max="8" width="10.44140625" bestFit="1" customWidth="1"/>
    <col min="9" max="9" width="19.109375" bestFit="1" customWidth="1"/>
    <col min="10" max="10" width="13" bestFit="1" customWidth="1"/>
    <col min="11" max="11" width="19.21875" bestFit="1" customWidth="1"/>
    <col min="12" max="12" width="28.21875" bestFit="1" customWidth="1"/>
    <col min="13" max="13" width="17.6640625" bestFit="1" customWidth="1"/>
    <col min="14" max="14" width="17.33203125" bestFit="1" customWidth="1"/>
    <col min="15" max="15" width="23.33203125" bestFit="1" customWidth="1"/>
    <col min="16" max="16" width="39.33203125" bestFit="1" customWidth="1"/>
    <col min="17" max="17" width="23.33203125" bestFit="1" customWidth="1"/>
    <col min="18" max="18" width="7.77734375" customWidth="1"/>
  </cols>
  <sheetData>
    <row r="1" spans="1:18" x14ac:dyDescent="0.3">
      <c r="A1" t="s">
        <v>4287</v>
      </c>
      <c r="B1" t="s">
        <v>4288</v>
      </c>
      <c r="C1" t="s">
        <v>701</v>
      </c>
      <c r="D1" t="s">
        <v>702</v>
      </c>
      <c r="E1" t="s">
        <v>4289</v>
      </c>
      <c r="F1" t="s">
        <v>4291</v>
      </c>
      <c r="G1" t="s">
        <v>4290</v>
      </c>
      <c r="H1" t="s">
        <v>200</v>
      </c>
      <c r="I1" t="s">
        <v>201</v>
      </c>
      <c r="J1" t="s">
        <v>4928</v>
      </c>
      <c r="K1" t="s">
        <v>705</v>
      </c>
      <c r="L1" t="s">
        <v>4292</v>
      </c>
      <c r="M1" t="s">
        <v>4293</v>
      </c>
      <c r="N1" t="s">
        <v>4873</v>
      </c>
      <c r="O1" t="s">
        <v>4767</v>
      </c>
      <c r="P1" t="s">
        <v>4768</v>
      </c>
      <c r="Q1" t="s">
        <v>4770</v>
      </c>
      <c r="R1" t="s">
        <v>4769</v>
      </c>
    </row>
    <row r="2" spans="1:18" x14ac:dyDescent="0.3">
      <c r="A2">
        <v>364</v>
      </c>
      <c r="B2" t="s">
        <v>1034</v>
      </c>
      <c r="C2" t="s">
        <v>479</v>
      </c>
      <c r="D2" t="s">
        <v>99</v>
      </c>
      <c r="E2" s="1">
        <v>46199</v>
      </c>
      <c r="F2" t="s">
        <v>4308</v>
      </c>
      <c r="G2" t="s">
        <v>4911</v>
      </c>
      <c r="H2" t="s">
        <v>478</v>
      </c>
      <c r="I2" t="s">
        <v>204</v>
      </c>
      <c r="J2" s="1">
        <v>46239</v>
      </c>
      <c r="K2" t="s">
        <v>717</v>
      </c>
      <c r="L2">
        <v>3063</v>
      </c>
      <c r="M2">
        <v>12129.48</v>
      </c>
      <c r="N2" t="s">
        <v>710</v>
      </c>
      <c r="O2" t="s">
        <v>1037</v>
      </c>
      <c r="P2" t="s">
        <v>4790</v>
      </c>
      <c r="Q2" t="s">
        <v>4852</v>
      </c>
      <c r="R2" t="s">
        <v>4772</v>
      </c>
    </row>
    <row r="3" spans="1:18" x14ac:dyDescent="0.3">
      <c r="A3">
        <v>364</v>
      </c>
      <c r="B3" t="s">
        <v>1034</v>
      </c>
      <c r="C3" t="s">
        <v>479</v>
      </c>
      <c r="D3" t="s">
        <v>99</v>
      </c>
      <c r="E3" s="1">
        <v>46199</v>
      </c>
      <c r="F3" t="s">
        <v>4329</v>
      </c>
      <c r="G3" t="s">
        <v>4911</v>
      </c>
      <c r="H3" t="s">
        <v>478</v>
      </c>
      <c r="I3" t="s">
        <v>204</v>
      </c>
      <c r="J3" s="1">
        <v>46239</v>
      </c>
      <c r="K3" t="s">
        <v>717</v>
      </c>
      <c r="L3">
        <v>55</v>
      </c>
      <c r="M3">
        <v>620.95000000000005</v>
      </c>
      <c r="N3" t="s">
        <v>710</v>
      </c>
      <c r="O3" t="s">
        <v>1037</v>
      </c>
      <c r="P3" t="s">
        <v>4790</v>
      </c>
      <c r="Q3" t="s">
        <v>4852</v>
      </c>
      <c r="R3" t="s">
        <v>4772</v>
      </c>
    </row>
    <row r="4" spans="1:18" x14ac:dyDescent="0.3">
      <c r="A4">
        <v>364</v>
      </c>
      <c r="B4" t="s">
        <v>1034</v>
      </c>
      <c r="C4" t="s">
        <v>479</v>
      </c>
      <c r="D4" t="s">
        <v>99</v>
      </c>
      <c r="E4" s="1">
        <v>46199</v>
      </c>
      <c r="F4" t="s">
        <v>4310</v>
      </c>
      <c r="G4" t="s">
        <v>4911</v>
      </c>
      <c r="H4" t="s">
        <v>478</v>
      </c>
      <c r="I4" t="s">
        <v>204</v>
      </c>
      <c r="J4" s="1">
        <v>46239</v>
      </c>
      <c r="K4" t="s">
        <v>717</v>
      </c>
      <c r="L4">
        <v>92</v>
      </c>
      <c r="M4">
        <v>326.60000000000002</v>
      </c>
      <c r="N4" t="s">
        <v>710</v>
      </c>
      <c r="O4" t="s">
        <v>1037</v>
      </c>
      <c r="P4" t="s">
        <v>4790</v>
      </c>
      <c r="Q4" t="s">
        <v>4852</v>
      </c>
      <c r="R4" t="s">
        <v>4772</v>
      </c>
    </row>
    <row r="5" spans="1:18" x14ac:dyDescent="0.3">
      <c r="A5">
        <v>364</v>
      </c>
      <c r="B5" t="s">
        <v>1034</v>
      </c>
      <c r="C5" t="s">
        <v>479</v>
      </c>
      <c r="D5" t="s">
        <v>99</v>
      </c>
      <c r="E5" s="1">
        <v>46199</v>
      </c>
      <c r="F5" t="s">
        <v>4356</v>
      </c>
      <c r="G5" t="s">
        <v>4911</v>
      </c>
      <c r="H5" t="s">
        <v>478</v>
      </c>
      <c r="I5" t="s">
        <v>204</v>
      </c>
      <c r="J5" s="1">
        <v>46239</v>
      </c>
      <c r="K5" t="s">
        <v>717</v>
      </c>
      <c r="L5">
        <v>151</v>
      </c>
      <c r="M5">
        <v>776.14</v>
      </c>
      <c r="N5" t="s">
        <v>710</v>
      </c>
      <c r="O5" t="s">
        <v>1037</v>
      </c>
      <c r="P5" t="s">
        <v>4790</v>
      </c>
      <c r="Q5" t="s">
        <v>4852</v>
      </c>
      <c r="R5" t="s">
        <v>4772</v>
      </c>
    </row>
    <row r="6" spans="1:18" x14ac:dyDescent="0.3">
      <c r="A6">
        <v>364</v>
      </c>
      <c r="B6" t="s">
        <v>1034</v>
      </c>
      <c r="C6" t="s">
        <v>479</v>
      </c>
      <c r="D6" t="s">
        <v>99</v>
      </c>
      <c r="E6" s="1">
        <v>46199</v>
      </c>
      <c r="F6" t="s">
        <v>4313</v>
      </c>
      <c r="G6" t="s">
        <v>4911</v>
      </c>
      <c r="H6" t="s">
        <v>478</v>
      </c>
      <c r="I6" t="s">
        <v>204</v>
      </c>
      <c r="J6" s="1">
        <v>46239</v>
      </c>
      <c r="K6" t="s">
        <v>717</v>
      </c>
      <c r="L6">
        <v>147</v>
      </c>
      <c r="M6">
        <v>784.98</v>
      </c>
      <c r="N6" t="s">
        <v>710</v>
      </c>
      <c r="O6" t="s">
        <v>1037</v>
      </c>
      <c r="P6" t="s">
        <v>4790</v>
      </c>
      <c r="Q6" t="s">
        <v>4852</v>
      </c>
      <c r="R6" t="s">
        <v>4772</v>
      </c>
    </row>
    <row r="7" spans="1:18" x14ac:dyDescent="0.3">
      <c r="A7">
        <v>364</v>
      </c>
      <c r="B7" t="s">
        <v>1034</v>
      </c>
      <c r="C7" t="s">
        <v>479</v>
      </c>
      <c r="D7" t="s">
        <v>99</v>
      </c>
      <c r="E7" s="1">
        <v>46199</v>
      </c>
      <c r="F7" t="s">
        <v>4372</v>
      </c>
      <c r="G7" t="s">
        <v>4911</v>
      </c>
      <c r="H7" t="s">
        <v>478</v>
      </c>
      <c r="I7" t="s">
        <v>204</v>
      </c>
      <c r="J7" s="1">
        <v>46239</v>
      </c>
      <c r="K7" t="s">
        <v>717</v>
      </c>
      <c r="L7">
        <v>283</v>
      </c>
      <c r="M7">
        <v>2411.16</v>
      </c>
      <c r="N7" t="s">
        <v>710</v>
      </c>
      <c r="O7" t="s">
        <v>1037</v>
      </c>
      <c r="P7" t="s">
        <v>4790</v>
      </c>
      <c r="Q7" t="s">
        <v>4852</v>
      </c>
      <c r="R7" t="s">
        <v>4772</v>
      </c>
    </row>
    <row r="8" spans="1:18" x14ac:dyDescent="0.3">
      <c r="A8">
        <v>364</v>
      </c>
      <c r="B8" t="s">
        <v>1034</v>
      </c>
      <c r="C8" t="s">
        <v>479</v>
      </c>
      <c r="D8" t="s">
        <v>99</v>
      </c>
      <c r="E8" s="1">
        <v>46199</v>
      </c>
      <c r="F8" t="s">
        <v>4307</v>
      </c>
      <c r="G8" t="s">
        <v>4911</v>
      </c>
      <c r="H8" t="s">
        <v>478</v>
      </c>
      <c r="I8" t="s">
        <v>204</v>
      </c>
      <c r="J8" s="1">
        <v>46239</v>
      </c>
      <c r="K8" t="s">
        <v>717</v>
      </c>
      <c r="L8">
        <v>149</v>
      </c>
      <c r="M8">
        <v>2455.52</v>
      </c>
      <c r="N8" t="s">
        <v>710</v>
      </c>
      <c r="O8" t="s">
        <v>1037</v>
      </c>
      <c r="P8" t="s">
        <v>4790</v>
      </c>
      <c r="Q8" t="s">
        <v>4852</v>
      </c>
      <c r="R8" t="s">
        <v>4772</v>
      </c>
    </row>
    <row r="9" spans="1:18" x14ac:dyDescent="0.3">
      <c r="A9">
        <v>364</v>
      </c>
      <c r="B9" t="s">
        <v>1034</v>
      </c>
      <c r="C9" t="s">
        <v>479</v>
      </c>
      <c r="D9" t="s">
        <v>99</v>
      </c>
      <c r="E9" s="1">
        <v>46199</v>
      </c>
      <c r="F9" t="s">
        <v>4307</v>
      </c>
      <c r="G9" t="s">
        <v>4911</v>
      </c>
      <c r="H9" t="s">
        <v>478</v>
      </c>
      <c r="I9" t="s">
        <v>204</v>
      </c>
      <c r="J9" s="1">
        <v>46239</v>
      </c>
      <c r="K9" t="s">
        <v>717</v>
      </c>
      <c r="L9">
        <v>4389</v>
      </c>
      <c r="M9">
        <v>53589.69</v>
      </c>
      <c r="N9" t="s">
        <v>710</v>
      </c>
      <c r="O9" t="s">
        <v>1037</v>
      </c>
      <c r="P9" t="s">
        <v>4790</v>
      </c>
      <c r="Q9" t="s">
        <v>4852</v>
      </c>
      <c r="R9" t="s">
        <v>4772</v>
      </c>
    </row>
    <row r="10" spans="1:18" x14ac:dyDescent="0.3">
      <c r="A10">
        <v>4592</v>
      </c>
      <c r="B10" t="s">
        <v>1034</v>
      </c>
      <c r="C10" t="s">
        <v>319</v>
      </c>
      <c r="D10" t="s">
        <v>36</v>
      </c>
      <c r="E10" s="1">
        <v>46199</v>
      </c>
      <c r="F10" t="s">
        <v>4298</v>
      </c>
      <c r="G10" t="s">
        <v>4912</v>
      </c>
      <c r="H10" t="s">
        <v>318</v>
      </c>
      <c r="I10" t="s">
        <v>204</v>
      </c>
      <c r="J10" s="1">
        <v>46214</v>
      </c>
      <c r="K10" t="s">
        <v>711</v>
      </c>
      <c r="L10">
        <v>1792</v>
      </c>
      <c r="M10">
        <v>1792.26</v>
      </c>
      <c r="N10" t="s">
        <v>710</v>
      </c>
      <c r="O10" t="s">
        <v>1036</v>
      </c>
      <c r="P10" t="s">
        <v>4784</v>
      </c>
      <c r="Q10" t="s">
        <v>4901</v>
      </c>
      <c r="R10" t="s">
        <v>4771</v>
      </c>
    </row>
    <row r="11" spans="1:18" x14ac:dyDescent="0.3">
      <c r="A11">
        <v>1447</v>
      </c>
      <c r="B11" t="s">
        <v>1034</v>
      </c>
      <c r="C11" t="s">
        <v>319</v>
      </c>
      <c r="D11" t="s">
        <v>36</v>
      </c>
      <c r="E11" s="1">
        <v>46199</v>
      </c>
      <c r="F11" t="s">
        <v>4298</v>
      </c>
      <c r="G11" t="s">
        <v>4913</v>
      </c>
      <c r="H11" t="s">
        <v>318</v>
      </c>
      <c r="I11" t="s">
        <v>204</v>
      </c>
      <c r="J11" s="1">
        <v>46214</v>
      </c>
      <c r="K11" t="s">
        <v>711</v>
      </c>
      <c r="L11">
        <v>891</v>
      </c>
      <c r="M11">
        <v>890.71</v>
      </c>
      <c r="N11" t="s">
        <v>710</v>
      </c>
      <c r="O11" t="s">
        <v>1036</v>
      </c>
      <c r="P11" t="s">
        <v>4784</v>
      </c>
      <c r="Q11" t="s">
        <v>4901</v>
      </c>
      <c r="R11" t="s">
        <v>4771</v>
      </c>
    </row>
    <row r="12" spans="1:18" x14ac:dyDescent="0.3">
      <c r="A12">
        <v>4609</v>
      </c>
      <c r="B12" t="s">
        <v>1034</v>
      </c>
      <c r="C12" t="s">
        <v>319</v>
      </c>
      <c r="D12" t="s">
        <v>36</v>
      </c>
      <c r="E12" s="1">
        <v>46199</v>
      </c>
      <c r="F12" t="s">
        <v>4298</v>
      </c>
      <c r="G12" t="s">
        <v>4914</v>
      </c>
      <c r="H12" t="s">
        <v>318</v>
      </c>
      <c r="I12" t="s">
        <v>204</v>
      </c>
      <c r="J12" s="1">
        <v>46214</v>
      </c>
      <c r="K12" t="s">
        <v>711</v>
      </c>
      <c r="L12">
        <v>1991</v>
      </c>
      <c r="M12">
        <v>1991.4</v>
      </c>
      <c r="N12" t="s">
        <v>710</v>
      </c>
      <c r="O12" t="s">
        <v>1036</v>
      </c>
      <c r="P12" t="s">
        <v>4784</v>
      </c>
      <c r="Q12" t="s">
        <v>4901</v>
      </c>
      <c r="R12" t="s">
        <v>4771</v>
      </c>
    </row>
    <row r="13" spans="1:18" x14ac:dyDescent="0.3">
      <c r="A13">
        <v>878079</v>
      </c>
      <c r="B13" t="s">
        <v>1034</v>
      </c>
      <c r="C13" t="s">
        <v>276</v>
      </c>
      <c r="D13" t="s">
        <v>5</v>
      </c>
      <c r="E13" s="1">
        <v>46199</v>
      </c>
      <c r="F13" t="s">
        <v>4315</v>
      </c>
      <c r="G13" t="s">
        <v>4915</v>
      </c>
      <c r="H13" t="s">
        <v>275</v>
      </c>
      <c r="I13" t="s">
        <v>204</v>
      </c>
      <c r="J13" s="1">
        <v>46904</v>
      </c>
      <c r="K13" t="s">
        <v>717</v>
      </c>
      <c r="L13">
        <v>38568.47</v>
      </c>
      <c r="M13">
        <v>38568.47</v>
      </c>
      <c r="N13" t="s">
        <v>710</v>
      </c>
      <c r="O13" t="s">
        <v>1037</v>
      </c>
      <c r="P13" t="s">
        <v>4776</v>
      </c>
      <c r="Q13" t="s">
        <v>4852</v>
      </c>
      <c r="R13" t="s">
        <v>4773</v>
      </c>
    </row>
    <row r="14" spans="1:18" x14ac:dyDescent="0.3">
      <c r="A14">
        <v>175659</v>
      </c>
      <c r="B14" t="s">
        <v>1034</v>
      </c>
      <c r="C14" t="s">
        <v>301</v>
      </c>
      <c r="D14" t="s">
        <v>23</v>
      </c>
      <c r="E14" s="1">
        <v>46199</v>
      </c>
      <c r="F14" t="s">
        <v>4321</v>
      </c>
      <c r="G14" t="s">
        <v>4694</v>
      </c>
      <c r="H14" t="s">
        <v>323</v>
      </c>
      <c r="I14" t="s">
        <v>204</v>
      </c>
      <c r="J14" s="1">
        <v>46538</v>
      </c>
      <c r="K14" t="s">
        <v>711</v>
      </c>
      <c r="L14">
        <v>5608.32</v>
      </c>
      <c r="M14">
        <v>5608.32</v>
      </c>
      <c r="N14" t="s">
        <v>710</v>
      </c>
      <c r="O14" t="s">
        <v>1036</v>
      </c>
      <c r="P14" t="s">
        <v>4782</v>
      </c>
      <c r="Q14" t="s">
        <v>4901</v>
      </c>
      <c r="R14" t="s">
        <v>4773</v>
      </c>
    </row>
    <row r="15" spans="1:18" x14ac:dyDescent="0.3">
      <c r="A15">
        <v>364</v>
      </c>
      <c r="B15" t="s">
        <v>1034</v>
      </c>
      <c r="C15" t="s">
        <v>479</v>
      </c>
      <c r="D15" t="s">
        <v>99</v>
      </c>
      <c r="E15" s="1">
        <v>46199</v>
      </c>
      <c r="F15" t="s">
        <v>4372</v>
      </c>
      <c r="G15" t="s">
        <v>4911</v>
      </c>
      <c r="H15" t="s">
        <v>478</v>
      </c>
      <c r="I15" t="s">
        <v>204</v>
      </c>
      <c r="J15" s="1">
        <v>46239</v>
      </c>
      <c r="K15" t="s">
        <v>717</v>
      </c>
      <c r="L15">
        <v>168</v>
      </c>
      <c r="M15">
        <v>1932</v>
      </c>
      <c r="N15" t="s">
        <v>710</v>
      </c>
      <c r="O15" t="s">
        <v>1037</v>
      </c>
      <c r="P15" t="s">
        <v>4790</v>
      </c>
      <c r="Q15" t="s">
        <v>4852</v>
      </c>
      <c r="R15" t="s">
        <v>4772</v>
      </c>
    </row>
    <row r="16" spans="1:18" x14ac:dyDescent="0.3">
      <c r="A16">
        <v>64065</v>
      </c>
      <c r="B16" t="s">
        <v>4874</v>
      </c>
      <c r="C16" t="s">
        <v>664</v>
      </c>
      <c r="D16" t="s">
        <v>83</v>
      </c>
      <c r="E16" s="1">
        <v>46199</v>
      </c>
      <c r="F16" t="s">
        <v>4399</v>
      </c>
      <c r="G16" t="s">
        <v>4916</v>
      </c>
      <c r="H16" t="s">
        <v>663</v>
      </c>
      <c r="I16" t="s">
        <v>204</v>
      </c>
      <c r="J16" s="1">
        <v>46660</v>
      </c>
      <c r="K16" t="s">
        <v>762</v>
      </c>
      <c r="L16">
        <v>62669.56</v>
      </c>
      <c r="M16">
        <v>62669.56</v>
      </c>
      <c r="N16" t="s">
        <v>710</v>
      </c>
      <c r="O16" t="s">
        <v>1037</v>
      </c>
      <c r="P16" t="s">
        <v>850</v>
      </c>
      <c r="Q16" t="s">
        <v>4852</v>
      </c>
      <c r="R16" t="s">
        <v>807</v>
      </c>
    </row>
    <row r="17" spans="1:18" x14ac:dyDescent="0.3">
      <c r="A17">
        <v>1444</v>
      </c>
      <c r="B17" t="s">
        <v>4875</v>
      </c>
      <c r="C17" t="s">
        <v>319</v>
      </c>
      <c r="D17" t="s">
        <v>36</v>
      </c>
      <c r="E17" s="1">
        <v>46199</v>
      </c>
      <c r="F17" t="s">
        <v>4434</v>
      </c>
      <c r="G17" t="s">
        <v>4917</v>
      </c>
      <c r="H17" t="s">
        <v>336</v>
      </c>
      <c r="I17" t="s">
        <v>204</v>
      </c>
      <c r="J17" s="1">
        <v>46075</v>
      </c>
      <c r="K17" t="s">
        <v>748</v>
      </c>
      <c r="L17">
        <v>3202.2</v>
      </c>
      <c r="M17">
        <v>28268.06</v>
      </c>
      <c r="N17" t="s">
        <v>710</v>
      </c>
      <c r="O17" t="s">
        <v>1040</v>
      </c>
      <c r="P17" t="s">
        <v>4784</v>
      </c>
      <c r="Q17" t="s">
        <v>4856</v>
      </c>
      <c r="R17" t="s">
        <v>4771</v>
      </c>
    </row>
    <row r="18" spans="1:18" x14ac:dyDescent="0.3">
      <c r="A18">
        <v>209431</v>
      </c>
      <c r="B18" t="s">
        <v>4874</v>
      </c>
      <c r="C18" t="s">
        <v>433</v>
      </c>
      <c r="D18" t="s">
        <v>168</v>
      </c>
      <c r="E18" s="1">
        <v>46199</v>
      </c>
      <c r="F18" t="s">
        <v>4306</v>
      </c>
      <c r="G18" t="s">
        <v>4918</v>
      </c>
      <c r="H18" t="s">
        <v>432</v>
      </c>
      <c r="I18" t="s">
        <v>204</v>
      </c>
      <c r="J18" s="1">
        <v>46473</v>
      </c>
      <c r="K18" t="s">
        <v>762</v>
      </c>
      <c r="L18">
        <v>796.9</v>
      </c>
      <c r="M18">
        <v>796.9</v>
      </c>
      <c r="N18" t="s">
        <v>710</v>
      </c>
      <c r="O18" t="s">
        <v>4833</v>
      </c>
      <c r="P18" t="s">
        <v>4802</v>
      </c>
      <c r="Q18" t="s">
        <v>4852</v>
      </c>
      <c r="R18" t="s">
        <v>4771</v>
      </c>
    </row>
    <row r="19" spans="1:18" x14ac:dyDescent="0.3">
      <c r="A19">
        <v>364</v>
      </c>
      <c r="B19" t="s">
        <v>1034</v>
      </c>
      <c r="C19" t="s">
        <v>479</v>
      </c>
      <c r="D19" t="s">
        <v>99</v>
      </c>
      <c r="E19" s="1">
        <v>46199</v>
      </c>
      <c r="F19" t="s">
        <v>4411</v>
      </c>
      <c r="G19" t="s">
        <v>4911</v>
      </c>
      <c r="H19" t="s">
        <v>478</v>
      </c>
      <c r="I19" t="s">
        <v>204</v>
      </c>
      <c r="J19" s="1">
        <v>46239</v>
      </c>
      <c r="K19" t="s">
        <v>717</v>
      </c>
      <c r="L19">
        <v>41</v>
      </c>
      <c r="M19">
        <v>497.74</v>
      </c>
      <c r="N19" t="s">
        <v>710</v>
      </c>
      <c r="O19" t="s">
        <v>1037</v>
      </c>
      <c r="P19" t="s">
        <v>4790</v>
      </c>
      <c r="Q19" t="s">
        <v>4852</v>
      </c>
      <c r="R19" t="s">
        <v>4772</v>
      </c>
    </row>
    <row r="20" spans="1:18" x14ac:dyDescent="0.3">
      <c r="A20">
        <v>364</v>
      </c>
      <c r="B20" t="s">
        <v>1034</v>
      </c>
      <c r="C20" t="s">
        <v>479</v>
      </c>
      <c r="D20" t="s">
        <v>99</v>
      </c>
      <c r="E20" s="1">
        <v>46199</v>
      </c>
      <c r="F20" t="s">
        <v>4312</v>
      </c>
      <c r="G20" t="s">
        <v>4911</v>
      </c>
      <c r="H20" t="s">
        <v>478</v>
      </c>
      <c r="I20" t="s">
        <v>204</v>
      </c>
      <c r="J20" s="1">
        <v>46239</v>
      </c>
      <c r="K20" t="s">
        <v>717</v>
      </c>
      <c r="L20">
        <v>153</v>
      </c>
      <c r="M20">
        <v>726.75</v>
      </c>
      <c r="N20" t="s">
        <v>710</v>
      </c>
      <c r="O20" t="s">
        <v>1037</v>
      </c>
      <c r="P20" t="s">
        <v>4790</v>
      </c>
      <c r="Q20" t="s">
        <v>4852</v>
      </c>
      <c r="R20" t="s">
        <v>4772</v>
      </c>
    </row>
    <row r="21" spans="1:18" x14ac:dyDescent="0.3">
      <c r="A21">
        <v>174727</v>
      </c>
      <c r="B21" t="s">
        <v>4874</v>
      </c>
      <c r="C21" t="s">
        <v>301</v>
      </c>
      <c r="D21" t="s">
        <v>23</v>
      </c>
      <c r="E21" s="1">
        <v>46198</v>
      </c>
      <c r="F21" t="s">
        <v>4321</v>
      </c>
      <c r="G21" t="s">
        <v>4919</v>
      </c>
      <c r="H21" t="s">
        <v>300</v>
      </c>
      <c r="I21" t="s">
        <v>204</v>
      </c>
      <c r="J21" s="1">
        <v>46418</v>
      </c>
      <c r="K21" t="s">
        <v>720</v>
      </c>
      <c r="L21">
        <v>1</v>
      </c>
      <c r="M21">
        <v>5208.8900000000003</v>
      </c>
      <c r="N21" t="s">
        <v>710</v>
      </c>
      <c r="O21" t="s">
        <v>1038</v>
      </c>
      <c r="P21" t="s">
        <v>4782</v>
      </c>
      <c r="Q21" t="s">
        <v>4858</v>
      </c>
      <c r="R21" t="s">
        <v>4773</v>
      </c>
    </row>
    <row r="22" spans="1:18" x14ac:dyDescent="0.3">
      <c r="A22">
        <v>33043</v>
      </c>
      <c r="B22" t="s">
        <v>4876</v>
      </c>
      <c r="C22" t="s">
        <v>680</v>
      </c>
      <c r="D22" t="s">
        <v>86</v>
      </c>
      <c r="E22" s="1">
        <v>46198</v>
      </c>
      <c r="F22" t="s">
        <v>4402</v>
      </c>
      <c r="G22" t="s">
        <v>4920</v>
      </c>
      <c r="H22" t="s">
        <v>679</v>
      </c>
      <c r="I22" t="s">
        <v>204</v>
      </c>
      <c r="J22" s="1">
        <v>47118</v>
      </c>
      <c r="K22" t="s">
        <v>839</v>
      </c>
      <c r="L22">
        <v>42344.91</v>
      </c>
      <c r="M22">
        <v>42344.91</v>
      </c>
      <c r="N22" t="s">
        <v>710</v>
      </c>
      <c r="O22" t="s">
        <v>4833</v>
      </c>
      <c r="P22" t="s">
        <v>4800</v>
      </c>
      <c r="Q22" t="s">
        <v>4852</v>
      </c>
      <c r="R22" t="s">
        <v>807</v>
      </c>
    </row>
    <row r="23" spans="1:18" x14ac:dyDescent="0.3">
      <c r="A23">
        <v>198498</v>
      </c>
      <c r="B23" t="s">
        <v>1034</v>
      </c>
      <c r="C23" t="s">
        <v>415</v>
      </c>
      <c r="D23" t="s">
        <v>60</v>
      </c>
      <c r="E23" s="1">
        <v>46198</v>
      </c>
      <c r="F23" t="s">
        <v>4333</v>
      </c>
      <c r="G23" t="s">
        <v>4921</v>
      </c>
      <c r="H23" t="s">
        <v>431</v>
      </c>
      <c r="I23" t="s">
        <v>204</v>
      </c>
      <c r="J23" s="1">
        <v>46386</v>
      </c>
      <c r="K23" t="s">
        <v>717</v>
      </c>
      <c r="L23">
        <v>14478.31</v>
      </c>
      <c r="M23">
        <v>14478.31</v>
      </c>
      <c r="N23" t="s">
        <v>814</v>
      </c>
      <c r="O23" t="s">
        <v>1037</v>
      </c>
      <c r="P23" t="s">
        <v>4807</v>
      </c>
      <c r="Q23" t="s">
        <v>4852</v>
      </c>
      <c r="R23" t="s">
        <v>4771</v>
      </c>
    </row>
    <row r="24" spans="1:18" x14ac:dyDescent="0.3">
      <c r="A24">
        <v>67107</v>
      </c>
      <c r="B24" t="s">
        <v>1034</v>
      </c>
      <c r="C24" t="s">
        <v>666</v>
      </c>
      <c r="D24" t="s">
        <v>66</v>
      </c>
      <c r="E24" s="1">
        <v>46198</v>
      </c>
      <c r="F24" t="s">
        <v>4315</v>
      </c>
      <c r="G24" t="s">
        <v>4922</v>
      </c>
      <c r="H24" t="s">
        <v>665</v>
      </c>
      <c r="I24" t="s">
        <v>204</v>
      </c>
      <c r="J24" s="1">
        <v>46296</v>
      </c>
      <c r="K24" t="s">
        <v>717</v>
      </c>
      <c r="L24">
        <v>1</v>
      </c>
      <c r="M24">
        <v>799.95</v>
      </c>
      <c r="N24" t="s">
        <v>998</v>
      </c>
      <c r="O24" t="s">
        <v>1033</v>
      </c>
      <c r="P24" t="s">
        <v>4776</v>
      </c>
      <c r="Q24" t="s">
        <v>4852</v>
      </c>
      <c r="R24" t="s">
        <v>807</v>
      </c>
    </row>
    <row r="25" spans="1:18" x14ac:dyDescent="0.3">
      <c r="A25">
        <v>22387</v>
      </c>
      <c r="B25" t="s">
        <v>4875</v>
      </c>
      <c r="C25" t="s">
        <v>243</v>
      </c>
      <c r="D25" t="s">
        <v>61</v>
      </c>
      <c r="E25" s="1">
        <v>46198</v>
      </c>
      <c r="F25" t="s">
        <v>4304</v>
      </c>
      <c r="G25" t="s">
        <v>4923</v>
      </c>
      <c r="H25" t="s">
        <v>242</v>
      </c>
      <c r="I25" t="s">
        <v>204</v>
      </c>
      <c r="J25" s="1">
        <v>54878</v>
      </c>
      <c r="K25" t="s">
        <v>748</v>
      </c>
      <c r="L25">
        <v>11811.98</v>
      </c>
      <c r="M25">
        <v>11811.98</v>
      </c>
      <c r="N25" t="s">
        <v>710</v>
      </c>
      <c r="O25" t="s">
        <v>4834</v>
      </c>
      <c r="P25" t="s">
        <v>4776</v>
      </c>
      <c r="Q25" t="s">
        <v>4856</v>
      </c>
      <c r="R25" t="s">
        <v>4771</v>
      </c>
    </row>
    <row r="26" spans="1:18" x14ac:dyDescent="0.3">
      <c r="A26">
        <v>9009351</v>
      </c>
      <c r="B26" t="s">
        <v>4875</v>
      </c>
      <c r="C26" t="s">
        <v>338</v>
      </c>
      <c r="D26" t="s">
        <v>31</v>
      </c>
      <c r="E26" s="1">
        <v>46198</v>
      </c>
      <c r="F26" t="s">
        <v>4299</v>
      </c>
      <c r="G26" t="s">
        <v>4924</v>
      </c>
      <c r="H26" t="s">
        <v>353</v>
      </c>
      <c r="I26" t="s">
        <v>204</v>
      </c>
      <c r="J26" s="1">
        <v>54878</v>
      </c>
      <c r="K26" t="s">
        <v>748</v>
      </c>
      <c r="L26">
        <v>5989</v>
      </c>
      <c r="M26">
        <v>5989.41</v>
      </c>
      <c r="N26" t="s">
        <v>710</v>
      </c>
      <c r="O26" t="s">
        <v>1040</v>
      </c>
      <c r="P26" t="s">
        <v>4785</v>
      </c>
      <c r="Q26" t="s">
        <v>4856</v>
      </c>
      <c r="R26" t="s">
        <v>4773</v>
      </c>
    </row>
    <row r="27" spans="1:18" x14ac:dyDescent="0.3">
      <c r="A27">
        <v>239</v>
      </c>
      <c r="B27" t="s">
        <v>4874</v>
      </c>
      <c r="C27" t="s">
        <v>565</v>
      </c>
      <c r="D27" t="s">
        <v>113</v>
      </c>
      <c r="E27" s="1">
        <v>46198</v>
      </c>
      <c r="F27" t="s">
        <v>4390</v>
      </c>
      <c r="G27" t="s">
        <v>4925</v>
      </c>
      <c r="H27" t="s">
        <v>564</v>
      </c>
      <c r="I27" t="s">
        <v>204</v>
      </c>
      <c r="J27" s="1">
        <v>46386</v>
      </c>
      <c r="K27" t="s">
        <v>720</v>
      </c>
      <c r="L27">
        <v>5200</v>
      </c>
      <c r="M27">
        <v>5200</v>
      </c>
      <c r="N27" t="s">
        <v>710</v>
      </c>
      <c r="O27" t="s">
        <v>1038</v>
      </c>
      <c r="P27" t="s">
        <v>4777</v>
      </c>
      <c r="Q27" t="s">
        <v>4858</v>
      </c>
      <c r="R27" t="s">
        <v>4771</v>
      </c>
    </row>
    <row r="28" spans="1:18" x14ac:dyDescent="0.3">
      <c r="A28">
        <v>12746829</v>
      </c>
      <c r="B28" t="s">
        <v>4874</v>
      </c>
      <c r="C28" t="s">
        <v>433</v>
      </c>
      <c r="D28" t="s">
        <v>168</v>
      </c>
      <c r="E28" s="1">
        <v>46198</v>
      </c>
      <c r="F28" t="s">
        <v>4319</v>
      </c>
      <c r="G28" t="s">
        <v>4926</v>
      </c>
      <c r="H28" t="s">
        <v>432</v>
      </c>
      <c r="I28" t="s">
        <v>204</v>
      </c>
      <c r="J28" s="1">
        <v>46473</v>
      </c>
      <c r="K28" t="s">
        <v>762</v>
      </c>
      <c r="L28">
        <v>1364</v>
      </c>
      <c r="M28">
        <v>1363.94</v>
      </c>
      <c r="N28" t="s">
        <v>710</v>
      </c>
      <c r="O28" t="s">
        <v>4833</v>
      </c>
      <c r="P28" t="s">
        <v>4802</v>
      </c>
      <c r="Q28" t="s">
        <v>4852</v>
      </c>
      <c r="R28" t="s">
        <v>4771</v>
      </c>
    </row>
    <row r="29" spans="1:18" x14ac:dyDescent="0.3">
      <c r="A29">
        <v>259</v>
      </c>
      <c r="B29" t="s">
        <v>1034</v>
      </c>
      <c r="C29" t="s">
        <v>552</v>
      </c>
      <c r="D29" t="s">
        <v>190</v>
      </c>
      <c r="E29" s="1">
        <v>46198</v>
      </c>
      <c r="F29" t="s">
        <v>4339</v>
      </c>
      <c r="G29" t="s">
        <v>4927</v>
      </c>
      <c r="H29" t="s">
        <v>583</v>
      </c>
      <c r="I29" t="s">
        <v>204</v>
      </c>
      <c r="J29" s="1">
        <v>46441</v>
      </c>
      <c r="K29" t="s">
        <v>717</v>
      </c>
      <c r="L29">
        <v>49343.19</v>
      </c>
      <c r="M29">
        <v>49343.19</v>
      </c>
      <c r="N29" t="s">
        <v>710</v>
      </c>
      <c r="O29" t="s">
        <v>4904</v>
      </c>
      <c r="P29" t="s">
        <v>4792</v>
      </c>
      <c r="Q29" t="s">
        <v>4904</v>
      </c>
      <c r="R29" t="s">
        <v>4772</v>
      </c>
    </row>
    <row r="30" spans="1:18" x14ac:dyDescent="0.3">
      <c r="A30">
        <v>9800</v>
      </c>
      <c r="B30" t="s">
        <v>1034</v>
      </c>
      <c r="C30" t="s">
        <v>267</v>
      </c>
      <c r="D30" t="s">
        <v>186</v>
      </c>
      <c r="E30" s="1">
        <v>46197</v>
      </c>
      <c r="F30" t="s">
        <v>4350</v>
      </c>
      <c r="G30" t="s">
        <v>4864</v>
      </c>
      <c r="H30" t="s">
        <v>266</v>
      </c>
      <c r="I30" t="s">
        <v>204</v>
      </c>
      <c r="J30" s="1">
        <v>46259</v>
      </c>
      <c r="K30" t="s">
        <v>717</v>
      </c>
      <c r="L30">
        <v>21840</v>
      </c>
      <c r="M30">
        <v>21840</v>
      </c>
      <c r="N30" t="s">
        <v>710</v>
      </c>
      <c r="O30" t="s">
        <v>1037</v>
      </c>
      <c r="P30" t="s">
        <v>4780</v>
      </c>
      <c r="Q30" t="s">
        <v>4852</v>
      </c>
      <c r="R30" t="s">
        <v>4772</v>
      </c>
    </row>
    <row r="31" spans="1:18" x14ac:dyDescent="0.3">
      <c r="A31">
        <v>43787</v>
      </c>
      <c r="B31" t="s">
        <v>4875</v>
      </c>
      <c r="C31" t="s">
        <v>327</v>
      </c>
      <c r="D31" t="s">
        <v>159</v>
      </c>
      <c r="E31" s="1">
        <v>46197</v>
      </c>
      <c r="F31" t="s">
        <v>4295</v>
      </c>
      <c r="G31" t="s">
        <v>4910</v>
      </c>
      <c r="H31" t="s">
        <v>326</v>
      </c>
      <c r="I31" t="s">
        <v>204</v>
      </c>
      <c r="J31" s="1">
        <v>54878</v>
      </c>
      <c r="K31" t="s">
        <v>748</v>
      </c>
      <c r="L31">
        <v>2550</v>
      </c>
      <c r="M31">
        <v>2550</v>
      </c>
      <c r="N31" t="s">
        <v>719</v>
      </c>
      <c r="O31" t="s">
        <v>4834</v>
      </c>
      <c r="P31" t="s">
        <v>4776</v>
      </c>
      <c r="Q31" t="s">
        <v>4856</v>
      </c>
      <c r="R31" t="s">
        <v>4773</v>
      </c>
    </row>
    <row r="32" spans="1:18" x14ac:dyDescent="0.3">
      <c r="A32">
        <v>202697628</v>
      </c>
      <c r="B32" t="s">
        <v>1034</v>
      </c>
      <c r="C32" t="s">
        <v>522</v>
      </c>
      <c r="D32" t="s">
        <v>50</v>
      </c>
      <c r="E32" s="1">
        <v>46197</v>
      </c>
      <c r="F32" t="s">
        <v>4352</v>
      </c>
      <c r="G32" t="s">
        <v>4906</v>
      </c>
      <c r="H32" t="s">
        <v>521</v>
      </c>
      <c r="I32" t="s">
        <v>204</v>
      </c>
      <c r="J32" s="1">
        <v>46387</v>
      </c>
      <c r="K32" t="s">
        <v>717</v>
      </c>
      <c r="L32">
        <v>562.80999999999995</v>
      </c>
      <c r="M32">
        <v>562.80999999999995</v>
      </c>
      <c r="N32" t="s">
        <v>884</v>
      </c>
      <c r="O32" t="s">
        <v>1037</v>
      </c>
      <c r="P32" t="s">
        <v>4776</v>
      </c>
      <c r="Q32" t="s">
        <v>4852</v>
      </c>
      <c r="R32" t="s">
        <v>4773</v>
      </c>
    </row>
    <row r="33" spans="1:18" x14ac:dyDescent="0.3">
      <c r="A33">
        <v>168382</v>
      </c>
      <c r="B33" t="s">
        <v>4874</v>
      </c>
      <c r="C33" t="s">
        <v>214</v>
      </c>
      <c r="D33" t="s">
        <v>94</v>
      </c>
      <c r="E33" s="1">
        <v>46197</v>
      </c>
      <c r="F33" t="s">
        <v>4295</v>
      </c>
      <c r="G33" t="s">
        <v>4908</v>
      </c>
      <c r="H33" t="s">
        <v>213</v>
      </c>
      <c r="I33" t="s">
        <v>204</v>
      </c>
      <c r="J33" s="1">
        <v>46309</v>
      </c>
      <c r="K33" t="s">
        <v>720</v>
      </c>
      <c r="L33">
        <v>21734.95</v>
      </c>
      <c r="M33">
        <v>21734.95</v>
      </c>
      <c r="N33" t="s">
        <v>710</v>
      </c>
      <c r="O33" t="s">
        <v>4834</v>
      </c>
      <c r="P33" t="s">
        <v>4776</v>
      </c>
      <c r="Q33" t="s">
        <v>4858</v>
      </c>
      <c r="R33" t="s">
        <v>4772</v>
      </c>
    </row>
    <row r="34" spans="1:18" x14ac:dyDescent="0.3">
      <c r="A34">
        <v>9799</v>
      </c>
      <c r="B34" t="s">
        <v>1034</v>
      </c>
      <c r="C34" t="s">
        <v>267</v>
      </c>
      <c r="D34" t="s">
        <v>186</v>
      </c>
      <c r="E34" s="1">
        <v>46197</v>
      </c>
      <c r="F34" t="s">
        <v>4350</v>
      </c>
      <c r="G34" t="s">
        <v>4864</v>
      </c>
      <c r="H34" t="s">
        <v>266</v>
      </c>
      <c r="I34" t="s">
        <v>204</v>
      </c>
      <c r="J34" s="1">
        <v>46259</v>
      </c>
      <c r="K34" t="s">
        <v>717</v>
      </c>
      <c r="L34">
        <v>14726.4</v>
      </c>
      <c r="M34">
        <v>14726.4</v>
      </c>
      <c r="N34" t="s">
        <v>710</v>
      </c>
      <c r="O34" t="s">
        <v>1037</v>
      </c>
      <c r="P34" t="s">
        <v>4780</v>
      </c>
      <c r="Q34" t="s">
        <v>4852</v>
      </c>
      <c r="R34" t="s">
        <v>4772</v>
      </c>
    </row>
    <row r="35" spans="1:18" x14ac:dyDescent="0.3">
      <c r="A35">
        <v>9798</v>
      </c>
      <c r="B35" t="s">
        <v>1034</v>
      </c>
      <c r="C35" t="s">
        <v>267</v>
      </c>
      <c r="D35" t="s">
        <v>186</v>
      </c>
      <c r="E35" s="1">
        <v>46197</v>
      </c>
      <c r="F35" t="s">
        <v>4350</v>
      </c>
      <c r="G35" t="s">
        <v>4864</v>
      </c>
      <c r="H35" t="s">
        <v>266</v>
      </c>
      <c r="I35" t="s">
        <v>204</v>
      </c>
      <c r="J35" s="1">
        <v>46259</v>
      </c>
      <c r="K35" t="s">
        <v>717</v>
      </c>
      <c r="L35">
        <v>7685.2</v>
      </c>
      <c r="M35">
        <v>7685.2</v>
      </c>
      <c r="N35" t="s">
        <v>710</v>
      </c>
      <c r="O35" t="s">
        <v>1037</v>
      </c>
      <c r="P35" t="s">
        <v>4780</v>
      </c>
      <c r="Q35" t="s">
        <v>4852</v>
      </c>
      <c r="R35" t="s">
        <v>4772</v>
      </c>
    </row>
    <row r="36" spans="1:18" x14ac:dyDescent="0.3">
      <c r="A36">
        <v>9797</v>
      </c>
      <c r="B36" t="s">
        <v>1034</v>
      </c>
      <c r="C36" t="s">
        <v>267</v>
      </c>
      <c r="D36" t="s">
        <v>186</v>
      </c>
      <c r="E36" s="1">
        <v>46197</v>
      </c>
      <c r="F36" t="s">
        <v>4350</v>
      </c>
      <c r="G36" t="s">
        <v>4864</v>
      </c>
      <c r="H36" t="s">
        <v>266</v>
      </c>
      <c r="I36" t="s">
        <v>204</v>
      </c>
      <c r="J36" s="1">
        <v>46259</v>
      </c>
      <c r="K36" t="s">
        <v>717</v>
      </c>
      <c r="L36">
        <v>18805.64</v>
      </c>
      <c r="M36">
        <v>18805.64</v>
      </c>
      <c r="N36" t="s">
        <v>710</v>
      </c>
      <c r="O36" t="s">
        <v>1037</v>
      </c>
      <c r="P36" t="s">
        <v>4780</v>
      </c>
      <c r="Q36" t="s">
        <v>4852</v>
      </c>
      <c r="R36" t="s">
        <v>4772</v>
      </c>
    </row>
    <row r="37" spans="1:18" x14ac:dyDescent="0.3">
      <c r="A37">
        <v>9796</v>
      </c>
      <c r="B37" t="s">
        <v>1034</v>
      </c>
      <c r="C37" t="s">
        <v>267</v>
      </c>
      <c r="D37" t="s">
        <v>186</v>
      </c>
      <c r="E37" s="1">
        <v>46197</v>
      </c>
      <c r="F37" t="s">
        <v>4350</v>
      </c>
      <c r="G37" t="s">
        <v>4864</v>
      </c>
      <c r="H37" t="s">
        <v>266</v>
      </c>
      <c r="I37" t="s">
        <v>204</v>
      </c>
      <c r="J37" s="1">
        <v>46259</v>
      </c>
      <c r="K37" t="s">
        <v>717</v>
      </c>
      <c r="L37">
        <v>53196.75</v>
      </c>
      <c r="M37">
        <v>53196.75</v>
      </c>
      <c r="N37" t="s">
        <v>710</v>
      </c>
      <c r="O37" t="s">
        <v>1037</v>
      </c>
      <c r="P37" t="s">
        <v>4780</v>
      </c>
      <c r="Q37" t="s">
        <v>4852</v>
      </c>
      <c r="R37" t="s">
        <v>4772</v>
      </c>
    </row>
    <row r="38" spans="1:18" x14ac:dyDescent="0.3">
      <c r="A38">
        <v>9795</v>
      </c>
      <c r="B38" t="s">
        <v>1034</v>
      </c>
      <c r="C38" t="s">
        <v>267</v>
      </c>
      <c r="D38" t="s">
        <v>186</v>
      </c>
      <c r="E38" s="1">
        <v>46197</v>
      </c>
      <c r="F38" t="s">
        <v>4350</v>
      </c>
      <c r="G38" t="s">
        <v>4864</v>
      </c>
      <c r="H38" t="s">
        <v>266</v>
      </c>
      <c r="I38" t="s">
        <v>204</v>
      </c>
      <c r="J38" s="1">
        <v>46259</v>
      </c>
      <c r="K38" t="s">
        <v>717</v>
      </c>
      <c r="L38">
        <v>16882.439999999999</v>
      </c>
      <c r="M38">
        <v>16882.439999999999</v>
      </c>
      <c r="N38" t="s">
        <v>710</v>
      </c>
      <c r="O38" t="s">
        <v>1037</v>
      </c>
      <c r="P38" t="s">
        <v>4780</v>
      </c>
      <c r="Q38" t="s">
        <v>4852</v>
      </c>
      <c r="R38" t="s">
        <v>4772</v>
      </c>
    </row>
    <row r="39" spans="1:18" x14ac:dyDescent="0.3">
      <c r="A39">
        <v>477</v>
      </c>
      <c r="B39" t="s">
        <v>1034</v>
      </c>
      <c r="C39" t="s">
        <v>267</v>
      </c>
      <c r="D39" t="s">
        <v>186</v>
      </c>
      <c r="E39" s="1">
        <v>46197</v>
      </c>
      <c r="F39" t="s">
        <v>4349</v>
      </c>
      <c r="G39" t="s">
        <v>4864</v>
      </c>
      <c r="H39" t="s">
        <v>266</v>
      </c>
      <c r="I39" t="s">
        <v>204</v>
      </c>
      <c r="J39" s="1">
        <v>46259</v>
      </c>
      <c r="K39" t="s">
        <v>717</v>
      </c>
      <c r="L39">
        <v>50338.06</v>
      </c>
      <c r="M39">
        <v>50338.06</v>
      </c>
      <c r="N39" t="s">
        <v>710</v>
      </c>
      <c r="O39" t="s">
        <v>1037</v>
      </c>
      <c r="P39" t="s">
        <v>4780</v>
      </c>
      <c r="Q39" t="s">
        <v>4852</v>
      </c>
      <c r="R39" t="s">
        <v>4772</v>
      </c>
    </row>
    <row r="40" spans="1:18" x14ac:dyDescent="0.3">
      <c r="A40">
        <v>80845</v>
      </c>
      <c r="B40" t="s">
        <v>4874</v>
      </c>
      <c r="C40" t="s">
        <v>634</v>
      </c>
      <c r="D40" t="s">
        <v>99</v>
      </c>
      <c r="E40" s="1">
        <v>46197</v>
      </c>
      <c r="F40" t="s">
        <v>4313</v>
      </c>
      <c r="G40" t="s">
        <v>4907</v>
      </c>
      <c r="H40" t="s">
        <v>633</v>
      </c>
      <c r="I40" t="s">
        <v>204</v>
      </c>
      <c r="J40" s="1">
        <v>46204</v>
      </c>
      <c r="K40" t="s">
        <v>762</v>
      </c>
      <c r="L40">
        <v>3</v>
      </c>
      <c r="M40">
        <v>19.71</v>
      </c>
      <c r="N40" t="s">
        <v>719</v>
      </c>
      <c r="O40" t="s">
        <v>1037</v>
      </c>
      <c r="P40" t="s">
        <v>4790</v>
      </c>
      <c r="Q40" t="s">
        <v>4852</v>
      </c>
    </row>
    <row r="41" spans="1:18" x14ac:dyDescent="0.3">
      <c r="A41">
        <v>2757</v>
      </c>
      <c r="B41" t="s">
        <v>4875</v>
      </c>
      <c r="C41" t="s">
        <v>278</v>
      </c>
      <c r="D41" t="s">
        <v>17</v>
      </c>
      <c r="E41" s="1">
        <v>46197</v>
      </c>
      <c r="F41" t="s">
        <v>4340</v>
      </c>
      <c r="G41" t="s">
        <v>4909</v>
      </c>
      <c r="H41" t="s">
        <v>277</v>
      </c>
      <c r="I41" t="s">
        <v>204</v>
      </c>
      <c r="J41" s="1">
        <v>54878</v>
      </c>
      <c r="K41" t="s">
        <v>748</v>
      </c>
      <c r="L41">
        <v>1500</v>
      </c>
      <c r="M41">
        <v>1500</v>
      </c>
      <c r="N41" t="s">
        <v>710</v>
      </c>
      <c r="O41" t="s">
        <v>1040</v>
      </c>
      <c r="P41" t="s">
        <v>4776</v>
      </c>
      <c r="Q41" t="s">
        <v>4856</v>
      </c>
      <c r="R41" t="s">
        <v>4771</v>
      </c>
    </row>
    <row r="42" spans="1:18" x14ac:dyDescent="0.3">
      <c r="A42">
        <v>80845</v>
      </c>
      <c r="B42" t="s">
        <v>4874</v>
      </c>
      <c r="C42" t="s">
        <v>634</v>
      </c>
      <c r="D42" t="s">
        <v>99</v>
      </c>
      <c r="E42" s="1">
        <v>46197</v>
      </c>
      <c r="F42" t="s">
        <v>4405</v>
      </c>
      <c r="G42" t="s">
        <v>4907</v>
      </c>
      <c r="H42" t="s">
        <v>633</v>
      </c>
      <c r="I42" t="s">
        <v>204</v>
      </c>
      <c r="J42" s="1">
        <v>46204</v>
      </c>
      <c r="K42" t="s">
        <v>762</v>
      </c>
      <c r="L42">
        <v>49</v>
      </c>
      <c r="M42">
        <v>66.150000000000006</v>
      </c>
      <c r="N42" t="s">
        <v>719</v>
      </c>
      <c r="O42" t="s">
        <v>1037</v>
      </c>
      <c r="P42" t="s">
        <v>4790</v>
      </c>
      <c r="Q42" t="s">
        <v>4852</v>
      </c>
    </row>
    <row r="43" spans="1:18" x14ac:dyDescent="0.3">
      <c r="A43">
        <v>80845</v>
      </c>
      <c r="B43" t="s">
        <v>4874</v>
      </c>
      <c r="C43" t="s">
        <v>634</v>
      </c>
      <c r="D43" t="s">
        <v>99</v>
      </c>
      <c r="E43" s="1">
        <v>46197</v>
      </c>
      <c r="F43" t="s">
        <v>4314</v>
      </c>
      <c r="G43" t="s">
        <v>4907</v>
      </c>
      <c r="H43" t="s">
        <v>633</v>
      </c>
      <c r="I43" t="s">
        <v>204</v>
      </c>
      <c r="J43" s="1">
        <v>46204</v>
      </c>
      <c r="K43" t="s">
        <v>762</v>
      </c>
      <c r="L43">
        <v>49</v>
      </c>
      <c r="M43">
        <v>1031.45</v>
      </c>
      <c r="N43" t="s">
        <v>719</v>
      </c>
      <c r="O43" t="s">
        <v>1037</v>
      </c>
      <c r="P43" t="s">
        <v>4790</v>
      </c>
      <c r="Q43" t="s">
        <v>4852</v>
      </c>
    </row>
    <row r="44" spans="1:18" x14ac:dyDescent="0.3">
      <c r="A44">
        <v>43788</v>
      </c>
      <c r="B44" t="s">
        <v>4875</v>
      </c>
      <c r="C44" t="s">
        <v>327</v>
      </c>
      <c r="D44" t="s">
        <v>159</v>
      </c>
      <c r="E44" s="1">
        <v>46197</v>
      </c>
      <c r="F44" t="s">
        <v>4295</v>
      </c>
      <c r="G44" t="s">
        <v>4910</v>
      </c>
      <c r="H44" t="s">
        <v>326</v>
      </c>
      <c r="I44" t="s">
        <v>204</v>
      </c>
      <c r="J44" s="1">
        <v>54878</v>
      </c>
      <c r="K44" t="s">
        <v>748</v>
      </c>
      <c r="L44">
        <v>102</v>
      </c>
      <c r="M44">
        <v>102</v>
      </c>
      <c r="N44" t="s">
        <v>719</v>
      </c>
      <c r="O44" t="s">
        <v>4834</v>
      </c>
      <c r="P44" t="s">
        <v>4776</v>
      </c>
      <c r="Q44" t="s">
        <v>4856</v>
      </c>
      <c r="R44" t="s">
        <v>4773</v>
      </c>
    </row>
    <row r="45" spans="1:18" x14ac:dyDescent="0.3">
      <c r="A45">
        <v>80845</v>
      </c>
      <c r="B45" t="s">
        <v>4874</v>
      </c>
      <c r="C45" t="s">
        <v>634</v>
      </c>
      <c r="D45" t="s">
        <v>99</v>
      </c>
      <c r="E45" s="1">
        <v>46197</v>
      </c>
      <c r="F45" t="s">
        <v>4329</v>
      </c>
      <c r="G45" t="s">
        <v>4907</v>
      </c>
      <c r="H45" t="s">
        <v>633</v>
      </c>
      <c r="I45" t="s">
        <v>204</v>
      </c>
      <c r="J45" s="1">
        <v>46204</v>
      </c>
      <c r="K45" t="s">
        <v>762</v>
      </c>
      <c r="L45">
        <v>23</v>
      </c>
      <c r="M45">
        <v>305.67</v>
      </c>
      <c r="N45" t="s">
        <v>719</v>
      </c>
      <c r="O45" t="s">
        <v>1037</v>
      </c>
      <c r="P45" t="s">
        <v>4790</v>
      </c>
      <c r="Q45" t="s">
        <v>4852</v>
      </c>
    </row>
    <row r="46" spans="1:18" x14ac:dyDescent="0.3">
      <c r="A46">
        <v>80845</v>
      </c>
      <c r="B46" t="s">
        <v>4874</v>
      </c>
      <c r="C46" t="s">
        <v>634</v>
      </c>
      <c r="D46" t="s">
        <v>99</v>
      </c>
      <c r="E46" s="1">
        <v>46197</v>
      </c>
      <c r="F46" t="s">
        <v>4394</v>
      </c>
      <c r="G46" t="s">
        <v>4907</v>
      </c>
      <c r="H46" t="s">
        <v>633</v>
      </c>
      <c r="I46" t="s">
        <v>204</v>
      </c>
      <c r="J46" s="1">
        <v>46204</v>
      </c>
      <c r="K46" t="s">
        <v>762</v>
      </c>
      <c r="L46">
        <v>2243</v>
      </c>
      <c r="M46">
        <v>2243</v>
      </c>
      <c r="N46" t="s">
        <v>719</v>
      </c>
      <c r="O46" t="s">
        <v>1037</v>
      </c>
      <c r="P46" t="s">
        <v>4790</v>
      </c>
      <c r="Q46" t="s">
        <v>4852</v>
      </c>
    </row>
    <row r="47" spans="1:18" x14ac:dyDescent="0.3">
      <c r="A47">
        <v>80845</v>
      </c>
      <c r="B47" t="s">
        <v>4874</v>
      </c>
      <c r="C47" t="s">
        <v>634</v>
      </c>
      <c r="D47" t="s">
        <v>99</v>
      </c>
      <c r="E47" s="1">
        <v>46197</v>
      </c>
      <c r="F47" t="s">
        <v>4310</v>
      </c>
      <c r="G47" t="s">
        <v>4907</v>
      </c>
      <c r="H47" t="s">
        <v>633</v>
      </c>
      <c r="I47" t="s">
        <v>204</v>
      </c>
      <c r="J47" s="1">
        <v>46204</v>
      </c>
      <c r="K47" t="s">
        <v>762</v>
      </c>
      <c r="L47">
        <v>112</v>
      </c>
      <c r="M47">
        <v>409.92</v>
      </c>
      <c r="N47" t="s">
        <v>719</v>
      </c>
      <c r="O47" t="s">
        <v>1037</v>
      </c>
      <c r="P47" t="s">
        <v>4790</v>
      </c>
      <c r="Q47" t="s">
        <v>4852</v>
      </c>
    </row>
    <row r="48" spans="1:18" x14ac:dyDescent="0.3">
      <c r="A48">
        <v>80845</v>
      </c>
      <c r="B48" t="s">
        <v>4874</v>
      </c>
      <c r="C48" t="s">
        <v>634</v>
      </c>
      <c r="D48" t="s">
        <v>99</v>
      </c>
      <c r="E48" s="1">
        <v>46197</v>
      </c>
      <c r="F48" t="s">
        <v>4308</v>
      </c>
      <c r="G48" t="s">
        <v>4907</v>
      </c>
      <c r="H48" t="s">
        <v>633</v>
      </c>
      <c r="I48" t="s">
        <v>204</v>
      </c>
      <c r="J48" s="1">
        <v>46204</v>
      </c>
      <c r="K48" t="s">
        <v>762</v>
      </c>
      <c r="L48">
        <v>114</v>
      </c>
      <c r="M48">
        <v>555.17999999999995</v>
      </c>
      <c r="N48" t="s">
        <v>719</v>
      </c>
      <c r="O48" t="s">
        <v>1037</v>
      </c>
      <c r="P48" t="s">
        <v>4790</v>
      </c>
      <c r="Q48" t="s">
        <v>4852</v>
      </c>
    </row>
    <row r="49" spans="1:18" x14ac:dyDescent="0.3">
      <c r="A49">
        <v>80845</v>
      </c>
      <c r="B49" t="s">
        <v>4874</v>
      </c>
      <c r="C49" t="s">
        <v>634</v>
      </c>
      <c r="D49" t="s">
        <v>99</v>
      </c>
      <c r="E49" s="1">
        <v>46197</v>
      </c>
      <c r="F49" t="s">
        <v>4307</v>
      </c>
      <c r="G49" t="s">
        <v>4907</v>
      </c>
      <c r="H49" t="s">
        <v>633</v>
      </c>
      <c r="I49" t="s">
        <v>204</v>
      </c>
      <c r="J49" s="1">
        <v>46204</v>
      </c>
      <c r="K49" t="s">
        <v>762</v>
      </c>
      <c r="L49">
        <v>2243</v>
      </c>
      <c r="M49">
        <v>34968.370000000003</v>
      </c>
      <c r="N49" t="s">
        <v>719</v>
      </c>
      <c r="O49" t="s">
        <v>1037</v>
      </c>
      <c r="P49" t="s">
        <v>4790</v>
      </c>
      <c r="Q49" t="s">
        <v>4852</v>
      </c>
    </row>
    <row r="50" spans="1:18" x14ac:dyDescent="0.3">
      <c r="A50">
        <v>80845</v>
      </c>
      <c r="B50" t="s">
        <v>4874</v>
      </c>
      <c r="C50" t="s">
        <v>634</v>
      </c>
      <c r="D50" t="s">
        <v>99</v>
      </c>
      <c r="E50" s="1">
        <v>46197</v>
      </c>
      <c r="F50" t="s">
        <v>4422</v>
      </c>
      <c r="G50" t="s">
        <v>4907</v>
      </c>
      <c r="H50" t="s">
        <v>633</v>
      </c>
      <c r="I50" t="s">
        <v>204</v>
      </c>
      <c r="J50" s="1">
        <v>46204</v>
      </c>
      <c r="K50" t="s">
        <v>762</v>
      </c>
      <c r="L50">
        <v>12</v>
      </c>
      <c r="M50">
        <v>70.319999999999993</v>
      </c>
      <c r="N50" t="s">
        <v>719</v>
      </c>
      <c r="O50" t="s">
        <v>1037</v>
      </c>
      <c r="P50" t="s">
        <v>4790</v>
      </c>
      <c r="Q50" t="s">
        <v>4852</v>
      </c>
    </row>
    <row r="51" spans="1:18" x14ac:dyDescent="0.3">
      <c r="A51">
        <v>68876</v>
      </c>
      <c r="B51" t="s">
        <v>4874</v>
      </c>
      <c r="C51" t="s">
        <v>437</v>
      </c>
      <c r="D51" t="s">
        <v>150</v>
      </c>
      <c r="E51" s="1">
        <v>46196</v>
      </c>
      <c r="F51" t="s">
        <v>4395</v>
      </c>
      <c r="G51" t="s">
        <v>4868</v>
      </c>
      <c r="H51" t="s">
        <v>436</v>
      </c>
      <c r="I51" t="s">
        <v>204</v>
      </c>
      <c r="J51" s="1">
        <v>54878</v>
      </c>
      <c r="K51" t="s">
        <v>762</v>
      </c>
      <c r="L51">
        <v>789</v>
      </c>
      <c r="M51">
        <v>789</v>
      </c>
      <c r="N51" t="s">
        <v>719</v>
      </c>
      <c r="O51" t="s">
        <v>1037</v>
      </c>
      <c r="P51" t="s">
        <v>4788</v>
      </c>
      <c r="Q51" t="s">
        <v>4852</v>
      </c>
      <c r="R51" t="s">
        <v>4771</v>
      </c>
    </row>
    <row r="52" spans="1:18" x14ac:dyDescent="0.3">
      <c r="A52">
        <v>20352</v>
      </c>
      <c r="B52" t="s">
        <v>4874</v>
      </c>
      <c r="C52" t="s">
        <v>212</v>
      </c>
      <c r="D52" t="s">
        <v>62</v>
      </c>
      <c r="E52" s="1">
        <v>46196</v>
      </c>
      <c r="F52" t="s">
        <v>4318</v>
      </c>
      <c r="G52" t="s">
        <v>4867</v>
      </c>
      <c r="H52" t="s">
        <v>211</v>
      </c>
      <c r="I52" t="s">
        <v>204</v>
      </c>
      <c r="J52" s="1">
        <v>54878</v>
      </c>
      <c r="K52" t="s">
        <v>720</v>
      </c>
      <c r="L52">
        <v>1000</v>
      </c>
      <c r="M52">
        <v>1000</v>
      </c>
      <c r="N52" t="s">
        <v>719</v>
      </c>
      <c r="O52" t="s">
        <v>4834</v>
      </c>
      <c r="P52" t="s">
        <v>4776</v>
      </c>
      <c r="Q52" t="s">
        <v>4858</v>
      </c>
      <c r="R52" t="s">
        <v>4771</v>
      </c>
    </row>
    <row r="53" spans="1:18" x14ac:dyDescent="0.3">
      <c r="A53">
        <v>20210</v>
      </c>
      <c r="B53" t="s">
        <v>4874</v>
      </c>
      <c r="C53" t="s">
        <v>212</v>
      </c>
      <c r="D53" t="s">
        <v>62</v>
      </c>
      <c r="E53" s="1">
        <v>46196</v>
      </c>
      <c r="F53" t="s">
        <v>4318</v>
      </c>
      <c r="G53" t="s">
        <v>4867</v>
      </c>
      <c r="H53" t="s">
        <v>211</v>
      </c>
      <c r="I53" t="s">
        <v>204</v>
      </c>
      <c r="J53" s="1">
        <v>54878</v>
      </c>
      <c r="K53" t="s">
        <v>720</v>
      </c>
      <c r="L53">
        <v>1000</v>
      </c>
      <c r="M53">
        <v>1000</v>
      </c>
      <c r="N53" t="s">
        <v>719</v>
      </c>
      <c r="O53" t="s">
        <v>4834</v>
      </c>
      <c r="P53" t="s">
        <v>4776</v>
      </c>
      <c r="Q53" t="s">
        <v>4858</v>
      </c>
      <c r="R53" t="s">
        <v>4771</v>
      </c>
    </row>
    <row r="54" spans="1:18" x14ac:dyDescent="0.3">
      <c r="A54">
        <v>22391</v>
      </c>
      <c r="B54" t="s">
        <v>4875</v>
      </c>
      <c r="C54" t="s">
        <v>243</v>
      </c>
      <c r="D54" t="s">
        <v>61</v>
      </c>
      <c r="E54" s="1">
        <v>46196</v>
      </c>
      <c r="F54" t="s">
        <v>4304</v>
      </c>
      <c r="G54" t="s">
        <v>3495</v>
      </c>
      <c r="H54" t="s">
        <v>242</v>
      </c>
      <c r="I54" t="s">
        <v>204</v>
      </c>
      <c r="J54" s="1">
        <v>54878</v>
      </c>
      <c r="K54" t="s">
        <v>748</v>
      </c>
      <c r="L54">
        <v>1025.04</v>
      </c>
      <c r="M54">
        <v>1025.04</v>
      </c>
      <c r="N54" t="s">
        <v>710</v>
      </c>
      <c r="O54" t="s">
        <v>4834</v>
      </c>
      <c r="P54" t="s">
        <v>4776</v>
      </c>
      <c r="Q54" t="s">
        <v>4856</v>
      </c>
      <c r="R54" t="s">
        <v>4771</v>
      </c>
    </row>
    <row r="55" spans="1:18" x14ac:dyDescent="0.3">
      <c r="A55">
        <v>2357</v>
      </c>
      <c r="B55" t="s">
        <v>1034</v>
      </c>
      <c r="C55" t="s">
        <v>267</v>
      </c>
      <c r="D55" t="s">
        <v>186</v>
      </c>
      <c r="E55" s="1">
        <v>46196</v>
      </c>
      <c r="F55" t="s">
        <v>4350</v>
      </c>
      <c r="G55" t="s">
        <v>4864</v>
      </c>
      <c r="H55" t="s">
        <v>266</v>
      </c>
      <c r="I55" t="s">
        <v>204</v>
      </c>
      <c r="J55" s="1">
        <v>46259</v>
      </c>
      <c r="K55" t="s">
        <v>717</v>
      </c>
      <c r="L55">
        <v>1737.2</v>
      </c>
      <c r="M55">
        <v>1737.2</v>
      </c>
      <c r="N55" t="s">
        <v>710</v>
      </c>
      <c r="O55" t="s">
        <v>1037</v>
      </c>
      <c r="P55" t="s">
        <v>4780</v>
      </c>
      <c r="Q55" t="s">
        <v>4852</v>
      </c>
      <c r="R55" t="s">
        <v>4772</v>
      </c>
    </row>
    <row r="56" spans="1:18" x14ac:dyDescent="0.3">
      <c r="A56">
        <v>2540</v>
      </c>
      <c r="B56" t="s">
        <v>4874</v>
      </c>
      <c r="C56" t="s">
        <v>616</v>
      </c>
      <c r="D56" t="s">
        <v>152</v>
      </c>
      <c r="E56" s="1">
        <v>46196</v>
      </c>
      <c r="F56" t="s">
        <v>4338</v>
      </c>
      <c r="G56" t="s">
        <v>4744</v>
      </c>
      <c r="H56" t="s">
        <v>615</v>
      </c>
      <c r="I56" t="s">
        <v>204</v>
      </c>
      <c r="J56" s="1">
        <v>46327</v>
      </c>
      <c r="K56" t="s">
        <v>720</v>
      </c>
      <c r="L56">
        <v>92282.94</v>
      </c>
      <c r="M56">
        <v>92282.94</v>
      </c>
      <c r="N56" t="s">
        <v>710</v>
      </c>
      <c r="O56" t="s">
        <v>4834</v>
      </c>
      <c r="P56" t="s">
        <v>4776</v>
      </c>
      <c r="Q56" t="s">
        <v>4858</v>
      </c>
      <c r="R56" t="s">
        <v>4772</v>
      </c>
    </row>
    <row r="57" spans="1:18" x14ac:dyDescent="0.3">
      <c r="A57">
        <v>445080</v>
      </c>
      <c r="B57" t="s">
        <v>1034</v>
      </c>
      <c r="C57" t="s">
        <v>338</v>
      </c>
      <c r="D57" t="s">
        <v>31</v>
      </c>
      <c r="E57" s="1">
        <v>46196</v>
      </c>
      <c r="F57" t="s">
        <v>4299</v>
      </c>
      <c r="G57" t="s">
        <v>4582</v>
      </c>
      <c r="H57" t="s">
        <v>337</v>
      </c>
      <c r="I57" t="s">
        <v>204</v>
      </c>
      <c r="J57" s="1">
        <v>54878</v>
      </c>
      <c r="K57" t="s">
        <v>711</v>
      </c>
      <c r="L57">
        <v>18561</v>
      </c>
      <c r="M57">
        <v>18561.27</v>
      </c>
      <c r="N57" t="s">
        <v>710</v>
      </c>
      <c r="O57" t="s">
        <v>1036</v>
      </c>
      <c r="P57" t="s">
        <v>4785</v>
      </c>
      <c r="Q57" t="s">
        <v>4901</v>
      </c>
      <c r="R57" t="s">
        <v>4773</v>
      </c>
    </row>
    <row r="58" spans="1:18" x14ac:dyDescent="0.3">
      <c r="A58">
        <v>22423</v>
      </c>
      <c r="B58" t="s">
        <v>1034</v>
      </c>
      <c r="C58" t="s">
        <v>243</v>
      </c>
      <c r="D58" t="s">
        <v>61</v>
      </c>
      <c r="E58" s="1">
        <v>46196</v>
      </c>
      <c r="F58" t="s">
        <v>4304</v>
      </c>
      <c r="G58" t="s">
        <v>4741</v>
      </c>
      <c r="H58" t="s">
        <v>246</v>
      </c>
      <c r="I58" t="s">
        <v>204</v>
      </c>
      <c r="J58" s="1">
        <v>46203</v>
      </c>
      <c r="K58" t="s">
        <v>711</v>
      </c>
      <c r="L58">
        <v>22050.54</v>
      </c>
      <c r="M58">
        <v>22050.54</v>
      </c>
      <c r="N58" t="s">
        <v>710</v>
      </c>
      <c r="O58" t="s">
        <v>4834</v>
      </c>
      <c r="P58" t="s">
        <v>4776</v>
      </c>
      <c r="Q58" t="s">
        <v>4901</v>
      </c>
      <c r="R58" t="s">
        <v>4771</v>
      </c>
    </row>
    <row r="59" spans="1:18" x14ac:dyDescent="0.3">
      <c r="A59">
        <v>22424</v>
      </c>
      <c r="B59" t="s">
        <v>1034</v>
      </c>
      <c r="C59" t="s">
        <v>243</v>
      </c>
      <c r="D59" t="s">
        <v>61</v>
      </c>
      <c r="E59" s="1">
        <v>46196</v>
      </c>
      <c r="F59" t="s">
        <v>4304</v>
      </c>
      <c r="G59" t="s">
        <v>4741</v>
      </c>
      <c r="H59" t="s">
        <v>246</v>
      </c>
      <c r="I59" t="s">
        <v>204</v>
      </c>
      <c r="J59" s="1">
        <v>46203</v>
      </c>
      <c r="K59" t="s">
        <v>711</v>
      </c>
      <c r="L59">
        <v>602.64</v>
      </c>
      <c r="M59">
        <v>602.64</v>
      </c>
      <c r="N59" t="s">
        <v>710</v>
      </c>
      <c r="O59" t="s">
        <v>4834</v>
      </c>
      <c r="P59" t="s">
        <v>4776</v>
      </c>
      <c r="Q59" t="s">
        <v>4901</v>
      </c>
      <c r="R59" t="s">
        <v>4771</v>
      </c>
    </row>
    <row r="60" spans="1:18" x14ac:dyDescent="0.3">
      <c r="A60">
        <v>164</v>
      </c>
      <c r="B60" t="s">
        <v>1034</v>
      </c>
      <c r="C60" t="s">
        <v>449</v>
      </c>
      <c r="D60" t="s">
        <v>20</v>
      </c>
      <c r="E60" s="1">
        <v>46196</v>
      </c>
      <c r="F60" t="s">
        <v>4331</v>
      </c>
      <c r="G60" t="s">
        <v>4865</v>
      </c>
      <c r="H60" t="s">
        <v>448</v>
      </c>
      <c r="I60" t="s">
        <v>204</v>
      </c>
      <c r="J60" s="1">
        <v>46219</v>
      </c>
      <c r="K60" t="s">
        <v>717</v>
      </c>
      <c r="L60">
        <v>7953.35</v>
      </c>
      <c r="M60">
        <v>7953.35</v>
      </c>
      <c r="N60" t="s">
        <v>710</v>
      </c>
      <c r="O60" t="s">
        <v>4902</v>
      </c>
      <c r="P60" t="s">
        <v>4776</v>
      </c>
      <c r="Q60" t="s">
        <v>4852</v>
      </c>
      <c r="R60" t="s">
        <v>4771</v>
      </c>
    </row>
    <row r="61" spans="1:18" x14ac:dyDescent="0.3">
      <c r="A61">
        <v>243</v>
      </c>
      <c r="B61" t="s">
        <v>1034</v>
      </c>
      <c r="C61" t="s">
        <v>312</v>
      </c>
      <c r="D61" t="s">
        <v>73</v>
      </c>
      <c r="E61" s="1">
        <v>46196</v>
      </c>
      <c r="F61" t="s">
        <v>4300</v>
      </c>
      <c r="G61" t="s">
        <v>3744</v>
      </c>
      <c r="H61" t="s">
        <v>311</v>
      </c>
      <c r="I61" t="s">
        <v>204</v>
      </c>
      <c r="J61" s="1">
        <v>54878</v>
      </c>
      <c r="K61" t="s">
        <v>711</v>
      </c>
      <c r="L61">
        <v>2361</v>
      </c>
      <c r="M61">
        <v>2361</v>
      </c>
      <c r="N61" t="s">
        <v>719</v>
      </c>
      <c r="O61" t="s">
        <v>4834</v>
      </c>
      <c r="P61" t="s">
        <v>1006</v>
      </c>
      <c r="Q61" t="s">
        <v>4901</v>
      </c>
      <c r="R61" t="s">
        <v>4773</v>
      </c>
    </row>
    <row r="62" spans="1:18" x14ac:dyDescent="0.3">
      <c r="A62">
        <v>282755</v>
      </c>
      <c r="B62" t="s">
        <v>1034</v>
      </c>
      <c r="C62" t="s">
        <v>338</v>
      </c>
      <c r="D62" t="s">
        <v>31</v>
      </c>
      <c r="E62" s="1">
        <v>46196</v>
      </c>
      <c r="F62" t="s">
        <v>4299</v>
      </c>
      <c r="G62" t="s">
        <v>4863</v>
      </c>
      <c r="H62" t="s">
        <v>337</v>
      </c>
      <c r="I62" t="s">
        <v>204</v>
      </c>
      <c r="J62" s="1">
        <v>54878</v>
      </c>
      <c r="K62" t="s">
        <v>711</v>
      </c>
      <c r="L62">
        <v>21054</v>
      </c>
      <c r="M62">
        <v>21054.03</v>
      </c>
      <c r="N62" t="s">
        <v>710</v>
      </c>
      <c r="O62" t="s">
        <v>1036</v>
      </c>
      <c r="P62" t="s">
        <v>4785</v>
      </c>
      <c r="Q62" t="s">
        <v>4901</v>
      </c>
      <c r="R62" t="s">
        <v>4773</v>
      </c>
    </row>
    <row r="63" spans="1:18" x14ac:dyDescent="0.3">
      <c r="A63">
        <v>603310</v>
      </c>
      <c r="B63" t="s">
        <v>1034</v>
      </c>
      <c r="C63" t="s">
        <v>248</v>
      </c>
      <c r="D63" t="s">
        <v>13</v>
      </c>
      <c r="E63" s="1">
        <v>46196</v>
      </c>
      <c r="F63" t="s">
        <v>4297</v>
      </c>
      <c r="G63" t="s">
        <v>3845</v>
      </c>
      <c r="H63" t="s">
        <v>315</v>
      </c>
      <c r="I63" t="s">
        <v>204</v>
      </c>
      <c r="J63" s="1">
        <v>46073</v>
      </c>
      <c r="K63" t="s">
        <v>711</v>
      </c>
      <c r="L63">
        <v>1</v>
      </c>
      <c r="M63">
        <v>404.45</v>
      </c>
      <c r="N63" t="s">
        <v>710</v>
      </c>
      <c r="O63" t="s">
        <v>1036</v>
      </c>
      <c r="P63" t="s">
        <v>4779</v>
      </c>
      <c r="Q63" t="s">
        <v>4901</v>
      </c>
      <c r="R63" t="s">
        <v>4773</v>
      </c>
    </row>
    <row r="64" spans="1:18" x14ac:dyDescent="0.3">
      <c r="A64">
        <v>603310</v>
      </c>
      <c r="B64" t="s">
        <v>1034</v>
      </c>
      <c r="C64" t="s">
        <v>248</v>
      </c>
      <c r="D64" t="s">
        <v>13</v>
      </c>
      <c r="E64" s="1">
        <v>46196</v>
      </c>
      <c r="F64" t="s">
        <v>4297</v>
      </c>
      <c r="G64" t="s">
        <v>3654</v>
      </c>
      <c r="H64" t="s">
        <v>315</v>
      </c>
      <c r="I64" t="s">
        <v>204</v>
      </c>
      <c r="J64" s="1">
        <v>46073</v>
      </c>
      <c r="K64" t="s">
        <v>711</v>
      </c>
      <c r="L64">
        <v>5391.91</v>
      </c>
      <c r="M64">
        <v>5391.91</v>
      </c>
      <c r="N64" t="s">
        <v>710</v>
      </c>
      <c r="O64" t="s">
        <v>1036</v>
      </c>
      <c r="P64" t="s">
        <v>4779</v>
      </c>
      <c r="Q64" t="s">
        <v>4901</v>
      </c>
      <c r="R64" t="s">
        <v>4773</v>
      </c>
    </row>
    <row r="65" spans="1:18" x14ac:dyDescent="0.3">
      <c r="A65">
        <v>2680</v>
      </c>
      <c r="B65" t="s">
        <v>1034</v>
      </c>
      <c r="C65" t="s">
        <v>643</v>
      </c>
      <c r="D65" t="s">
        <v>52</v>
      </c>
      <c r="E65" s="1">
        <v>46196</v>
      </c>
      <c r="F65" t="s">
        <v>4318</v>
      </c>
      <c r="G65" t="s">
        <v>4840</v>
      </c>
      <c r="H65" t="s">
        <v>642</v>
      </c>
      <c r="I65" t="s">
        <v>204</v>
      </c>
      <c r="J65" s="1">
        <v>46548</v>
      </c>
      <c r="K65" t="s">
        <v>711</v>
      </c>
      <c r="L65">
        <v>2500</v>
      </c>
      <c r="M65">
        <v>2500</v>
      </c>
      <c r="N65" t="s">
        <v>710</v>
      </c>
      <c r="O65" t="s">
        <v>4834</v>
      </c>
      <c r="P65" t="s">
        <v>4776</v>
      </c>
      <c r="Q65" t="s">
        <v>4901</v>
      </c>
    </row>
    <row r="66" spans="1:18" x14ac:dyDescent="0.3">
      <c r="A66">
        <v>2559</v>
      </c>
      <c r="B66" t="s">
        <v>1034</v>
      </c>
      <c r="C66" t="s">
        <v>616</v>
      </c>
      <c r="D66" t="s">
        <v>152</v>
      </c>
      <c r="E66" s="1">
        <v>46196</v>
      </c>
      <c r="F66" t="s">
        <v>4338</v>
      </c>
      <c r="G66" t="s">
        <v>4862</v>
      </c>
      <c r="H66" t="s">
        <v>621</v>
      </c>
      <c r="I66" t="s">
        <v>204</v>
      </c>
      <c r="J66" s="1">
        <v>46349</v>
      </c>
      <c r="K66" t="s">
        <v>711</v>
      </c>
      <c r="L66">
        <v>58323.15</v>
      </c>
      <c r="M66">
        <v>58323.15</v>
      </c>
      <c r="N66" t="s">
        <v>710</v>
      </c>
      <c r="O66" t="s">
        <v>4904</v>
      </c>
      <c r="P66" t="s">
        <v>4796</v>
      </c>
      <c r="Q66" t="s">
        <v>4901</v>
      </c>
      <c r="R66" t="s">
        <v>4772</v>
      </c>
    </row>
    <row r="67" spans="1:18" x14ac:dyDescent="0.3">
      <c r="A67">
        <v>2558</v>
      </c>
      <c r="B67" t="s">
        <v>1034</v>
      </c>
      <c r="C67" t="s">
        <v>616</v>
      </c>
      <c r="D67" t="s">
        <v>152</v>
      </c>
      <c r="E67" s="1">
        <v>46196</v>
      </c>
      <c r="F67" t="s">
        <v>4338</v>
      </c>
      <c r="G67" t="s">
        <v>4861</v>
      </c>
      <c r="H67" t="s">
        <v>621</v>
      </c>
      <c r="I67" t="s">
        <v>204</v>
      </c>
      <c r="J67" s="1">
        <v>46349</v>
      </c>
      <c r="K67" t="s">
        <v>711</v>
      </c>
      <c r="L67">
        <v>55333.07</v>
      </c>
      <c r="M67">
        <v>55333.07</v>
      </c>
      <c r="N67" t="s">
        <v>710</v>
      </c>
      <c r="O67" t="s">
        <v>4904</v>
      </c>
      <c r="P67" t="s">
        <v>4796</v>
      </c>
      <c r="Q67" t="s">
        <v>4901</v>
      </c>
      <c r="R67" t="s">
        <v>4772</v>
      </c>
    </row>
    <row r="68" spans="1:18" x14ac:dyDescent="0.3">
      <c r="A68">
        <v>4128</v>
      </c>
      <c r="B68" t="s">
        <v>1034</v>
      </c>
      <c r="C68" t="s">
        <v>314</v>
      </c>
      <c r="D68" t="s">
        <v>39</v>
      </c>
      <c r="E68" s="1">
        <v>46196</v>
      </c>
      <c r="F68" t="s">
        <v>4347</v>
      </c>
      <c r="G68" t="s">
        <v>3762</v>
      </c>
      <c r="H68" t="s">
        <v>313</v>
      </c>
      <c r="I68" t="s">
        <v>204</v>
      </c>
      <c r="J68" s="1">
        <v>46237</v>
      </c>
      <c r="K68" t="s">
        <v>711</v>
      </c>
      <c r="L68">
        <v>1</v>
      </c>
      <c r="M68">
        <v>1150</v>
      </c>
      <c r="N68" t="s">
        <v>710</v>
      </c>
      <c r="O68" t="s">
        <v>4834</v>
      </c>
      <c r="P68" t="s">
        <v>4779</v>
      </c>
      <c r="Q68" t="s">
        <v>4901</v>
      </c>
      <c r="R68" t="s">
        <v>4773</v>
      </c>
    </row>
    <row r="69" spans="1:18" x14ac:dyDescent="0.3">
      <c r="A69">
        <v>4606</v>
      </c>
      <c r="B69" t="s">
        <v>4875</v>
      </c>
      <c r="C69" t="s">
        <v>319</v>
      </c>
      <c r="D69" t="s">
        <v>36</v>
      </c>
      <c r="E69" s="1">
        <v>46196</v>
      </c>
      <c r="F69" t="s">
        <v>4298</v>
      </c>
      <c r="G69" t="s">
        <v>4870</v>
      </c>
      <c r="H69" t="s">
        <v>336</v>
      </c>
      <c r="I69" t="s">
        <v>204</v>
      </c>
      <c r="J69" s="1">
        <v>46075</v>
      </c>
      <c r="K69" t="s">
        <v>748</v>
      </c>
      <c r="L69">
        <v>2</v>
      </c>
      <c r="M69">
        <v>398.28</v>
      </c>
      <c r="N69" t="s">
        <v>710</v>
      </c>
      <c r="O69" t="s">
        <v>1040</v>
      </c>
      <c r="P69" t="s">
        <v>4784</v>
      </c>
      <c r="Q69" t="s">
        <v>4856</v>
      </c>
      <c r="R69" t="s">
        <v>4771</v>
      </c>
    </row>
    <row r="70" spans="1:18" x14ac:dyDescent="0.3">
      <c r="A70">
        <v>70310220</v>
      </c>
      <c r="B70" t="s">
        <v>4874</v>
      </c>
      <c r="C70" t="s">
        <v>653</v>
      </c>
      <c r="D70" t="s">
        <v>14</v>
      </c>
      <c r="E70" s="1">
        <v>46196</v>
      </c>
      <c r="F70" t="s">
        <v>4336</v>
      </c>
      <c r="G70" t="s">
        <v>4866</v>
      </c>
      <c r="H70" t="s">
        <v>652</v>
      </c>
      <c r="I70" t="s">
        <v>204</v>
      </c>
      <c r="J70" s="1">
        <v>46583</v>
      </c>
      <c r="K70" t="s">
        <v>762</v>
      </c>
      <c r="L70">
        <v>87765.119999999995</v>
      </c>
      <c r="M70">
        <v>87765.119999999995</v>
      </c>
      <c r="N70" t="s">
        <v>710</v>
      </c>
      <c r="O70" t="s">
        <v>1037</v>
      </c>
      <c r="P70" t="s">
        <v>4794</v>
      </c>
      <c r="Q70" t="s">
        <v>4852</v>
      </c>
      <c r="R70" t="s">
        <v>807</v>
      </c>
    </row>
    <row r="71" spans="1:18" x14ac:dyDescent="0.3">
      <c r="A71">
        <v>273182</v>
      </c>
      <c r="B71" t="s">
        <v>4874</v>
      </c>
      <c r="C71" t="s">
        <v>433</v>
      </c>
      <c r="D71" t="s">
        <v>168</v>
      </c>
      <c r="E71" s="1">
        <v>46196</v>
      </c>
      <c r="F71" t="s">
        <v>4306</v>
      </c>
      <c r="G71" t="s">
        <v>4869</v>
      </c>
      <c r="H71" t="s">
        <v>432</v>
      </c>
      <c r="I71" t="s">
        <v>204</v>
      </c>
      <c r="J71" s="1">
        <v>46473</v>
      </c>
      <c r="K71" t="s">
        <v>762</v>
      </c>
      <c r="L71">
        <v>20.309999999999999</v>
      </c>
      <c r="M71">
        <v>20.309999999999999</v>
      </c>
      <c r="N71" t="s">
        <v>710</v>
      </c>
      <c r="O71" t="s">
        <v>4833</v>
      </c>
      <c r="P71" t="s">
        <v>4802</v>
      </c>
      <c r="Q71" t="s">
        <v>4852</v>
      </c>
      <c r="R71" t="s">
        <v>4771</v>
      </c>
    </row>
    <row r="72" spans="1:18" x14ac:dyDescent="0.3">
      <c r="A72">
        <v>175</v>
      </c>
      <c r="B72" t="s">
        <v>1034</v>
      </c>
      <c r="C72" t="s">
        <v>618</v>
      </c>
      <c r="D72" t="s">
        <v>112</v>
      </c>
      <c r="E72" s="1">
        <v>46195</v>
      </c>
      <c r="F72" t="s">
        <v>4361</v>
      </c>
      <c r="G72" t="s">
        <v>4713</v>
      </c>
      <c r="H72" t="s">
        <v>617</v>
      </c>
      <c r="I72" t="s">
        <v>204</v>
      </c>
      <c r="J72" s="1">
        <v>46347</v>
      </c>
      <c r="K72" t="s">
        <v>711</v>
      </c>
      <c r="L72">
        <v>1205</v>
      </c>
      <c r="M72">
        <v>1205</v>
      </c>
      <c r="N72" t="s">
        <v>818</v>
      </c>
      <c r="O72" t="s">
        <v>1036</v>
      </c>
      <c r="P72" t="s">
        <v>4776</v>
      </c>
      <c r="Q72" t="s">
        <v>4901</v>
      </c>
      <c r="R72" t="s">
        <v>4771</v>
      </c>
    </row>
    <row r="73" spans="1:18" x14ac:dyDescent="0.3">
      <c r="A73">
        <v>36</v>
      </c>
      <c r="B73" t="s">
        <v>1034</v>
      </c>
      <c r="C73" t="s">
        <v>507</v>
      </c>
      <c r="D73" t="s">
        <v>18</v>
      </c>
      <c r="E73" s="1">
        <v>46192</v>
      </c>
      <c r="F73" t="s">
        <v>4322</v>
      </c>
      <c r="G73" t="s">
        <v>4285</v>
      </c>
      <c r="H73" t="s">
        <v>506</v>
      </c>
      <c r="I73" t="s">
        <v>204</v>
      </c>
      <c r="J73" s="1">
        <v>46741</v>
      </c>
      <c r="K73" t="s">
        <v>711</v>
      </c>
      <c r="L73">
        <v>7350</v>
      </c>
      <c r="M73">
        <v>7350</v>
      </c>
      <c r="N73" t="s">
        <v>710</v>
      </c>
      <c r="O73" t="s">
        <v>1036</v>
      </c>
      <c r="P73" t="s">
        <v>4777</v>
      </c>
      <c r="Q73" t="s">
        <v>4901</v>
      </c>
      <c r="R73" t="s">
        <v>4773</v>
      </c>
    </row>
    <row r="74" spans="1:18" x14ac:dyDescent="0.3">
      <c r="A74">
        <v>4129</v>
      </c>
      <c r="B74" t="s">
        <v>4875</v>
      </c>
      <c r="C74" t="s">
        <v>314</v>
      </c>
      <c r="D74" t="s">
        <v>39</v>
      </c>
      <c r="E74" s="1">
        <v>46192</v>
      </c>
      <c r="F74" t="s">
        <v>4347</v>
      </c>
      <c r="G74" t="s">
        <v>4829</v>
      </c>
      <c r="H74" t="s">
        <v>341</v>
      </c>
      <c r="I74" t="s">
        <v>204</v>
      </c>
      <c r="J74" s="1">
        <v>46266</v>
      </c>
      <c r="K74" t="s">
        <v>748</v>
      </c>
      <c r="L74">
        <v>1</v>
      </c>
      <c r="M74">
        <v>1100</v>
      </c>
      <c r="N74" t="s">
        <v>710</v>
      </c>
      <c r="O74" t="s">
        <v>4834</v>
      </c>
      <c r="P74" t="s">
        <v>4776</v>
      </c>
      <c r="Q74" t="s">
        <v>4856</v>
      </c>
      <c r="R74" t="s">
        <v>4773</v>
      </c>
    </row>
    <row r="75" spans="1:18" x14ac:dyDescent="0.3">
      <c r="A75">
        <v>12457039</v>
      </c>
      <c r="B75" t="s">
        <v>4874</v>
      </c>
      <c r="C75" t="s">
        <v>433</v>
      </c>
      <c r="D75" t="s">
        <v>168</v>
      </c>
      <c r="E75" s="1">
        <v>46192</v>
      </c>
      <c r="F75" t="s">
        <v>4319</v>
      </c>
      <c r="G75" t="s">
        <v>4839</v>
      </c>
      <c r="H75" t="s">
        <v>432</v>
      </c>
      <c r="I75" t="s">
        <v>204</v>
      </c>
      <c r="J75" s="1">
        <v>46473</v>
      </c>
      <c r="K75" t="s">
        <v>762</v>
      </c>
      <c r="L75">
        <v>123</v>
      </c>
      <c r="M75">
        <v>122.57</v>
      </c>
      <c r="N75" t="s">
        <v>710</v>
      </c>
      <c r="O75" t="s">
        <v>4833</v>
      </c>
      <c r="P75" t="s">
        <v>4802</v>
      </c>
      <c r="Q75" t="s">
        <v>4852</v>
      </c>
      <c r="R75" t="s">
        <v>4771</v>
      </c>
    </row>
    <row r="76" spans="1:18" x14ac:dyDescent="0.3">
      <c r="A76">
        <v>12458782</v>
      </c>
      <c r="B76" t="s">
        <v>4874</v>
      </c>
      <c r="C76" t="s">
        <v>433</v>
      </c>
      <c r="D76" t="s">
        <v>168</v>
      </c>
      <c r="E76" s="1">
        <v>46192</v>
      </c>
      <c r="F76" t="s">
        <v>4319</v>
      </c>
      <c r="G76" t="s">
        <v>4837</v>
      </c>
      <c r="H76" t="s">
        <v>432</v>
      </c>
      <c r="I76" t="s">
        <v>204</v>
      </c>
      <c r="J76" s="1">
        <v>46473</v>
      </c>
      <c r="K76" t="s">
        <v>762</v>
      </c>
      <c r="L76">
        <v>210</v>
      </c>
      <c r="M76">
        <v>210</v>
      </c>
      <c r="N76" t="s">
        <v>710</v>
      </c>
      <c r="O76" t="s">
        <v>4833</v>
      </c>
      <c r="P76" t="s">
        <v>4802</v>
      </c>
      <c r="Q76" t="s">
        <v>4852</v>
      </c>
      <c r="R76" t="s">
        <v>4771</v>
      </c>
    </row>
    <row r="77" spans="1:18" x14ac:dyDescent="0.3">
      <c r="A77">
        <v>118977</v>
      </c>
      <c r="B77" t="s">
        <v>4874</v>
      </c>
      <c r="C77" t="s">
        <v>227</v>
      </c>
      <c r="D77" t="s">
        <v>191</v>
      </c>
      <c r="E77" s="1">
        <v>46192</v>
      </c>
      <c r="F77" t="s">
        <v>4387</v>
      </c>
      <c r="G77" t="s">
        <v>4272</v>
      </c>
      <c r="H77" t="s">
        <v>577</v>
      </c>
      <c r="I77" t="s">
        <v>204</v>
      </c>
      <c r="J77" s="1">
        <v>46493</v>
      </c>
      <c r="K77" t="s">
        <v>762</v>
      </c>
      <c r="L77">
        <v>1973.41</v>
      </c>
      <c r="M77">
        <v>1973.41</v>
      </c>
      <c r="N77" t="s">
        <v>809</v>
      </c>
      <c r="O77" t="s">
        <v>4904</v>
      </c>
      <c r="P77" t="s">
        <v>4792</v>
      </c>
      <c r="Q77" t="s">
        <v>4904</v>
      </c>
      <c r="R77" t="s">
        <v>4772</v>
      </c>
    </row>
    <row r="78" spans="1:18" x14ac:dyDescent="0.3">
      <c r="A78">
        <v>4154</v>
      </c>
      <c r="B78" t="s">
        <v>1034</v>
      </c>
      <c r="C78" t="s">
        <v>590</v>
      </c>
      <c r="D78" t="s">
        <v>79</v>
      </c>
      <c r="E78" s="1">
        <v>46192</v>
      </c>
      <c r="F78" t="s">
        <v>4365</v>
      </c>
      <c r="G78" t="s">
        <v>4836</v>
      </c>
      <c r="H78" t="s">
        <v>589</v>
      </c>
      <c r="I78" t="s">
        <v>204</v>
      </c>
      <c r="J78" s="1">
        <v>46387</v>
      </c>
      <c r="K78" t="s">
        <v>717</v>
      </c>
      <c r="L78">
        <v>1238</v>
      </c>
      <c r="M78">
        <v>1238</v>
      </c>
      <c r="N78" t="s">
        <v>814</v>
      </c>
      <c r="O78" t="s">
        <v>4845</v>
      </c>
      <c r="P78" t="s">
        <v>4793</v>
      </c>
      <c r="Q78" t="s">
        <v>4845</v>
      </c>
      <c r="R78" t="s">
        <v>4773</v>
      </c>
    </row>
    <row r="79" spans="1:18" x14ac:dyDescent="0.3">
      <c r="A79">
        <v>12457980</v>
      </c>
      <c r="B79" t="s">
        <v>1034</v>
      </c>
      <c r="C79" t="s">
        <v>433</v>
      </c>
      <c r="D79" t="s">
        <v>168</v>
      </c>
      <c r="E79" s="1">
        <v>46192</v>
      </c>
      <c r="F79" t="s">
        <v>4319</v>
      </c>
      <c r="G79" t="s">
        <v>4838</v>
      </c>
      <c r="H79" t="s">
        <v>699</v>
      </c>
      <c r="I79" t="s">
        <v>204</v>
      </c>
      <c r="J79" s="1">
        <v>46477</v>
      </c>
      <c r="K79" t="s">
        <v>717</v>
      </c>
      <c r="L79">
        <v>327</v>
      </c>
      <c r="M79">
        <v>327.02</v>
      </c>
      <c r="N79" t="s">
        <v>719</v>
      </c>
      <c r="O79" t="s">
        <v>4833</v>
      </c>
      <c r="P79" t="s">
        <v>4802</v>
      </c>
      <c r="Q79" t="s">
        <v>4852</v>
      </c>
      <c r="R79" t="s">
        <v>807</v>
      </c>
    </row>
    <row r="80" spans="1:18" x14ac:dyDescent="0.3">
      <c r="A80">
        <v>37</v>
      </c>
      <c r="B80" t="s">
        <v>1034</v>
      </c>
      <c r="C80" t="s">
        <v>507</v>
      </c>
      <c r="D80" t="s">
        <v>18</v>
      </c>
      <c r="E80" s="1">
        <v>46192</v>
      </c>
      <c r="F80" t="s">
        <v>4322</v>
      </c>
      <c r="G80" t="s">
        <v>4576</v>
      </c>
      <c r="H80" t="s">
        <v>506</v>
      </c>
      <c r="I80" t="s">
        <v>204</v>
      </c>
      <c r="J80" s="1">
        <v>46741</v>
      </c>
      <c r="K80" t="s">
        <v>711</v>
      </c>
      <c r="L80">
        <v>7700</v>
      </c>
      <c r="M80">
        <v>7700</v>
      </c>
      <c r="N80" t="s">
        <v>710</v>
      </c>
      <c r="O80" t="s">
        <v>1036</v>
      </c>
      <c r="P80" t="s">
        <v>4777</v>
      </c>
      <c r="Q80" t="s">
        <v>4901</v>
      </c>
      <c r="R80" t="s">
        <v>4773</v>
      </c>
    </row>
    <row r="81" spans="1:18" x14ac:dyDescent="0.3">
      <c r="A81">
        <v>7540</v>
      </c>
      <c r="B81" t="s">
        <v>1035</v>
      </c>
      <c r="C81" t="s">
        <v>230</v>
      </c>
      <c r="D81" t="s">
        <v>85</v>
      </c>
      <c r="E81" s="1">
        <v>46192</v>
      </c>
      <c r="F81" t="s">
        <v>4348</v>
      </c>
      <c r="G81" t="s">
        <v>4690</v>
      </c>
      <c r="H81" t="s">
        <v>229</v>
      </c>
      <c r="I81" t="s">
        <v>204</v>
      </c>
      <c r="J81" s="1">
        <v>46203</v>
      </c>
      <c r="K81" t="s">
        <v>744</v>
      </c>
      <c r="L81">
        <v>50395.12</v>
      </c>
      <c r="M81">
        <v>50395.12</v>
      </c>
      <c r="N81" t="s">
        <v>710</v>
      </c>
      <c r="O81" t="s">
        <v>1033</v>
      </c>
      <c r="P81" t="s">
        <v>4781</v>
      </c>
      <c r="Q81" t="s">
        <v>4852</v>
      </c>
      <c r="R81" t="s">
        <v>4771</v>
      </c>
    </row>
    <row r="82" spans="1:18" x14ac:dyDescent="0.3">
      <c r="A82">
        <v>43791</v>
      </c>
      <c r="B82" t="s">
        <v>1034</v>
      </c>
      <c r="C82" t="s">
        <v>327</v>
      </c>
      <c r="D82" t="s">
        <v>159</v>
      </c>
      <c r="E82" s="1">
        <v>46191</v>
      </c>
      <c r="F82" t="s">
        <v>4295</v>
      </c>
      <c r="G82" t="s">
        <v>4825</v>
      </c>
      <c r="H82" t="s">
        <v>357</v>
      </c>
      <c r="I82" t="s">
        <v>204</v>
      </c>
      <c r="J82" s="1">
        <v>46476</v>
      </c>
      <c r="K82" t="s">
        <v>711</v>
      </c>
      <c r="L82">
        <v>1327.9</v>
      </c>
      <c r="M82">
        <v>1327.9</v>
      </c>
      <c r="N82" t="s">
        <v>890</v>
      </c>
      <c r="O82" t="s">
        <v>4834</v>
      </c>
      <c r="P82" t="s">
        <v>4776</v>
      </c>
      <c r="Q82" t="s">
        <v>4901</v>
      </c>
      <c r="R82" t="s">
        <v>4773</v>
      </c>
    </row>
    <row r="83" spans="1:18" x14ac:dyDescent="0.3">
      <c r="A83">
        <v>363</v>
      </c>
      <c r="B83" t="s">
        <v>1034</v>
      </c>
      <c r="C83" t="s">
        <v>479</v>
      </c>
      <c r="D83" t="s">
        <v>99</v>
      </c>
      <c r="E83" s="1">
        <v>46191</v>
      </c>
      <c r="F83" t="s">
        <v>4376</v>
      </c>
      <c r="G83" t="s">
        <v>4831</v>
      </c>
      <c r="H83" t="s">
        <v>478</v>
      </c>
      <c r="I83" t="s">
        <v>204</v>
      </c>
      <c r="J83" s="1">
        <v>46239</v>
      </c>
      <c r="K83" t="s">
        <v>717</v>
      </c>
      <c r="L83">
        <v>8</v>
      </c>
      <c r="M83">
        <v>95.84</v>
      </c>
      <c r="N83" t="s">
        <v>710</v>
      </c>
      <c r="O83" t="s">
        <v>1037</v>
      </c>
      <c r="P83" t="s">
        <v>4790</v>
      </c>
      <c r="Q83" t="s">
        <v>4852</v>
      </c>
      <c r="R83" t="s">
        <v>4772</v>
      </c>
    </row>
    <row r="84" spans="1:18" x14ac:dyDescent="0.3">
      <c r="A84">
        <v>363</v>
      </c>
      <c r="B84" t="s">
        <v>1034</v>
      </c>
      <c r="C84" t="s">
        <v>479</v>
      </c>
      <c r="D84" t="s">
        <v>99</v>
      </c>
      <c r="E84" s="1">
        <v>46191</v>
      </c>
      <c r="F84" t="s">
        <v>4373</v>
      </c>
      <c r="G84" t="s">
        <v>4831</v>
      </c>
      <c r="H84" t="s">
        <v>478</v>
      </c>
      <c r="I84" t="s">
        <v>204</v>
      </c>
      <c r="J84" s="1">
        <v>46239</v>
      </c>
      <c r="K84" t="s">
        <v>717</v>
      </c>
      <c r="L84">
        <v>3</v>
      </c>
      <c r="M84">
        <v>46.26</v>
      </c>
      <c r="N84" t="s">
        <v>710</v>
      </c>
      <c r="O84" t="s">
        <v>1037</v>
      </c>
      <c r="P84" t="s">
        <v>4790</v>
      </c>
      <c r="Q84" t="s">
        <v>4852</v>
      </c>
      <c r="R84" t="s">
        <v>4772</v>
      </c>
    </row>
    <row r="85" spans="1:18" x14ac:dyDescent="0.3">
      <c r="A85">
        <v>21626</v>
      </c>
      <c r="B85" t="s">
        <v>4874</v>
      </c>
      <c r="C85" t="s">
        <v>1031</v>
      </c>
      <c r="D85" t="s">
        <v>1032</v>
      </c>
      <c r="E85" s="1">
        <v>46191</v>
      </c>
      <c r="F85" t="s">
        <v>4415</v>
      </c>
      <c r="G85" t="s">
        <v>4824</v>
      </c>
      <c r="H85" t="s">
        <v>1030</v>
      </c>
      <c r="I85" t="s">
        <v>204</v>
      </c>
      <c r="J85" s="1">
        <v>46537</v>
      </c>
      <c r="K85" t="s">
        <v>720</v>
      </c>
      <c r="L85">
        <v>6</v>
      </c>
      <c r="M85">
        <v>2280</v>
      </c>
      <c r="N85" t="s">
        <v>710</v>
      </c>
      <c r="O85" t="s">
        <v>1038</v>
      </c>
      <c r="P85" t="s">
        <v>4809</v>
      </c>
      <c r="Q85" t="s">
        <v>4858</v>
      </c>
      <c r="R85" t="s">
        <v>807</v>
      </c>
    </row>
    <row r="86" spans="1:18" x14ac:dyDescent="0.3">
      <c r="A86">
        <v>2391269</v>
      </c>
      <c r="B86" t="s">
        <v>4874</v>
      </c>
      <c r="C86" t="s">
        <v>668</v>
      </c>
      <c r="D86" t="s">
        <v>84</v>
      </c>
      <c r="E86" s="1">
        <v>46191</v>
      </c>
      <c r="F86" t="s">
        <v>4384</v>
      </c>
      <c r="G86" t="s">
        <v>4823</v>
      </c>
      <c r="H86" t="s">
        <v>667</v>
      </c>
      <c r="I86" t="s">
        <v>204</v>
      </c>
      <c r="J86" s="1">
        <v>46676</v>
      </c>
      <c r="K86" t="s">
        <v>762</v>
      </c>
      <c r="L86">
        <v>250</v>
      </c>
      <c r="M86">
        <v>250</v>
      </c>
      <c r="N86" t="s">
        <v>1000</v>
      </c>
      <c r="O86" t="s">
        <v>1037</v>
      </c>
      <c r="P86" t="s">
        <v>4799</v>
      </c>
      <c r="Q86" t="s">
        <v>4852</v>
      </c>
      <c r="R86" t="s">
        <v>807</v>
      </c>
    </row>
    <row r="87" spans="1:18" x14ac:dyDescent="0.3">
      <c r="A87">
        <v>118828</v>
      </c>
      <c r="B87" t="s">
        <v>4874</v>
      </c>
      <c r="C87" t="s">
        <v>227</v>
      </c>
      <c r="D87" t="s">
        <v>191</v>
      </c>
      <c r="E87" s="1">
        <v>46191</v>
      </c>
      <c r="F87" t="s">
        <v>4387</v>
      </c>
      <c r="G87" t="s">
        <v>4820</v>
      </c>
      <c r="H87" t="s">
        <v>577</v>
      </c>
      <c r="I87" t="s">
        <v>204</v>
      </c>
      <c r="J87" s="1">
        <v>46493</v>
      </c>
      <c r="K87" t="s">
        <v>762</v>
      </c>
      <c r="L87">
        <v>35318.379999999997</v>
      </c>
      <c r="M87">
        <v>35318.379999999997</v>
      </c>
      <c r="N87" t="s">
        <v>809</v>
      </c>
      <c r="O87" t="s">
        <v>4904</v>
      </c>
      <c r="P87" t="s">
        <v>4792</v>
      </c>
      <c r="Q87" t="s">
        <v>4904</v>
      </c>
      <c r="R87" t="s">
        <v>4772</v>
      </c>
    </row>
    <row r="88" spans="1:18" x14ac:dyDescent="0.3">
      <c r="A88">
        <v>118246</v>
      </c>
      <c r="B88" t="s">
        <v>4874</v>
      </c>
      <c r="C88" t="s">
        <v>227</v>
      </c>
      <c r="D88" t="s">
        <v>191</v>
      </c>
      <c r="E88" s="1">
        <v>46191</v>
      </c>
      <c r="F88" t="s">
        <v>4387</v>
      </c>
      <c r="G88" t="s">
        <v>4812</v>
      </c>
      <c r="H88" t="s">
        <v>577</v>
      </c>
      <c r="I88" t="s">
        <v>204</v>
      </c>
      <c r="J88" s="1">
        <v>46493</v>
      </c>
      <c r="K88" t="s">
        <v>762</v>
      </c>
      <c r="L88">
        <v>1973.41</v>
      </c>
      <c r="M88">
        <v>1973.41</v>
      </c>
      <c r="N88" t="s">
        <v>809</v>
      </c>
      <c r="O88" t="s">
        <v>4904</v>
      </c>
      <c r="P88" t="s">
        <v>4792</v>
      </c>
      <c r="Q88" t="s">
        <v>4904</v>
      </c>
      <c r="R88" t="s">
        <v>4772</v>
      </c>
    </row>
    <row r="89" spans="1:18" x14ac:dyDescent="0.3">
      <c r="A89">
        <v>363</v>
      </c>
      <c r="B89" t="s">
        <v>1034</v>
      </c>
      <c r="C89" t="s">
        <v>479</v>
      </c>
      <c r="D89" t="s">
        <v>99</v>
      </c>
      <c r="E89" s="1">
        <v>46191</v>
      </c>
      <c r="F89" t="s">
        <v>4374</v>
      </c>
      <c r="G89" t="s">
        <v>4831</v>
      </c>
      <c r="H89" t="s">
        <v>478</v>
      </c>
      <c r="I89" t="s">
        <v>204</v>
      </c>
      <c r="J89" s="1">
        <v>46239</v>
      </c>
      <c r="K89" t="s">
        <v>717</v>
      </c>
      <c r="L89">
        <v>7</v>
      </c>
      <c r="M89">
        <v>157.71</v>
      </c>
      <c r="N89" t="s">
        <v>710</v>
      </c>
      <c r="O89" t="s">
        <v>1037</v>
      </c>
      <c r="P89" t="s">
        <v>4790</v>
      </c>
      <c r="Q89" t="s">
        <v>4852</v>
      </c>
      <c r="R89" t="s">
        <v>4772</v>
      </c>
    </row>
    <row r="90" spans="1:18" x14ac:dyDescent="0.3">
      <c r="A90">
        <v>43792</v>
      </c>
      <c r="B90" t="s">
        <v>1034</v>
      </c>
      <c r="C90" t="s">
        <v>327</v>
      </c>
      <c r="D90" t="s">
        <v>159</v>
      </c>
      <c r="E90" s="1">
        <v>46191</v>
      </c>
      <c r="F90" t="s">
        <v>4295</v>
      </c>
      <c r="G90" t="s">
        <v>4826</v>
      </c>
      <c r="H90" t="s">
        <v>357</v>
      </c>
      <c r="I90" t="s">
        <v>204</v>
      </c>
      <c r="J90" s="1">
        <v>46476</v>
      </c>
      <c r="K90" t="s">
        <v>711</v>
      </c>
      <c r="L90">
        <v>2550</v>
      </c>
      <c r="M90">
        <v>2550</v>
      </c>
      <c r="N90" t="s">
        <v>890</v>
      </c>
      <c r="O90" t="s">
        <v>4834</v>
      </c>
      <c r="P90" t="s">
        <v>4776</v>
      </c>
      <c r="Q90" t="s">
        <v>4901</v>
      </c>
      <c r="R90" t="s">
        <v>4773</v>
      </c>
    </row>
    <row r="91" spans="1:18" x14ac:dyDescent="0.3">
      <c r="A91">
        <v>1403</v>
      </c>
      <c r="B91" t="s">
        <v>1034</v>
      </c>
      <c r="C91" t="s">
        <v>319</v>
      </c>
      <c r="D91" t="s">
        <v>36</v>
      </c>
      <c r="E91" s="1">
        <v>46191</v>
      </c>
      <c r="F91" t="s">
        <v>4298</v>
      </c>
      <c r="G91" t="s">
        <v>4747</v>
      </c>
      <c r="H91" t="s">
        <v>318</v>
      </c>
      <c r="I91" t="s">
        <v>204</v>
      </c>
      <c r="J91" s="1">
        <v>46214</v>
      </c>
      <c r="K91" t="s">
        <v>711</v>
      </c>
      <c r="L91">
        <v>673</v>
      </c>
      <c r="M91">
        <v>672.67</v>
      </c>
      <c r="N91" t="s">
        <v>710</v>
      </c>
      <c r="O91" t="s">
        <v>1036</v>
      </c>
      <c r="P91" t="s">
        <v>4784</v>
      </c>
      <c r="Q91" t="s">
        <v>4901</v>
      </c>
      <c r="R91" t="s">
        <v>4771</v>
      </c>
    </row>
    <row r="92" spans="1:18" x14ac:dyDescent="0.3">
      <c r="A92">
        <v>43794</v>
      </c>
      <c r="B92" t="s">
        <v>1034</v>
      </c>
      <c r="C92" t="s">
        <v>327</v>
      </c>
      <c r="D92" t="s">
        <v>159</v>
      </c>
      <c r="E92" s="1">
        <v>46191</v>
      </c>
      <c r="F92" t="s">
        <v>4295</v>
      </c>
      <c r="G92" t="s">
        <v>4828</v>
      </c>
      <c r="H92" t="s">
        <v>357</v>
      </c>
      <c r="I92" t="s">
        <v>204</v>
      </c>
      <c r="J92" s="1">
        <v>46476</v>
      </c>
      <c r="K92" t="s">
        <v>711</v>
      </c>
      <c r="L92">
        <v>2550</v>
      </c>
      <c r="M92">
        <v>2550</v>
      </c>
      <c r="N92" t="s">
        <v>890</v>
      </c>
      <c r="O92" t="s">
        <v>4834</v>
      </c>
      <c r="P92" t="s">
        <v>4776</v>
      </c>
      <c r="Q92" t="s">
        <v>4901</v>
      </c>
      <c r="R92" t="s">
        <v>4773</v>
      </c>
    </row>
    <row r="93" spans="1:18" x14ac:dyDescent="0.3">
      <c r="A93">
        <v>363</v>
      </c>
      <c r="B93" t="s">
        <v>1034</v>
      </c>
      <c r="C93" t="s">
        <v>479</v>
      </c>
      <c r="D93" t="s">
        <v>99</v>
      </c>
      <c r="E93" s="1">
        <v>46191</v>
      </c>
      <c r="F93" t="s">
        <v>4375</v>
      </c>
      <c r="G93" t="s">
        <v>4831</v>
      </c>
      <c r="H93" t="s">
        <v>478</v>
      </c>
      <c r="I93" t="s">
        <v>204</v>
      </c>
      <c r="J93" s="1">
        <v>46239</v>
      </c>
      <c r="K93" t="s">
        <v>717</v>
      </c>
      <c r="L93">
        <v>24</v>
      </c>
      <c r="M93">
        <v>287.52</v>
      </c>
      <c r="N93" t="s">
        <v>710</v>
      </c>
      <c r="O93" t="s">
        <v>1037</v>
      </c>
      <c r="P93" t="s">
        <v>4790</v>
      </c>
      <c r="Q93" t="s">
        <v>4852</v>
      </c>
      <c r="R93" t="s">
        <v>4772</v>
      </c>
    </row>
    <row r="94" spans="1:18" x14ac:dyDescent="0.3">
      <c r="A94">
        <v>7592</v>
      </c>
      <c r="B94" t="s">
        <v>1035</v>
      </c>
      <c r="C94" t="s">
        <v>230</v>
      </c>
      <c r="D94" t="s">
        <v>85</v>
      </c>
      <c r="E94" s="1">
        <v>46191</v>
      </c>
      <c r="F94" t="s">
        <v>4436</v>
      </c>
      <c r="G94" t="s">
        <v>4817</v>
      </c>
      <c r="H94" t="s">
        <v>229</v>
      </c>
      <c r="I94" t="s">
        <v>204</v>
      </c>
      <c r="J94" s="1">
        <v>46203</v>
      </c>
      <c r="K94" t="s">
        <v>744</v>
      </c>
      <c r="L94">
        <v>6295.1</v>
      </c>
      <c r="M94">
        <v>6295.1</v>
      </c>
      <c r="N94" t="s">
        <v>710</v>
      </c>
      <c r="O94" t="s">
        <v>1033</v>
      </c>
      <c r="P94" t="s">
        <v>4781</v>
      </c>
      <c r="Q94" t="s">
        <v>4852</v>
      </c>
      <c r="R94" t="s">
        <v>4771</v>
      </c>
    </row>
    <row r="95" spans="1:18" x14ac:dyDescent="0.3">
      <c r="A95">
        <v>11032</v>
      </c>
      <c r="B95" t="s">
        <v>1035</v>
      </c>
      <c r="C95" t="s">
        <v>546</v>
      </c>
      <c r="D95" t="s">
        <v>75</v>
      </c>
      <c r="E95" s="1">
        <v>46191</v>
      </c>
      <c r="F95" t="s">
        <v>4355</v>
      </c>
      <c r="G95" t="s">
        <v>4822</v>
      </c>
      <c r="H95" t="s">
        <v>545</v>
      </c>
      <c r="I95" t="s">
        <v>204</v>
      </c>
      <c r="J95" s="1">
        <v>46325</v>
      </c>
      <c r="K95" t="s">
        <v>744</v>
      </c>
      <c r="L95">
        <v>5530.46</v>
      </c>
      <c r="M95">
        <v>5530.46</v>
      </c>
      <c r="N95" t="s">
        <v>710</v>
      </c>
      <c r="O95" t="s">
        <v>4903</v>
      </c>
      <c r="P95" t="s">
        <v>4781</v>
      </c>
      <c r="Q95" t="s">
        <v>4858</v>
      </c>
      <c r="R95" t="s">
        <v>4773</v>
      </c>
    </row>
    <row r="96" spans="1:18" x14ac:dyDescent="0.3">
      <c r="A96">
        <v>11020</v>
      </c>
      <c r="B96" t="s">
        <v>1035</v>
      </c>
      <c r="C96" t="s">
        <v>546</v>
      </c>
      <c r="D96" t="s">
        <v>75</v>
      </c>
      <c r="E96" s="1">
        <v>46191</v>
      </c>
      <c r="F96" t="s">
        <v>4355</v>
      </c>
      <c r="G96" t="s">
        <v>4822</v>
      </c>
      <c r="H96" t="s">
        <v>545</v>
      </c>
      <c r="I96" t="s">
        <v>204</v>
      </c>
      <c r="J96" s="1">
        <v>46325</v>
      </c>
      <c r="K96" t="s">
        <v>744</v>
      </c>
      <c r="L96">
        <v>3307.43</v>
      </c>
      <c r="M96">
        <v>3307.43</v>
      </c>
      <c r="N96" t="s">
        <v>710</v>
      </c>
      <c r="O96" t="s">
        <v>4903</v>
      </c>
      <c r="P96" t="s">
        <v>4781</v>
      </c>
      <c r="Q96" t="s">
        <v>4858</v>
      </c>
      <c r="R96" t="s">
        <v>4773</v>
      </c>
    </row>
    <row r="97" spans="1:18" x14ac:dyDescent="0.3">
      <c r="A97">
        <v>11018</v>
      </c>
      <c r="B97" t="s">
        <v>1035</v>
      </c>
      <c r="C97" t="s">
        <v>546</v>
      </c>
      <c r="D97" t="s">
        <v>75</v>
      </c>
      <c r="E97" s="1">
        <v>46191</v>
      </c>
      <c r="F97" t="s">
        <v>4355</v>
      </c>
      <c r="G97" t="s">
        <v>4822</v>
      </c>
      <c r="H97" t="s">
        <v>545</v>
      </c>
      <c r="I97" t="s">
        <v>204</v>
      </c>
      <c r="J97" s="1">
        <v>46325</v>
      </c>
      <c r="K97" t="s">
        <v>744</v>
      </c>
      <c r="L97">
        <v>3200</v>
      </c>
      <c r="M97">
        <v>3200</v>
      </c>
      <c r="N97" t="s">
        <v>710</v>
      </c>
      <c r="O97" t="s">
        <v>4903</v>
      </c>
      <c r="P97" t="s">
        <v>4781</v>
      </c>
      <c r="Q97" t="s">
        <v>4858</v>
      </c>
      <c r="R97" t="s">
        <v>4773</v>
      </c>
    </row>
    <row r="98" spans="1:18" x14ac:dyDescent="0.3">
      <c r="A98">
        <v>94328</v>
      </c>
      <c r="B98" t="s">
        <v>4875</v>
      </c>
      <c r="C98" t="s">
        <v>319</v>
      </c>
      <c r="D98" t="s">
        <v>36</v>
      </c>
      <c r="E98" s="1">
        <v>46191</v>
      </c>
      <c r="F98" t="s">
        <v>4434</v>
      </c>
      <c r="G98" t="s">
        <v>4818</v>
      </c>
      <c r="H98" t="s">
        <v>336</v>
      </c>
      <c r="I98" t="s">
        <v>204</v>
      </c>
      <c r="J98" s="1">
        <v>46075</v>
      </c>
      <c r="K98" t="s">
        <v>748</v>
      </c>
      <c r="L98">
        <v>4203.3</v>
      </c>
      <c r="M98">
        <v>37105.47</v>
      </c>
      <c r="N98" t="s">
        <v>710</v>
      </c>
      <c r="O98" t="s">
        <v>1040</v>
      </c>
      <c r="P98" t="s">
        <v>4784</v>
      </c>
      <c r="Q98" t="s">
        <v>4856</v>
      </c>
      <c r="R98" t="s">
        <v>4771</v>
      </c>
    </row>
    <row r="99" spans="1:18" x14ac:dyDescent="0.3">
      <c r="A99">
        <v>107</v>
      </c>
      <c r="B99" t="s">
        <v>4875</v>
      </c>
      <c r="C99" t="s">
        <v>322</v>
      </c>
      <c r="D99" t="s">
        <v>158</v>
      </c>
      <c r="E99" s="1">
        <v>46191</v>
      </c>
      <c r="F99" t="s">
        <v>4433</v>
      </c>
      <c r="G99" t="s">
        <v>4815</v>
      </c>
      <c r="H99" t="s">
        <v>321</v>
      </c>
      <c r="I99" t="s">
        <v>204</v>
      </c>
      <c r="J99" s="1">
        <v>46310</v>
      </c>
      <c r="K99" t="s">
        <v>748</v>
      </c>
      <c r="L99">
        <v>2204.7728999999999</v>
      </c>
      <c r="M99">
        <v>28640</v>
      </c>
      <c r="N99" t="s">
        <v>710</v>
      </c>
      <c r="O99" t="s">
        <v>1040</v>
      </c>
      <c r="P99" t="s">
        <v>4782</v>
      </c>
      <c r="Q99" t="s">
        <v>4856</v>
      </c>
      <c r="R99" t="s">
        <v>4773</v>
      </c>
    </row>
    <row r="100" spans="1:18" x14ac:dyDescent="0.3">
      <c r="A100">
        <v>108</v>
      </c>
      <c r="B100" t="s">
        <v>4875</v>
      </c>
      <c r="C100" t="s">
        <v>322</v>
      </c>
      <c r="D100" t="s">
        <v>158</v>
      </c>
      <c r="E100" s="1">
        <v>46191</v>
      </c>
      <c r="F100" t="s">
        <v>4433</v>
      </c>
      <c r="G100" t="s">
        <v>4816</v>
      </c>
      <c r="H100" t="s">
        <v>346</v>
      </c>
      <c r="I100" t="s">
        <v>204</v>
      </c>
      <c r="J100" s="1">
        <v>46310</v>
      </c>
      <c r="K100" t="s">
        <v>748</v>
      </c>
      <c r="L100">
        <v>623</v>
      </c>
      <c r="M100">
        <v>8092.77</v>
      </c>
      <c r="N100" t="s">
        <v>710</v>
      </c>
      <c r="O100" t="s">
        <v>1040</v>
      </c>
      <c r="P100" t="s">
        <v>4782</v>
      </c>
      <c r="Q100" t="s">
        <v>4856</v>
      </c>
      <c r="R100" t="s">
        <v>4773</v>
      </c>
    </row>
    <row r="101" spans="1:18" x14ac:dyDescent="0.3">
      <c r="A101">
        <v>109</v>
      </c>
      <c r="B101" t="s">
        <v>4875</v>
      </c>
      <c r="C101" t="s">
        <v>322</v>
      </c>
      <c r="D101" t="s">
        <v>158</v>
      </c>
      <c r="E101" s="1">
        <v>46191</v>
      </c>
      <c r="F101" t="s">
        <v>4432</v>
      </c>
      <c r="G101" t="s">
        <v>4650</v>
      </c>
      <c r="H101" t="s">
        <v>352</v>
      </c>
      <c r="I101" t="s">
        <v>204</v>
      </c>
      <c r="J101" s="1">
        <v>46310</v>
      </c>
      <c r="K101" t="s">
        <v>748</v>
      </c>
      <c r="L101">
        <v>108</v>
      </c>
      <c r="M101">
        <v>2158.92</v>
      </c>
      <c r="N101" t="s">
        <v>710</v>
      </c>
      <c r="O101" t="s">
        <v>1040</v>
      </c>
      <c r="P101" t="s">
        <v>4782</v>
      </c>
      <c r="Q101" t="s">
        <v>4856</v>
      </c>
      <c r="R101" t="s">
        <v>4773</v>
      </c>
    </row>
    <row r="102" spans="1:18" x14ac:dyDescent="0.3">
      <c r="A102">
        <v>43789</v>
      </c>
      <c r="B102" t="s">
        <v>4875</v>
      </c>
      <c r="C102" t="s">
        <v>327</v>
      </c>
      <c r="D102" t="s">
        <v>159</v>
      </c>
      <c r="E102" s="1">
        <v>46191</v>
      </c>
      <c r="F102" t="s">
        <v>4295</v>
      </c>
      <c r="G102" t="s">
        <v>4819</v>
      </c>
      <c r="H102" t="s">
        <v>326</v>
      </c>
      <c r="I102" t="s">
        <v>204</v>
      </c>
      <c r="J102" s="1">
        <v>54878</v>
      </c>
      <c r="K102" t="s">
        <v>748</v>
      </c>
      <c r="L102">
        <v>4667.1499999999996</v>
      </c>
      <c r="M102">
        <v>4667.1499999999996</v>
      </c>
      <c r="N102" t="s">
        <v>719</v>
      </c>
      <c r="O102" t="s">
        <v>4834</v>
      </c>
      <c r="P102" t="s">
        <v>4776</v>
      </c>
      <c r="Q102" t="s">
        <v>4856</v>
      </c>
      <c r="R102" t="s">
        <v>4773</v>
      </c>
    </row>
    <row r="103" spans="1:18" x14ac:dyDescent="0.3">
      <c r="A103">
        <v>43793</v>
      </c>
      <c r="B103" t="s">
        <v>1034</v>
      </c>
      <c r="C103" t="s">
        <v>327</v>
      </c>
      <c r="D103" t="s">
        <v>159</v>
      </c>
      <c r="E103" s="1">
        <v>46191</v>
      </c>
      <c r="F103" t="s">
        <v>4295</v>
      </c>
      <c r="G103" t="s">
        <v>4827</v>
      </c>
      <c r="H103" t="s">
        <v>357</v>
      </c>
      <c r="I103" t="s">
        <v>204</v>
      </c>
      <c r="J103" s="1">
        <v>46476</v>
      </c>
      <c r="K103" t="s">
        <v>711</v>
      </c>
      <c r="L103">
        <v>1891.5</v>
      </c>
      <c r="M103">
        <v>1891.5</v>
      </c>
      <c r="N103" t="s">
        <v>890</v>
      </c>
      <c r="O103" t="s">
        <v>4834</v>
      </c>
      <c r="P103" t="s">
        <v>4776</v>
      </c>
      <c r="Q103" t="s">
        <v>4901</v>
      </c>
      <c r="R103" t="s">
        <v>4773</v>
      </c>
    </row>
    <row r="104" spans="1:18" x14ac:dyDescent="0.3">
      <c r="A104">
        <v>34279</v>
      </c>
      <c r="B104" t="s">
        <v>1034</v>
      </c>
      <c r="C104" t="s">
        <v>660</v>
      </c>
      <c r="D104" t="s">
        <v>96</v>
      </c>
      <c r="E104" s="1">
        <v>46191</v>
      </c>
      <c r="F104" t="s">
        <v>4378</v>
      </c>
      <c r="G104" t="s">
        <v>4821</v>
      </c>
      <c r="H104" t="s">
        <v>661</v>
      </c>
      <c r="I104" t="s">
        <v>204</v>
      </c>
      <c r="J104" s="1">
        <v>46537</v>
      </c>
      <c r="K104" t="s">
        <v>717</v>
      </c>
      <c r="L104">
        <v>1</v>
      </c>
      <c r="M104">
        <v>36000</v>
      </c>
      <c r="N104" t="s">
        <v>710</v>
      </c>
      <c r="O104" t="s">
        <v>4902</v>
      </c>
      <c r="P104" t="s">
        <v>4776</v>
      </c>
      <c r="Q104" t="s">
        <v>4852</v>
      </c>
      <c r="R104" t="s">
        <v>807</v>
      </c>
    </row>
    <row r="105" spans="1:18" x14ac:dyDescent="0.3">
      <c r="A105">
        <v>35001</v>
      </c>
      <c r="B105" t="s">
        <v>4874</v>
      </c>
      <c r="C105" t="s">
        <v>592</v>
      </c>
      <c r="D105" t="s">
        <v>8</v>
      </c>
      <c r="E105" s="1">
        <v>46190</v>
      </c>
      <c r="F105" t="s">
        <v>4363</v>
      </c>
      <c r="G105" t="s">
        <v>4745</v>
      </c>
      <c r="H105" t="s">
        <v>683</v>
      </c>
      <c r="I105" t="s">
        <v>204</v>
      </c>
      <c r="J105" s="1">
        <v>46387</v>
      </c>
      <c r="K105" t="s">
        <v>762</v>
      </c>
      <c r="L105">
        <v>5.84</v>
      </c>
      <c r="M105">
        <v>5.84</v>
      </c>
      <c r="N105" t="s">
        <v>890</v>
      </c>
      <c r="O105" t="s">
        <v>4833</v>
      </c>
      <c r="P105" t="s">
        <v>950</v>
      </c>
      <c r="Q105" t="s">
        <v>4852</v>
      </c>
      <c r="R105" t="s">
        <v>807</v>
      </c>
    </row>
    <row r="106" spans="1:18" x14ac:dyDescent="0.3">
      <c r="A106">
        <v>8</v>
      </c>
      <c r="B106" t="s">
        <v>1034</v>
      </c>
      <c r="C106" t="s">
        <v>686</v>
      </c>
      <c r="D106" t="s">
        <v>116</v>
      </c>
      <c r="E106" s="1">
        <v>46190</v>
      </c>
      <c r="F106" t="s">
        <v>4385</v>
      </c>
      <c r="G106" t="s">
        <v>4717</v>
      </c>
      <c r="H106" t="s">
        <v>685</v>
      </c>
      <c r="I106" t="s">
        <v>204</v>
      </c>
      <c r="J106" s="1">
        <v>46418</v>
      </c>
      <c r="K106" t="s">
        <v>717</v>
      </c>
      <c r="L106">
        <v>66</v>
      </c>
      <c r="M106">
        <v>1650</v>
      </c>
      <c r="N106" t="s">
        <v>818</v>
      </c>
      <c r="O106" t="s">
        <v>1037</v>
      </c>
      <c r="P106" t="s">
        <v>4801</v>
      </c>
      <c r="Q106" t="s">
        <v>4852</v>
      </c>
      <c r="R106" t="s">
        <v>807</v>
      </c>
    </row>
    <row r="107" spans="1:18" x14ac:dyDescent="0.3">
      <c r="A107">
        <v>104698</v>
      </c>
      <c r="B107" t="s">
        <v>1034</v>
      </c>
      <c r="C107" t="s">
        <v>502</v>
      </c>
      <c r="D107" t="s">
        <v>2</v>
      </c>
      <c r="E107" s="1">
        <v>46190</v>
      </c>
      <c r="F107" t="s">
        <v>4303</v>
      </c>
      <c r="G107" t="s">
        <v>4830</v>
      </c>
      <c r="H107" t="s">
        <v>501</v>
      </c>
      <c r="I107" t="s">
        <v>204</v>
      </c>
      <c r="J107" s="1">
        <v>54878</v>
      </c>
      <c r="K107" t="s">
        <v>717</v>
      </c>
      <c r="L107">
        <v>1901.56</v>
      </c>
      <c r="M107">
        <v>1901.56</v>
      </c>
      <c r="N107" t="s">
        <v>710</v>
      </c>
      <c r="O107" t="s">
        <v>4833</v>
      </c>
      <c r="P107" t="s">
        <v>4776</v>
      </c>
      <c r="Q107" t="s">
        <v>4852</v>
      </c>
      <c r="R107" t="s">
        <v>4774</v>
      </c>
    </row>
    <row r="108" spans="1:18" x14ac:dyDescent="0.3">
      <c r="A108">
        <v>413</v>
      </c>
      <c r="B108" t="s">
        <v>4874</v>
      </c>
      <c r="C108" t="s">
        <v>575</v>
      </c>
      <c r="D108" t="s">
        <v>174</v>
      </c>
      <c r="E108" s="1">
        <v>46190</v>
      </c>
      <c r="F108" t="s">
        <v>4428</v>
      </c>
      <c r="G108" t="s">
        <v>4592</v>
      </c>
      <c r="H108" t="s">
        <v>574</v>
      </c>
      <c r="I108" t="s">
        <v>204</v>
      </c>
      <c r="J108" s="1">
        <v>46203</v>
      </c>
      <c r="K108" t="s">
        <v>720</v>
      </c>
      <c r="L108">
        <v>440</v>
      </c>
      <c r="M108">
        <v>440</v>
      </c>
      <c r="N108" t="s">
        <v>890</v>
      </c>
      <c r="O108" t="s">
        <v>1039</v>
      </c>
      <c r="P108" t="s">
        <v>4776</v>
      </c>
      <c r="Q108" t="s">
        <v>4858</v>
      </c>
      <c r="R108" t="s">
        <v>4771</v>
      </c>
    </row>
    <row r="109" spans="1:18" x14ac:dyDescent="0.3">
      <c r="A109">
        <v>413</v>
      </c>
      <c r="B109" t="s">
        <v>4874</v>
      </c>
      <c r="C109" t="s">
        <v>575</v>
      </c>
      <c r="D109" t="s">
        <v>174</v>
      </c>
      <c r="E109" s="1">
        <v>46190</v>
      </c>
      <c r="F109" t="s">
        <v>4412</v>
      </c>
      <c r="G109" t="s">
        <v>4592</v>
      </c>
      <c r="H109" t="s">
        <v>574</v>
      </c>
      <c r="I109" t="s">
        <v>204</v>
      </c>
      <c r="J109" s="1">
        <v>46203</v>
      </c>
      <c r="K109" t="s">
        <v>720</v>
      </c>
      <c r="L109">
        <v>1200</v>
      </c>
      <c r="M109">
        <v>1200</v>
      </c>
      <c r="N109" t="s">
        <v>890</v>
      </c>
      <c r="O109" t="s">
        <v>1039</v>
      </c>
      <c r="P109" t="s">
        <v>4776</v>
      </c>
      <c r="Q109" t="s">
        <v>4858</v>
      </c>
      <c r="R109" t="s">
        <v>4771</v>
      </c>
    </row>
    <row r="110" spans="1:18" x14ac:dyDescent="0.3">
      <c r="A110">
        <v>413</v>
      </c>
      <c r="B110" t="s">
        <v>4874</v>
      </c>
      <c r="C110" t="s">
        <v>575</v>
      </c>
      <c r="D110" t="s">
        <v>174</v>
      </c>
      <c r="E110" s="1">
        <v>46190</v>
      </c>
      <c r="F110" t="s">
        <v>4412</v>
      </c>
      <c r="G110" t="s">
        <v>4592</v>
      </c>
      <c r="H110" t="s">
        <v>574</v>
      </c>
      <c r="I110" t="s">
        <v>204</v>
      </c>
      <c r="J110" s="1">
        <v>46203</v>
      </c>
      <c r="K110" t="s">
        <v>720</v>
      </c>
      <c r="L110">
        <v>400</v>
      </c>
      <c r="M110">
        <v>400</v>
      </c>
      <c r="N110" t="s">
        <v>890</v>
      </c>
      <c r="O110" t="s">
        <v>1039</v>
      </c>
      <c r="P110" t="s">
        <v>4776</v>
      </c>
      <c r="Q110" t="s">
        <v>4858</v>
      </c>
      <c r="R110" t="s">
        <v>4771</v>
      </c>
    </row>
    <row r="111" spans="1:18" x14ac:dyDescent="0.3">
      <c r="A111">
        <v>413</v>
      </c>
      <c r="B111" t="s">
        <v>4874</v>
      </c>
      <c r="C111" t="s">
        <v>575</v>
      </c>
      <c r="D111" t="s">
        <v>174</v>
      </c>
      <c r="E111" s="1">
        <v>46190</v>
      </c>
      <c r="F111" t="s">
        <v>4412</v>
      </c>
      <c r="G111" t="s">
        <v>4592</v>
      </c>
      <c r="H111" t="s">
        <v>574</v>
      </c>
      <c r="I111" t="s">
        <v>204</v>
      </c>
      <c r="J111" s="1">
        <v>46203</v>
      </c>
      <c r="K111" t="s">
        <v>720</v>
      </c>
      <c r="L111">
        <v>540</v>
      </c>
      <c r="M111">
        <v>540</v>
      </c>
      <c r="N111" t="s">
        <v>890</v>
      </c>
      <c r="O111" t="s">
        <v>1039</v>
      </c>
      <c r="P111" t="s">
        <v>4776</v>
      </c>
      <c r="Q111" t="s">
        <v>4858</v>
      </c>
      <c r="R111" t="s">
        <v>4771</v>
      </c>
    </row>
    <row r="112" spans="1:18" x14ac:dyDescent="0.3">
      <c r="A112">
        <v>413</v>
      </c>
      <c r="B112" t="s">
        <v>4874</v>
      </c>
      <c r="C112" t="s">
        <v>575</v>
      </c>
      <c r="D112" t="s">
        <v>174</v>
      </c>
      <c r="E112" s="1">
        <v>46190</v>
      </c>
      <c r="F112" t="s">
        <v>4428</v>
      </c>
      <c r="G112" t="s">
        <v>4592</v>
      </c>
      <c r="H112" t="s">
        <v>574</v>
      </c>
      <c r="I112" t="s">
        <v>204</v>
      </c>
      <c r="J112" s="1">
        <v>46203</v>
      </c>
      <c r="K112" t="s">
        <v>720</v>
      </c>
      <c r="L112">
        <v>2910.21</v>
      </c>
      <c r="M112">
        <v>2910.21</v>
      </c>
      <c r="N112" t="s">
        <v>890</v>
      </c>
      <c r="O112" t="s">
        <v>1039</v>
      </c>
      <c r="P112" t="s">
        <v>4776</v>
      </c>
      <c r="Q112" t="s">
        <v>4858</v>
      </c>
      <c r="R112" t="s">
        <v>4771</v>
      </c>
    </row>
    <row r="113" spans="1:18" x14ac:dyDescent="0.3">
      <c r="A113">
        <v>413</v>
      </c>
      <c r="B113" t="s">
        <v>4874</v>
      </c>
      <c r="C113" t="s">
        <v>575</v>
      </c>
      <c r="D113" t="s">
        <v>174</v>
      </c>
      <c r="E113" s="1">
        <v>46190</v>
      </c>
      <c r="F113" t="s">
        <v>4412</v>
      </c>
      <c r="G113" t="s">
        <v>4592</v>
      </c>
      <c r="H113" t="s">
        <v>574</v>
      </c>
      <c r="I113" t="s">
        <v>204</v>
      </c>
      <c r="J113" s="1">
        <v>46203</v>
      </c>
      <c r="K113" t="s">
        <v>720</v>
      </c>
      <c r="L113">
        <v>50</v>
      </c>
      <c r="M113">
        <v>50</v>
      </c>
      <c r="N113" t="s">
        <v>890</v>
      </c>
      <c r="O113" t="s">
        <v>1039</v>
      </c>
      <c r="P113" t="s">
        <v>4776</v>
      </c>
      <c r="Q113" t="s">
        <v>4858</v>
      </c>
      <c r="R113" t="s">
        <v>4771</v>
      </c>
    </row>
    <row r="114" spans="1:18" x14ac:dyDescent="0.3">
      <c r="A114">
        <v>413</v>
      </c>
      <c r="B114" t="s">
        <v>4874</v>
      </c>
      <c r="C114" t="s">
        <v>575</v>
      </c>
      <c r="D114" t="s">
        <v>174</v>
      </c>
      <c r="E114" s="1">
        <v>46190</v>
      </c>
      <c r="F114" t="s">
        <v>4412</v>
      </c>
      <c r="G114" t="s">
        <v>4592</v>
      </c>
      <c r="H114" t="s">
        <v>574</v>
      </c>
      <c r="I114" t="s">
        <v>204</v>
      </c>
      <c r="J114" s="1">
        <v>46203</v>
      </c>
      <c r="K114" t="s">
        <v>720</v>
      </c>
      <c r="L114">
        <v>440</v>
      </c>
      <c r="M114">
        <v>440</v>
      </c>
      <c r="N114" t="s">
        <v>890</v>
      </c>
      <c r="O114" t="s">
        <v>1039</v>
      </c>
      <c r="P114" t="s">
        <v>4776</v>
      </c>
      <c r="Q114" t="s">
        <v>4858</v>
      </c>
      <c r="R114" t="s">
        <v>4771</v>
      </c>
    </row>
    <row r="115" spans="1:18" x14ac:dyDescent="0.3">
      <c r="A115">
        <v>62678</v>
      </c>
      <c r="B115" t="s">
        <v>4874</v>
      </c>
      <c r="C115" t="s">
        <v>614</v>
      </c>
      <c r="D115" t="s">
        <v>74</v>
      </c>
      <c r="E115" s="1">
        <v>46190</v>
      </c>
      <c r="F115" t="s">
        <v>4362</v>
      </c>
      <c r="G115" t="s">
        <v>4590</v>
      </c>
      <c r="H115" t="s">
        <v>613</v>
      </c>
      <c r="I115" t="s">
        <v>204</v>
      </c>
      <c r="J115" s="1">
        <v>46993</v>
      </c>
      <c r="K115" t="s">
        <v>720</v>
      </c>
      <c r="L115">
        <v>1515</v>
      </c>
      <c r="M115">
        <v>1515</v>
      </c>
      <c r="N115" t="s">
        <v>710</v>
      </c>
      <c r="O115" t="s">
        <v>1038</v>
      </c>
      <c r="P115" t="s">
        <v>4779</v>
      </c>
      <c r="Q115" t="s">
        <v>4858</v>
      </c>
      <c r="R115" t="s">
        <v>4771</v>
      </c>
    </row>
    <row r="116" spans="1:18" x14ac:dyDescent="0.3">
      <c r="A116">
        <v>2541</v>
      </c>
      <c r="B116" t="s">
        <v>1034</v>
      </c>
      <c r="C116" t="s">
        <v>616</v>
      </c>
      <c r="D116" t="s">
        <v>152</v>
      </c>
      <c r="E116" s="1">
        <v>46190</v>
      </c>
      <c r="F116" t="s">
        <v>4338</v>
      </c>
      <c r="G116" t="s">
        <v>4684</v>
      </c>
      <c r="H116" t="s">
        <v>621</v>
      </c>
      <c r="I116" t="s">
        <v>204</v>
      </c>
      <c r="J116" s="1">
        <v>46349</v>
      </c>
      <c r="K116" t="s">
        <v>711</v>
      </c>
      <c r="L116">
        <v>58323.15</v>
      </c>
      <c r="M116">
        <v>-58323.15</v>
      </c>
      <c r="N116" t="s">
        <v>710</v>
      </c>
      <c r="O116" t="s">
        <v>4904</v>
      </c>
      <c r="P116" t="s">
        <v>4796</v>
      </c>
      <c r="Q116" t="s">
        <v>4901</v>
      </c>
      <c r="R116" t="s">
        <v>4772</v>
      </c>
    </row>
    <row r="117" spans="1:18" x14ac:dyDescent="0.3">
      <c r="A117">
        <v>1159</v>
      </c>
      <c r="B117" t="s">
        <v>1034</v>
      </c>
      <c r="C117" t="s">
        <v>550</v>
      </c>
      <c r="D117" t="s">
        <v>189</v>
      </c>
      <c r="E117" s="1">
        <v>46190</v>
      </c>
      <c r="F117" t="s">
        <v>4338</v>
      </c>
      <c r="G117" t="s">
        <v>4813</v>
      </c>
      <c r="H117" t="s">
        <v>582</v>
      </c>
      <c r="I117" t="s">
        <v>204</v>
      </c>
      <c r="J117" s="1">
        <v>46599</v>
      </c>
      <c r="K117" t="s">
        <v>717</v>
      </c>
      <c r="L117">
        <v>30413.439999999999</v>
      </c>
      <c r="M117">
        <v>30413.439999999999</v>
      </c>
      <c r="N117" t="s">
        <v>710</v>
      </c>
      <c r="O117" t="s">
        <v>4904</v>
      </c>
      <c r="P117" t="s">
        <v>4792</v>
      </c>
      <c r="Q117" t="s">
        <v>4904</v>
      </c>
      <c r="R117" t="s">
        <v>4772</v>
      </c>
    </row>
    <row r="118" spans="1:18" x14ac:dyDescent="0.3">
      <c r="A118">
        <v>413</v>
      </c>
      <c r="B118" t="s">
        <v>4874</v>
      </c>
      <c r="C118" t="s">
        <v>575</v>
      </c>
      <c r="D118" t="s">
        <v>174</v>
      </c>
      <c r="E118" s="1">
        <v>46190</v>
      </c>
      <c r="F118" t="s">
        <v>4412</v>
      </c>
      <c r="G118" t="s">
        <v>4592</v>
      </c>
      <c r="H118" t="s">
        <v>574</v>
      </c>
      <c r="I118" t="s">
        <v>204</v>
      </c>
      <c r="J118" s="1">
        <v>46203</v>
      </c>
      <c r="K118" t="s">
        <v>720</v>
      </c>
      <c r="L118">
        <v>1022.92</v>
      </c>
      <c r="M118">
        <v>1022.92</v>
      </c>
      <c r="N118" t="s">
        <v>890</v>
      </c>
      <c r="O118" t="s">
        <v>1039</v>
      </c>
      <c r="P118" t="s">
        <v>4776</v>
      </c>
      <c r="Q118" t="s">
        <v>4858</v>
      </c>
      <c r="R118" t="s">
        <v>4771</v>
      </c>
    </row>
    <row r="119" spans="1:18" x14ac:dyDescent="0.3">
      <c r="A119">
        <v>223</v>
      </c>
      <c r="B119" t="s">
        <v>1034</v>
      </c>
      <c r="C119" t="s">
        <v>552</v>
      </c>
      <c r="D119" t="s">
        <v>190</v>
      </c>
      <c r="E119" s="1">
        <v>46190</v>
      </c>
      <c r="F119" t="s">
        <v>4339</v>
      </c>
      <c r="G119" t="s">
        <v>4814</v>
      </c>
      <c r="H119" t="s">
        <v>583</v>
      </c>
      <c r="I119" t="s">
        <v>204</v>
      </c>
      <c r="J119" s="1">
        <v>46441</v>
      </c>
      <c r="K119" t="s">
        <v>717</v>
      </c>
      <c r="L119">
        <v>68955.289999999994</v>
      </c>
      <c r="M119">
        <v>68955.289999999994</v>
      </c>
      <c r="N119" t="s">
        <v>710</v>
      </c>
      <c r="O119" t="s">
        <v>4904</v>
      </c>
      <c r="P119" t="s">
        <v>4792</v>
      </c>
      <c r="Q119" t="s">
        <v>4904</v>
      </c>
      <c r="R119" t="s">
        <v>4772</v>
      </c>
    </row>
    <row r="120" spans="1:18" x14ac:dyDescent="0.3">
      <c r="A120">
        <v>75135</v>
      </c>
      <c r="B120" t="s">
        <v>4874</v>
      </c>
      <c r="C120" t="s">
        <v>514</v>
      </c>
      <c r="D120" t="s">
        <v>47</v>
      </c>
      <c r="E120" s="1">
        <v>46189</v>
      </c>
      <c r="F120" t="s">
        <v>4362</v>
      </c>
      <c r="G120" t="s">
        <v>4753</v>
      </c>
      <c r="H120" t="s">
        <v>513</v>
      </c>
      <c r="I120" t="s">
        <v>204</v>
      </c>
      <c r="J120" s="1">
        <v>46386</v>
      </c>
      <c r="K120" t="s">
        <v>762</v>
      </c>
      <c r="L120">
        <v>9301.59</v>
      </c>
      <c r="M120">
        <v>9301.59</v>
      </c>
      <c r="N120" t="s">
        <v>710</v>
      </c>
      <c r="O120" t="s">
        <v>4833</v>
      </c>
      <c r="P120" t="s">
        <v>4779</v>
      </c>
      <c r="Q120" t="s">
        <v>4852</v>
      </c>
    </row>
    <row r="121" spans="1:18" x14ac:dyDescent="0.3">
      <c r="A121">
        <v>739239</v>
      </c>
      <c r="B121" t="s">
        <v>4875</v>
      </c>
      <c r="C121" t="s">
        <v>333</v>
      </c>
      <c r="D121" t="s">
        <v>29</v>
      </c>
      <c r="E121" s="1">
        <v>46189</v>
      </c>
      <c r="F121" t="s">
        <v>4317</v>
      </c>
      <c r="G121" t="s">
        <v>4755</v>
      </c>
      <c r="H121" t="s">
        <v>335</v>
      </c>
      <c r="I121" t="s">
        <v>204</v>
      </c>
      <c r="J121" s="1">
        <v>54878</v>
      </c>
      <c r="K121" t="s">
        <v>748</v>
      </c>
      <c r="L121">
        <v>686</v>
      </c>
      <c r="M121">
        <v>685.92</v>
      </c>
      <c r="N121" t="s">
        <v>710</v>
      </c>
      <c r="O121" t="s">
        <v>1040</v>
      </c>
      <c r="P121" t="s">
        <v>4776</v>
      </c>
      <c r="Q121" t="s">
        <v>4856</v>
      </c>
      <c r="R121" t="s">
        <v>4771</v>
      </c>
    </row>
    <row r="122" spans="1:18" x14ac:dyDescent="0.3">
      <c r="A122">
        <v>7641</v>
      </c>
      <c r="B122" t="s">
        <v>1035</v>
      </c>
      <c r="C122" t="s">
        <v>230</v>
      </c>
      <c r="D122" t="s">
        <v>85</v>
      </c>
      <c r="E122" s="1">
        <v>46189</v>
      </c>
      <c r="F122" t="s">
        <v>4348</v>
      </c>
      <c r="G122" t="s">
        <v>4743</v>
      </c>
      <c r="H122" t="s">
        <v>229</v>
      </c>
      <c r="I122" t="s">
        <v>204</v>
      </c>
      <c r="J122" s="1">
        <v>46203</v>
      </c>
      <c r="K122" t="s">
        <v>744</v>
      </c>
      <c r="L122">
        <v>6186.52</v>
      </c>
      <c r="M122">
        <v>6168.52</v>
      </c>
      <c r="N122" t="s">
        <v>710</v>
      </c>
      <c r="O122" t="s">
        <v>1033</v>
      </c>
      <c r="P122" t="s">
        <v>4781</v>
      </c>
      <c r="Q122" t="s">
        <v>4852</v>
      </c>
      <c r="R122" t="s">
        <v>4771</v>
      </c>
    </row>
    <row r="123" spans="1:18" x14ac:dyDescent="0.3">
      <c r="A123">
        <v>18825</v>
      </c>
      <c r="B123" t="s">
        <v>1034</v>
      </c>
      <c r="C123" t="s">
        <v>632</v>
      </c>
      <c r="D123" t="s">
        <v>41</v>
      </c>
      <c r="E123" s="1">
        <v>46189</v>
      </c>
      <c r="F123" t="s">
        <v>4352</v>
      </c>
      <c r="G123" t="s">
        <v>3580</v>
      </c>
      <c r="H123" t="s">
        <v>631</v>
      </c>
      <c r="I123" t="s">
        <v>204</v>
      </c>
      <c r="J123" s="1">
        <v>50860</v>
      </c>
      <c r="K123" t="s">
        <v>717</v>
      </c>
      <c r="L123">
        <v>1</v>
      </c>
      <c r="M123">
        <v>6708</v>
      </c>
      <c r="N123" t="s">
        <v>710</v>
      </c>
      <c r="O123" t="s">
        <v>4833</v>
      </c>
      <c r="P123" t="s">
        <v>4776</v>
      </c>
      <c r="Q123" t="s">
        <v>4852</v>
      </c>
      <c r="R123" t="s">
        <v>4771</v>
      </c>
    </row>
    <row r="124" spans="1:18" x14ac:dyDescent="0.3">
      <c r="A124">
        <v>2439693</v>
      </c>
      <c r="B124" t="s">
        <v>1034</v>
      </c>
      <c r="C124" t="s">
        <v>668</v>
      </c>
      <c r="D124" t="s">
        <v>84</v>
      </c>
      <c r="E124" s="1">
        <v>46189</v>
      </c>
      <c r="F124" t="s">
        <v>4324</v>
      </c>
      <c r="G124" t="s">
        <v>4750</v>
      </c>
      <c r="H124" t="s">
        <v>671</v>
      </c>
      <c r="I124" t="s">
        <v>204</v>
      </c>
      <c r="J124" s="1">
        <v>46324</v>
      </c>
      <c r="K124" t="s">
        <v>717</v>
      </c>
      <c r="L124">
        <v>170541</v>
      </c>
      <c r="M124">
        <v>170541</v>
      </c>
      <c r="N124" t="s">
        <v>710</v>
      </c>
      <c r="O124" t="s">
        <v>1037</v>
      </c>
      <c r="P124" t="s">
        <v>4799</v>
      </c>
      <c r="Q124" t="s">
        <v>4852</v>
      </c>
      <c r="R124" t="s">
        <v>807</v>
      </c>
    </row>
    <row r="125" spans="1:18" x14ac:dyDescent="0.3">
      <c r="A125">
        <v>744047</v>
      </c>
      <c r="B125" t="s">
        <v>1034</v>
      </c>
      <c r="C125" t="s">
        <v>333</v>
      </c>
      <c r="D125" t="s">
        <v>29</v>
      </c>
      <c r="E125" s="1">
        <v>46189</v>
      </c>
      <c r="F125" t="s">
        <v>4317</v>
      </c>
      <c r="G125" t="s">
        <v>4756</v>
      </c>
      <c r="H125" t="s">
        <v>332</v>
      </c>
      <c r="I125" t="s">
        <v>204</v>
      </c>
      <c r="J125" s="1">
        <v>54878</v>
      </c>
      <c r="K125" t="s">
        <v>711</v>
      </c>
      <c r="L125">
        <v>708</v>
      </c>
      <c r="M125">
        <v>708.32</v>
      </c>
      <c r="N125" t="s">
        <v>710</v>
      </c>
      <c r="O125" t="s">
        <v>1036</v>
      </c>
      <c r="P125" t="s">
        <v>4776</v>
      </c>
      <c r="Q125" t="s">
        <v>4901</v>
      </c>
      <c r="R125" t="s">
        <v>4771</v>
      </c>
    </row>
    <row r="126" spans="1:18" x14ac:dyDescent="0.3">
      <c r="A126">
        <v>3734</v>
      </c>
      <c r="B126" t="s">
        <v>4874</v>
      </c>
      <c r="C126" t="s">
        <v>541</v>
      </c>
      <c r="D126" t="s">
        <v>173</v>
      </c>
      <c r="E126" s="1">
        <v>46189</v>
      </c>
      <c r="F126" t="s">
        <v>4326</v>
      </c>
      <c r="G126" t="s">
        <v>4726</v>
      </c>
      <c r="H126" t="s">
        <v>548</v>
      </c>
      <c r="I126" t="s">
        <v>204</v>
      </c>
      <c r="J126" s="1">
        <v>46387</v>
      </c>
      <c r="K126" t="s">
        <v>720</v>
      </c>
      <c r="L126">
        <v>2300</v>
      </c>
      <c r="M126">
        <v>2300</v>
      </c>
      <c r="N126" t="s">
        <v>710</v>
      </c>
      <c r="O126" t="s">
        <v>1038</v>
      </c>
      <c r="P126" t="s">
        <v>4791</v>
      </c>
      <c r="Q126" t="s">
        <v>4858</v>
      </c>
      <c r="R126" t="s">
        <v>4773</v>
      </c>
    </row>
    <row r="127" spans="1:18" x14ac:dyDescent="0.3">
      <c r="A127">
        <v>2439595</v>
      </c>
      <c r="B127" t="s">
        <v>4874</v>
      </c>
      <c r="C127" t="s">
        <v>668</v>
      </c>
      <c r="D127" t="s">
        <v>84</v>
      </c>
      <c r="E127" s="1">
        <v>46189</v>
      </c>
      <c r="F127" t="s">
        <v>4324</v>
      </c>
      <c r="G127" t="s">
        <v>4751</v>
      </c>
      <c r="H127" t="s">
        <v>667</v>
      </c>
      <c r="I127" t="s">
        <v>204</v>
      </c>
      <c r="J127" s="1">
        <v>46676</v>
      </c>
      <c r="K127" t="s">
        <v>762</v>
      </c>
      <c r="L127">
        <v>120782</v>
      </c>
      <c r="M127">
        <v>120782</v>
      </c>
      <c r="N127" t="s">
        <v>1000</v>
      </c>
      <c r="O127" t="s">
        <v>1037</v>
      </c>
      <c r="P127" t="s">
        <v>4799</v>
      </c>
      <c r="Q127" t="s">
        <v>4852</v>
      </c>
      <c r="R127" t="s">
        <v>807</v>
      </c>
    </row>
    <row r="128" spans="1:18" x14ac:dyDescent="0.3">
      <c r="A128">
        <v>11033</v>
      </c>
      <c r="B128" t="s">
        <v>4874</v>
      </c>
      <c r="C128" t="s">
        <v>546</v>
      </c>
      <c r="D128" t="s">
        <v>75</v>
      </c>
      <c r="E128" s="1">
        <v>46189</v>
      </c>
      <c r="F128" t="s">
        <v>4355</v>
      </c>
      <c r="G128" t="s">
        <v>4728</v>
      </c>
      <c r="H128" t="s">
        <v>581</v>
      </c>
      <c r="I128" t="s">
        <v>204</v>
      </c>
      <c r="J128" s="1">
        <v>46233</v>
      </c>
      <c r="K128" t="s">
        <v>720</v>
      </c>
      <c r="L128">
        <v>3090.55</v>
      </c>
      <c r="M128">
        <v>3090.55</v>
      </c>
      <c r="N128" t="s">
        <v>814</v>
      </c>
      <c r="O128" t="s">
        <v>1038</v>
      </c>
      <c r="P128" t="s">
        <v>4779</v>
      </c>
      <c r="Q128" t="s">
        <v>4858</v>
      </c>
      <c r="R128" t="s">
        <v>4773</v>
      </c>
    </row>
    <row r="129" spans="1:18" x14ac:dyDescent="0.3">
      <c r="A129">
        <v>11021</v>
      </c>
      <c r="B129" t="s">
        <v>4874</v>
      </c>
      <c r="C129" t="s">
        <v>546</v>
      </c>
      <c r="D129" t="s">
        <v>75</v>
      </c>
      <c r="E129" s="1">
        <v>46189</v>
      </c>
      <c r="F129" t="s">
        <v>4355</v>
      </c>
      <c r="G129" t="s">
        <v>4728</v>
      </c>
      <c r="H129" t="s">
        <v>581</v>
      </c>
      <c r="I129" t="s">
        <v>204</v>
      </c>
      <c r="J129" s="1">
        <v>46233</v>
      </c>
      <c r="K129" t="s">
        <v>720</v>
      </c>
      <c r="L129">
        <v>3650</v>
      </c>
      <c r="M129">
        <v>3650</v>
      </c>
      <c r="N129" t="s">
        <v>814</v>
      </c>
      <c r="O129" t="s">
        <v>1038</v>
      </c>
      <c r="P129" t="s">
        <v>4779</v>
      </c>
      <c r="Q129" t="s">
        <v>4858</v>
      </c>
      <c r="R129" t="s">
        <v>4773</v>
      </c>
    </row>
    <row r="130" spans="1:18" x14ac:dyDescent="0.3">
      <c r="A130">
        <v>2439598</v>
      </c>
      <c r="B130" t="s">
        <v>4875</v>
      </c>
      <c r="C130" t="s">
        <v>668</v>
      </c>
      <c r="D130" t="s">
        <v>84</v>
      </c>
      <c r="E130" s="1">
        <v>46189</v>
      </c>
      <c r="F130" t="s">
        <v>4324</v>
      </c>
      <c r="G130" t="s">
        <v>4752</v>
      </c>
      <c r="H130" t="s">
        <v>670</v>
      </c>
      <c r="I130" t="s">
        <v>204</v>
      </c>
      <c r="J130" s="1">
        <v>46677</v>
      </c>
      <c r="K130" t="s">
        <v>768</v>
      </c>
      <c r="L130">
        <v>48790</v>
      </c>
      <c r="M130">
        <v>48790</v>
      </c>
      <c r="N130" t="s">
        <v>1000</v>
      </c>
      <c r="O130" t="s">
        <v>1037</v>
      </c>
      <c r="P130" t="s">
        <v>4799</v>
      </c>
      <c r="Q130" t="s">
        <v>4852</v>
      </c>
      <c r="R130" t="s">
        <v>807</v>
      </c>
    </row>
    <row r="131" spans="1:18" x14ac:dyDescent="0.3">
      <c r="A131">
        <v>441843</v>
      </c>
      <c r="B131" t="s">
        <v>1034</v>
      </c>
      <c r="C131" t="s">
        <v>235</v>
      </c>
      <c r="D131" t="s">
        <v>129</v>
      </c>
      <c r="E131" s="1">
        <v>46189</v>
      </c>
      <c r="F131" t="s">
        <v>4319</v>
      </c>
      <c r="G131" t="s">
        <v>4641</v>
      </c>
      <c r="H131" t="s">
        <v>234</v>
      </c>
      <c r="I131" t="s">
        <v>204</v>
      </c>
      <c r="J131" s="1">
        <v>46627</v>
      </c>
      <c r="K131" t="s">
        <v>717</v>
      </c>
      <c r="L131">
        <v>244</v>
      </c>
      <c r="M131">
        <v>-244.1</v>
      </c>
      <c r="N131" t="s">
        <v>719</v>
      </c>
      <c r="O131" t="s">
        <v>4833</v>
      </c>
      <c r="P131" t="s">
        <v>4802</v>
      </c>
      <c r="Q131" t="s">
        <v>4852</v>
      </c>
      <c r="R131" t="s">
        <v>4771</v>
      </c>
    </row>
    <row r="132" spans="1:18" x14ac:dyDescent="0.3">
      <c r="A132">
        <v>738966</v>
      </c>
      <c r="B132" t="s">
        <v>4874</v>
      </c>
      <c r="C132" t="s">
        <v>333</v>
      </c>
      <c r="D132" t="s">
        <v>29</v>
      </c>
      <c r="E132" s="1">
        <v>46189</v>
      </c>
      <c r="F132" t="s">
        <v>4317</v>
      </c>
      <c r="G132" t="s">
        <v>4754</v>
      </c>
      <c r="H132" t="s">
        <v>460</v>
      </c>
      <c r="I132" t="s">
        <v>204</v>
      </c>
      <c r="J132" s="1">
        <v>54878</v>
      </c>
      <c r="K132" t="s">
        <v>785</v>
      </c>
      <c r="L132">
        <v>1</v>
      </c>
      <c r="M132">
        <v>709.19</v>
      </c>
      <c r="N132" t="s">
        <v>710</v>
      </c>
      <c r="O132" t="s">
        <v>1038</v>
      </c>
      <c r="P132" t="s">
        <v>4776</v>
      </c>
      <c r="Q132" t="s">
        <v>4858</v>
      </c>
      <c r="R132" t="s">
        <v>4771</v>
      </c>
    </row>
    <row r="133" spans="1:18" x14ac:dyDescent="0.3">
      <c r="A133">
        <v>33046</v>
      </c>
      <c r="B133" t="s">
        <v>4876</v>
      </c>
      <c r="C133" t="s">
        <v>680</v>
      </c>
      <c r="D133" t="s">
        <v>86</v>
      </c>
      <c r="E133" s="1">
        <v>46189</v>
      </c>
      <c r="F133" t="s">
        <v>4402</v>
      </c>
      <c r="G133" t="s">
        <v>4639</v>
      </c>
      <c r="H133" t="s">
        <v>679</v>
      </c>
      <c r="I133" t="s">
        <v>204</v>
      </c>
      <c r="J133" s="1">
        <v>47118</v>
      </c>
      <c r="K133" t="s">
        <v>839</v>
      </c>
      <c r="L133">
        <v>8749.3799999999992</v>
      </c>
      <c r="M133">
        <v>8749.3799999999992</v>
      </c>
      <c r="N133" t="s">
        <v>710</v>
      </c>
      <c r="O133" t="s">
        <v>4833</v>
      </c>
      <c r="P133" t="s">
        <v>4800</v>
      </c>
      <c r="Q133" t="s">
        <v>4852</v>
      </c>
      <c r="R133" t="s">
        <v>807</v>
      </c>
    </row>
    <row r="134" spans="1:18" x14ac:dyDescent="0.3">
      <c r="A134">
        <v>7632</v>
      </c>
      <c r="B134" t="s">
        <v>1035</v>
      </c>
      <c r="C134" t="s">
        <v>230</v>
      </c>
      <c r="D134" t="s">
        <v>85</v>
      </c>
      <c r="E134" s="1">
        <v>46188</v>
      </c>
      <c r="F134" t="s">
        <v>4348</v>
      </c>
      <c r="G134" t="s">
        <v>4743</v>
      </c>
      <c r="H134" t="s">
        <v>229</v>
      </c>
      <c r="I134" t="s">
        <v>204</v>
      </c>
      <c r="J134" s="1">
        <v>46203</v>
      </c>
      <c r="K134" t="s">
        <v>744</v>
      </c>
      <c r="L134">
        <v>3459.19</v>
      </c>
      <c r="M134">
        <v>3459.19</v>
      </c>
      <c r="N134" t="s">
        <v>710</v>
      </c>
      <c r="O134" t="s">
        <v>1033</v>
      </c>
      <c r="P134" t="s">
        <v>4781</v>
      </c>
      <c r="Q134" t="s">
        <v>4852</v>
      </c>
      <c r="R134" t="s">
        <v>4771</v>
      </c>
    </row>
    <row r="135" spans="1:18" x14ac:dyDescent="0.3">
      <c r="A135">
        <v>1390</v>
      </c>
      <c r="B135" t="s">
        <v>1034</v>
      </c>
      <c r="C135" t="s">
        <v>1028</v>
      </c>
      <c r="D135" t="s">
        <v>1029</v>
      </c>
      <c r="E135" s="1">
        <v>46188</v>
      </c>
      <c r="F135" t="s">
        <v>4295</v>
      </c>
      <c r="G135" t="s">
        <v>4748</v>
      </c>
      <c r="H135" t="s">
        <v>1026</v>
      </c>
      <c r="I135" t="s">
        <v>204</v>
      </c>
      <c r="J135" s="1">
        <v>46507</v>
      </c>
      <c r="K135" t="s">
        <v>711</v>
      </c>
      <c r="L135">
        <v>3504.8</v>
      </c>
      <c r="M135">
        <v>3504.8</v>
      </c>
      <c r="N135" t="s">
        <v>890</v>
      </c>
      <c r="O135" t="s">
        <v>4834</v>
      </c>
      <c r="P135" t="s">
        <v>4809</v>
      </c>
      <c r="Q135" t="s">
        <v>4901</v>
      </c>
      <c r="R135" t="s">
        <v>807</v>
      </c>
    </row>
    <row r="136" spans="1:18" x14ac:dyDescent="0.3">
      <c r="A136">
        <v>423588</v>
      </c>
      <c r="B136" t="s">
        <v>4874</v>
      </c>
      <c r="C136" t="s">
        <v>298</v>
      </c>
      <c r="D136" t="s">
        <v>11</v>
      </c>
      <c r="E136" s="1">
        <v>46188</v>
      </c>
      <c r="F136" t="s">
        <v>4297</v>
      </c>
      <c r="G136" t="s">
        <v>4729</v>
      </c>
      <c r="H136" t="s">
        <v>297</v>
      </c>
      <c r="I136" t="s">
        <v>204</v>
      </c>
      <c r="J136" s="1">
        <v>54878</v>
      </c>
      <c r="K136" t="s">
        <v>720</v>
      </c>
      <c r="L136">
        <v>1390.99</v>
      </c>
      <c r="M136">
        <v>1390.99</v>
      </c>
      <c r="N136" t="s">
        <v>710</v>
      </c>
      <c r="O136" t="s">
        <v>1038</v>
      </c>
      <c r="P136" t="s">
        <v>4779</v>
      </c>
      <c r="Q136" t="s">
        <v>4858</v>
      </c>
      <c r="R136" t="s">
        <v>4771</v>
      </c>
    </row>
    <row r="137" spans="1:18" x14ac:dyDescent="0.3">
      <c r="A137">
        <v>3517</v>
      </c>
      <c r="B137" t="s">
        <v>4874</v>
      </c>
      <c r="C137" t="s">
        <v>469</v>
      </c>
      <c r="D137" t="s">
        <v>124</v>
      </c>
      <c r="E137" s="1">
        <v>46188</v>
      </c>
      <c r="F137" t="s">
        <v>4361</v>
      </c>
      <c r="G137" t="s">
        <v>4724</v>
      </c>
      <c r="H137" t="s">
        <v>468</v>
      </c>
      <c r="I137" t="s">
        <v>204</v>
      </c>
      <c r="J137" s="1">
        <v>54878</v>
      </c>
      <c r="K137" t="s">
        <v>762</v>
      </c>
      <c r="L137">
        <v>616</v>
      </c>
      <c r="M137">
        <v>616</v>
      </c>
      <c r="N137" t="s">
        <v>719</v>
      </c>
      <c r="O137" t="s">
        <v>4845</v>
      </c>
      <c r="P137" t="s">
        <v>4776</v>
      </c>
      <c r="Q137" t="s">
        <v>4845</v>
      </c>
      <c r="R137" t="s">
        <v>4771</v>
      </c>
    </row>
    <row r="138" spans="1:18" x14ac:dyDescent="0.3">
      <c r="A138">
        <v>1454171</v>
      </c>
      <c r="B138" t="s">
        <v>4874</v>
      </c>
      <c r="C138" t="s">
        <v>472</v>
      </c>
      <c r="D138" t="s">
        <v>48</v>
      </c>
      <c r="E138" s="1">
        <v>46188</v>
      </c>
      <c r="F138" t="s">
        <v>4315</v>
      </c>
      <c r="G138" t="s">
        <v>4746</v>
      </c>
      <c r="H138" t="s">
        <v>471</v>
      </c>
      <c r="I138" t="s">
        <v>204</v>
      </c>
      <c r="J138" s="1">
        <v>46270</v>
      </c>
      <c r="K138" t="s">
        <v>762</v>
      </c>
      <c r="L138">
        <v>537.80999999999995</v>
      </c>
      <c r="M138">
        <v>537.80999999999995</v>
      </c>
      <c r="N138" t="s">
        <v>710</v>
      </c>
      <c r="O138" t="s">
        <v>4845</v>
      </c>
      <c r="P138" t="s">
        <v>4776</v>
      </c>
      <c r="Q138" t="s">
        <v>4845</v>
      </c>
      <c r="R138" t="s">
        <v>4773</v>
      </c>
    </row>
    <row r="139" spans="1:18" x14ac:dyDescent="0.3">
      <c r="A139">
        <v>2541</v>
      </c>
      <c r="B139" t="s">
        <v>1034</v>
      </c>
      <c r="C139" t="s">
        <v>616</v>
      </c>
      <c r="D139" t="s">
        <v>152</v>
      </c>
      <c r="E139" s="1">
        <v>46188</v>
      </c>
      <c r="F139" t="s">
        <v>4338</v>
      </c>
      <c r="G139" t="s">
        <v>4684</v>
      </c>
      <c r="H139" t="s">
        <v>621</v>
      </c>
      <c r="I139" t="s">
        <v>204</v>
      </c>
      <c r="J139" s="1">
        <v>46349</v>
      </c>
      <c r="K139" t="s">
        <v>711</v>
      </c>
      <c r="L139">
        <v>58323.15</v>
      </c>
      <c r="M139">
        <v>58323.15</v>
      </c>
      <c r="N139" t="s">
        <v>710</v>
      </c>
      <c r="O139" t="s">
        <v>4904</v>
      </c>
      <c r="P139" t="s">
        <v>4796</v>
      </c>
      <c r="Q139" t="s">
        <v>4901</v>
      </c>
      <c r="R139" t="s">
        <v>4772</v>
      </c>
    </row>
    <row r="140" spans="1:18" x14ac:dyDescent="0.3">
      <c r="A140">
        <v>1454174</v>
      </c>
      <c r="B140" t="s">
        <v>4874</v>
      </c>
      <c r="C140" t="s">
        <v>472</v>
      </c>
      <c r="D140" t="s">
        <v>48</v>
      </c>
      <c r="E140" s="1">
        <v>46188</v>
      </c>
      <c r="F140" t="s">
        <v>4345</v>
      </c>
      <c r="G140" t="s">
        <v>4746</v>
      </c>
      <c r="H140" t="s">
        <v>471</v>
      </c>
      <c r="I140" t="s">
        <v>204</v>
      </c>
      <c r="J140" s="1">
        <v>46270</v>
      </c>
      <c r="K140" t="s">
        <v>762</v>
      </c>
      <c r="L140">
        <v>53.78</v>
      </c>
      <c r="M140">
        <v>53.78</v>
      </c>
      <c r="N140" t="s">
        <v>710</v>
      </c>
      <c r="O140" t="s">
        <v>4845</v>
      </c>
      <c r="P140" t="s">
        <v>4776</v>
      </c>
      <c r="Q140" t="s">
        <v>4845</v>
      </c>
      <c r="R140" t="s">
        <v>4773</v>
      </c>
    </row>
    <row r="141" spans="1:18" x14ac:dyDescent="0.3">
      <c r="A141">
        <v>35731</v>
      </c>
      <c r="B141" t="s">
        <v>4874</v>
      </c>
      <c r="C141" t="s">
        <v>592</v>
      </c>
      <c r="D141" t="s">
        <v>8</v>
      </c>
      <c r="E141" s="1">
        <v>46188</v>
      </c>
      <c r="F141" t="s">
        <v>4352</v>
      </c>
      <c r="G141" t="s">
        <v>4749</v>
      </c>
      <c r="H141" t="s">
        <v>683</v>
      </c>
      <c r="I141" t="s">
        <v>204</v>
      </c>
      <c r="J141" s="1">
        <v>46387</v>
      </c>
      <c r="K141" t="s">
        <v>762</v>
      </c>
      <c r="L141">
        <v>1260.04</v>
      </c>
      <c r="M141">
        <v>1260.04</v>
      </c>
      <c r="N141" t="s">
        <v>890</v>
      </c>
      <c r="O141" t="s">
        <v>4833</v>
      </c>
      <c r="P141" t="s">
        <v>950</v>
      </c>
      <c r="Q141" t="s">
        <v>4852</v>
      </c>
      <c r="R141" t="s">
        <v>807</v>
      </c>
    </row>
    <row r="142" spans="1:18" x14ac:dyDescent="0.3">
      <c r="A142">
        <v>7647</v>
      </c>
      <c r="B142" t="s">
        <v>1035</v>
      </c>
      <c r="C142" t="s">
        <v>230</v>
      </c>
      <c r="D142" t="s">
        <v>85</v>
      </c>
      <c r="E142" s="1">
        <v>46185</v>
      </c>
      <c r="F142" t="s">
        <v>4299</v>
      </c>
      <c r="G142" t="s">
        <v>4740</v>
      </c>
      <c r="H142" t="s">
        <v>229</v>
      </c>
      <c r="I142" t="s">
        <v>204</v>
      </c>
      <c r="J142" s="1">
        <v>46203</v>
      </c>
      <c r="K142" t="s">
        <v>744</v>
      </c>
      <c r="L142">
        <v>52</v>
      </c>
      <c r="M142">
        <v>51.57</v>
      </c>
      <c r="N142" t="s">
        <v>710</v>
      </c>
      <c r="O142" t="s">
        <v>1033</v>
      </c>
      <c r="P142" t="s">
        <v>4781</v>
      </c>
      <c r="Q142" t="s">
        <v>4852</v>
      </c>
      <c r="R142" t="s">
        <v>4771</v>
      </c>
    </row>
    <row r="143" spans="1:18" x14ac:dyDescent="0.3">
      <c r="A143">
        <v>7646</v>
      </c>
      <c r="B143" t="s">
        <v>1035</v>
      </c>
      <c r="C143" t="s">
        <v>230</v>
      </c>
      <c r="D143" t="s">
        <v>85</v>
      </c>
      <c r="E143" s="1">
        <v>46185</v>
      </c>
      <c r="F143" t="s">
        <v>4299</v>
      </c>
      <c r="G143" t="s">
        <v>4740</v>
      </c>
      <c r="H143" t="s">
        <v>229</v>
      </c>
      <c r="I143" t="s">
        <v>204</v>
      </c>
      <c r="J143" s="1">
        <v>46203</v>
      </c>
      <c r="K143" t="s">
        <v>744</v>
      </c>
      <c r="L143">
        <v>69</v>
      </c>
      <c r="M143">
        <v>68.819999999999993</v>
      </c>
      <c r="N143" t="s">
        <v>710</v>
      </c>
      <c r="O143" t="s">
        <v>1033</v>
      </c>
      <c r="P143" t="s">
        <v>4781</v>
      </c>
      <c r="Q143" t="s">
        <v>4852</v>
      </c>
      <c r="R143" t="s">
        <v>4771</v>
      </c>
    </row>
    <row r="144" spans="1:18" x14ac:dyDescent="0.3">
      <c r="A144">
        <v>4577</v>
      </c>
      <c r="B144" t="s">
        <v>4875</v>
      </c>
      <c r="C144" t="s">
        <v>319</v>
      </c>
      <c r="D144" t="s">
        <v>36</v>
      </c>
      <c r="E144" s="1">
        <v>46185</v>
      </c>
      <c r="F144" t="s">
        <v>4298</v>
      </c>
      <c r="G144" t="s">
        <v>4739</v>
      </c>
      <c r="H144" t="s">
        <v>336</v>
      </c>
      <c r="I144" t="s">
        <v>204</v>
      </c>
      <c r="J144" s="1">
        <v>46075</v>
      </c>
      <c r="K144" t="s">
        <v>748</v>
      </c>
      <c r="L144">
        <v>2</v>
      </c>
      <c r="M144">
        <v>398.28</v>
      </c>
      <c r="N144" t="s">
        <v>710</v>
      </c>
      <c r="O144" t="s">
        <v>1040</v>
      </c>
      <c r="P144" t="s">
        <v>4784</v>
      </c>
      <c r="Q144" t="s">
        <v>4856</v>
      </c>
      <c r="R144" t="s">
        <v>4771</v>
      </c>
    </row>
    <row r="145" spans="1:18" x14ac:dyDescent="0.3">
      <c r="A145">
        <v>362</v>
      </c>
      <c r="B145" t="s">
        <v>1034</v>
      </c>
      <c r="C145" t="s">
        <v>479</v>
      </c>
      <c r="D145" t="s">
        <v>99</v>
      </c>
      <c r="E145" s="1">
        <v>46185</v>
      </c>
      <c r="F145" t="s">
        <v>4308</v>
      </c>
      <c r="G145" t="s">
        <v>4742</v>
      </c>
      <c r="H145" t="s">
        <v>478</v>
      </c>
      <c r="I145" t="s">
        <v>204</v>
      </c>
      <c r="J145" s="1">
        <v>46239</v>
      </c>
      <c r="K145" t="s">
        <v>717</v>
      </c>
      <c r="L145">
        <v>3223</v>
      </c>
      <c r="M145">
        <v>12763.08</v>
      </c>
      <c r="N145" t="s">
        <v>710</v>
      </c>
      <c r="O145" t="s">
        <v>1037</v>
      </c>
      <c r="P145" t="s">
        <v>4790</v>
      </c>
      <c r="Q145" t="s">
        <v>4852</v>
      </c>
      <c r="R145" t="s">
        <v>4772</v>
      </c>
    </row>
    <row r="146" spans="1:18" x14ac:dyDescent="0.3">
      <c r="A146">
        <v>174</v>
      </c>
      <c r="B146" t="s">
        <v>4874</v>
      </c>
      <c r="C146" t="s">
        <v>607</v>
      </c>
      <c r="D146" t="s">
        <v>81</v>
      </c>
      <c r="E146" s="1">
        <v>46185</v>
      </c>
      <c r="F146" t="s">
        <v>4357</v>
      </c>
      <c r="G146" t="s">
        <v>4699</v>
      </c>
      <c r="H146" t="s">
        <v>606</v>
      </c>
      <c r="I146" t="s">
        <v>204</v>
      </c>
      <c r="J146" s="1">
        <v>46387</v>
      </c>
      <c r="K146" t="s">
        <v>720</v>
      </c>
      <c r="L146">
        <v>19000</v>
      </c>
      <c r="M146">
        <v>19000</v>
      </c>
      <c r="N146" t="s">
        <v>710</v>
      </c>
      <c r="O146" t="s">
        <v>1038</v>
      </c>
      <c r="P146" t="s">
        <v>4777</v>
      </c>
      <c r="Q146" t="s">
        <v>4858</v>
      </c>
      <c r="R146" t="s">
        <v>4773</v>
      </c>
    </row>
    <row r="147" spans="1:18" x14ac:dyDescent="0.3">
      <c r="A147">
        <v>409284</v>
      </c>
      <c r="B147" t="s">
        <v>4874</v>
      </c>
      <c r="C147" t="s">
        <v>250</v>
      </c>
      <c r="D147" t="s">
        <v>55</v>
      </c>
      <c r="E147" s="1">
        <v>46185</v>
      </c>
      <c r="F147" t="s">
        <v>4391</v>
      </c>
      <c r="G147" t="s">
        <v>4727</v>
      </c>
      <c r="H147" t="s">
        <v>249</v>
      </c>
      <c r="I147" t="s">
        <v>204</v>
      </c>
      <c r="J147" s="1">
        <v>54878</v>
      </c>
      <c r="K147" t="s">
        <v>720</v>
      </c>
      <c r="L147">
        <v>643.59</v>
      </c>
      <c r="M147">
        <v>643.59</v>
      </c>
      <c r="N147" t="s">
        <v>719</v>
      </c>
      <c r="O147" t="s">
        <v>1038</v>
      </c>
      <c r="P147" t="s">
        <v>4778</v>
      </c>
      <c r="Q147" t="s">
        <v>4858</v>
      </c>
      <c r="R147" t="s">
        <v>4771</v>
      </c>
    </row>
    <row r="148" spans="1:18" x14ac:dyDescent="0.3">
      <c r="A148">
        <v>2352890</v>
      </c>
      <c r="B148" t="s">
        <v>4874</v>
      </c>
      <c r="C148" t="s">
        <v>668</v>
      </c>
      <c r="D148" t="s">
        <v>84</v>
      </c>
      <c r="E148" s="1">
        <v>46185</v>
      </c>
      <c r="F148" t="s">
        <v>4384</v>
      </c>
      <c r="G148" t="s">
        <v>4656</v>
      </c>
      <c r="H148" t="s">
        <v>667</v>
      </c>
      <c r="I148" t="s">
        <v>204</v>
      </c>
      <c r="J148" s="1">
        <v>46676</v>
      </c>
      <c r="K148" t="s">
        <v>762</v>
      </c>
      <c r="L148">
        <v>25200</v>
      </c>
      <c r="M148">
        <v>25200</v>
      </c>
      <c r="N148" t="s">
        <v>1000</v>
      </c>
      <c r="O148" t="s">
        <v>1037</v>
      </c>
      <c r="P148" t="s">
        <v>4799</v>
      </c>
      <c r="Q148" t="s">
        <v>4852</v>
      </c>
      <c r="R148" t="s">
        <v>807</v>
      </c>
    </row>
    <row r="149" spans="1:18" x14ac:dyDescent="0.3">
      <c r="A149">
        <v>3146</v>
      </c>
      <c r="B149" t="s">
        <v>4874</v>
      </c>
      <c r="C149" t="s">
        <v>469</v>
      </c>
      <c r="D149" t="s">
        <v>124</v>
      </c>
      <c r="E149" s="1">
        <v>46185</v>
      </c>
      <c r="F149" t="s">
        <v>4361</v>
      </c>
      <c r="G149" t="s">
        <v>4644</v>
      </c>
      <c r="H149" t="s">
        <v>468</v>
      </c>
      <c r="I149" t="s">
        <v>204</v>
      </c>
      <c r="J149" s="1">
        <v>54878</v>
      </c>
      <c r="K149" t="s">
        <v>762</v>
      </c>
      <c r="L149">
        <v>1223</v>
      </c>
      <c r="M149">
        <v>1223</v>
      </c>
      <c r="N149" t="s">
        <v>719</v>
      </c>
      <c r="O149" t="s">
        <v>4845</v>
      </c>
      <c r="P149" t="s">
        <v>4776</v>
      </c>
      <c r="Q149" t="s">
        <v>4845</v>
      </c>
      <c r="R149" t="s">
        <v>4771</v>
      </c>
    </row>
    <row r="150" spans="1:18" x14ac:dyDescent="0.3">
      <c r="A150">
        <v>34974</v>
      </c>
      <c r="B150" t="s">
        <v>4874</v>
      </c>
      <c r="C150" t="s">
        <v>592</v>
      </c>
      <c r="D150" t="s">
        <v>8</v>
      </c>
      <c r="E150" s="1">
        <v>46185</v>
      </c>
      <c r="F150" t="s">
        <v>4363</v>
      </c>
      <c r="G150" t="s">
        <v>4745</v>
      </c>
      <c r="H150" t="s">
        <v>683</v>
      </c>
      <c r="I150" t="s">
        <v>204</v>
      </c>
      <c r="J150" s="1">
        <v>46387</v>
      </c>
      <c r="K150" t="s">
        <v>762</v>
      </c>
      <c r="L150">
        <v>750.24</v>
      </c>
      <c r="M150">
        <v>750.24</v>
      </c>
      <c r="N150" t="s">
        <v>890</v>
      </c>
      <c r="O150" t="s">
        <v>4833</v>
      </c>
      <c r="P150" t="s">
        <v>950</v>
      </c>
      <c r="Q150" t="s">
        <v>4852</v>
      </c>
      <c r="R150" t="s">
        <v>807</v>
      </c>
    </row>
    <row r="151" spans="1:18" x14ac:dyDescent="0.3">
      <c r="A151">
        <v>21513</v>
      </c>
      <c r="B151" t="s">
        <v>4874</v>
      </c>
      <c r="C151" t="s">
        <v>1031</v>
      </c>
      <c r="D151" t="s">
        <v>1032</v>
      </c>
      <c r="E151" s="1">
        <v>46185</v>
      </c>
      <c r="F151" t="s">
        <v>4415</v>
      </c>
      <c r="G151" t="s">
        <v>4659</v>
      </c>
      <c r="H151" t="s">
        <v>1030</v>
      </c>
      <c r="I151" t="s">
        <v>204</v>
      </c>
      <c r="J151" s="1">
        <v>46537</v>
      </c>
      <c r="K151" t="s">
        <v>720</v>
      </c>
      <c r="L151">
        <v>10</v>
      </c>
      <c r="M151">
        <v>3800</v>
      </c>
      <c r="N151" t="s">
        <v>710</v>
      </c>
      <c r="O151" t="s">
        <v>1038</v>
      </c>
      <c r="P151" t="s">
        <v>4809</v>
      </c>
      <c r="Q151" t="s">
        <v>4858</v>
      </c>
      <c r="R151" t="s">
        <v>807</v>
      </c>
    </row>
    <row r="152" spans="1:18" x14ac:dyDescent="0.3">
      <c r="A152">
        <v>4569</v>
      </c>
      <c r="B152" t="s">
        <v>1034</v>
      </c>
      <c r="C152" t="s">
        <v>319</v>
      </c>
      <c r="D152" t="s">
        <v>36</v>
      </c>
      <c r="E152" s="1">
        <v>46185</v>
      </c>
      <c r="F152" t="s">
        <v>4298</v>
      </c>
      <c r="G152" t="s">
        <v>4723</v>
      </c>
      <c r="H152" t="s">
        <v>318</v>
      </c>
      <c r="I152" t="s">
        <v>204</v>
      </c>
      <c r="J152" s="1">
        <v>46214</v>
      </c>
      <c r="K152" t="s">
        <v>711</v>
      </c>
      <c r="L152">
        <v>996</v>
      </c>
      <c r="M152">
        <v>995.7</v>
      </c>
      <c r="N152" t="s">
        <v>710</v>
      </c>
      <c r="O152" t="s">
        <v>1036</v>
      </c>
      <c r="P152" t="s">
        <v>4784</v>
      </c>
      <c r="Q152" t="s">
        <v>4901</v>
      </c>
      <c r="R152" t="s">
        <v>4771</v>
      </c>
    </row>
    <row r="153" spans="1:18" x14ac:dyDescent="0.3">
      <c r="A153">
        <v>94331</v>
      </c>
      <c r="B153" t="s">
        <v>1034</v>
      </c>
      <c r="C153" t="s">
        <v>319</v>
      </c>
      <c r="D153" t="s">
        <v>36</v>
      </c>
      <c r="E153" s="1">
        <v>46185</v>
      </c>
      <c r="F153" t="s">
        <v>4298</v>
      </c>
      <c r="G153" t="s">
        <v>4722</v>
      </c>
      <c r="H153" t="s">
        <v>318</v>
      </c>
      <c r="I153" t="s">
        <v>204</v>
      </c>
      <c r="J153" s="1">
        <v>46214</v>
      </c>
      <c r="K153" t="s">
        <v>711</v>
      </c>
      <c r="L153">
        <v>1001</v>
      </c>
      <c r="M153">
        <v>1001.06</v>
      </c>
      <c r="N153" t="s">
        <v>710</v>
      </c>
      <c r="O153" t="s">
        <v>1036</v>
      </c>
      <c r="P153" t="s">
        <v>4784</v>
      </c>
      <c r="Q153" t="s">
        <v>4901</v>
      </c>
      <c r="R153" t="s">
        <v>4771</v>
      </c>
    </row>
    <row r="154" spans="1:18" x14ac:dyDescent="0.3">
      <c r="A154">
        <v>1804</v>
      </c>
      <c r="B154" t="s">
        <v>1034</v>
      </c>
      <c r="C154" t="s">
        <v>638</v>
      </c>
      <c r="D154" t="s">
        <v>134</v>
      </c>
      <c r="E154" s="1">
        <v>46185</v>
      </c>
      <c r="F154" t="s">
        <v>4296</v>
      </c>
      <c r="G154" t="s">
        <v>3582</v>
      </c>
      <c r="H154" t="s">
        <v>637</v>
      </c>
      <c r="I154" t="s">
        <v>204</v>
      </c>
      <c r="J154" s="1">
        <v>46537</v>
      </c>
      <c r="K154" t="s">
        <v>711</v>
      </c>
      <c r="L154">
        <v>1941</v>
      </c>
      <c r="M154">
        <v>1941</v>
      </c>
      <c r="N154" t="s">
        <v>710</v>
      </c>
      <c r="O154" t="s">
        <v>1036</v>
      </c>
      <c r="P154" t="s">
        <v>4776</v>
      </c>
      <c r="Q154" t="s">
        <v>4901</v>
      </c>
    </row>
    <row r="155" spans="1:18" x14ac:dyDescent="0.3">
      <c r="A155">
        <v>362</v>
      </c>
      <c r="B155" t="s">
        <v>1034</v>
      </c>
      <c r="C155" t="s">
        <v>479</v>
      </c>
      <c r="D155" t="s">
        <v>99</v>
      </c>
      <c r="E155" s="1">
        <v>46185</v>
      </c>
      <c r="F155" t="s">
        <v>4307</v>
      </c>
      <c r="G155" t="s">
        <v>4742</v>
      </c>
      <c r="H155" t="s">
        <v>478</v>
      </c>
      <c r="I155" t="s">
        <v>204</v>
      </c>
      <c r="J155" s="1">
        <v>46239</v>
      </c>
      <c r="K155" t="s">
        <v>717</v>
      </c>
      <c r="L155">
        <v>4826</v>
      </c>
      <c r="M155">
        <v>58925.46</v>
      </c>
      <c r="N155" t="s">
        <v>710</v>
      </c>
      <c r="O155" t="s">
        <v>1037</v>
      </c>
      <c r="P155" t="s">
        <v>4790</v>
      </c>
      <c r="Q155" t="s">
        <v>4852</v>
      </c>
      <c r="R155" t="s">
        <v>4772</v>
      </c>
    </row>
    <row r="156" spans="1:18" x14ac:dyDescent="0.3">
      <c r="A156">
        <v>362</v>
      </c>
      <c r="B156" t="s">
        <v>1034</v>
      </c>
      <c r="C156" t="s">
        <v>479</v>
      </c>
      <c r="D156" t="s">
        <v>99</v>
      </c>
      <c r="E156" s="1">
        <v>46185</v>
      </c>
      <c r="F156" t="s">
        <v>4310</v>
      </c>
      <c r="G156" t="s">
        <v>4742</v>
      </c>
      <c r="H156" t="s">
        <v>478</v>
      </c>
      <c r="I156" t="s">
        <v>204</v>
      </c>
      <c r="J156" s="1">
        <v>46239</v>
      </c>
      <c r="K156" t="s">
        <v>717</v>
      </c>
      <c r="L156">
        <v>181</v>
      </c>
      <c r="M156">
        <v>642.54999999999995</v>
      </c>
      <c r="N156" t="s">
        <v>710</v>
      </c>
      <c r="O156" t="s">
        <v>1037</v>
      </c>
      <c r="P156" t="s">
        <v>4790</v>
      </c>
      <c r="Q156" t="s">
        <v>4852</v>
      </c>
      <c r="R156" t="s">
        <v>4772</v>
      </c>
    </row>
    <row r="157" spans="1:18" x14ac:dyDescent="0.3">
      <c r="A157">
        <v>1340</v>
      </c>
      <c r="B157" t="s">
        <v>4874</v>
      </c>
      <c r="C157" t="s">
        <v>305</v>
      </c>
      <c r="D157" t="s">
        <v>59</v>
      </c>
      <c r="E157" s="1">
        <v>46185</v>
      </c>
      <c r="F157" t="s">
        <v>4359</v>
      </c>
      <c r="G157" t="s">
        <v>4685</v>
      </c>
      <c r="H157" t="s">
        <v>304</v>
      </c>
      <c r="I157" t="s">
        <v>204</v>
      </c>
      <c r="J157" s="1">
        <v>46481</v>
      </c>
      <c r="K157" t="s">
        <v>720</v>
      </c>
      <c r="L157">
        <v>5420</v>
      </c>
      <c r="M157">
        <v>5420</v>
      </c>
      <c r="N157" t="s">
        <v>809</v>
      </c>
      <c r="O157" t="s">
        <v>1038</v>
      </c>
      <c r="P157" t="s">
        <v>4783</v>
      </c>
      <c r="Q157" t="s">
        <v>4858</v>
      </c>
      <c r="R157" t="s">
        <v>4771</v>
      </c>
    </row>
    <row r="158" spans="1:18" x14ac:dyDescent="0.3">
      <c r="A158">
        <v>2352882</v>
      </c>
      <c r="B158" t="s">
        <v>1034</v>
      </c>
      <c r="C158" t="s">
        <v>668</v>
      </c>
      <c r="D158" t="s">
        <v>84</v>
      </c>
      <c r="E158" s="1">
        <v>46185</v>
      </c>
      <c r="F158" t="s">
        <v>4384</v>
      </c>
      <c r="G158" t="s">
        <v>4657</v>
      </c>
      <c r="H158" t="s">
        <v>669</v>
      </c>
      <c r="I158" t="s">
        <v>204</v>
      </c>
      <c r="J158" s="1">
        <v>46326</v>
      </c>
      <c r="K158" t="s">
        <v>717</v>
      </c>
      <c r="L158">
        <v>18173.13</v>
      </c>
      <c r="M158">
        <v>18173.13</v>
      </c>
      <c r="N158" t="s">
        <v>1000</v>
      </c>
      <c r="O158" t="s">
        <v>1037</v>
      </c>
      <c r="P158" t="s">
        <v>4799</v>
      </c>
      <c r="Q158" t="s">
        <v>4852</v>
      </c>
      <c r="R158" t="s">
        <v>807</v>
      </c>
    </row>
    <row r="159" spans="1:18" x14ac:dyDescent="0.3">
      <c r="A159">
        <v>362</v>
      </c>
      <c r="B159" t="s">
        <v>1034</v>
      </c>
      <c r="C159" t="s">
        <v>479</v>
      </c>
      <c r="D159" t="s">
        <v>99</v>
      </c>
      <c r="E159" s="1">
        <v>46185</v>
      </c>
      <c r="F159" t="s">
        <v>4372</v>
      </c>
      <c r="G159" t="s">
        <v>4742</v>
      </c>
      <c r="H159" t="s">
        <v>478</v>
      </c>
      <c r="I159" t="s">
        <v>204</v>
      </c>
      <c r="J159" s="1">
        <v>46239</v>
      </c>
      <c r="K159" t="s">
        <v>717</v>
      </c>
      <c r="L159">
        <v>271</v>
      </c>
      <c r="M159">
        <v>2308.92</v>
      </c>
      <c r="N159" t="s">
        <v>710</v>
      </c>
      <c r="O159" t="s">
        <v>1037</v>
      </c>
      <c r="P159" t="s">
        <v>4790</v>
      </c>
      <c r="Q159" t="s">
        <v>4852</v>
      </c>
      <c r="R159" t="s">
        <v>4772</v>
      </c>
    </row>
    <row r="160" spans="1:18" x14ac:dyDescent="0.3">
      <c r="A160">
        <v>362</v>
      </c>
      <c r="B160" t="s">
        <v>1034</v>
      </c>
      <c r="C160" t="s">
        <v>479</v>
      </c>
      <c r="D160" t="s">
        <v>99</v>
      </c>
      <c r="E160" s="1">
        <v>46185</v>
      </c>
      <c r="F160" t="s">
        <v>4329</v>
      </c>
      <c r="G160" t="s">
        <v>4742</v>
      </c>
      <c r="H160" t="s">
        <v>478</v>
      </c>
      <c r="I160" t="s">
        <v>204</v>
      </c>
      <c r="J160" s="1">
        <v>46239</v>
      </c>
      <c r="K160" t="s">
        <v>717</v>
      </c>
      <c r="L160">
        <v>49</v>
      </c>
      <c r="M160">
        <v>553.21</v>
      </c>
      <c r="N160" t="s">
        <v>710</v>
      </c>
      <c r="O160" t="s">
        <v>1037</v>
      </c>
      <c r="P160" t="s">
        <v>4790</v>
      </c>
      <c r="Q160" t="s">
        <v>4852</v>
      </c>
      <c r="R160" t="s">
        <v>4772</v>
      </c>
    </row>
    <row r="161" spans="1:18" x14ac:dyDescent="0.3">
      <c r="A161">
        <v>2351360</v>
      </c>
      <c r="B161" t="s">
        <v>4875</v>
      </c>
      <c r="C161" t="s">
        <v>668</v>
      </c>
      <c r="D161" t="s">
        <v>84</v>
      </c>
      <c r="E161" s="1">
        <v>46185</v>
      </c>
      <c r="F161" t="s">
        <v>4384</v>
      </c>
      <c r="G161" t="s">
        <v>4655</v>
      </c>
      <c r="H161" t="s">
        <v>670</v>
      </c>
      <c r="I161" t="s">
        <v>204</v>
      </c>
      <c r="J161" s="1">
        <v>46677</v>
      </c>
      <c r="K161" t="s">
        <v>768</v>
      </c>
      <c r="L161">
        <v>2500</v>
      </c>
      <c r="M161">
        <v>2500</v>
      </c>
      <c r="N161" t="s">
        <v>1000</v>
      </c>
      <c r="O161" t="s">
        <v>1037</v>
      </c>
      <c r="P161" t="s">
        <v>4799</v>
      </c>
      <c r="Q161" t="s">
        <v>4852</v>
      </c>
      <c r="R161" t="s">
        <v>807</v>
      </c>
    </row>
    <row r="162" spans="1:18" x14ac:dyDescent="0.3">
      <c r="A162">
        <v>362</v>
      </c>
      <c r="B162" t="s">
        <v>1034</v>
      </c>
      <c r="C162" t="s">
        <v>479</v>
      </c>
      <c r="D162" t="s">
        <v>99</v>
      </c>
      <c r="E162" s="1">
        <v>46185</v>
      </c>
      <c r="F162" t="s">
        <v>4312</v>
      </c>
      <c r="G162" t="s">
        <v>4742</v>
      </c>
      <c r="H162" t="s">
        <v>478</v>
      </c>
      <c r="I162" t="s">
        <v>204</v>
      </c>
      <c r="J162" s="1">
        <v>46239</v>
      </c>
      <c r="K162" t="s">
        <v>717</v>
      </c>
      <c r="L162">
        <v>197</v>
      </c>
      <c r="M162">
        <v>935.75</v>
      </c>
      <c r="N162" t="s">
        <v>710</v>
      </c>
      <c r="O162" t="s">
        <v>1037</v>
      </c>
      <c r="P162" t="s">
        <v>4790</v>
      </c>
      <c r="Q162" t="s">
        <v>4852</v>
      </c>
      <c r="R162" t="s">
        <v>4772</v>
      </c>
    </row>
    <row r="163" spans="1:18" x14ac:dyDescent="0.3">
      <c r="A163">
        <v>197782</v>
      </c>
      <c r="B163" t="s">
        <v>4874</v>
      </c>
      <c r="C163" t="s">
        <v>411</v>
      </c>
      <c r="D163" t="s">
        <v>154</v>
      </c>
      <c r="E163" s="1">
        <v>46184</v>
      </c>
      <c r="F163" t="s">
        <v>4345</v>
      </c>
      <c r="G163" t="s">
        <v>4736</v>
      </c>
      <c r="H163" t="s">
        <v>410</v>
      </c>
      <c r="I163" t="s">
        <v>204</v>
      </c>
      <c r="J163" s="1">
        <v>46344</v>
      </c>
      <c r="K163" t="s">
        <v>762</v>
      </c>
      <c r="L163">
        <v>16594.21</v>
      </c>
      <c r="M163">
        <v>16594.21</v>
      </c>
      <c r="N163" t="s">
        <v>710</v>
      </c>
      <c r="O163" t="s">
        <v>4833</v>
      </c>
      <c r="P163" t="s">
        <v>4776</v>
      </c>
      <c r="Q163" t="s">
        <v>4852</v>
      </c>
      <c r="R163" t="s">
        <v>4773</v>
      </c>
    </row>
    <row r="164" spans="1:18" x14ac:dyDescent="0.3">
      <c r="A164">
        <v>112816</v>
      </c>
      <c r="B164" t="s">
        <v>4874</v>
      </c>
      <c r="C164" t="s">
        <v>379</v>
      </c>
      <c r="D164" t="s">
        <v>131</v>
      </c>
      <c r="E164" s="1">
        <v>46184</v>
      </c>
      <c r="F164" t="s">
        <v>4315</v>
      </c>
      <c r="G164" t="s">
        <v>4733</v>
      </c>
      <c r="H164" t="s">
        <v>378</v>
      </c>
      <c r="I164" t="s">
        <v>204</v>
      </c>
      <c r="J164" s="1">
        <v>54878</v>
      </c>
      <c r="K164" t="s">
        <v>762</v>
      </c>
      <c r="L164">
        <v>68.510000000000005</v>
      </c>
      <c r="M164">
        <v>68.510000000000005</v>
      </c>
      <c r="N164" t="s">
        <v>710</v>
      </c>
      <c r="O164" t="s">
        <v>4833</v>
      </c>
      <c r="P164" t="s">
        <v>4776</v>
      </c>
      <c r="Q164" t="s">
        <v>4852</v>
      </c>
      <c r="R164" t="s">
        <v>4773</v>
      </c>
    </row>
    <row r="165" spans="1:18" x14ac:dyDescent="0.3">
      <c r="A165">
        <v>1158</v>
      </c>
      <c r="B165" t="s">
        <v>4875</v>
      </c>
      <c r="C165" t="s">
        <v>550</v>
      </c>
      <c r="D165" t="s">
        <v>189</v>
      </c>
      <c r="E165" s="1">
        <v>46184</v>
      </c>
      <c r="F165" t="s">
        <v>4338</v>
      </c>
      <c r="G165" t="s">
        <v>4637</v>
      </c>
      <c r="H165" t="s">
        <v>569</v>
      </c>
      <c r="I165" t="s">
        <v>204</v>
      </c>
      <c r="J165" s="1">
        <v>46599</v>
      </c>
      <c r="K165" t="s">
        <v>768</v>
      </c>
      <c r="L165">
        <v>26109.26</v>
      </c>
      <c r="M165">
        <v>26109.26</v>
      </c>
      <c r="N165" t="s">
        <v>710</v>
      </c>
      <c r="O165" t="s">
        <v>4904</v>
      </c>
      <c r="P165" t="s">
        <v>4792</v>
      </c>
      <c r="Q165" t="s">
        <v>4904</v>
      </c>
      <c r="R165" t="s">
        <v>4772</v>
      </c>
    </row>
    <row r="166" spans="1:18" x14ac:dyDescent="0.3">
      <c r="A166">
        <v>3612</v>
      </c>
      <c r="B166" t="s">
        <v>4874</v>
      </c>
      <c r="C166" t="s">
        <v>572</v>
      </c>
      <c r="D166" t="s">
        <v>43</v>
      </c>
      <c r="E166" s="1">
        <v>46184</v>
      </c>
      <c r="F166" t="s">
        <v>4321</v>
      </c>
      <c r="G166" t="s">
        <v>4686</v>
      </c>
      <c r="H166" t="s">
        <v>571</v>
      </c>
      <c r="I166" t="s">
        <v>204</v>
      </c>
      <c r="J166" s="1">
        <v>46387</v>
      </c>
      <c r="K166" t="s">
        <v>720</v>
      </c>
      <c r="L166">
        <v>12000</v>
      </c>
      <c r="M166">
        <v>12000</v>
      </c>
      <c r="N166" t="s">
        <v>814</v>
      </c>
      <c r="O166" t="s">
        <v>1038</v>
      </c>
      <c r="P166" t="s">
        <v>4782</v>
      </c>
      <c r="Q166" t="s">
        <v>4858</v>
      </c>
      <c r="R166" t="s">
        <v>4771</v>
      </c>
    </row>
    <row r="167" spans="1:18" x14ac:dyDescent="0.3">
      <c r="A167">
        <v>3455</v>
      </c>
      <c r="B167" t="s">
        <v>1034</v>
      </c>
      <c r="C167" t="s">
        <v>497</v>
      </c>
      <c r="D167" t="s">
        <v>58</v>
      </c>
      <c r="E167" s="1">
        <v>46184</v>
      </c>
      <c r="F167" t="s">
        <v>4316</v>
      </c>
      <c r="G167" t="s">
        <v>4731</v>
      </c>
      <c r="H167" t="s">
        <v>498</v>
      </c>
      <c r="I167" t="s">
        <v>204</v>
      </c>
      <c r="J167" s="1">
        <v>46265</v>
      </c>
      <c r="K167" t="s">
        <v>717</v>
      </c>
      <c r="L167">
        <v>1</v>
      </c>
      <c r="M167">
        <v>1288.8599999999999</v>
      </c>
      <c r="N167" t="s">
        <v>710</v>
      </c>
      <c r="O167" t="s">
        <v>4833</v>
      </c>
      <c r="P167" t="s">
        <v>4776</v>
      </c>
      <c r="Q167" t="s">
        <v>4852</v>
      </c>
      <c r="R167" t="s">
        <v>4773</v>
      </c>
    </row>
    <row r="168" spans="1:18" x14ac:dyDescent="0.3">
      <c r="A168">
        <v>124389</v>
      </c>
      <c r="B168" t="s">
        <v>1034</v>
      </c>
      <c r="C168" t="s">
        <v>497</v>
      </c>
      <c r="D168" t="s">
        <v>58</v>
      </c>
      <c r="E168" s="1">
        <v>46184</v>
      </c>
      <c r="F168" t="s">
        <v>4354</v>
      </c>
      <c r="G168" t="s">
        <v>4730</v>
      </c>
      <c r="H168" t="s">
        <v>496</v>
      </c>
      <c r="I168" t="s">
        <v>204</v>
      </c>
      <c r="J168" s="1">
        <v>46265</v>
      </c>
      <c r="K168" t="s">
        <v>717</v>
      </c>
      <c r="L168">
        <v>1</v>
      </c>
      <c r="M168">
        <v>4397.3900000000003</v>
      </c>
      <c r="N168" t="s">
        <v>710</v>
      </c>
      <c r="O168" t="s">
        <v>4833</v>
      </c>
      <c r="P168" t="s">
        <v>4776</v>
      </c>
      <c r="Q168" t="s">
        <v>4852</v>
      </c>
      <c r="R168" t="s">
        <v>4773</v>
      </c>
    </row>
    <row r="169" spans="1:18" x14ac:dyDescent="0.3">
      <c r="A169">
        <v>110581</v>
      </c>
      <c r="B169" t="s">
        <v>1034</v>
      </c>
      <c r="C169" t="s">
        <v>495</v>
      </c>
      <c r="D169" t="s">
        <v>44</v>
      </c>
      <c r="E169" s="1">
        <v>46184</v>
      </c>
      <c r="F169" t="s">
        <v>4303</v>
      </c>
      <c r="G169" t="s">
        <v>4732</v>
      </c>
      <c r="H169" t="s">
        <v>494</v>
      </c>
      <c r="I169" t="s">
        <v>204</v>
      </c>
      <c r="J169" s="1">
        <v>54878</v>
      </c>
      <c r="K169" t="s">
        <v>717</v>
      </c>
      <c r="L169">
        <v>1661.73</v>
      </c>
      <c r="M169">
        <v>1661.73</v>
      </c>
      <c r="N169" t="s">
        <v>710</v>
      </c>
      <c r="O169" t="s">
        <v>4833</v>
      </c>
      <c r="P169" t="s">
        <v>4776</v>
      </c>
      <c r="Q169" t="s">
        <v>4852</v>
      </c>
      <c r="R169" t="s">
        <v>4773</v>
      </c>
    </row>
    <row r="170" spans="1:18" x14ac:dyDescent="0.3">
      <c r="A170">
        <v>197649</v>
      </c>
      <c r="B170" t="s">
        <v>4874</v>
      </c>
      <c r="C170" t="s">
        <v>411</v>
      </c>
      <c r="D170" t="s">
        <v>154</v>
      </c>
      <c r="E170" s="1">
        <v>46184</v>
      </c>
      <c r="F170" t="s">
        <v>4315</v>
      </c>
      <c r="G170" t="s">
        <v>4734</v>
      </c>
      <c r="H170" t="s">
        <v>410</v>
      </c>
      <c r="I170" t="s">
        <v>204</v>
      </c>
      <c r="J170" s="1">
        <v>46344</v>
      </c>
      <c r="K170" t="s">
        <v>762</v>
      </c>
      <c r="L170">
        <v>4630.32</v>
      </c>
      <c r="M170">
        <v>4630.32</v>
      </c>
      <c r="N170" t="s">
        <v>710</v>
      </c>
      <c r="O170" t="s">
        <v>4833</v>
      </c>
      <c r="P170" t="s">
        <v>4776</v>
      </c>
      <c r="Q170" t="s">
        <v>4852</v>
      </c>
      <c r="R170" t="s">
        <v>4773</v>
      </c>
    </row>
    <row r="171" spans="1:18" x14ac:dyDescent="0.3">
      <c r="A171">
        <v>5877</v>
      </c>
      <c r="B171" t="s">
        <v>4874</v>
      </c>
      <c r="C171" t="s">
        <v>444</v>
      </c>
      <c r="D171" t="s">
        <v>21</v>
      </c>
      <c r="E171" s="1">
        <v>46184</v>
      </c>
      <c r="F171" t="s">
        <v>4380</v>
      </c>
      <c r="G171" t="s">
        <v>4721</v>
      </c>
      <c r="H171" t="s">
        <v>443</v>
      </c>
      <c r="I171" t="s">
        <v>209</v>
      </c>
      <c r="J171" s="1">
        <v>54878</v>
      </c>
      <c r="K171" t="s">
        <v>762</v>
      </c>
      <c r="L171">
        <v>160</v>
      </c>
      <c r="M171">
        <v>160</v>
      </c>
      <c r="N171" t="s">
        <v>710</v>
      </c>
      <c r="O171" t="s">
        <v>1037</v>
      </c>
      <c r="P171" t="s">
        <v>4808</v>
      </c>
      <c r="Q171" t="s">
        <v>4852</v>
      </c>
      <c r="R171" t="s">
        <v>4772</v>
      </c>
    </row>
    <row r="172" spans="1:18" x14ac:dyDescent="0.3">
      <c r="A172">
        <v>74820</v>
      </c>
      <c r="B172" t="s">
        <v>1034</v>
      </c>
      <c r="C172" t="s">
        <v>451</v>
      </c>
      <c r="D172" t="s">
        <v>129</v>
      </c>
      <c r="E172" s="1">
        <v>46184</v>
      </c>
      <c r="F172" t="s">
        <v>4319</v>
      </c>
      <c r="G172" t="s">
        <v>4737</v>
      </c>
      <c r="H172" t="s">
        <v>662</v>
      </c>
      <c r="I172" t="s">
        <v>204</v>
      </c>
      <c r="J172" s="1">
        <v>46655</v>
      </c>
      <c r="K172" t="s">
        <v>717</v>
      </c>
      <c r="L172">
        <v>188</v>
      </c>
      <c r="M172">
        <v>188.01</v>
      </c>
      <c r="N172" t="s">
        <v>719</v>
      </c>
      <c r="O172" t="s">
        <v>4833</v>
      </c>
      <c r="P172" t="s">
        <v>4802</v>
      </c>
      <c r="Q172" t="s">
        <v>4852</v>
      </c>
      <c r="R172" t="s">
        <v>807</v>
      </c>
    </row>
    <row r="173" spans="1:18" x14ac:dyDescent="0.3">
      <c r="A173">
        <v>74784</v>
      </c>
      <c r="B173" t="s">
        <v>1034</v>
      </c>
      <c r="C173" t="s">
        <v>451</v>
      </c>
      <c r="D173" t="s">
        <v>129</v>
      </c>
      <c r="E173" s="1">
        <v>46184</v>
      </c>
      <c r="F173" t="s">
        <v>4319</v>
      </c>
      <c r="G173" t="s">
        <v>4737</v>
      </c>
      <c r="H173" t="s">
        <v>662</v>
      </c>
      <c r="I173" t="s">
        <v>204</v>
      </c>
      <c r="J173" s="1">
        <v>46655</v>
      </c>
      <c r="K173" t="s">
        <v>717</v>
      </c>
      <c r="L173">
        <v>2618</v>
      </c>
      <c r="M173">
        <v>2618.17</v>
      </c>
      <c r="N173" t="s">
        <v>719</v>
      </c>
      <c r="O173" t="s">
        <v>4833</v>
      </c>
      <c r="P173" t="s">
        <v>4802</v>
      </c>
      <c r="Q173" t="s">
        <v>4852</v>
      </c>
      <c r="R173" t="s">
        <v>807</v>
      </c>
    </row>
    <row r="174" spans="1:18" x14ac:dyDescent="0.3">
      <c r="A174">
        <v>74754</v>
      </c>
      <c r="B174" t="s">
        <v>1034</v>
      </c>
      <c r="C174" t="s">
        <v>451</v>
      </c>
      <c r="D174" t="s">
        <v>129</v>
      </c>
      <c r="E174" s="1">
        <v>46184</v>
      </c>
      <c r="F174" t="s">
        <v>4319</v>
      </c>
      <c r="G174" t="s">
        <v>4737</v>
      </c>
      <c r="H174" t="s">
        <v>662</v>
      </c>
      <c r="I174" t="s">
        <v>204</v>
      </c>
      <c r="J174" s="1">
        <v>46655</v>
      </c>
      <c r="K174" t="s">
        <v>717</v>
      </c>
      <c r="L174">
        <v>1080</v>
      </c>
      <c r="M174">
        <v>1079.8</v>
      </c>
      <c r="N174" t="s">
        <v>719</v>
      </c>
      <c r="O174" t="s">
        <v>4833</v>
      </c>
      <c r="P174" t="s">
        <v>4802</v>
      </c>
      <c r="Q174" t="s">
        <v>4852</v>
      </c>
      <c r="R174" t="s">
        <v>807</v>
      </c>
    </row>
    <row r="175" spans="1:18" x14ac:dyDescent="0.3">
      <c r="A175">
        <v>74120</v>
      </c>
      <c r="B175" t="s">
        <v>1034</v>
      </c>
      <c r="C175" t="s">
        <v>500</v>
      </c>
      <c r="D175" t="s">
        <v>16</v>
      </c>
      <c r="E175" s="1">
        <v>46184</v>
      </c>
      <c r="F175" t="s">
        <v>4306</v>
      </c>
      <c r="G175" t="s">
        <v>4735</v>
      </c>
      <c r="H175" t="s">
        <v>499</v>
      </c>
      <c r="I175" t="s">
        <v>204</v>
      </c>
      <c r="J175" s="1">
        <v>54878</v>
      </c>
      <c r="K175" t="s">
        <v>717</v>
      </c>
      <c r="L175">
        <v>1633.45</v>
      </c>
      <c r="M175">
        <v>1633.45</v>
      </c>
      <c r="N175" t="s">
        <v>710</v>
      </c>
      <c r="O175" t="s">
        <v>4833</v>
      </c>
      <c r="P175" t="s">
        <v>4786</v>
      </c>
      <c r="Q175" t="s">
        <v>4852</v>
      </c>
      <c r="R175" t="s">
        <v>4773</v>
      </c>
    </row>
    <row r="176" spans="1:18" x14ac:dyDescent="0.3">
      <c r="A176">
        <v>649</v>
      </c>
      <c r="B176" t="s">
        <v>4874</v>
      </c>
      <c r="C176" t="s">
        <v>259</v>
      </c>
      <c r="D176" t="s">
        <v>122</v>
      </c>
      <c r="E176" s="1">
        <v>46184</v>
      </c>
      <c r="F176" t="s">
        <v>4390</v>
      </c>
      <c r="G176" t="s">
        <v>4716</v>
      </c>
      <c r="H176" t="s">
        <v>258</v>
      </c>
      <c r="I176" t="s">
        <v>204</v>
      </c>
      <c r="J176" s="1">
        <v>46337</v>
      </c>
      <c r="K176" t="s">
        <v>720</v>
      </c>
      <c r="L176">
        <v>18139.52</v>
      </c>
      <c r="M176">
        <v>18139.52</v>
      </c>
      <c r="N176" t="s">
        <v>710</v>
      </c>
      <c r="O176" t="s">
        <v>1038</v>
      </c>
      <c r="P176" t="s">
        <v>4777</v>
      </c>
      <c r="Q176" t="s">
        <v>4858</v>
      </c>
      <c r="R176" t="s">
        <v>4771</v>
      </c>
    </row>
    <row r="177" spans="1:18" x14ac:dyDescent="0.3">
      <c r="A177">
        <v>4245212</v>
      </c>
      <c r="B177" t="s">
        <v>1034</v>
      </c>
      <c r="C177" t="s">
        <v>417</v>
      </c>
      <c r="D177" t="s">
        <v>185</v>
      </c>
      <c r="E177" s="1">
        <v>46183</v>
      </c>
      <c r="F177" t="s">
        <v>4335</v>
      </c>
      <c r="G177" t="s">
        <v>4664</v>
      </c>
      <c r="H177" t="s">
        <v>416</v>
      </c>
      <c r="I177" t="s">
        <v>204</v>
      </c>
      <c r="J177" s="1">
        <v>54878</v>
      </c>
      <c r="K177" t="s">
        <v>717</v>
      </c>
      <c r="L177">
        <v>1030.56</v>
      </c>
      <c r="M177">
        <v>1030.56</v>
      </c>
      <c r="N177" t="s">
        <v>710</v>
      </c>
      <c r="O177" t="s">
        <v>1037</v>
      </c>
      <c r="P177" t="s">
        <v>4780</v>
      </c>
      <c r="Q177" t="s">
        <v>4852</v>
      </c>
      <c r="R177" t="s">
        <v>4771</v>
      </c>
    </row>
    <row r="178" spans="1:18" x14ac:dyDescent="0.3">
      <c r="A178">
        <v>249527</v>
      </c>
      <c r="B178" t="s">
        <v>1034</v>
      </c>
      <c r="C178" t="s">
        <v>694</v>
      </c>
      <c r="D178" t="s">
        <v>157</v>
      </c>
      <c r="E178" s="1">
        <v>46183</v>
      </c>
      <c r="F178" t="s">
        <v>4352</v>
      </c>
      <c r="G178" t="s">
        <v>4698</v>
      </c>
      <c r="H178" t="s">
        <v>693</v>
      </c>
      <c r="I178" t="s">
        <v>204</v>
      </c>
      <c r="J178" s="1">
        <v>46443</v>
      </c>
      <c r="K178" t="s">
        <v>717</v>
      </c>
      <c r="L178">
        <v>1</v>
      </c>
      <c r="M178">
        <v>440</v>
      </c>
      <c r="N178" t="s">
        <v>809</v>
      </c>
      <c r="O178" t="s">
        <v>4845</v>
      </c>
      <c r="P178" t="s">
        <v>1009</v>
      </c>
      <c r="Q178" t="s">
        <v>4845</v>
      </c>
      <c r="R178" t="s">
        <v>807</v>
      </c>
    </row>
    <row r="179" spans="1:18" x14ac:dyDescent="0.3">
      <c r="A179">
        <v>43706</v>
      </c>
      <c r="B179" t="s">
        <v>1034</v>
      </c>
      <c r="C179" t="s">
        <v>327</v>
      </c>
      <c r="D179" t="s">
        <v>159</v>
      </c>
      <c r="E179" s="1">
        <v>46183</v>
      </c>
      <c r="F179" t="s">
        <v>4295</v>
      </c>
      <c r="G179" t="s">
        <v>4676</v>
      </c>
      <c r="H179" t="s">
        <v>357</v>
      </c>
      <c r="I179" t="s">
        <v>204</v>
      </c>
      <c r="J179" s="1">
        <v>46476</v>
      </c>
      <c r="K179" t="s">
        <v>711</v>
      </c>
      <c r="L179">
        <v>975.6</v>
      </c>
      <c r="M179">
        <v>975.6</v>
      </c>
      <c r="N179" t="s">
        <v>890</v>
      </c>
      <c r="O179" t="s">
        <v>4834</v>
      </c>
      <c r="P179" t="s">
        <v>4776</v>
      </c>
      <c r="Q179" t="s">
        <v>4901</v>
      </c>
      <c r="R179" t="s">
        <v>4773</v>
      </c>
    </row>
    <row r="180" spans="1:18" x14ac:dyDescent="0.3">
      <c r="A180">
        <v>248641</v>
      </c>
      <c r="B180" t="s">
        <v>1034</v>
      </c>
      <c r="C180" t="s">
        <v>694</v>
      </c>
      <c r="D180" t="s">
        <v>157</v>
      </c>
      <c r="E180" s="1">
        <v>46183</v>
      </c>
      <c r="F180" t="s">
        <v>4352</v>
      </c>
      <c r="G180" t="s">
        <v>4618</v>
      </c>
      <c r="H180" t="s">
        <v>693</v>
      </c>
      <c r="I180" t="s">
        <v>204</v>
      </c>
      <c r="J180" s="1">
        <v>46443</v>
      </c>
      <c r="K180" t="s">
        <v>717</v>
      </c>
      <c r="L180">
        <v>1</v>
      </c>
      <c r="M180">
        <v>440</v>
      </c>
      <c r="N180" t="s">
        <v>809</v>
      </c>
      <c r="O180" t="s">
        <v>4845</v>
      </c>
      <c r="P180" t="s">
        <v>1009</v>
      </c>
      <c r="Q180" t="s">
        <v>4845</v>
      </c>
      <c r="R180" t="s">
        <v>807</v>
      </c>
    </row>
    <row r="181" spans="1:18" x14ac:dyDescent="0.3">
      <c r="A181">
        <v>522026</v>
      </c>
      <c r="B181" t="s">
        <v>1034</v>
      </c>
      <c r="C181" t="s">
        <v>658</v>
      </c>
      <c r="D181" t="s">
        <v>192</v>
      </c>
      <c r="E181" s="1">
        <v>46183</v>
      </c>
      <c r="F181" t="s">
        <v>4377</v>
      </c>
      <c r="G181" t="s">
        <v>4714</v>
      </c>
      <c r="H181" t="s">
        <v>657</v>
      </c>
      <c r="I181" t="s">
        <v>204</v>
      </c>
      <c r="J181" s="1">
        <v>46218</v>
      </c>
      <c r="K181" t="s">
        <v>711</v>
      </c>
      <c r="L181">
        <v>1</v>
      </c>
      <c r="M181">
        <v>2150</v>
      </c>
      <c r="N181" t="s">
        <v>710</v>
      </c>
      <c r="O181" t="s">
        <v>4834</v>
      </c>
      <c r="P181" t="s">
        <v>4776</v>
      </c>
      <c r="Q181" t="s">
        <v>4901</v>
      </c>
      <c r="R181" t="s">
        <v>807</v>
      </c>
    </row>
    <row r="182" spans="1:18" x14ac:dyDescent="0.3">
      <c r="A182">
        <v>43711</v>
      </c>
      <c r="B182" t="s">
        <v>1034</v>
      </c>
      <c r="C182" t="s">
        <v>327</v>
      </c>
      <c r="D182" t="s">
        <v>159</v>
      </c>
      <c r="E182" s="1">
        <v>46183</v>
      </c>
      <c r="F182" t="s">
        <v>4295</v>
      </c>
      <c r="G182" t="s">
        <v>4674</v>
      </c>
      <c r="H182" t="s">
        <v>357</v>
      </c>
      <c r="I182" t="s">
        <v>204</v>
      </c>
      <c r="J182" s="1">
        <v>46476</v>
      </c>
      <c r="K182" t="s">
        <v>711</v>
      </c>
      <c r="L182">
        <v>2550</v>
      </c>
      <c r="M182">
        <v>2550</v>
      </c>
      <c r="N182" t="s">
        <v>890</v>
      </c>
      <c r="O182" t="s">
        <v>4834</v>
      </c>
      <c r="P182" t="s">
        <v>4776</v>
      </c>
      <c r="Q182" t="s">
        <v>4901</v>
      </c>
      <c r="R182" t="s">
        <v>4773</v>
      </c>
    </row>
    <row r="183" spans="1:18" x14ac:dyDescent="0.3">
      <c r="A183">
        <v>43710</v>
      </c>
      <c r="B183" t="s">
        <v>1034</v>
      </c>
      <c r="C183" t="s">
        <v>327</v>
      </c>
      <c r="D183" t="s">
        <v>159</v>
      </c>
      <c r="E183" s="1">
        <v>46183</v>
      </c>
      <c r="F183" t="s">
        <v>4295</v>
      </c>
      <c r="G183" t="s">
        <v>4673</v>
      </c>
      <c r="H183" t="s">
        <v>357</v>
      </c>
      <c r="I183" t="s">
        <v>204</v>
      </c>
      <c r="J183" s="1">
        <v>46476</v>
      </c>
      <c r="K183" t="s">
        <v>711</v>
      </c>
      <c r="L183">
        <v>1376.9</v>
      </c>
      <c r="M183">
        <v>1376.9</v>
      </c>
      <c r="N183" t="s">
        <v>890</v>
      </c>
      <c r="O183" t="s">
        <v>4834</v>
      </c>
      <c r="P183" t="s">
        <v>4776</v>
      </c>
      <c r="Q183" t="s">
        <v>4901</v>
      </c>
      <c r="R183" t="s">
        <v>4773</v>
      </c>
    </row>
    <row r="184" spans="1:18" x14ac:dyDescent="0.3">
      <c r="A184">
        <v>43709</v>
      </c>
      <c r="B184" t="s">
        <v>1034</v>
      </c>
      <c r="C184" t="s">
        <v>327</v>
      </c>
      <c r="D184" t="s">
        <v>159</v>
      </c>
      <c r="E184" s="1">
        <v>46183</v>
      </c>
      <c r="F184" t="s">
        <v>4295</v>
      </c>
      <c r="G184" t="s">
        <v>4672</v>
      </c>
      <c r="H184" t="s">
        <v>357</v>
      </c>
      <c r="I184" t="s">
        <v>204</v>
      </c>
      <c r="J184" s="1">
        <v>46476</v>
      </c>
      <c r="K184" t="s">
        <v>711</v>
      </c>
      <c r="L184">
        <v>2550</v>
      </c>
      <c r="M184">
        <v>2550</v>
      </c>
      <c r="N184" t="s">
        <v>890</v>
      </c>
      <c r="O184" t="s">
        <v>4834</v>
      </c>
      <c r="P184" t="s">
        <v>4776</v>
      </c>
      <c r="Q184" t="s">
        <v>4901</v>
      </c>
      <c r="R184" t="s">
        <v>4773</v>
      </c>
    </row>
    <row r="185" spans="1:18" x14ac:dyDescent="0.3">
      <c r="A185">
        <v>43708</v>
      </c>
      <c r="B185" t="s">
        <v>1034</v>
      </c>
      <c r="C185" t="s">
        <v>327</v>
      </c>
      <c r="D185" t="s">
        <v>159</v>
      </c>
      <c r="E185" s="1">
        <v>46183</v>
      </c>
      <c r="F185" t="s">
        <v>4295</v>
      </c>
      <c r="G185" t="s">
        <v>4671</v>
      </c>
      <c r="H185" t="s">
        <v>357</v>
      </c>
      <c r="I185" t="s">
        <v>204</v>
      </c>
      <c r="J185" s="1">
        <v>46476</v>
      </c>
      <c r="K185" t="s">
        <v>711</v>
      </c>
      <c r="L185">
        <v>1829.1</v>
      </c>
      <c r="M185">
        <v>1829.1</v>
      </c>
      <c r="N185" t="s">
        <v>890</v>
      </c>
      <c r="O185" t="s">
        <v>4834</v>
      </c>
      <c r="P185" t="s">
        <v>4776</v>
      </c>
      <c r="Q185" t="s">
        <v>4901</v>
      </c>
      <c r="R185" t="s">
        <v>4773</v>
      </c>
    </row>
    <row r="186" spans="1:18" x14ac:dyDescent="0.3">
      <c r="A186">
        <v>43707</v>
      </c>
      <c r="B186" t="s">
        <v>1034</v>
      </c>
      <c r="C186" t="s">
        <v>327</v>
      </c>
      <c r="D186" t="s">
        <v>159</v>
      </c>
      <c r="E186" s="1">
        <v>46183</v>
      </c>
      <c r="F186" t="s">
        <v>4295</v>
      </c>
      <c r="G186" t="s">
        <v>4675</v>
      </c>
      <c r="H186" t="s">
        <v>357</v>
      </c>
      <c r="I186" t="s">
        <v>204</v>
      </c>
      <c r="J186" s="1">
        <v>46476</v>
      </c>
      <c r="K186" t="s">
        <v>711</v>
      </c>
      <c r="L186">
        <v>2550</v>
      </c>
      <c r="M186">
        <v>2550</v>
      </c>
      <c r="N186" t="s">
        <v>890</v>
      </c>
      <c r="O186" t="s">
        <v>4834</v>
      </c>
      <c r="P186" t="s">
        <v>4776</v>
      </c>
      <c r="Q186" t="s">
        <v>4901</v>
      </c>
      <c r="R186" t="s">
        <v>4773</v>
      </c>
    </row>
    <row r="187" spans="1:18" x14ac:dyDescent="0.3">
      <c r="A187">
        <v>3735</v>
      </c>
      <c r="B187" t="s">
        <v>1034</v>
      </c>
      <c r="C187" t="s">
        <v>541</v>
      </c>
      <c r="D187" t="s">
        <v>173</v>
      </c>
      <c r="E187" s="1">
        <v>46183</v>
      </c>
      <c r="F187" t="s">
        <v>4326</v>
      </c>
      <c r="G187" t="s">
        <v>3653</v>
      </c>
      <c r="H187" t="s">
        <v>540</v>
      </c>
      <c r="I187" t="s">
        <v>204</v>
      </c>
      <c r="J187" s="1">
        <v>46386</v>
      </c>
      <c r="K187" t="s">
        <v>711</v>
      </c>
      <c r="L187">
        <v>1</v>
      </c>
      <c r="M187">
        <v>2337.9499999999998</v>
      </c>
      <c r="N187" t="s">
        <v>890</v>
      </c>
      <c r="O187" t="s">
        <v>1036</v>
      </c>
      <c r="P187" t="s">
        <v>4791</v>
      </c>
      <c r="Q187" t="s">
        <v>4901</v>
      </c>
      <c r="R187" t="s">
        <v>4773</v>
      </c>
    </row>
    <row r="188" spans="1:18" x14ac:dyDescent="0.3">
      <c r="A188">
        <v>2254182</v>
      </c>
      <c r="B188" t="s">
        <v>1034</v>
      </c>
      <c r="C188" t="s">
        <v>417</v>
      </c>
      <c r="D188" t="s">
        <v>185</v>
      </c>
      <c r="E188" s="1">
        <v>46183</v>
      </c>
      <c r="F188" t="s">
        <v>4346</v>
      </c>
      <c r="G188" t="s">
        <v>4664</v>
      </c>
      <c r="H188" t="s">
        <v>416</v>
      </c>
      <c r="I188" t="s">
        <v>204</v>
      </c>
      <c r="J188" s="1">
        <v>54878</v>
      </c>
      <c r="K188" t="s">
        <v>717</v>
      </c>
      <c r="L188">
        <v>5975.86</v>
      </c>
      <c r="M188">
        <v>5975.86</v>
      </c>
      <c r="N188" t="s">
        <v>710</v>
      </c>
      <c r="O188" t="s">
        <v>1037</v>
      </c>
      <c r="P188" t="s">
        <v>4780</v>
      </c>
      <c r="Q188" t="s">
        <v>4852</v>
      </c>
      <c r="R188" t="s">
        <v>4771</v>
      </c>
    </row>
    <row r="189" spans="1:18" x14ac:dyDescent="0.3">
      <c r="A189">
        <v>63</v>
      </c>
      <c r="B189" t="s">
        <v>4875</v>
      </c>
      <c r="C189" t="s">
        <v>1017</v>
      </c>
      <c r="D189" t="s">
        <v>1018</v>
      </c>
      <c r="E189" s="1">
        <v>46183</v>
      </c>
      <c r="F189" t="s">
        <v>4765</v>
      </c>
      <c r="G189" t="s">
        <v>4719</v>
      </c>
      <c r="H189" t="s">
        <v>1016</v>
      </c>
      <c r="I189" t="s">
        <v>204</v>
      </c>
      <c r="J189" s="1">
        <v>46567</v>
      </c>
      <c r="K189" t="s">
        <v>768</v>
      </c>
      <c r="L189">
        <v>2666</v>
      </c>
      <c r="M189">
        <v>10637.34</v>
      </c>
      <c r="N189" t="s">
        <v>1020</v>
      </c>
      <c r="O189" t="s">
        <v>1037</v>
      </c>
      <c r="P189" t="s">
        <v>4776</v>
      </c>
      <c r="Q189" t="s">
        <v>4852</v>
      </c>
      <c r="R189" t="s">
        <v>807</v>
      </c>
    </row>
    <row r="190" spans="1:18" x14ac:dyDescent="0.3">
      <c r="A190">
        <v>67</v>
      </c>
      <c r="B190" t="s">
        <v>4875</v>
      </c>
      <c r="C190" t="s">
        <v>1017</v>
      </c>
      <c r="D190" t="s">
        <v>1018</v>
      </c>
      <c r="E190" s="1">
        <v>46183</v>
      </c>
      <c r="F190" t="s">
        <v>4765</v>
      </c>
      <c r="G190" t="s">
        <v>4738</v>
      </c>
      <c r="H190" t="s">
        <v>1016</v>
      </c>
      <c r="I190" t="s">
        <v>204</v>
      </c>
      <c r="J190" s="1">
        <v>46567</v>
      </c>
      <c r="K190" t="s">
        <v>768</v>
      </c>
      <c r="L190">
        <v>2670</v>
      </c>
      <c r="M190">
        <v>10653.3</v>
      </c>
      <c r="N190" t="s">
        <v>1020</v>
      </c>
      <c r="O190" t="s">
        <v>1037</v>
      </c>
      <c r="P190" t="s">
        <v>4776</v>
      </c>
      <c r="Q190" t="s">
        <v>4852</v>
      </c>
      <c r="R190" t="s">
        <v>807</v>
      </c>
    </row>
    <row r="191" spans="1:18" x14ac:dyDescent="0.3">
      <c r="A191">
        <v>4244868</v>
      </c>
      <c r="B191" t="s">
        <v>4874</v>
      </c>
      <c r="C191" t="s">
        <v>417</v>
      </c>
      <c r="D191" t="s">
        <v>185</v>
      </c>
      <c r="E191" s="1">
        <v>46183</v>
      </c>
      <c r="F191" t="s">
        <v>4335</v>
      </c>
      <c r="G191" t="s">
        <v>4662</v>
      </c>
      <c r="H191" t="s">
        <v>461</v>
      </c>
      <c r="I191" t="s">
        <v>204</v>
      </c>
      <c r="J191" s="1">
        <v>54878</v>
      </c>
      <c r="K191" t="s">
        <v>762</v>
      </c>
      <c r="L191">
        <v>5772.83</v>
      </c>
      <c r="M191">
        <v>5772.83</v>
      </c>
      <c r="N191" t="s">
        <v>710</v>
      </c>
      <c r="O191" t="s">
        <v>1037</v>
      </c>
      <c r="P191" t="s">
        <v>4780</v>
      </c>
      <c r="Q191" t="s">
        <v>4852</v>
      </c>
      <c r="R191" t="s">
        <v>4771</v>
      </c>
    </row>
    <row r="192" spans="1:18" x14ac:dyDescent="0.3">
      <c r="A192">
        <v>430</v>
      </c>
      <c r="B192" t="s">
        <v>4874</v>
      </c>
      <c r="C192" t="s">
        <v>645</v>
      </c>
      <c r="D192" t="s">
        <v>76</v>
      </c>
      <c r="E192" s="1">
        <v>46183</v>
      </c>
      <c r="F192" t="s">
        <v>4318</v>
      </c>
      <c r="G192" t="s">
        <v>4689</v>
      </c>
      <c r="H192" t="s">
        <v>644</v>
      </c>
      <c r="I192" t="s">
        <v>204</v>
      </c>
      <c r="J192" s="1">
        <v>46478</v>
      </c>
      <c r="K192" t="s">
        <v>720</v>
      </c>
      <c r="L192">
        <v>4300</v>
      </c>
      <c r="M192">
        <v>4300</v>
      </c>
      <c r="N192" t="s">
        <v>710</v>
      </c>
      <c r="O192" t="s">
        <v>1038</v>
      </c>
      <c r="P192" t="s">
        <v>4776</v>
      </c>
      <c r="Q192" t="s">
        <v>4858</v>
      </c>
      <c r="R192" t="s">
        <v>4773</v>
      </c>
    </row>
    <row r="193" spans="1:18" x14ac:dyDescent="0.3">
      <c r="A193">
        <v>67</v>
      </c>
      <c r="B193" t="s">
        <v>4875</v>
      </c>
      <c r="C193" t="s">
        <v>1017</v>
      </c>
      <c r="D193" t="s">
        <v>1018</v>
      </c>
      <c r="E193" s="1">
        <v>46183</v>
      </c>
      <c r="F193" t="s">
        <v>4766</v>
      </c>
      <c r="G193" t="s">
        <v>4738</v>
      </c>
      <c r="H193" t="s">
        <v>1016</v>
      </c>
      <c r="I193" t="s">
        <v>204</v>
      </c>
      <c r="J193" s="1">
        <v>46567</v>
      </c>
      <c r="K193" t="s">
        <v>768</v>
      </c>
      <c r="L193">
        <v>124</v>
      </c>
      <c r="M193">
        <v>1362.76</v>
      </c>
      <c r="N193" t="s">
        <v>1020</v>
      </c>
      <c r="O193" t="s">
        <v>1037</v>
      </c>
      <c r="P193" t="s">
        <v>4776</v>
      </c>
      <c r="Q193" t="s">
        <v>4852</v>
      </c>
      <c r="R193" t="s">
        <v>807</v>
      </c>
    </row>
    <row r="194" spans="1:18" x14ac:dyDescent="0.3">
      <c r="A194">
        <v>13020</v>
      </c>
      <c r="B194" t="s">
        <v>4874</v>
      </c>
      <c r="C194" t="s">
        <v>237</v>
      </c>
      <c r="D194" t="s">
        <v>4</v>
      </c>
      <c r="E194" s="1">
        <v>46183</v>
      </c>
      <c r="F194" t="s">
        <v>4368</v>
      </c>
      <c r="G194" t="s">
        <v>4715</v>
      </c>
      <c r="H194" t="s">
        <v>236</v>
      </c>
      <c r="I194" t="s">
        <v>204</v>
      </c>
      <c r="J194" s="1">
        <v>54878</v>
      </c>
      <c r="K194" t="s">
        <v>720</v>
      </c>
      <c r="L194">
        <v>5271</v>
      </c>
      <c r="M194">
        <v>5271</v>
      </c>
      <c r="N194" t="s">
        <v>710</v>
      </c>
      <c r="O194" t="s">
        <v>1038</v>
      </c>
      <c r="P194" t="s">
        <v>4776</v>
      </c>
      <c r="Q194" t="s">
        <v>4858</v>
      </c>
      <c r="R194" t="s">
        <v>4771</v>
      </c>
    </row>
    <row r="195" spans="1:18" x14ac:dyDescent="0.3">
      <c r="A195">
        <v>216708</v>
      </c>
      <c r="B195" t="s">
        <v>4874</v>
      </c>
      <c r="C195" t="s">
        <v>467</v>
      </c>
      <c r="D195" t="s">
        <v>175</v>
      </c>
      <c r="E195" s="1">
        <v>46183</v>
      </c>
      <c r="F195" t="s">
        <v>4315</v>
      </c>
      <c r="G195" t="s">
        <v>3665</v>
      </c>
      <c r="H195" t="s">
        <v>466</v>
      </c>
      <c r="I195" t="s">
        <v>204</v>
      </c>
      <c r="J195" s="1">
        <v>46266</v>
      </c>
      <c r="K195" t="s">
        <v>762</v>
      </c>
      <c r="L195">
        <v>1</v>
      </c>
      <c r="M195">
        <v>16567.98</v>
      </c>
      <c r="N195" t="s">
        <v>710</v>
      </c>
      <c r="O195" t="s">
        <v>4845</v>
      </c>
      <c r="P195" t="s">
        <v>4776</v>
      </c>
      <c r="Q195" t="s">
        <v>4845</v>
      </c>
      <c r="R195" t="s">
        <v>4773</v>
      </c>
    </row>
    <row r="196" spans="1:18" x14ac:dyDescent="0.3">
      <c r="A196">
        <v>2253837</v>
      </c>
      <c r="B196" t="s">
        <v>4874</v>
      </c>
      <c r="C196" t="s">
        <v>417</v>
      </c>
      <c r="D196" t="s">
        <v>185</v>
      </c>
      <c r="E196" s="1">
        <v>46183</v>
      </c>
      <c r="F196" t="s">
        <v>4346</v>
      </c>
      <c r="G196" t="s">
        <v>4662</v>
      </c>
      <c r="H196" t="s">
        <v>461</v>
      </c>
      <c r="I196" t="s">
        <v>204</v>
      </c>
      <c r="J196" s="1">
        <v>54878</v>
      </c>
      <c r="K196" t="s">
        <v>762</v>
      </c>
      <c r="L196">
        <v>35114.92</v>
      </c>
      <c r="M196">
        <v>35114.92</v>
      </c>
      <c r="N196" t="s">
        <v>710</v>
      </c>
      <c r="O196" t="s">
        <v>1037</v>
      </c>
      <c r="P196" t="s">
        <v>4780</v>
      </c>
      <c r="Q196" t="s">
        <v>4852</v>
      </c>
      <c r="R196" t="s">
        <v>4771</v>
      </c>
    </row>
    <row r="197" spans="1:18" x14ac:dyDescent="0.3">
      <c r="A197">
        <v>273182</v>
      </c>
      <c r="B197" t="s">
        <v>4874</v>
      </c>
      <c r="C197" t="s">
        <v>433</v>
      </c>
      <c r="D197" t="s">
        <v>168</v>
      </c>
      <c r="E197" s="1">
        <v>46183</v>
      </c>
      <c r="F197" t="s">
        <v>4306</v>
      </c>
      <c r="G197" t="s">
        <v>4666</v>
      </c>
      <c r="H197" t="s">
        <v>432</v>
      </c>
      <c r="I197" t="s">
        <v>204</v>
      </c>
      <c r="J197" s="1">
        <v>46473</v>
      </c>
      <c r="K197" t="s">
        <v>762</v>
      </c>
      <c r="L197">
        <v>12.67</v>
      </c>
      <c r="M197">
        <v>12.67</v>
      </c>
      <c r="N197" t="s">
        <v>710</v>
      </c>
      <c r="O197" t="s">
        <v>4833</v>
      </c>
      <c r="P197" t="s">
        <v>4802</v>
      </c>
      <c r="Q197" t="s">
        <v>4852</v>
      </c>
      <c r="R197" t="s">
        <v>4771</v>
      </c>
    </row>
    <row r="198" spans="1:18" x14ac:dyDescent="0.3">
      <c r="A198">
        <v>603255</v>
      </c>
      <c r="B198" t="s">
        <v>4874</v>
      </c>
      <c r="C198" t="s">
        <v>248</v>
      </c>
      <c r="D198" t="s">
        <v>13</v>
      </c>
      <c r="E198" s="1">
        <v>46183</v>
      </c>
      <c r="F198" t="s">
        <v>4297</v>
      </c>
      <c r="G198" t="s">
        <v>4712</v>
      </c>
      <c r="H198" t="s">
        <v>247</v>
      </c>
      <c r="I198" t="s">
        <v>204</v>
      </c>
      <c r="J198" s="1">
        <v>54878</v>
      </c>
      <c r="K198" t="s">
        <v>720</v>
      </c>
      <c r="L198">
        <v>573.72</v>
      </c>
      <c r="M198">
        <v>573.72</v>
      </c>
      <c r="N198" t="s">
        <v>710</v>
      </c>
      <c r="O198" t="s">
        <v>1038</v>
      </c>
      <c r="P198" t="s">
        <v>4779</v>
      </c>
      <c r="Q198" t="s">
        <v>4858</v>
      </c>
      <c r="R198" t="s">
        <v>4773</v>
      </c>
    </row>
    <row r="199" spans="1:18" x14ac:dyDescent="0.3">
      <c r="A199">
        <v>2253622</v>
      </c>
      <c r="B199" t="s">
        <v>4875</v>
      </c>
      <c r="C199" t="s">
        <v>417</v>
      </c>
      <c r="D199" t="s">
        <v>185</v>
      </c>
      <c r="E199" s="1">
        <v>46183</v>
      </c>
      <c r="F199" t="s">
        <v>4346</v>
      </c>
      <c r="G199" t="s">
        <v>4661</v>
      </c>
      <c r="H199" t="s">
        <v>684</v>
      </c>
      <c r="I199" t="s">
        <v>204</v>
      </c>
      <c r="J199" s="1">
        <v>55243</v>
      </c>
      <c r="K199" t="s">
        <v>768</v>
      </c>
      <c r="L199">
        <v>1159.8399999999999</v>
      </c>
      <c r="M199">
        <v>1159.8399999999999</v>
      </c>
      <c r="N199" t="s">
        <v>710</v>
      </c>
      <c r="O199" t="s">
        <v>1037</v>
      </c>
      <c r="P199" t="s">
        <v>4810</v>
      </c>
      <c r="Q199" t="s">
        <v>4852</v>
      </c>
      <c r="R199" t="s">
        <v>807</v>
      </c>
    </row>
    <row r="200" spans="1:18" x14ac:dyDescent="0.3">
      <c r="A200">
        <v>4244348</v>
      </c>
      <c r="B200" t="s">
        <v>4875</v>
      </c>
      <c r="C200" t="s">
        <v>417</v>
      </c>
      <c r="D200" t="s">
        <v>185</v>
      </c>
      <c r="E200" s="1">
        <v>46183</v>
      </c>
      <c r="F200" t="s">
        <v>4335</v>
      </c>
      <c r="G200" t="s">
        <v>4661</v>
      </c>
      <c r="H200" t="s">
        <v>684</v>
      </c>
      <c r="I200" t="s">
        <v>204</v>
      </c>
      <c r="J200" s="1">
        <v>55243</v>
      </c>
      <c r="K200" t="s">
        <v>768</v>
      </c>
      <c r="L200">
        <v>323.01</v>
      </c>
      <c r="M200">
        <v>323.01</v>
      </c>
      <c r="N200" t="s">
        <v>710</v>
      </c>
      <c r="O200" t="s">
        <v>1037</v>
      </c>
      <c r="P200" t="s">
        <v>4810</v>
      </c>
      <c r="Q200" t="s">
        <v>4852</v>
      </c>
      <c r="R200" t="s">
        <v>807</v>
      </c>
    </row>
    <row r="201" spans="1:18" x14ac:dyDescent="0.3">
      <c r="A201">
        <v>63</v>
      </c>
      <c r="B201" t="s">
        <v>4875</v>
      </c>
      <c r="C201" t="s">
        <v>1017</v>
      </c>
      <c r="D201" t="s">
        <v>1018</v>
      </c>
      <c r="E201" s="1">
        <v>46183</v>
      </c>
      <c r="F201" t="s">
        <v>4766</v>
      </c>
      <c r="G201" t="s">
        <v>4719</v>
      </c>
      <c r="H201" t="s">
        <v>1016</v>
      </c>
      <c r="I201" t="s">
        <v>204</v>
      </c>
      <c r="J201" s="1">
        <v>46567</v>
      </c>
      <c r="K201" t="s">
        <v>768</v>
      </c>
      <c r="L201">
        <v>122</v>
      </c>
      <c r="M201">
        <v>1340.78</v>
      </c>
      <c r="N201" t="s">
        <v>1020</v>
      </c>
      <c r="O201" t="s">
        <v>1037</v>
      </c>
      <c r="P201" t="s">
        <v>4776</v>
      </c>
      <c r="Q201" t="s">
        <v>4852</v>
      </c>
      <c r="R201" t="s">
        <v>807</v>
      </c>
    </row>
    <row r="202" spans="1:18" x14ac:dyDescent="0.3">
      <c r="A202">
        <v>187382</v>
      </c>
      <c r="B202" t="s">
        <v>4874</v>
      </c>
      <c r="C202" t="s">
        <v>433</v>
      </c>
      <c r="D202" t="s">
        <v>168</v>
      </c>
      <c r="E202" s="1">
        <v>46183</v>
      </c>
      <c r="F202" t="s">
        <v>4306</v>
      </c>
      <c r="G202" t="s">
        <v>4666</v>
      </c>
      <c r="H202" t="s">
        <v>432</v>
      </c>
      <c r="I202" t="s">
        <v>204</v>
      </c>
      <c r="J202" s="1">
        <v>46473</v>
      </c>
      <c r="K202" t="s">
        <v>762</v>
      </c>
      <c r="L202">
        <v>676</v>
      </c>
      <c r="M202">
        <v>676</v>
      </c>
      <c r="N202" t="s">
        <v>710</v>
      </c>
      <c r="O202" t="s">
        <v>4833</v>
      </c>
      <c r="P202" t="s">
        <v>4802</v>
      </c>
      <c r="Q202" t="s">
        <v>4852</v>
      </c>
      <c r="R202" t="s">
        <v>4771</v>
      </c>
    </row>
    <row r="203" spans="1:18" x14ac:dyDescent="0.3">
      <c r="A203">
        <v>68</v>
      </c>
      <c r="B203" t="s">
        <v>4875</v>
      </c>
      <c r="C203" t="s">
        <v>1017</v>
      </c>
      <c r="D203" t="s">
        <v>1018</v>
      </c>
      <c r="E203" s="1">
        <v>46182</v>
      </c>
      <c r="F203" t="s">
        <v>4418</v>
      </c>
      <c r="G203" t="s">
        <v>4695</v>
      </c>
      <c r="H203" t="s">
        <v>1016</v>
      </c>
      <c r="I203" t="s">
        <v>204</v>
      </c>
      <c r="J203" s="1">
        <v>46567</v>
      </c>
      <c r="K203" t="s">
        <v>768</v>
      </c>
      <c r="L203">
        <v>3</v>
      </c>
      <c r="M203">
        <v>29.97</v>
      </c>
      <c r="N203" t="s">
        <v>1020</v>
      </c>
      <c r="O203" t="s">
        <v>1037</v>
      </c>
      <c r="P203" t="s">
        <v>4776</v>
      </c>
      <c r="Q203" t="s">
        <v>4852</v>
      </c>
      <c r="R203" t="s">
        <v>807</v>
      </c>
    </row>
    <row r="204" spans="1:18" x14ac:dyDescent="0.3">
      <c r="A204">
        <v>68</v>
      </c>
      <c r="B204" t="s">
        <v>4875</v>
      </c>
      <c r="C204" t="s">
        <v>1017</v>
      </c>
      <c r="D204" t="s">
        <v>1018</v>
      </c>
      <c r="E204" s="1">
        <v>46182</v>
      </c>
      <c r="F204" t="s">
        <v>4758</v>
      </c>
      <c r="G204" t="s">
        <v>4695</v>
      </c>
      <c r="H204" t="s">
        <v>1016</v>
      </c>
      <c r="I204" t="s">
        <v>204</v>
      </c>
      <c r="J204" s="1">
        <v>46567</v>
      </c>
      <c r="K204" t="s">
        <v>768</v>
      </c>
      <c r="L204">
        <v>4</v>
      </c>
      <c r="M204">
        <v>100</v>
      </c>
      <c r="N204" t="s">
        <v>1020</v>
      </c>
      <c r="O204" t="s">
        <v>1037</v>
      </c>
      <c r="P204" t="s">
        <v>4776</v>
      </c>
      <c r="Q204" t="s">
        <v>4852</v>
      </c>
      <c r="R204" t="s">
        <v>807</v>
      </c>
    </row>
    <row r="205" spans="1:18" x14ac:dyDescent="0.3">
      <c r="A205">
        <v>68</v>
      </c>
      <c r="B205" t="s">
        <v>4875</v>
      </c>
      <c r="C205" t="s">
        <v>1017</v>
      </c>
      <c r="D205" t="s">
        <v>1018</v>
      </c>
      <c r="E205" s="1">
        <v>46182</v>
      </c>
      <c r="F205" t="s">
        <v>4759</v>
      </c>
      <c r="G205" t="s">
        <v>4695</v>
      </c>
      <c r="H205" t="s">
        <v>1016</v>
      </c>
      <c r="I205" t="s">
        <v>204</v>
      </c>
      <c r="J205" s="1">
        <v>46567</v>
      </c>
      <c r="K205" t="s">
        <v>768</v>
      </c>
      <c r="L205">
        <v>2</v>
      </c>
      <c r="M205">
        <v>11</v>
      </c>
      <c r="N205" t="s">
        <v>1020</v>
      </c>
      <c r="O205" t="s">
        <v>1037</v>
      </c>
      <c r="P205" t="s">
        <v>4776</v>
      </c>
      <c r="Q205" t="s">
        <v>4852</v>
      </c>
      <c r="R205" t="s">
        <v>807</v>
      </c>
    </row>
    <row r="206" spans="1:18" x14ac:dyDescent="0.3">
      <c r="A206">
        <v>68</v>
      </c>
      <c r="B206" t="s">
        <v>4875</v>
      </c>
      <c r="C206" t="s">
        <v>1017</v>
      </c>
      <c r="D206" t="s">
        <v>1018</v>
      </c>
      <c r="E206" s="1">
        <v>46182</v>
      </c>
      <c r="F206" t="s">
        <v>4760</v>
      </c>
      <c r="G206" t="s">
        <v>4695</v>
      </c>
      <c r="H206" t="s">
        <v>1016</v>
      </c>
      <c r="I206" t="s">
        <v>204</v>
      </c>
      <c r="J206" s="1">
        <v>46567</v>
      </c>
      <c r="K206" t="s">
        <v>768</v>
      </c>
      <c r="L206">
        <v>2</v>
      </c>
      <c r="M206">
        <v>80</v>
      </c>
      <c r="N206" t="s">
        <v>1020</v>
      </c>
      <c r="O206" t="s">
        <v>1037</v>
      </c>
      <c r="P206" t="s">
        <v>4776</v>
      </c>
      <c r="Q206" t="s">
        <v>4852</v>
      </c>
      <c r="R206" t="s">
        <v>807</v>
      </c>
    </row>
    <row r="207" spans="1:18" x14ac:dyDescent="0.3">
      <c r="A207">
        <v>429943</v>
      </c>
      <c r="B207" t="s">
        <v>4875</v>
      </c>
      <c r="C207" t="s">
        <v>435</v>
      </c>
      <c r="D207" t="s">
        <v>30</v>
      </c>
      <c r="E207" s="1">
        <v>46182</v>
      </c>
      <c r="F207" t="s">
        <v>4351</v>
      </c>
      <c r="G207" t="s">
        <v>4705</v>
      </c>
      <c r="H207" t="s">
        <v>4461</v>
      </c>
      <c r="I207" t="s">
        <v>204</v>
      </c>
      <c r="J207" s="1">
        <v>46752</v>
      </c>
      <c r="K207" t="s">
        <v>748</v>
      </c>
      <c r="L207">
        <v>70359</v>
      </c>
      <c r="M207">
        <v>70358.98</v>
      </c>
      <c r="N207" t="s">
        <v>998</v>
      </c>
      <c r="O207" t="s">
        <v>1040</v>
      </c>
      <c r="P207" t="s">
        <v>4787</v>
      </c>
      <c r="Q207" t="s">
        <v>4856</v>
      </c>
      <c r="R207" t="s">
        <v>807</v>
      </c>
    </row>
    <row r="208" spans="1:18" x14ac:dyDescent="0.3">
      <c r="A208">
        <v>3897</v>
      </c>
      <c r="B208" t="s">
        <v>4875</v>
      </c>
      <c r="C208" t="s">
        <v>585</v>
      </c>
      <c r="D208" t="s">
        <v>179</v>
      </c>
      <c r="E208" s="1">
        <v>46182</v>
      </c>
      <c r="F208" t="s">
        <v>4306</v>
      </c>
      <c r="G208" t="s">
        <v>4692</v>
      </c>
      <c r="H208" t="s">
        <v>586</v>
      </c>
      <c r="I208" t="s">
        <v>204</v>
      </c>
      <c r="J208" s="1">
        <v>46477</v>
      </c>
      <c r="K208" t="s">
        <v>768</v>
      </c>
      <c r="L208">
        <v>1139.9000000000001</v>
      </c>
      <c r="M208">
        <v>1139.9000000000001</v>
      </c>
      <c r="N208" t="s">
        <v>719</v>
      </c>
      <c r="O208" t="s">
        <v>4833</v>
      </c>
      <c r="P208" t="s">
        <v>4786</v>
      </c>
      <c r="Q208" t="s">
        <v>4852</v>
      </c>
      <c r="R208" t="s">
        <v>4771</v>
      </c>
    </row>
    <row r="209" spans="1:18" x14ac:dyDescent="0.3">
      <c r="A209">
        <v>68</v>
      </c>
      <c r="B209" t="s">
        <v>4875</v>
      </c>
      <c r="C209" t="s">
        <v>1017</v>
      </c>
      <c r="D209" t="s">
        <v>1018</v>
      </c>
      <c r="E209" s="1">
        <v>46182</v>
      </c>
      <c r="F209" t="s">
        <v>4761</v>
      </c>
      <c r="G209" t="s">
        <v>4695</v>
      </c>
      <c r="H209" t="s">
        <v>1016</v>
      </c>
      <c r="I209" t="s">
        <v>204</v>
      </c>
      <c r="J209" s="1">
        <v>46567</v>
      </c>
      <c r="K209" t="s">
        <v>768</v>
      </c>
      <c r="L209">
        <v>4</v>
      </c>
      <c r="M209">
        <v>47.96</v>
      </c>
      <c r="N209" t="s">
        <v>1020</v>
      </c>
      <c r="O209" t="s">
        <v>1037</v>
      </c>
      <c r="P209" t="s">
        <v>4776</v>
      </c>
      <c r="Q209" t="s">
        <v>4852</v>
      </c>
      <c r="R209" t="s">
        <v>807</v>
      </c>
    </row>
    <row r="210" spans="1:18" x14ac:dyDescent="0.3">
      <c r="A210">
        <v>174669</v>
      </c>
      <c r="B210" t="s">
        <v>4875</v>
      </c>
      <c r="C210" t="s">
        <v>301</v>
      </c>
      <c r="D210" t="s">
        <v>23</v>
      </c>
      <c r="E210" s="1">
        <v>46182</v>
      </c>
      <c r="F210" t="s">
        <v>4321</v>
      </c>
      <c r="G210" t="s">
        <v>4607</v>
      </c>
      <c r="H210" t="s">
        <v>342</v>
      </c>
      <c r="I210" t="s">
        <v>204</v>
      </c>
      <c r="J210" s="1">
        <v>46285</v>
      </c>
      <c r="K210" t="s">
        <v>748</v>
      </c>
      <c r="L210">
        <v>5127.5200000000004</v>
      </c>
      <c r="M210">
        <v>5127.51</v>
      </c>
      <c r="N210" t="s">
        <v>710</v>
      </c>
      <c r="O210" t="s">
        <v>1040</v>
      </c>
      <c r="P210" t="s">
        <v>4782</v>
      </c>
      <c r="Q210" t="s">
        <v>4856</v>
      </c>
      <c r="R210" t="s">
        <v>4773</v>
      </c>
    </row>
    <row r="211" spans="1:18" x14ac:dyDescent="0.3">
      <c r="A211">
        <v>68</v>
      </c>
      <c r="B211" t="s">
        <v>4875</v>
      </c>
      <c r="C211" t="s">
        <v>1017</v>
      </c>
      <c r="D211" t="s">
        <v>1018</v>
      </c>
      <c r="E211" s="1">
        <v>46182</v>
      </c>
      <c r="F211" t="s">
        <v>4763</v>
      </c>
      <c r="G211" t="s">
        <v>4695</v>
      </c>
      <c r="H211" t="s">
        <v>1016</v>
      </c>
      <c r="I211" t="s">
        <v>204</v>
      </c>
      <c r="J211" s="1">
        <v>46567</v>
      </c>
      <c r="K211" t="s">
        <v>768</v>
      </c>
      <c r="L211">
        <v>3</v>
      </c>
      <c r="M211">
        <v>269.97000000000003</v>
      </c>
      <c r="N211" t="s">
        <v>1020</v>
      </c>
      <c r="O211" t="s">
        <v>1037</v>
      </c>
      <c r="P211" t="s">
        <v>4776</v>
      </c>
      <c r="Q211" t="s">
        <v>4852</v>
      </c>
      <c r="R211" t="s">
        <v>807</v>
      </c>
    </row>
    <row r="212" spans="1:18" x14ac:dyDescent="0.3">
      <c r="A212">
        <v>68</v>
      </c>
      <c r="B212" t="s">
        <v>4875</v>
      </c>
      <c r="C212" t="s">
        <v>1017</v>
      </c>
      <c r="D212" t="s">
        <v>1018</v>
      </c>
      <c r="E212" s="1">
        <v>46182</v>
      </c>
      <c r="F212" t="s">
        <v>4764</v>
      </c>
      <c r="G212" t="s">
        <v>4695</v>
      </c>
      <c r="H212" t="s">
        <v>1016</v>
      </c>
      <c r="I212" t="s">
        <v>204</v>
      </c>
      <c r="J212" s="1">
        <v>46567</v>
      </c>
      <c r="K212" t="s">
        <v>768</v>
      </c>
      <c r="L212">
        <v>8</v>
      </c>
      <c r="M212">
        <v>103.92</v>
      </c>
      <c r="N212" t="s">
        <v>1020</v>
      </c>
      <c r="O212" t="s">
        <v>1037</v>
      </c>
      <c r="P212" t="s">
        <v>4776</v>
      </c>
      <c r="Q212" t="s">
        <v>4852</v>
      </c>
      <c r="R212" t="s">
        <v>807</v>
      </c>
    </row>
    <row r="213" spans="1:18" x14ac:dyDescent="0.3">
      <c r="A213">
        <v>603010</v>
      </c>
      <c r="B213" t="s">
        <v>4875</v>
      </c>
      <c r="C213" t="s">
        <v>248</v>
      </c>
      <c r="D213" t="s">
        <v>13</v>
      </c>
      <c r="E213" s="1">
        <v>46182</v>
      </c>
      <c r="F213" t="s">
        <v>4430</v>
      </c>
      <c r="G213" t="s">
        <v>4621</v>
      </c>
      <c r="H213" t="s">
        <v>351</v>
      </c>
      <c r="I213" t="s">
        <v>204</v>
      </c>
      <c r="J213" s="1">
        <v>54878</v>
      </c>
      <c r="K213" t="s">
        <v>748</v>
      </c>
      <c r="L213">
        <v>1558.79</v>
      </c>
      <c r="M213">
        <v>1558.79</v>
      </c>
      <c r="N213" t="s">
        <v>710</v>
      </c>
      <c r="O213" t="s">
        <v>1040</v>
      </c>
      <c r="P213" t="s">
        <v>4779</v>
      </c>
      <c r="Q213" t="s">
        <v>4856</v>
      </c>
      <c r="R213" t="s">
        <v>4773</v>
      </c>
    </row>
    <row r="214" spans="1:18" x14ac:dyDescent="0.3">
      <c r="A214">
        <v>3736</v>
      </c>
      <c r="B214" t="s">
        <v>4875</v>
      </c>
      <c r="C214" t="s">
        <v>541</v>
      </c>
      <c r="D214" t="s">
        <v>173</v>
      </c>
      <c r="E214" s="1">
        <v>46182</v>
      </c>
      <c r="F214" t="s">
        <v>4326</v>
      </c>
      <c r="G214" t="s">
        <v>4622</v>
      </c>
      <c r="H214" t="s">
        <v>542</v>
      </c>
      <c r="I214" t="s">
        <v>204</v>
      </c>
      <c r="J214" s="1">
        <v>46537</v>
      </c>
      <c r="K214" t="s">
        <v>748</v>
      </c>
      <c r="L214">
        <v>2337.9499999999998</v>
      </c>
      <c r="M214">
        <v>2337.9499999999998</v>
      </c>
      <c r="N214" t="s">
        <v>814</v>
      </c>
      <c r="O214" t="s">
        <v>1040</v>
      </c>
      <c r="P214" t="s">
        <v>4791</v>
      </c>
      <c r="Q214" t="s">
        <v>4856</v>
      </c>
      <c r="R214" t="s">
        <v>4773</v>
      </c>
    </row>
    <row r="215" spans="1:18" x14ac:dyDescent="0.3">
      <c r="A215">
        <v>62851</v>
      </c>
      <c r="B215" t="s">
        <v>4875</v>
      </c>
      <c r="C215" t="s">
        <v>208</v>
      </c>
      <c r="D215" t="s">
        <v>164</v>
      </c>
      <c r="E215" s="1">
        <v>46182</v>
      </c>
      <c r="F215" t="s">
        <v>4297</v>
      </c>
      <c r="G215" t="s">
        <v>4623</v>
      </c>
      <c r="H215" t="s">
        <v>605</v>
      </c>
      <c r="I215" t="s">
        <v>204</v>
      </c>
      <c r="J215" s="1">
        <v>46256</v>
      </c>
      <c r="K215" t="s">
        <v>748</v>
      </c>
      <c r="L215">
        <v>120</v>
      </c>
      <c r="M215">
        <v>120</v>
      </c>
      <c r="N215" t="s">
        <v>710</v>
      </c>
      <c r="O215" t="s">
        <v>1040</v>
      </c>
      <c r="P215" t="s">
        <v>4795</v>
      </c>
      <c r="Q215" t="s">
        <v>4856</v>
      </c>
    </row>
    <row r="216" spans="1:18" x14ac:dyDescent="0.3">
      <c r="A216">
        <v>43718</v>
      </c>
      <c r="B216" t="s">
        <v>4875</v>
      </c>
      <c r="C216" t="s">
        <v>327</v>
      </c>
      <c r="D216" t="s">
        <v>159</v>
      </c>
      <c r="E216" s="1">
        <v>46182</v>
      </c>
      <c r="F216" t="s">
        <v>4295</v>
      </c>
      <c r="G216" t="s">
        <v>4682</v>
      </c>
      <c r="H216" t="s">
        <v>326</v>
      </c>
      <c r="I216" t="s">
        <v>204</v>
      </c>
      <c r="J216" s="1">
        <v>54878</v>
      </c>
      <c r="K216" t="s">
        <v>748</v>
      </c>
      <c r="L216">
        <v>1835.2</v>
      </c>
      <c r="M216">
        <v>1835.2</v>
      </c>
      <c r="N216" t="s">
        <v>719</v>
      </c>
      <c r="O216" t="s">
        <v>4834</v>
      </c>
      <c r="P216" t="s">
        <v>4776</v>
      </c>
      <c r="Q216" t="s">
        <v>4856</v>
      </c>
      <c r="R216" t="s">
        <v>4773</v>
      </c>
    </row>
    <row r="217" spans="1:18" x14ac:dyDescent="0.3">
      <c r="A217">
        <v>43719</v>
      </c>
      <c r="B217" t="s">
        <v>4875</v>
      </c>
      <c r="C217" t="s">
        <v>327</v>
      </c>
      <c r="D217" t="s">
        <v>159</v>
      </c>
      <c r="E217" s="1">
        <v>46182</v>
      </c>
      <c r="F217" t="s">
        <v>4295</v>
      </c>
      <c r="G217" t="s">
        <v>4683</v>
      </c>
      <c r="H217" t="s">
        <v>326</v>
      </c>
      <c r="I217" t="s">
        <v>204</v>
      </c>
      <c r="J217" s="1">
        <v>54878</v>
      </c>
      <c r="K217" t="s">
        <v>748</v>
      </c>
      <c r="L217">
        <v>2150</v>
      </c>
      <c r="M217">
        <v>2150</v>
      </c>
      <c r="N217" t="s">
        <v>719</v>
      </c>
      <c r="O217" t="s">
        <v>4834</v>
      </c>
      <c r="P217" t="s">
        <v>4776</v>
      </c>
      <c r="Q217" t="s">
        <v>4856</v>
      </c>
      <c r="R217" t="s">
        <v>4773</v>
      </c>
    </row>
    <row r="218" spans="1:18" x14ac:dyDescent="0.3">
      <c r="A218">
        <v>14</v>
      </c>
      <c r="B218" t="s">
        <v>4875</v>
      </c>
      <c r="C218" t="s">
        <v>651</v>
      </c>
      <c r="D218" t="s">
        <v>46</v>
      </c>
      <c r="E218" s="1">
        <v>46182</v>
      </c>
      <c r="F218" t="s">
        <v>4435</v>
      </c>
      <c r="G218" t="s">
        <v>4617</v>
      </c>
      <c r="H218" t="s">
        <v>650</v>
      </c>
      <c r="I218" t="s">
        <v>204</v>
      </c>
      <c r="J218" s="1">
        <v>46173</v>
      </c>
      <c r="K218" t="s">
        <v>748</v>
      </c>
      <c r="L218">
        <v>4970</v>
      </c>
      <c r="M218">
        <v>4970</v>
      </c>
      <c r="N218" t="s">
        <v>710</v>
      </c>
      <c r="O218" t="s">
        <v>1040</v>
      </c>
      <c r="P218" t="s">
        <v>4779</v>
      </c>
      <c r="Q218" t="s">
        <v>4856</v>
      </c>
    </row>
    <row r="219" spans="1:18" x14ac:dyDescent="0.3">
      <c r="A219">
        <v>101</v>
      </c>
      <c r="B219" t="s">
        <v>4875</v>
      </c>
      <c r="C219" t="s">
        <v>322</v>
      </c>
      <c r="D219" t="s">
        <v>158</v>
      </c>
      <c r="E219" s="1">
        <v>46182</v>
      </c>
      <c r="F219" t="s">
        <v>4433</v>
      </c>
      <c r="G219" t="s">
        <v>4589</v>
      </c>
      <c r="H219" t="s">
        <v>346</v>
      </c>
      <c r="I219" t="s">
        <v>204</v>
      </c>
      <c r="J219" s="1">
        <v>46310</v>
      </c>
      <c r="K219" t="s">
        <v>748</v>
      </c>
      <c r="L219">
        <v>763</v>
      </c>
      <c r="M219">
        <v>9911.3700000000008</v>
      </c>
      <c r="N219" t="s">
        <v>710</v>
      </c>
      <c r="O219" t="s">
        <v>1040</v>
      </c>
      <c r="P219" t="s">
        <v>4782</v>
      </c>
      <c r="Q219" t="s">
        <v>4856</v>
      </c>
      <c r="R219" t="s">
        <v>4773</v>
      </c>
    </row>
    <row r="220" spans="1:18" x14ac:dyDescent="0.3">
      <c r="A220">
        <v>68</v>
      </c>
      <c r="B220" t="s">
        <v>4875</v>
      </c>
      <c r="C220" t="s">
        <v>1017</v>
      </c>
      <c r="D220" t="s">
        <v>1018</v>
      </c>
      <c r="E220" s="1">
        <v>46182</v>
      </c>
      <c r="F220" t="s">
        <v>4762</v>
      </c>
      <c r="G220" t="s">
        <v>4695</v>
      </c>
      <c r="H220" t="s">
        <v>1016</v>
      </c>
      <c r="I220" t="s">
        <v>204</v>
      </c>
      <c r="J220" s="1">
        <v>46567</v>
      </c>
      <c r="K220" t="s">
        <v>768</v>
      </c>
      <c r="L220">
        <v>12</v>
      </c>
      <c r="M220">
        <v>23.88</v>
      </c>
      <c r="N220" t="s">
        <v>1020</v>
      </c>
      <c r="O220" t="s">
        <v>1037</v>
      </c>
      <c r="P220" t="s">
        <v>4776</v>
      </c>
      <c r="Q220" t="s">
        <v>4852</v>
      </c>
      <c r="R220" t="s">
        <v>807</v>
      </c>
    </row>
    <row r="221" spans="1:18" x14ac:dyDescent="0.3">
      <c r="A221">
        <v>3896</v>
      </c>
      <c r="B221" t="s">
        <v>1034</v>
      </c>
      <c r="C221" t="s">
        <v>585</v>
      </c>
      <c r="D221" t="s">
        <v>179</v>
      </c>
      <c r="E221" s="1">
        <v>46182</v>
      </c>
      <c r="F221" t="s">
        <v>4306</v>
      </c>
      <c r="G221" t="s">
        <v>4691</v>
      </c>
      <c r="H221" t="s">
        <v>584</v>
      </c>
      <c r="I221" t="s">
        <v>204</v>
      </c>
      <c r="J221" s="1">
        <v>46477</v>
      </c>
      <c r="K221" t="s">
        <v>717</v>
      </c>
      <c r="L221">
        <v>1</v>
      </c>
      <c r="M221">
        <v>1139.9000000000001</v>
      </c>
      <c r="N221" t="s">
        <v>719</v>
      </c>
      <c r="O221" t="s">
        <v>4833</v>
      </c>
      <c r="P221" t="s">
        <v>4786</v>
      </c>
      <c r="Q221" t="s">
        <v>4852</v>
      </c>
      <c r="R221" t="s">
        <v>4771</v>
      </c>
    </row>
    <row r="222" spans="1:18" x14ac:dyDescent="0.3">
      <c r="A222">
        <v>67525</v>
      </c>
      <c r="B222" t="s">
        <v>4874</v>
      </c>
      <c r="C222" t="s">
        <v>426</v>
      </c>
      <c r="D222" t="s">
        <v>54</v>
      </c>
      <c r="E222" s="1">
        <v>46182</v>
      </c>
      <c r="F222" t="s">
        <v>4409</v>
      </c>
      <c r="G222" t="s">
        <v>4702</v>
      </c>
      <c r="H222" t="s">
        <v>425</v>
      </c>
      <c r="I222" t="s">
        <v>204</v>
      </c>
      <c r="J222" s="1">
        <v>46752</v>
      </c>
      <c r="K222" t="s">
        <v>785</v>
      </c>
      <c r="L222">
        <v>1</v>
      </c>
      <c r="M222">
        <v>93869.74</v>
      </c>
      <c r="N222" t="s">
        <v>710</v>
      </c>
      <c r="O222" t="s">
        <v>1038</v>
      </c>
      <c r="P222" t="s">
        <v>4787</v>
      </c>
      <c r="Q222" t="s">
        <v>4858</v>
      </c>
      <c r="R222" t="s">
        <v>4771</v>
      </c>
    </row>
    <row r="223" spans="1:18" x14ac:dyDescent="0.3">
      <c r="A223">
        <v>19788009</v>
      </c>
      <c r="B223" t="s">
        <v>1034</v>
      </c>
      <c r="C223" t="s">
        <v>678</v>
      </c>
      <c r="D223" t="s">
        <v>181</v>
      </c>
      <c r="E223" s="1">
        <v>46182</v>
      </c>
      <c r="F223" t="s">
        <v>4382</v>
      </c>
      <c r="G223" t="s">
        <v>4706</v>
      </c>
      <c r="H223" t="s">
        <v>677</v>
      </c>
      <c r="I223" t="s">
        <v>204</v>
      </c>
      <c r="J223" s="1">
        <v>46387</v>
      </c>
      <c r="K223" t="s">
        <v>717</v>
      </c>
      <c r="L223">
        <v>36787.07</v>
      </c>
      <c r="M223">
        <v>36787.07</v>
      </c>
      <c r="N223" t="s">
        <v>719</v>
      </c>
      <c r="O223" t="s">
        <v>1037</v>
      </c>
      <c r="P223" t="s">
        <v>4794</v>
      </c>
      <c r="Q223" t="s">
        <v>4852</v>
      </c>
      <c r="R223" t="s">
        <v>807</v>
      </c>
    </row>
    <row r="224" spans="1:18" x14ac:dyDescent="0.3">
      <c r="A224">
        <v>228545</v>
      </c>
      <c r="B224" t="s">
        <v>4874</v>
      </c>
      <c r="C224" t="s">
        <v>441</v>
      </c>
      <c r="D224" t="s">
        <v>38</v>
      </c>
      <c r="E224" s="1">
        <v>46182</v>
      </c>
      <c r="F224" t="s">
        <v>4393</v>
      </c>
      <c r="G224" t="s">
        <v>4710</v>
      </c>
      <c r="H224" t="s">
        <v>440</v>
      </c>
      <c r="I224" t="s">
        <v>204</v>
      </c>
      <c r="J224" s="1">
        <v>46191</v>
      </c>
      <c r="K224" t="s">
        <v>762</v>
      </c>
      <c r="L224">
        <v>11339.96</v>
      </c>
      <c r="M224">
        <v>11339.96</v>
      </c>
      <c r="N224" t="s">
        <v>710</v>
      </c>
      <c r="O224" t="s">
        <v>4833</v>
      </c>
      <c r="P224" t="s">
        <v>4786</v>
      </c>
      <c r="Q224" t="s">
        <v>4852</v>
      </c>
      <c r="R224" t="s">
        <v>4773</v>
      </c>
    </row>
    <row r="225" spans="1:18" x14ac:dyDescent="0.3">
      <c r="A225">
        <v>41550</v>
      </c>
      <c r="B225" t="s">
        <v>4874</v>
      </c>
      <c r="C225" t="s">
        <v>447</v>
      </c>
      <c r="D225" t="s">
        <v>57</v>
      </c>
      <c r="E225" s="1">
        <v>46182</v>
      </c>
      <c r="F225" t="s">
        <v>4345</v>
      </c>
      <c r="G225" t="s">
        <v>4700</v>
      </c>
      <c r="H225" t="s">
        <v>446</v>
      </c>
      <c r="I225" t="s">
        <v>204</v>
      </c>
      <c r="J225" s="1">
        <v>46203</v>
      </c>
      <c r="K225" t="s">
        <v>762</v>
      </c>
      <c r="L225">
        <v>1</v>
      </c>
      <c r="M225">
        <v>793.23</v>
      </c>
      <c r="N225" t="s">
        <v>710</v>
      </c>
      <c r="O225" t="s">
        <v>1038</v>
      </c>
      <c r="P225" t="s">
        <v>4776</v>
      </c>
      <c r="Q225" t="s">
        <v>4858</v>
      </c>
      <c r="R225" t="s">
        <v>4774</v>
      </c>
    </row>
    <row r="226" spans="1:18" x14ac:dyDescent="0.3">
      <c r="A226">
        <v>7469</v>
      </c>
      <c r="B226" t="s">
        <v>4874</v>
      </c>
      <c r="C226" t="s">
        <v>484</v>
      </c>
      <c r="D226" t="s">
        <v>140</v>
      </c>
      <c r="E226" s="1">
        <v>46182</v>
      </c>
      <c r="F226" t="s">
        <v>4345</v>
      </c>
      <c r="G226" t="s">
        <v>4680</v>
      </c>
      <c r="H226" t="s">
        <v>483</v>
      </c>
      <c r="I226" t="s">
        <v>204</v>
      </c>
      <c r="J226" s="1">
        <v>46508</v>
      </c>
      <c r="K226" t="s">
        <v>762</v>
      </c>
      <c r="L226">
        <v>38565</v>
      </c>
      <c r="M226">
        <v>38565</v>
      </c>
      <c r="N226" t="s">
        <v>710</v>
      </c>
      <c r="O226" t="s">
        <v>4833</v>
      </c>
      <c r="P226" t="s">
        <v>4776</v>
      </c>
      <c r="Q226" t="s">
        <v>4852</v>
      </c>
      <c r="R226" t="s">
        <v>4773</v>
      </c>
    </row>
    <row r="227" spans="1:18" x14ac:dyDescent="0.3">
      <c r="A227">
        <v>21459</v>
      </c>
      <c r="B227" t="s">
        <v>4874</v>
      </c>
      <c r="C227" t="s">
        <v>391</v>
      </c>
      <c r="D227" t="s">
        <v>104</v>
      </c>
      <c r="E227" s="1">
        <v>46182</v>
      </c>
      <c r="F227" t="s">
        <v>4354</v>
      </c>
      <c r="G227" t="s">
        <v>4681</v>
      </c>
      <c r="H227" t="s">
        <v>390</v>
      </c>
      <c r="I227" t="s">
        <v>204</v>
      </c>
      <c r="J227" s="1">
        <v>54878</v>
      </c>
      <c r="K227" t="s">
        <v>762</v>
      </c>
      <c r="L227">
        <v>224.98</v>
      </c>
      <c r="M227">
        <v>224.98</v>
      </c>
      <c r="N227" t="s">
        <v>710</v>
      </c>
      <c r="O227" t="s">
        <v>4833</v>
      </c>
      <c r="P227" t="s">
        <v>4776</v>
      </c>
      <c r="Q227" t="s">
        <v>4852</v>
      </c>
      <c r="R227" t="s">
        <v>4773</v>
      </c>
    </row>
    <row r="228" spans="1:18" x14ac:dyDescent="0.3">
      <c r="A228">
        <v>21459</v>
      </c>
      <c r="B228" t="s">
        <v>4874</v>
      </c>
      <c r="C228" t="s">
        <v>391</v>
      </c>
      <c r="D228" t="s">
        <v>104</v>
      </c>
      <c r="E228" s="1">
        <v>46182</v>
      </c>
      <c r="F228" t="s">
        <v>4306</v>
      </c>
      <c r="G228" t="s">
        <v>4681</v>
      </c>
      <c r="H228" t="s">
        <v>390</v>
      </c>
      <c r="I228" t="s">
        <v>204</v>
      </c>
      <c r="J228" s="1">
        <v>54878</v>
      </c>
      <c r="K228" t="s">
        <v>762</v>
      </c>
      <c r="L228">
        <v>1435.1</v>
      </c>
      <c r="M228">
        <v>1435.1</v>
      </c>
      <c r="N228" t="s">
        <v>710</v>
      </c>
      <c r="O228" t="s">
        <v>4833</v>
      </c>
      <c r="P228" t="s">
        <v>4776</v>
      </c>
      <c r="Q228" t="s">
        <v>4852</v>
      </c>
      <c r="R228" t="s">
        <v>4773</v>
      </c>
    </row>
    <row r="229" spans="1:18" x14ac:dyDescent="0.3">
      <c r="A229">
        <v>302000</v>
      </c>
      <c r="B229" t="s">
        <v>4874</v>
      </c>
      <c r="C229" t="s">
        <v>391</v>
      </c>
      <c r="D229" t="s">
        <v>104</v>
      </c>
      <c r="E229" s="1">
        <v>46182</v>
      </c>
      <c r="F229" t="s">
        <v>4423</v>
      </c>
      <c r="G229" t="s">
        <v>4687</v>
      </c>
      <c r="H229" t="s">
        <v>390</v>
      </c>
      <c r="I229" t="s">
        <v>204</v>
      </c>
      <c r="J229" s="1">
        <v>54878</v>
      </c>
      <c r="K229" t="s">
        <v>762</v>
      </c>
      <c r="L229">
        <v>312.67</v>
      </c>
      <c r="M229">
        <v>312.67</v>
      </c>
      <c r="N229" t="s">
        <v>710</v>
      </c>
      <c r="O229" t="s">
        <v>4833</v>
      </c>
      <c r="P229" t="s">
        <v>4776</v>
      </c>
      <c r="Q229" t="s">
        <v>4852</v>
      </c>
      <c r="R229" t="s">
        <v>4773</v>
      </c>
    </row>
    <row r="230" spans="1:18" x14ac:dyDescent="0.3">
      <c r="A230">
        <v>7428</v>
      </c>
      <c r="B230" t="s">
        <v>4874</v>
      </c>
      <c r="C230" t="s">
        <v>387</v>
      </c>
      <c r="D230" t="s">
        <v>42</v>
      </c>
      <c r="E230" s="1">
        <v>46182</v>
      </c>
      <c r="F230" t="s">
        <v>4345</v>
      </c>
      <c r="G230" t="s">
        <v>4688</v>
      </c>
      <c r="H230" t="s">
        <v>386</v>
      </c>
      <c r="I230" t="s">
        <v>204</v>
      </c>
      <c r="J230" s="1">
        <v>54878</v>
      </c>
      <c r="K230" t="s">
        <v>762</v>
      </c>
      <c r="L230">
        <v>1887</v>
      </c>
      <c r="M230">
        <v>1887</v>
      </c>
      <c r="N230" t="s">
        <v>719</v>
      </c>
      <c r="O230" t="s">
        <v>4833</v>
      </c>
      <c r="P230" t="s">
        <v>4776</v>
      </c>
      <c r="Q230" t="s">
        <v>4852</v>
      </c>
      <c r="R230" t="s">
        <v>4773</v>
      </c>
    </row>
    <row r="231" spans="1:18" x14ac:dyDescent="0.3">
      <c r="A231">
        <v>7591</v>
      </c>
      <c r="B231" t="s">
        <v>1035</v>
      </c>
      <c r="C231" t="s">
        <v>230</v>
      </c>
      <c r="D231" t="s">
        <v>85</v>
      </c>
      <c r="E231" s="1">
        <v>46182</v>
      </c>
      <c r="F231" t="s">
        <v>4436</v>
      </c>
      <c r="G231" t="s">
        <v>4667</v>
      </c>
      <c r="H231" t="s">
        <v>229</v>
      </c>
      <c r="I231" t="s">
        <v>204</v>
      </c>
      <c r="J231" s="1">
        <v>46203</v>
      </c>
      <c r="K231" t="s">
        <v>744</v>
      </c>
      <c r="L231">
        <v>1583.74</v>
      </c>
      <c r="M231">
        <v>1583.74</v>
      </c>
      <c r="N231" t="s">
        <v>710</v>
      </c>
      <c r="O231" t="s">
        <v>1033</v>
      </c>
      <c r="P231" t="s">
        <v>4781</v>
      </c>
      <c r="Q231" t="s">
        <v>4852</v>
      </c>
      <c r="R231" t="s">
        <v>4771</v>
      </c>
    </row>
    <row r="232" spans="1:18" x14ac:dyDescent="0.3">
      <c r="A232">
        <v>7597</v>
      </c>
      <c r="B232" t="s">
        <v>1035</v>
      </c>
      <c r="C232" t="s">
        <v>230</v>
      </c>
      <c r="D232" t="s">
        <v>85</v>
      </c>
      <c r="E232" s="1">
        <v>46182</v>
      </c>
      <c r="F232" t="s">
        <v>4436</v>
      </c>
      <c r="G232" t="s">
        <v>4667</v>
      </c>
      <c r="H232" t="s">
        <v>229</v>
      </c>
      <c r="I232" t="s">
        <v>204</v>
      </c>
      <c r="J232" s="1">
        <v>46203</v>
      </c>
      <c r="K232" t="s">
        <v>744</v>
      </c>
      <c r="L232">
        <v>1186.78</v>
      </c>
      <c r="M232">
        <v>1186.78</v>
      </c>
      <c r="N232" t="s">
        <v>710</v>
      </c>
      <c r="O232" t="s">
        <v>1033</v>
      </c>
      <c r="P232" t="s">
        <v>4781</v>
      </c>
      <c r="Q232" t="s">
        <v>4852</v>
      </c>
      <c r="R232" t="s">
        <v>4771</v>
      </c>
    </row>
    <row r="233" spans="1:18" x14ac:dyDescent="0.3">
      <c r="A233">
        <v>10749</v>
      </c>
      <c r="B233" t="s">
        <v>4874</v>
      </c>
      <c r="C233" t="s">
        <v>422</v>
      </c>
      <c r="D233" t="s">
        <v>37</v>
      </c>
      <c r="E233" s="1">
        <v>46182</v>
      </c>
      <c r="F233" t="s">
        <v>4306</v>
      </c>
      <c r="G233" t="s">
        <v>4709</v>
      </c>
      <c r="H233" t="s">
        <v>421</v>
      </c>
      <c r="I233" t="s">
        <v>204</v>
      </c>
      <c r="J233" s="1">
        <v>46080</v>
      </c>
      <c r="K233" t="s">
        <v>762</v>
      </c>
      <c r="L233">
        <v>800</v>
      </c>
      <c r="M233">
        <v>800</v>
      </c>
      <c r="N233" t="s">
        <v>710</v>
      </c>
      <c r="O233" t="s">
        <v>4833</v>
      </c>
      <c r="P233" t="s">
        <v>4786</v>
      </c>
      <c r="Q233" t="s">
        <v>4852</v>
      </c>
      <c r="R233" t="s">
        <v>4773</v>
      </c>
    </row>
    <row r="234" spans="1:18" x14ac:dyDescent="0.3">
      <c r="A234">
        <v>7611</v>
      </c>
      <c r="B234" t="s">
        <v>1035</v>
      </c>
      <c r="C234" t="s">
        <v>230</v>
      </c>
      <c r="D234" t="s">
        <v>85</v>
      </c>
      <c r="E234" s="1">
        <v>46182</v>
      </c>
      <c r="F234" t="s">
        <v>4348</v>
      </c>
      <c r="G234" t="s">
        <v>4667</v>
      </c>
      <c r="H234" t="s">
        <v>229</v>
      </c>
      <c r="I234" t="s">
        <v>204</v>
      </c>
      <c r="J234" s="1">
        <v>46203</v>
      </c>
      <c r="K234" t="s">
        <v>744</v>
      </c>
      <c r="L234">
        <v>12110.4</v>
      </c>
      <c r="M234">
        <v>12110.4</v>
      </c>
      <c r="N234" t="s">
        <v>710</v>
      </c>
      <c r="O234" t="s">
        <v>1033</v>
      </c>
      <c r="P234" t="s">
        <v>4781</v>
      </c>
      <c r="Q234" t="s">
        <v>4852</v>
      </c>
      <c r="R234" t="s">
        <v>4771</v>
      </c>
    </row>
    <row r="235" spans="1:18" x14ac:dyDescent="0.3">
      <c r="A235">
        <v>7622</v>
      </c>
      <c r="B235" t="s">
        <v>1035</v>
      </c>
      <c r="C235" t="s">
        <v>230</v>
      </c>
      <c r="D235" t="s">
        <v>85</v>
      </c>
      <c r="E235" s="1">
        <v>46182</v>
      </c>
      <c r="F235" t="s">
        <v>4348</v>
      </c>
      <c r="G235" t="s">
        <v>4667</v>
      </c>
      <c r="H235" t="s">
        <v>229</v>
      </c>
      <c r="I235" t="s">
        <v>204</v>
      </c>
      <c r="J235" s="1">
        <v>46203</v>
      </c>
      <c r="K235" t="s">
        <v>744</v>
      </c>
      <c r="L235">
        <v>9503.19</v>
      </c>
      <c r="M235">
        <v>9503.19</v>
      </c>
      <c r="N235" t="s">
        <v>710</v>
      </c>
      <c r="O235" t="s">
        <v>1033</v>
      </c>
      <c r="P235" t="s">
        <v>4781</v>
      </c>
      <c r="Q235" t="s">
        <v>4852</v>
      </c>
      <c r="R235" t="s">
        <v>4771</v>
      </c>
    </row>
    <row r="236" spans="1:18" x14ac:dyDescent="0.3">
      <c r="A236">
        <v>7623</v>
      </c>
      <c r="B236" t="s">
        <v>1035</v>
      </c>
      <c r="C236" t="s">
        <v>230</v>
      </c>
      <c r="D236" t="s">
        <v>85</v>
      </c>
      <c r="E236" s="1">
        <v>46182</v>
      </c>
      <c r="F236" t="s">
        <v>4421</v>
      </c>
      <c r="G236" t="s">
        <v>4667</v>
      </c>
      <c r="H236" t="s">
        <v>229</v>
      </c>
      <c r="I236" t="s">
        <v>204</v>
      </c>
      <c r="J236" s="1">
        <v>46203</v>
      </c>
      <c r="K236" t="s">
        <v>744</v>
      </c>
      <c r="L236">
        <v>4089.16</v>
      </c>
      <c r="M236">
        <v>4089.16</v>
      </c>
      <c r="N236" t="s">
        <v>710</v>
      </c>
      <c r="O236" t="s">
        <v>1033</v>
      </c>
      <c r="P236" t="s">
        <v>4781</v>
      </c>
      <c r="Q236" t="s">
        <v>4852</v>
      </c>
      <c r="R236" t="s">
        <v>4771</v>
      </c>
    </row>
    <row r="237" spans="1:18" x14ac:dyDescent="0.3">
      <c r="A237">
        <v>7639</v>
      </c>
      <c r="B237" t="s">
        <v>1035</v>
      </c>
      <c r="C237" t="s">
        <v>230</v>
      </c>
      <c r="D237" t="s">
        <v>85</v>
      </c>
      <c r="E237" s="1">
        <v>46182</v>
      </c>
      <c r="F237" t="s">
        <v>4409</v>
      </c>
      <c r="G237" t="s">
        <v>4725</v>
      </c>
      <c r="H237" t="s">
        <v>229</v>
      </c>
      <c r="I237" t="s">
        <v>204</v>
      </c>
      <c r="J237" s="1">
        <v>46203</v>
      </c>
      <c r="K237" t="s">
        <v>744</v>
      </c>
      <c r="L237">
        <v>353</v>
      </c>
      <c r="M237">
        <v>353.35</v>
      </c>
      <c r="N237" t="s">
        <v>710</v>
      </c>
      <c r="O237" t="s">
        <v>1033</v>
      </c>
      <c r="P237" t="s">
        <v>4781</v>
      </c>
      <c r="Q237" t="s">
        <v>4852</v>
      </c>
      <c r="R237" t="s">
        <v>4771</v>
      </c>
    </row>
    <row r="238" spans="1:18" x14ac:dyDescent="0.3">
      <c r="A238">
        <v>7638</v>
      </c>
      <c r="B238" t="s">
        <v>1035</v>
      </c>
      <c r="C238" t="s">
        <v>230</v>
      </c>
      <c r="D238" t="s">
        <v>85</v>
      </c>
      <c r="E238" s="1">
        <v>46182</v>
      </c>
      <c r="F238" t="s">
        <v>4409</v>
      </c>
      <c r="G238" t="s">
        <v>4725</v>
      </c>
      <c r="H238" t="s">
        <v>229</v>
      </c>
      <c r="I238" t="s">
        <v>204</v>
      </c>
      <c r="J238" s="1">
        <v>46203</v>
      </c>
      <c r="K238" t="s">
        <v>744</v>
      </c>
      <c r="L238">
        <v>477</v>
      </c>
      <c r="M238">
        <v>476.88</v>
      </c>
      <c r="N238" t="s">
        <v>710</v>
      </c>
      <c r="O238" t="s">
        <v>1033</v>
      </c>
      <c r="P238" t="s">
        <v>4781</v>
      </c>
      <c r="Q238" t="s">
        <v>4852</v>
      </c>
      <c r="R238" t="s">
        <v>4771</v>
      </c>
    </row>
    <row r="239" spans="1:18" x14ac:dyDescent="0.3">
      <c r="A239">
        <v>785672</v>
      </c>
      <c r="B239" t="s">
        <v>4874</v>
      </c>
      <c r="C239" t="s">
        <v>409</v>
      </c>
      <c r="D239" t="s">
        <v>28</v>
      </c>
      <c r="E239" s="1">
        <v>46182</v>
      </c>
      <c r="F239" t="s">
        <v>4388</v>
      </c>
      <c r="G239" t="s">
        <v>4603</v>
      </c>
      <c r="H239" t="s">
        <v>408</v>
      </c>
      <c r="I239" t="s">
        <v>204</v>
      </c>
      <c r="J239" s="1">
        <v>54878</v>
      </c>
      <c r="K239" t="s">
        <v>762</v>
      </c>
      <c r="L239">
        <v>68671</v>
      </c>
      <c r="M239">
        <v>68670.98</v>
      </c>
      <c r="N239" t="s">
        <v>710</v>
      </c>
      <c r="O239" t="s">
        <v>4833</v>
      </c>
      <c r="P239" t="s">
        <v>4776</v>
      </c>
      <c r="Q239" t="s">
        <v>4852</v>
      </c>
      <c r="R239" t="s">
        <v>4773</v>
      </c>
    </row>
    <row r="240" spans="1:18" x14ac:dyDescent="0.3">
      <c r="A240">
        <v>2092</v>
      </c>
      <c r="B240" t="s">
        <v>4874</v>
      </c>
      <c r="C240" t="s">
        <v>647</v>
      </c>
      <c r="D240" t="s">
        <v>130</v>
      </c>
      <c r="E240" s="1">
        <v>46182</v>
      </c>
      <c r="F240" t="s">
        <v>4363</v>
      </c>
      <c r="G240" t="s">
        <v>4720</v>
      </c>
      <c r="H240" t="s">
        <v>646</v>
      </c>
      <c r="I240" t="s">
        <v>204</v>
      </c>
      <c r="J240" s="1">
        <v>46522</v>
      </c>
      <c r="K240" t="s">
        <v>762</v>
      </c>
      <c r="L240">
        <v>1</v>
      </c>
      <c r="M240">
        <v>13659</v>
      </c>
      <c r="N240" t="s">
        <v>890</v>
      </c>
      <c r="O240" t="s">
        <v>1044</v>
      </c>
      <c r="P240" t="s">
        <v>4776</v>
      </c>
      <c r="Q240" t="s">
        <v>4852</v>
      </c>
    </row>
    <row r="241" spans="1:18" x14ac:dyDescent="0.3">
      <c r="A241">
        <v>63376</v>
      </c>
      <c r="B241" t="s">
        <v>4874</v>
      </c>
      <c r="C241" t="s">
        <v>630</v>
      </c>
      <c r="D241" t="s">
        <v>145</v>
      </c>
      <c r="E241" s="1">
        <v>46182</v>
      </c>
      <c r="F241" t="s">
        <v>4297</v>
      </c>
      <c r="G241" t="s">
        <v>4711</v>
      </c>
      <c r="H241" t="s">
        <v>629</v>
      </c>
      <c r="I241" t="s">
        <v>204</v>
      </c>
      <c r="J241" s="1">
        <v>46264</v>
      </c>
      <c r="K241" t="s">
        <v>720</v>
      </c>
      <c r="L241">
        <v>1</v>
      </c>
      <c r="M241">
        <v>6250</v>
      </c>
      <c r="N241" t="s">
        <v>710</v>
      </c>
      <c r="O241" t="s">
        <v>4849</v>
      </c>
      <c r="P241" t="s">
        <v>4777</v>
      </c>
      <c r="Q241" t="s">
        <v>4855</v>
      </c>
      <c r="R241" t="s">
        <v>4771</v>
      </c>
    </row>
    <row r="242" spans="1:18" x14ac:dyDescent="0.3">
      <c r="A242">
        <v>3989</v>
      </c>
      <c r="B242" t="s">
        <v>4874</v>
      </c>
      <c r="C242" t="s">
        <v>225</v>
      </c>
      <c r="D242" t="s">
        <v>166</v>
      </c>
      <c r="E242" s="1">
        <v>46182</v>
      </c>
      <c r="F242" t="s">
        <v>4383</v>
      </c>
      <c r="G242" t="s">
        <v>4718</v>
      </c>
      <c r="H242" t="s">
        <v>224</v>
      </c>
      <c r="I242" t="s">
        <v>204</v>
      </c>
      <c r="J242" s="1">
        <v>54878</v>
      </c>
      <c r="K242" t="s">
        <v>720</v>
      </c>
      <c r="L242">
        <v>476.36</v>
      </c>
      <c r="M242">
        <v>476.36</v>
      </c>
      <c r="N242" t="s">
        <v>710</v>
      </c>
      <c r="O242" t="s">
        <v>4849</v>
      </c>
      <c r="P242" t="s">
        <v>4776</v>
      </c>
      <c r="Q242" t="s">
        <v>4855</v>
      </c>
      <c r="R242" t="s">
        <v>4773</v>
      </c>
    </row>
    <row r="243" spans="1:18" x14ac:dyDescent="0.3">
      <c r="A243">
        <v>5463</v>
      </c>
      <c r="B243" t="s">
        <v>4874</v>
      </c>
      <c r="C243" t="s">
        <v>456</v>
      </c>
      <c r="D243" t="s">
        <v>71</v>
      </c>
      <c r="E243" s="1">
        <v>46182</v>
      </c>
      <c r="F243" t="s">
        <v>4401</v>
      </c>
      <c r="G243" t="s">
        <v>4619</v>
      </c>
      <c r="H243" t="s">
        <v>455</v>
      </c>
      <c r="I243" t="s">
        <v>204</v>
      </c>
      <c r="J243" s="1">
        <v>54878</v>
      </c>
      <c r="K243" t="s">
        <v>762</v>
      </c>
      <c r="L243">
        <v>6885.9</v>
      </c>
      <c r="M243">
        <v>6885.9</v>
      </c>
      <c r="N243" t="s">
        <v>710</v>
      </c>
      <c r="O243" t="s">
        <v>1042</v>
      </c>
      <c r="P243" t="s">
        <v>1006</v>
      </c>
      <c r="Q243" t="s">
        <v>4852</v>
      </c>
      <c r="R243" t="s">
        <v>4771</v>
      </c>
    </row>
    <row r="244" spans="1:18" x14ac:dyDescent="0.3">
      <c r="A244">
        <v>7612</v>
      </c>
      <c r="B244" t="s">
        <v>1035</v>
      </c>
      <c r="C244" t="s">
        <v>230</v>
      </c>
      <c r="D244" t="s">
        <v>85</v>
      </c>
      <c r="E244" s="1">
        <v>46182</v>
      </c>
      <c r="F244" t="s">
        <v>4421</v>
      </c>
      <c r="G244" t="s">
        <v>4667</v>
      </c>
      <c r="H244" t="s">
        <v>229</v>
      </c>
      <c r="I244" t="s">
        <v>204</v>
      </c>
      <c r="J244" s="1">
        <v>46203</v>
      </c>
      <c r="K244" t="s">
        <v>744</v>
      </c>
      <c r="L244">
        <v>5456.94</v>
      </c>
      <c r="M244">
        <v>5456.94</v>
      </c>
      <c r="N244" t="s">
        <v>710</v>
      </c>
      <c r="O244" t="s">
        <v>1033</v>
      </c>
      <c r="P244" t="s">
        <v>4781</v>
      </c>
      <c r="Q244" t="s">
        <v>4852</v>
      </c>
      <c r="R244" t="s">
        <v>4771</v>
      </c>
    </row>
    <row r="245" spans="1:18" x14ac:dyDescent="0.3">
      <c r="A245">
        <v>429920</v>
      </c>
      <c r="B245" t="s">
        <v>1034</v>
      </c>
      <c r="C245" t="s">
        <v>435</v>
      </c>
      <c r="D245" t="s">
        <v>30</v>
      </c>
      <c r="E245" s="1">
        <v>46182</v>
      </c>
      <c r="F245" t="s">
        <v>4351</v>
      </c>
      <c r="G245" t="s">
        <v>4704</v>
      </c>
      <c r="H245" t="s">
        <v>4459</v>
      </c>
      <c r="I245" t="s">
        <v>204</v>
      </c>
      <c r="J245" s="1">
        <v>46752</v>
      </c>
      <c r="K245" t="s">
        <v>711</v>
      </c>
      <c r="L245">
        <v>193992</v>
      </c>
      <c r="M245">
        <v>193991.66</v>
      </c>
      <c r="N245" t="s">
        <v>998</v>
      </c>
      <c r="O245" t="s">
        <v>1036</v>
      </c>
      <c r="P245" t="s">
        <v>4787</v>
      </c>
      <c r="Q245" t="s">
        <v>4901</v>
      </c>
      <c r="R245" t="s">
        <v>807</v>
      </c>
    </row>
    <row r="246" spans="1:18" x14ac:dyDescent="0.3">
      <c r="A246">
        <v>721143</v>
      </c>
      <c r="B246" t="s">
        <v>4874</v>
      </c>
      <c r="C246" t="s">
        <v>407</v>
      </c>
      <c r="D246" t="s">
        <v>170</v>
      </c>
      <c r="E246" s="1">
        <v>46182</v>
      </c>
      <c r="F246" t="s">
        <v>4388</v>
      </c>
      <c r="G246" t="s">
        <v>4670</v>
      </c>
      <c r="H246" t="s">
        <v>406</v>
      </c>
      <c r="I246" t="s">
        <v>204</v>
      </c>
      <c r="J246" s="1">
        <v>46387</v>
      </c>
      <c r="K246" t="s">
        <v>762</v>
      </c>
      <c r="L246">
        <v>42430</v>
      </c>
      <c r="M246">
        <v>42430.080000000002</v>
      </c>
      <c r="N246" t="s">
        <v>710</v>
      </c>
      <c r="O246" t="s">
        <v>4833</v>
      </c>
      <c r="P246" t="s">
        <v>4776</v>
      </c>
      <c r="Q246" t="s">
        <v>4852</v>
      </c>
      <c r="R246" t="s">
        <v>4771</v>
      </c>
    </row>
    <row r="247" spans="1:18" x14ac:dyDescent="0.3">
      <c r="A247">
        <v>785</v>
      </c>
      <c r="B247" t="s">
        <v>1034</v>
      </c>
      <c r="C247" t="s">
        <v>220</v>
      </c>
      <c r="D247" t="s">
        <v>15</v>
      </c>
      <c r="E247" s="1">
        <v>46182</v>
      </c>
      <c r="F247" t="s">
        <v>4304</v>
      </c>
      <c r="G247" t="s">
        <v>4653</v>
      </c>
      <c r="H247" t="s">
        <v>219</v>
      </c>
      <c r="I247" t="s">
        <v>204</v>
      </c>
      <c r="J247" s="1">
        <v>54878</v>
      </c>
      <c r="K247" t="s">
        <v>711</v>
      </c>
      <c r="L247">
        <v>1305</v>
      </c>
      <c r="M247">
        <v>1305</v>
      </c>
      <c r="N247" t="s">
        <v>710</v>
      </c>
      <c r="O247" t="s">
        <v>4834</v>
      </c>
      <c r="P247" t="s">
        <v>4776</v>
      </c>
      <c r="Q247" t="s">
        <v>4901</v>
      </c>
      <c r="R247" t="s">
        <v>4773</v>
      </c>
    </row>
    <row r="248" spans="1:18" x14ac:dyDescent="0.3">
      <c r="A248">
        <v>429782</v>
      </c>
      <c r="B248" t="s">
        <v>4874</v>
      </c>
      <c r="C248" t="s">
        <v>435</v>
      </c>
      <c r="D248" t="s">
        <v>30</v>
      </c>
      <c r="E248" s="1">
        <v>46182</v>
      </c>
      <c r="F248" t="s">
        <v>4351</v>
      </c>
      <c r="G248" t="s">
        <v>4703</v>
      </c>
      <c r="H248" t="s">
        <v>434</v>
      </c>
      <c r="I248" t="s">
        <v>204</v>
      </c>
      <c r="J248" s="1">
        <v>46752</v>
      </c>
      <c r="K248" t="s">
        <v>785</v>
      </c>
      <c r="L248">
        <v>1</v>
      </c>
      <c r="M248">
        <v>132129.78</v>
      </c>
      <c r="N248" t="s">
        <v>998</v>
      </c>
      <c r="O248" t="s">
        <v>1038</v>
      </c>
      <c r="P248" t="s">
        <v>4787</v>
      </c>
      <c r="Q248" t="s">
        <v>4858</v>
      </c>
      <c r="R248" t="s">
        <v>4771</v>
      </c>
    </row>
    <row r="249" spans="1:18" x14ac:dyDescent="0.3">
      <c r="A249">
        <v>94259</v>
      </c>
      <c r="B249" t="s">
        <v>1034</v>
      </c>
      <c r="C249" t="s">
        <v>319</v>
      </c>
      <c r="D249" t="s">
        <v>36</v>
      </c>
      <c r="E249" s="1">
        <v>46181</v>
      </c>
      <c r="F249" t="s">
        <v>4298</v>
      </c>
      <c r="G249" t="s">
        <v>4697</v>
      </c>
      <c r="H249" t="s">
        <v>318</v>
      </c>
      <c r="I249" t="s">
        <v>204</v>
      </c>
      <c r="J249" s="1">
        <v>46214</v>
      </c>
      <c r="K249" t="s">
        <v>711</v>
      </c>
      <c r="L249">
        <v>1593</v>
      </c>
      <c r="M249">
        <v>1593.12</v>
      </c>
      <c r="N249" t="s">
        <v>710</v>
      </c>
      <c r="O249" t="s">
        <v>1036</v>
      </c>
      <c r="P249" t="s">
        <v>4784</v>
      </c>
      <c r="Q249" t="s">
        <v>4901</v>
      </c>
      <c r="R249" t="s">
        <v>4771</v>
      </c>
    </row>
    <row r="250" spans="1:18" x14ac:dyDescent="0.3">
      <c r="A250">
        <v>1344</v>
      </c>
      <c r="B250" t="s">
        <v>1034</v>
      </c>
      <c r="C250" t="s">
        <v>319</v>
      </c>
      <c r="D250" t="s">
        <v>36</v>
      </c>
      <c r="E250" s="1">
        <v>46181</v>
      </c>
      <c r="F250" t="s">
        <v>4298</v>
      </c>
      <c r="G250" t="s">
        <v>4696</v>
      </c>
      <c r="H250" t="s">
        <v>318</v>
      </c>
      <c r="I250" t="s">
        <v>204</v>
      </c>
      <c r="J250" s="1">
        <v>46214</v>
      </c>
      <c r="K250" t="s">
        <v>711</v>
      </c>
      <c r="L250">
        <v>1961</v>
      </c>
      <c r="M250">
        <v>1960.63</v>
      </c>
      <c r="N250" t="s">
        <v>710</v>
      </c>
      <c r="O250" t="s">
        <v>1036</v>
      </c>
      <c r="P250" t="s">
        <v>4784</v>
      </c>
      <c r="Q250" t="s">
        <v>4901</v>
      </c>
      <c r="R250" t="s">
        <v>4771</v>
      </c>
    </row>
    <row r="251" spans="1:18" x14ac:dyDescent="0.3">
      <c r="A251">
        <v>12392</v>
      </c>
      <c r="B251" t="s">
        <v>1034</v>
      </c>
      <c r="C251" t="s">
        <v>624</v>
      </c>
      <c r="D251" t="s">
        <v>68</v>
      </c>
      <c r="E251" s="1">
        <v>46176</v>
      </c>
      <c r="F251" t="s">
        <v>4367</v>
      </c>
      <c r="G251" t="s">
        <v>3784</v>
      </c>
      <c r="H251" t="s">
        <v>623</v>
      </c>
      <c r="I251" t="s">
        <v>204</v>
      </c>
      <c r="J251" s="1">
        <v>46017</v>
      </c>
      <c r="K251" t="s">
        <v>839</v>
      </c>
      <c r="L251">
        <v>1682</v>
      </c>
      <c r="M251">
        <v>1682.08</v>
      </c>
      <c r="N251" t="s">
        <v>710</v>
      </c>
      <c r="O251" t="s">
        <v>1041</v>
      </c>
      <c r="P251" t="s">
        <v>4776</v>
      </c>
      <c r="Q251" t="s">
        <v>4852</v>
      </c>
      <c r="R251" t="s">
        <v>4771</v>
      </c>
    </row>
    <row r="252" spans="1:18" x14ac:dyDescent="0.3">
      <c r="A252">
        <v>7577</v>
      </c>
      <c r="B252" t="s">
        <v>1035</v>
      </c>
      <c r="C252" t="s">
        <v>230</v>
      </c>
      <c r="D252" t="s">
        <v>85</v>
      </c>
      <c r="E252" s="1">
        <v>46176</v>
      </c>
      <c r="F252" t="s">
        <v>4409</v>
      </c>
      <c r="G252" t="s">
        <v>4505</v>
      </c>
      <c r="H252" t="s">
        <v>229</v>
      </c>
      <c r="I252" t="s">
        <v>204</v>
      </c>
      <c r="J252" s="1">
        <v>46203</v>
      </c>
      <c r="K252" t="s">
        <v>744</v>
      </c>
      <c r="L252">
        <v>298</v>
      </c>
      <c r="M252">
        <v>298.47000000000003</v>
      </c>
      <c r="N252" t="s">
        <v>710</v>
      </c>
      <c r="O252" t="s">
        <v>1033</v>
      </c>
      <c r="P252" t="s">
        <v>4781</v>
      </c>
      <c r="Q252" t="s">
        <v>4852</v>
      </c>
      <c r="R252" t="s">
        <v>4771</v>
      </c>
    </row>
    <row r="253" spans="1:18" x14ac:dyDescent="0.3">
      <c r="A253">
        <v>7576</v>
      </c>
      <c r="B253" t="s">
        <v>1035</v>
      </c>
      <c r="C253" t="s">
        <v>230</v>
      </c>
      <c r="D253" t="s">
        <v>85</v>
      </c>
      <c r="E253" s="1">
        <v>46176</v>
      </c>
      <c r="F253" t="s">
        <v>4409</v>
      </c>
      <c r="G253" t="s">
        <v>4505</v>
      </c>
      <c r="H253" t="s">
        <v>229</v>
      </c>
      <c r="I253" t="s">
        <v>204</v>
      </c>
      <c r="J253" s="1">
        <v>46203</v>
      </c>
      <c r="K253" t="s">
        <v>744</v>
      </c>
      <c r="L253">
        <v>448</v>
      </c>
      <c r="M253">
        <v>448.2</v>
      </c>
      <c r="N253" t="s">
        <v>710</v>
      </c>
      <c r="O253" t="s">
        <v>1033</v>
      </c>
      <c r="P253" t="s">
        <v>4781</v>
      </c>
      <c r="Q253" t="s">
        <v>4852</v>
      </c>
      <c r="R253" t="s">
        <v>4771</v>
      </c>
    </row>
    <row r="254" spans="1:18" x14ac:dyDescent="0.3">
      <c r="A254">
        <v>957</v>
      </c>
      <c r="B254" t="s">
        <v>1034</v>
      </c>
      <c r="C254" t="s">
        <v>675</v>
      </c>
      <c r="D254" t="s">
        <v>177</v>
      </c>
      <c r="E254" s="1">
        <v>46176</v>
      </c>
      <c r="F254" t="s">
        <v>4380</v>
      </c>
      <c r="G254" t="s">
        <v>4707</v>
      </c>
      <c r="H254" t="s">
        <v>676</v>
      </c>
      <c r="I254" t="s">
        <v>204</v>
      </c>
      <c r="J254" s="1">
        <v>46356</v>
      </c>
      <c r="K254" t="s">
        <v>768</v>
      </c>
      <c r="L254">
        <v>205</v>
      </c>
      <c r="M254">
        <v>205</v>
      </c>
      <c r="N254" t="s">
        <v>818</v>
      </c>
      <c r="O254" t="s">
        <v>1037</v>
      </c>
      <c r="P254" t="s">
        <v>4776</v>
      </c>
      <c r="Q254" t="s">
        <v>4852</v>
      </c>
      <c r="R254" t="s">
        <v>807</v>
      </c>
    </row>
    <row r="255" spans="1:18" x14ac:dyDescent="0.3">
      <c r="A255">
        <v>63230</v>
      </c>
      <c r="B255" t="s">
        <v>1034</v>
      </c>
      <c r="C255" t="s">
        <v>790</v>
      </c>
      <c r="D255" t="s">
        <v>19</v>
      </c>
      <c r="E255" s="1">
        <v>46176</v>
      </c>
      <c r="F255" t="s">
        <v>4348</v>
      </c>
      <c r="G255" t="s">
        <v>4660</v>
      </c>
      <c r="H255" t="s">
        <v>287</v>
      </c>
      <c r="I255" t="s">
        <v>209</v>
      </c>
      <c r="J255" s="1">
        <v>54878</v>
      </c>
      <c r="K255" t="s">
        <v>711</v>
      </c>
      <c r="L255">
        <v>1</v>
      </c>
      <c r="M255">
        <v>2950</v>
      </c>
      <c r="N255" t="s">
        <v>710</v>
      </c>
      <c r="O255" t="s">
        <v>1037</v>
      </c>
      <c r="P255" t="s">
        <v>4781</v>
      </c>
      <c r="Q255" t="s">
        <v>4852</v>
      </c>
      <c r="R255" t="s">
        <v>4771</v>
      </c>
    </row>
    <row r="256" spans="1:18" x14ac:dyDescent="0.3">
      <c r="A256">
        <v>50</v>
      </c>
      <c r="B256" t="s">
        <v>1034</v>
      </c>
      <c r="C256" t="s">
        <v>658</v>
      </c>
      <c r="D256" t="s">
        <v>192</v>
      </c>
      <c r="E256" s="1">
        <v>46176</v>
      </c>
      <c r="F256" t="s">
        <v>4377</v>
      </c>
      <c r="G256" t="s">
        <v>4640</v>
      </c>
      <c r="H256" t="s">
        <v>657</v>
      </c>
      <c r="I256" t="s">
        <v>204</v>
      </c>
      <c r="J256" s="1">
        <v>46218</v>
      </c>
      <c r="K256" t="s">
        <v>711</v>
      </c>
      <c r="L256">
        <v>1</v>
      </c>
      <c r="M256">
        <v>2150</v>
      </c>
      <c r="N256" t="s">
        <v>710</v>
      </c>
      <c r="O256" t="s">
        <v>4834</v>
      </c>
      <c r="P256" t="s">
        <v>4776</v>
      </c>
      <c r="Q256" t="s">
        <v>4901</v>
      </c>
      <c r="R256" t="s">
        <v>807</v>
      </c>
    </row>
    <row r="257" spans="1:18" x14ac:dyDescent="0.3">
      <c r="A257">
        <v>56</v>
      </c>
      <c r="B257" t="s">
        <v>4876</v>
      </c>
      <c r="C257" t="s">
        <v>476</v>
      </c>
      <c r="D257" t="s">
        <v>195</v>
      </c>
      <c r="E257" s="1">
        <v>46176</v>
      </c>
      <c r="F257" t="s">
        <v>4401</v>
      </c>
      <c r="G257" t="s">
        <v>4663</v>
      </c>
      <c r="H257" t="s">
        <v>475</v>
      </c>
      <c r="I257" t="s">
        <v>204</v>
      </c>
      <c r="J257" s="1">
        <v>54878</v>
      </c>
      <c r="K257" t="s">
        <v>839</v>
      </c>
      <c r="L257">
        <v>39330</v>
      </c>
      <c r="M257">
        <v>39330</v>
      </c>
      <c r="N257" t="s">
        <v>710</v>
      </c>
      <c r="O257" t="s">
        <v>1042</v>
      </c>
      <c r="P257" t="s">
        <v>1006</v>
      </c>
      <c r="Q257" t="s">
        <v>4852</v>
      </c>
      <c r="R257" t="s">
        <v>4771</v>
      </c>
    </row>
    <row r="258" spans="1:18" x14ac:dyDescent="0.3">
      <c r="A258">
        <v>65378</v>
      </c>
      <c r="B258" t="s">
        <v>4875</v>
      </c>
      <c r="C258" t="s">
        <v>203</v>
      </c>
      <c r="D258" t="s">
        <v>118</v>
      </c>
      <c r="E258" s="1">
        <v>46176</v>
      </c>
      <c r="F258" t="s">
        <v>4353</v>
      </c>
      <c r="G258" t="s">
        <v>4651</v>
      </c>
      <c r="H258" t="s">
        <v>202</v>
      </c>
      <c r="I258" t="s">
        <v>204</v>
      </c>
      <c r="J258" s="1">
        <v>46387</v>
      </c>
      <c r="K258" t="s">
        <v>717</v>
      </c>
      <c r="L258">
        <v>108.93</v>
      </c>
      <c r="M258">
        <v>108.93</v>
      </c>
      <c r="N258" t="s">
        <v>710</v>
      </c>
      <c r="O258" t="s">
        <v>1037</v>
      </c>
      <c r="P258" t="s">
        <v>4776</v>
      </c>
      <c r="Q258" t="s">
        <v>4852</v>
      </c>
      <c r="R258" t="s">
        <v>4772</v>
      </c>
    </row>
    <row r="259" spans="1:18" x14ac:dyDescent="0.3">
      <c r="A259">
        <v>21390</v>
      </c>
      <c r="B259" t="s">
        <v>4875</v>
      </c>
      <c r="C259" t="s">
        <v>493</v>
      </c>
      <c r="D259" t="s">
        <v>197</v>
      </c>
      <c r="E259" s="1">
        <v>46176</v>
      </c>
      <c r="F259" t="s">
        <v>4306</v>
      </c>
      <c r="G259" t="s">
        <v>4668</v>
      </c>
      <c r="H259" t="s">
        <v>492</v>
      </c>
      <c r="I259" t="s">
        <v>204</v>
      </c>
      <c r="J259" s="1">
        <v>54878</v>
      </c>
      <c r="K259" t="s">
        <v>768</v>
      </c>
      <c r="L259">
        <v>799</v>
      </c>
      <c r="M259">
        <v>799</v>
      </c>
      <c r="N259" t="s">
        <v>710</v>
      </c>
      <c r="O259" t="s">
        <v>4833</v>
      </c>
      <c r="P259" t="s">
        <v>4786</v>
      </c>
      <c r="Q259" t="s">
        <v>4852</v>
      </c>
      <c r="R259" t="s">
        <v>4773</v>
      </c>
    </row>
    <row r="260" spans="1:18" x14ac:dyDescent="0.3">
      <c r="A260">
        <v>3422</v>
      </c>
      <c r="B260" t="s">
        <v>4874</v>
      </c>
      <c r="C260" t="s">
        <v>630</v>
      </c>
      <c r="D260" t="s">
        <v>145</v>
      </c>
      <c r="E260" s="1">
        <v>46176</v>
      </c>
      <c r="F260" t="s">
        <v>4300</v>
      </c>
      <c r="G260" t="s">
        <v>4665</v>
      </c>
      <c r="H260" t="s">
        <v>629</v>
      </c>
      <c r="I260" t="s">
        <v>204</v>
      </c>
      <c r="J260" s="1">
        <v>46264</v>
      </c>
      <c r="K260" t="s">
        <v>720</v>
      </c>
      <c r="L260">
        <v>1</v>
      </c>
      <c r="M260">
        <v>24500</v>
      </c>
      <c r="N260" t="s">
        <v>710</v>
      </c>
      <c r="O260" t="s">
        <v>4849</v>
      </c>
      <c r="P260" t="s">
        <v>4777</v>
      </c>
      <c r="Q260" t="s">
        <v>4855</v>
      </c>
      <c r="R260" t="s">
        <v>4771</v>
      </c>
    </row>
    <row r="261" spans="1:18" x14ac:dyDescent="0.3">
      <c r="A261">
        <v>718768</v>
      </c>
      <c r="B261" t="s">
        <v>4874</v>
      </c>
      <c r="C261" t="s">
        <v>389</v>
      </c>
      <c r="D261" t="s">
        <v>32</v>
      </c>
      <c r="E261" s="1">
        <v>46176</v>
      </c>
      <c r="F261" t="s">
        <v>4299</v>
      </c>
      <c r="G261" t="s">
        <v>4701</v>
      </c>
      <c r="H261" t="s">
        <v>388</v>
      </c>
      <c r="I261" t="s">
        <v>204</v>
      </c>
      <c r="J261" s="1">
        <v>46752</v>
      </c>
      <c r="K261" t="s">
        <v>785</v>
      </c>
      <c r="L261">
        <v>1</v>
      </c>
      <c r="M261">
        <v>29474.25</v>
      </c>
      <c r="N261" t="s">
        <v>710</v>
      </c>
      <c r="O261" t="s">
        <v>1038</v>
      </c>
      <c r="P261" t="s">
        <v>4785</v>
      </c>
      <c r="Q261" t="s">
        <v>4858</v>
      </c>
      <c r="R261" t="s">
        <v>4771</v>
      </c>
    </row>
    <row r="262" spans="1:18" x14ac:dyDescent="0.3">
      <c r="A262">
        <v>6129</v>
      </c>
      <c r="B262" t="s">
        <v>4874</v>
      </c>
      <c r="C262" t="s">
        <v>401</v>
      </c>
      <c r="D262" t="s">
        <v>187</v>
      </c>
      <c r="E262" s="1">
        <v>46176</v>
      </c>
      <c r="F262" t="s">
        <v>4345</v>
      </c>
      <c r="G262" t="s">
        <v>4693</v>
      </c>
      <c r="H262" t="s">
        <v>400</v>
      </c>
      <c r="I262" t="s">
        <v>204</v>
      </c>
      <c r="J262" s="1">
        <v>54878</v>
      </c>
      <c r="K262" t="s">
        <v>762</v>
      </c>
      <c r="L262">
        <v>390</v>
      </c>
      <c r="M262">
        <v>390</v>
      </c>
      <c r="N262" t="s">
        <v>710</v>
      </c>
      <c r="O262" t="s">
        <v>4833</v>
      </c>
      <c r="P262" t="s">
        <v>4776</v>
      </c>
      <c r="Q262" t="s">
        <v>4852</v>
      </c>
      <c r="R262" t="s">
        <v>4773</v>
      </c>
    </row>
    <row r="263" spans="1:18" x14ac:dyDescent="0.3">
      <c r="A263">
        <v>554</v>
      </c>
      <c r="B263" t="s">
        <v>4874</v>
      </c>
      <c r="C263" t="s">
        <v>649</v>
      </c>
      <c r="D263" t="s">
        <v>88</v>
      </c>
      <c r="E263" s="1">
        <v>46176</v>
      </c>
      <c r="F263" t="s">
        <v>4414</v>
      </c>
      <c r="G263" t="s">
        <v>4654</v>
      </c>
      <c r="H263" t="s">
        <v>648</v>
      </c>
      <c r="I263" t="s">
        <v>204</v>
      </c>
      <c r="J263" s="1">
        <v>47847</v>
      </c>
      <c r="K263" t="s">
        <v>762</v>
      </c>
      <c r="L263">
        <v>7540.5</v>
      </c>
      <c r="M263">
        <v>7540.5</v>
      </c>
      <c r="N263" t="s">
        <v>710</v>
      </c>
      <c r="O263" t="s">
        <v>4811</v>
      </c>
      <c r="P263" t="s">
        <v>4776</v>
      </c>
      <c r="Q263" t="s">
        <v>4859</v>
      </c>
    </row>
    <row r="264" spans="1:18" x14ac:dyDescent="0.3">
      <c r="A264">
        <v>958</v>
      </c>
      <c r="B264" t="s">
        <v>4875</v>
      </c>
      <c r="C264" t="s">
        <v>675</v>
      </c>
      <c r="D264" t="s">
        <v>177</v>
      </c>
      <c r="E264" s="1">
        <v>46176</v>
      </c>
      <c r="F264" t="s">
        <v>4380</v>
      </c>
      <c r="G264" t="s">
        <v>4708</v>
      </c>
      <c r="H264" t="s">
        <v>676</v>
      </c>
      <c r="I264" t="s">
        <v>204</v>
      </c>
      <c r="J264" s="1">
        <v>46356</v>
      </c>
      <c r="K264" t="s">
        <v>768</v>
      </c>
      <c r="L264">
        <v>80</v>
      </c>
      <c r="M264">
        <v>80</v>
      </c>
      <c r="N264" t="s">
        <v>818</v>
      </c>
      <c r="O264" t="s">
        <v>1037</v>
      </c>
      <c r="P264" t="s">
        <v>4776</v>
      </c>
      <c r="Q264" t="s">
        <v>4852</v>
      </c>
      <c r="R264" t="s">
        <v>807</v>
      </c>
    </row>
    <row r="265" spans="1:18" x14ac:dyDescent="0.3">
      <c r="A265">
        <v>2665</v>
      </c>
      <c r="B265" t="s">
        <v>1034</v>
      </c>
      <c r="C265" t="s">
        <v>643</v>
      </c>
      <c r="D265" t="s">
        <v>52</v>
      </c>
      <c r="E265" s="1">
        <v>46176</v>
      </c>
      <c r="F265" t="s">
        <v>4318</v>
      </c>
      <c r="G265" t="s">
        <v>4649</v>
      </c>
      <c r="H265" t="s">
        <v>642</v>
      </c>
      <c r="I265" t="s">
        <v>204</v>
      </c>
      <c r="J265" s="1">
        <v>46548</v>
      </c>
      <c r="K265" t="s">
        <v>711</v>
      </c>
      <c r="L265">
        <v>2300</v>
      </c>
      <c r="M265">
        <v>2300</v>
      </c>
      <c r="N265" t="s">
        <v>710</v>
      </c>
      <c r="O265" t="s">
        <v>4834</v>
      </c>
      <c r="P265" t="s">
        <v>4776</v>
      </c>
      <c r="Q265" t="s">
        <v>4901</v>
      </c>
    </row>
    <row r="266" spans="1:18" x14ac:dyDescent="0.3">
      <c r="A266">
        <v>171530</v>
      </c>
      <c r="B266" t="s">
        <v>1034</v>
      </c>
      <c r="C266" t="s">
        <v>301</v>
      </c>
      <c r="D266" t="s">
        <v>23</v>
      </c>
      <c r="E266" s="1">
        <v>46175</v>
      </c>
      <c r="F266" t="s">
        <v>4321</v>
      </c>
      <c r="G266" t="s">
        <v>4694</v>
      </c>
      <c r="H266" t="s">
        <v>323</v>
      </c>
      <c r="I266" t="s">
        <v>204</v>
      </c>
      <c r="J266" s="1">
        <v>46538</v>
      </c>
      <c r="K266" t="s">
        <v>711</v>
      </c>
      <c r="L266">
        <v>5608.32</v>
      </c>
      <c r="M266">
        <v>5608.32</v>
      </c>
      <c r="N266" t="s">
        <v>710</v>
      </c>
      <c r="O266" t="s">
        <v>1036</v>
      </c>
      <c r="P266" t="s">
        <v>4782</v>
      </c>
      <c r="Q266" t="s">
        <v>4901</v>
      </c>
      <c r="R266" t="s">
        <v>4773</v>
      </c>
    </row>
    <row r="267" spans="1:18" x14ac:dyDescent="0.3">
      <c r="A267">
        <v>171531</v>
      </c>
      <c r="B267" t="s">
        <v>1034</v>
      </c>
      <c r="C267" t="s">
        <v>301</v>
      </c>
      <c r="D267" t="s">
        <v>23</v>
      </c>
      <c r="E267" s="1">
        <v>46175</v>
      </c>
      <c r="F267" t="s">
        <v>4321</v>
      </c>
      <c r="G267" t="s">
        <v>4694</v>
      </c>
      <c r="H267" t="s">
        <v>323</v>
      </c>
      <c r="I267" t="s">
        <v>204</v>
      </c>
      <c r="J267" s="1">
        <v>46538</v>
      </c>
      <c r="K267" t="s">
        <v>711</v>
      </c>
      <c r="L267">
        <v>5608.32</v>
      </c>
      <c r="M267">
        <v>5608.32</v>
      </c>
      <c r="N267" t="s">
        <v>710</v>
      </c>
      <c r="O267" t="s">
        <v>1036</v>
      </c>
      <c r="P267" t="s">
        <v>4782</v>
      </c>
      <c r="Q267" t="s">
        <v>4901</v>
      </c>
      <c r="R267" t="s">
        <v>4773</v>
      </c>
    </row>
    <row r="268" spans="1:18" x14ac:dyDescent="0.3">
      <c r="A268">
        <v>3537850</v>
      </c>
      <c r="B268" t="s">
        <v>4874</v>
      </c>
      <c r="C268" t="s">
        <v>433</v>
      </c>
      <c r="D268" t="s">
        <v>168</v>
      </c>
      <c r="E268" s="1">
        <v>46175</v>
      </c>
      <c r="F268" t="s">
        <v>4319</v>
      </c>
      <c r="G268" t="s">
        <v>4669</v>
      </c>
      <c r="H268" t="s">
        <v>432</v>
      </c>
      <c r="I268" t="s">
        <v>204</v>
      </c>
      <c r="J268" s="1">
        <v>46473</v>
      </c>
      <c r="K268" t="s">
        <v>762</v>
      </c>
      <c r="L268">
        <v>4946</v>
      </c>
      <c r="M268">
        <v>4945.51</v>
      </c>
      <c r="N268" t="s">
        <v>710</v>
      </c>
      <c r="O268" t="s">
        <v>4833</v>
      </c>
      <c r="P268" t="s">
        <v>4802</v>
      </c>
      <c r="Q268" t="s">
        <v>4852</v>
      </c>
      <c r="R268" t="s">
        <v>4771</v>
      </c>
    </row>
    <row r="269" spans="1:18" x14ac:dyDescent="0.3">
      <c r="A269">
        <v>172992</v>
      </c>
      <c r="B269" t="s">
        <v>1034</v>
      </c>
      <c r="C269" t="s">
        <v>301</v>
      </c>
      <c r="D269" t="s">
        <v>23</v>
      </c>
      <c r="E269" s="1">
        <v>46175</v>
      </c>
      <c r="F269" t="s">
        <v>4321</v>
      </c>
      <c r="G269" t="s">
        <v>4694</v>
      </c>
      <c r="H269" t="s">
        <v>323</v>
      </c>
      <c r="I269" t="s">
        <v>204</v>
      </c>
      <c r="J269" s="1">
        <v>46538</v>
      </c>
      <c r="K269" t="s">
        <v>711</v>
      </c>
      <c r="L269">
        <v>5608.32</v>
      </c>
      <c r="M269">
        <v>5608.32</v>
      </c>
      <c r="N269" t="s">
        <v>710</v>
      </c>
      <c r="O269" t="s">
        <v>1036</v>
      </c>
      <c r="P269" t="s">
        <v>4782</v>
      </c>
      <c r="Q269" t="s">
        <v>4901</v>
      </c>
      <c r="R269" t="s">
        <v>4773</v>
      </c>
    </row>
    <row r="270" spans="1:18" x14ac:dyDescent="0.3">
      <c r="A270">
        <v>7546</v>
      </c>
      <c r="B270" t="s">
        <v>4874</v>
      </c>
      <c r="C270" t="s">
        <v>230</v>
      </c>
      <c r="D270" t="s">
        <v>85</v>
      </c>
      <c r="E270" s="1">
        <v>46175</v>
      </c>
      <c r="F270" t="s">
        <v>4348</v>
      </c>
      <c r="G270" t="s">
        <v>4678</v>
      </c>
      <c r="H270" t="s">
        <v>299</v>
      </c>
      <c r="I270" t="s">
        <v>204</v>
      </c>
      <c r="J270" s="1">
        <v>46536</v>
      </c>
      <c r="K270" t="s">
        <v>762</v>
      </c>
      <c r="L270">
        <v>1</v>
      </c>
      <c r="M270">
        <v>198518.11</v>
      </c>
      <c r="N270" t="s">
        <v>710</v>
      </c>
      <c r="O270" t="s">
        <v>1033</v>
      </c>
      <c r="P270" t="s">
        <v>4781</v>
      </c>
      <c r="Q270" t="s">
        <v>4852</v>
      </c>
      <c r="R270" t="s">
        <v>4771</v>
      </c>
    </row>
    <row r="271" spans="1:18" x14ac:dyDescent="0.3">
      <c r="A271">
        <v>33828</v>
      </c>
      <c r="B271" t="s">
        <v>4874</v>
      </c>
      <c r="C271" t="s">
        <v>592</v>
      </c>
      <c r="D271" t="s">
        <v>8</v>
      </c>
      <c r="E271" s="1">
        <v>46175</v>
      </c>
      <c r="F271" t="s">
        <v>4363</v>
      </c>
      <c r="G271" t="s">
        <v>4634</v>
      </c>
      <c r="H271" t="s">
        <v>683</v>
      </c>
      <c r="I271" t="s">
        <v>204</v>
      </c>
      <c r="J271" s="1">
        <v>46387</v>
      </c>
      <c r="K271" t="s">
        <v>762</v>
      </c>
      <c r="L271">
        <v>750.24</v>
      </c>
      <c r="M271">
        <v>750.24</v>
      </c>
      <c r="N271" t="s">
        <v>890</v>
      </c>
      <c r="O271" t="s">
        <v>4833</v>
      </c>
      <c r="P271" t="s">
        <v>950</v>
      </c>
      <c r="Q271" t="s">
        <v>4852</v>
      </c>
      <c r="R271" t="s">
        <v>807</v>
      </c>
    </row>
    <row r="272" spans="1:18" x14ac:dyDescent="0.3">
      <c r="A272">
        <v>7566</v>
      </c>
      <c r="B272" t="s">
        <v>4874</v>
      </c>
      <c r="C272" t="s">
        <v>230</v>
      </c>
      <c r="D272" t="s">
        <v>85</v>
      </c>
      <c r="E272" s="1">
        <v>46175</v>
      </c>
      <c r="F272" t="s">
        <v>4421</v>
      </c>
      <c r="G272" t="s">
        <v>4679</v>
      </c>
      <c r="H272" t="s">
        <v>299</v>
      </c>
      <c r="I272" t="s">
        <v>204</v>
      </c>
      <c r="J272" s="1">
        <v>46536</v>
      </c>
      <c r="K272" t="s">
        <v>762</v>
      </c>
      <c r="L272">
        <v>1</v>
      </c>
      <c r="M272">
        <v>12939.3</v>
      </c>
      <c r="N272" t="s">
        <v>710</v>
      </c>
      <c r="O272" t="s">
        <v>1033</v>
      </c>
      <c r="P272" t="s">
        <v>4781</v>
      </c>
      <c r="Q272" t="s">
        <v>4852</v>
      </c>
      <c r="R272" t="s">
        <v>4771</v>
      </c>
    </row>
    <row r="273" spans="1:18" x14ac:dyDescent="0.3">
      <c r="A273">
        <v>249528</v>
      </c>
      <c r="B273" t="s">
        <v>1034</v>
      </c>
      <c r="C273" t="s">
        <v>694</v>
      </c>
      <c r="D273" t="s">
        <v>157</v>
      </c>
      <c r="E273" s="1">
        <v>46175</v>
      </c>
      <c r="F273" t="s">
        <v>4352</v>
      </c>
      <c r="G273" t="s">
        <v>3886</v>
      </c>
      <c r="H273" t="s">
        <v>693</v>
      </c>
      <c r="I273" t="s">
        <v>204</v>
      </c>
      <c r="J273" s="1">
        <v>46443</v>
      </c>
      <c r="K273" t="s">
        <v>717</v>
      </c>
      <c r="L273">
        <v>1</v>
      </c>
      <c r="M273">
        <v>4560</v>
      </c>
      <c r="N273" t="s">
        <v>809</v>
      </c>
      <c r="O273" t="s">
        <v>4845</v>
      </c>
      <c r="P273" t="s">
        <v>1009</v>
      </c>
      <c r="Q273" t="s">
        <v>4845</v>
      </c>
      <c r="R273" t="s">
        <v>807</v>
      </c>
    </row>
    <row r="274" spans="1:18" x14ac:dyDescent="0.3">
      <c r="A274">
        <v>80703</v>
      </c>
      <c r="B274" t="s">
        <v>4874</v>
      </c>
      <c r="C274" t="s">
        <v>634</v>
      </c>
      <c r="D274" t="s">
        <v>99</v>
      </c>
      <c r="E274" s="1">
        <v>46175</v>
      </c>
      <c r="F274" t="s">
        <v>4307</v>
      </c>
      <c r="G274" t="s">
        <v>4658</v>
      </c>
      <c r="H274" t="s">
        <v>633</v>
      </c>
      <c r="I274" t="s">
        <v>204</v>
      </c>
      <c r="J274" s="1">
        <v>46204</v>
      </c>
      <c r="K274" t="s">
        <v>762</v>
      </c>
      <c r="L274">
        <v>2404</v>
      </c>
      <c r="M274">
        <v>37478.36</v>
      </c>
      <c r="N274" t="s">
        <v>719</v>
      </c>
      <c r="O274" t="s">
        <v>1037</v>
      </c>
      <c r="P274" t="s">
        <v>4790</v>
      </c>
      <c r="Q274" t="s">
        <v>4852</v>
      </c>
    </row>
    <row r="275" spans="1:18" x14ac:dyDescent="0.3">
      <c r="A275">
        <v>80703</v>
      </c>
      <c r="B275" t="s">
        <v>4874</v>
      </c>
      <c r="C275" t="s">
        <v>634</v>
      </c>
      <c r="D275" t="s">
        <v>99</v>
      </c>
      <c r="E275" s="1">
        <v>46175</v>
      </c>
      <c r="F275" t="s">
        <v>4308</v>
      </c>
      <c r="G275" t="s">
        <v>4658</v>
      </c>
      <c r="H275" t="s">
        <v>633</v>
      </c>
      <c r="I275" t="s">
        <v>204</v>
      </c>
      <c r="J275" s="1">
        <v>46204</v>
      </c>
      <c r="K275" t="s">
        <v>762</v>
      </c>
      <c r="L275">
        <v>98</v>
      </c>
      <c r="M275">
        <v>477.26</v>
      </c>
      <c r="N275" t="s">
        <v>719</v>
      </c>
      <c r="O275" t="s">
        <v>1037</v>
      </c>
      <c r="P275" t="s">
        <v>4790</v>
      </c>
      <c r="Q275" t="s">
        <v>4852</v>
      </c>
    </row>
    <row r="276" spans="1:18" x14ac:dyDescent="0.3">
      <c r="A276">
        <v>80703</v>
      </c>
      <c r="B276" t="s">
        <v>4874</v>
      </c>
      <c r="C276" t="s">
        <v>634</v>
      </c>
      <c r="D276" t="s">
        <v>99</v>
      </c>
      <c r="E276" s="1">
        <v>46175</v>
      </c>
      <c r="F276" t="s">
        <v>4310</v>
      </c>
      <c r="G276" t="s">
        <v>4658</v>
      </c>
      <c r="H276" t="s">
        <v>633</v>
      </c>
      <c r="I276" t="s">
        <v>204</v>
      </c>
      <c r="J276" s="1">
        <v>46204</v>
      </c>
      <c r="K276" t="s">
        <v>762</v>
      </c>
      <c r="L276">
        <v>116</v>
      </c>
      <c r="M276">
        <v>424.56</v>
      </c>
      <c r="N276" t="s">
        <v>719</v>
      </c>
      <c r="O276" t="s">
        <v>1037</v>
      </c>
      <c r="P276" t="s">
        <v>4790</v>
      </c>
      <c r="Q276" t="s">
        <v>4852</v>
      </c>
    </row>
    <row r="277" spans="1:18" x14ac:dyDescent="0.3">
      <c r="A277">
        <v>80703</v>
      </c>
      <c r="B277" t="s">
        <v>4874</v>
      </c>
      <c r="C277" t="s">
        <v>634</v>
      </c>
      <c r="D277" t="s">
        <v>99</v>
      </c>
      <c r="E277" s="1">
        <v>46175</v>
      </c>
      <c r="F277" t="s">
        <v>4394</v>
      </c>
      <c r="G277" t="s">
        <v>4658</v>
      </c>
      <c r="H277" t="s">
        <v>633</v>
      </c>
      <c r="I277" t="s">
        <v>204</v>
      </c>
      <c r="J277" s="1">
        <v>46204</v>
      </c>
      <c r="K277" t="s">
        <v>762</v>
      </c>
      <c r="L277">
        <v>2404</v>
      </c>
      <c r="M277">
        <v>2404</v>
      </c>
      <c r="N277" t="s">
        <v>719</v>
      </c>
      <c r="O277" t="s">
        <v>1037</v>
      </c>
      <c r="P277" t="s">
        <v>4790</v>
      </c>
      <c r="Q277" t="s">
        <v>4852</v>
      </c>
    </row>
    <row r="278" spans="1:18" x14ac:dyDescent="0.3">
      <c r="A278">
        <v>80703</v>
      </c>
      <c r="B278" t="s">
        <v>4874</v>
      </c>
      <c r="C278" t="s">
        <v>634</v>
      </c>
      <c r="D278" t="s">
        <v>99</v>
      </c>
      <c r="E278" s="1">
        <v>46175</v>
      </c>
      <c r="F278" t="s">
        <v>4329</v>
      </c>
      <c r="G278" t="s">
        <v>4658</v>
      </c>
      <c r="H278" t="s">
        <v>633</v>
      </c>
      <c r="I278" t="s">
        <v>204</v>
      </c>
      <c r="J278" s="1">
        <v>46204</v>
      </c>
      <c r="K278" t="s">
        <v>762</v>
      </c>
      <c r="L278">
        <v>11</v>
      </c>
      <c r="M278">
        <v>146.19</v>
      </c>
      <c r="N278" t="s">
        <v>719</v>
      </c>
      <c r="O278" t="s">
        <v>1037</v>
      </c>
      <c r="P278" t="s">
        <v>4790</v>
      </c>
      <c r="Q278" t="s">
        <v>4852</v>
      </c>
    </row>
    <row r="279" spans="1:18" x14ac:dyDescent="0.3">
      <c r="A279">
        <v>80703</v>
      </c>
      <c r="B279" t="s">
        <v>4874</v>
      </c>
      <c r="C279" t="s">
        <v>634</v>
      </c>
      <c r="D279" t="s">
        <v>99</v>
      </c>
      <c r="E279" s="1">
        <v>46175</v>
      </c>
      <c r="F279" t="s">
        <v>4422</v>
      </c>
      <c r="G279" t="s">
        <v>4658</v>
      </c>
      <c r="H279" t="s">
        <v>633</v>
      </c>
      <c r="I279" t="s">
        <v>204</v>
      </c>
      <c r="J279" s="1">
        <v>46204</v>
      </c>
      <c r="K279" t="s">
        <v>762</v>
      </c>
      <c r="L279">
        <v>54</v>
      </c>
      <c r="M279">
        <v>316.44</v>
      </c>
      <c r="N279" t="s">
        <v>719</v>
      </c>
      <c r="O279" t="s">
        <v>1037</v>
      </c>
      <c r="P279" t="s">
        <v>4790</v>
      </c>
      <c r="Q279" t="s">
        <v>4852</v>
      </c>
    </row>
    <row r="280" spans="1:18" x14ac:dyDescent="0.3">
      <c r="A280">
        <v>1336</v>
      </c>
      <c r="B280" t="s">
        <v>4874</v>
      </c>
      <c r="C280" t="s">
        <v>305</v>
      </c>
      <c r="D280" t="s">
        <v>59</v>
      </c>
      <c r="E280" s="1">
        <v>46175</v>
      </c>
      <c r="F280" t="s">
        <v>4359</v>
      </c>
      <c r="G280" t="s">
        <v>4636</v>
      </c>
      <c r="H280" t="s">
        <v>304</v>
      </c>
      <c r="I280" t="s">
        <v>204</v>
      </c>
      <c r="J280" s="1">
        <v>46481</v>
      </c>
      <c r="K280" t="s">
        <v>720</v>
      </c>
      <c r="L280">
        <v>6752.06</v>
      </c>
      <c r="M280">
        <v>6752.06</v>
      </c>
      <c r="N280" t="s">
        <v>809</v>
      </c>
      <c r="O280" t="s">
        <v>1038</v>
      </c>
      <c r="P280" t="s">
        <v>4783</v>
      </c>
      <c r="Q280" t="s">
        <v>4858</v>
      </c>
      <c r="R280" t="s">
        <v>4771</v>
      </c>
    </row>
    <row r="281" spans="1:18" x14ac:dyDescent="0.3">
      <c r="A281">
        <v>174133</v>
      </c>
      <c r="B281" t="s">
        <v>1034</v>
      </c>
      <c r="C281" t="s">
        <v>301</v>
      </c>
      <c r="D281" t="s">
        <v>23</v>
      </c>
      <c r="E281" s="1">
        <v>46175</v>
      </c>
      <c r="F281" t="s">
        <v>4321</v>
      </c>
      <c r="G281" t="s">
        <v>4694</v>
      </c>
      <c r="H281" t="s">
        <v>323</v>
      </c>
      <c r="I281" t="s">
        <v>204</v>
      </c>
      <c r="J281" s="1">
        <v>46538</v>
      </c>
      <c r="K281" t="s">
        <v>711</v>
      </c>
      <c r="L281">
        <v>5608.32</v>
      </c>
      <c r="M281">
        <v>5608.32</v>
      </c>
      <c r="N281" t="s">
        <v>710</v>
      </c>
      <c r="O281" t="s">
        <v>1036</v>
      </c>
      <c r="P281" t="s">
        <v>4782</v>
      </c>
      <c r="Q281" t="s">
        <v>4901</v>
      </c>
      <c r="R281" t="s">
        <v>4773</v>
      </c>
    </row>
    <row r="282" spans="1:18" x14ac:dyDescent="0.3">
      <c r="A282">
        <v>7550</v>
      </c>
      <c r="B282" t="s">
        <v>1034</v>
      </c>
      <c r="C282" t="s">
        <v>230</v>
      </c>
      <c r="D282" t="s">
        <v>85</v>
      </c>
      <c r="E282" s="1">
        <v>46175</v>
      </c>
      <c r="F282" t="s">
        <v>4348</v>
      </c>
      <c r="G282" t="s">
        <v>4677</v>
      </c>
      <c r="H282" t="s">
        <v>570</v>
      </c>
      <c r="I282" t="s">
        <v>204</v>
      </c>
      <c r="J282" s="1">
        <v>46418</v>
      </c>
      <c r="K282" t="s">
        <v>717</v>
      </c>
      <c r="L282">
        <v>508195.8</v>
      </c>
      <c r="M282">
        <v>508195.8</v>
      </c>
      <c r="N282" t="s">
        <v>719</v>
      </c>
      <c r="O282" t="s">
        <v>1033</v>
      </c>
      <c r="P282" t="s">
        <v>4781</v>
      </c>
      <c r="Q282" t="s">
        <v>4852</v>
      </c>
      <c r="R282" t="s">
        <v>4771</v>
      </c>
    </row>
    <row r="283" spans="1:18" x14ac:dyDescent="0.3">
      <c r="A283">
        <v>3952</v>
      </c>
      <c r="B283" t="s">
        <v>1034</v>
      </c>
      <c r="C283" t="s">
        <v>319</v>
      </c>
      <c r="D283" t="s">
        <v>36</v>
      </c>
      <c r="E283" s="1">
        <v>46175</v>
      </c>
      <c r="F283" t="s">
        <v>4298</v>
      </c>
      <c r="G283" t="s">
        <v>4490</v>
      </c>
      <c r="H283" t="s">
        <v>318</v>
      </c>
      <c r="I283" t="s">
        <v>204</v>
      </c>
      <c r="J283" s="1">
        <v>46214</v>
      </c>
      <c r="K283" t="s">
        <v>711</v>
      </c>
      <c r="L283">
        <v>1195</v>
      </c>
      <c r="M283">
        <v>1194.8399999999999</v>
      </c>
      <c r="N283" t="s">
        <v>710</v>
      </c>
      <c r="O283" t="s">
        <v>1036</v>
      </c>
      <c r="P283" t="s">
        <v>4784</v>
      </c>
      <c r="Q283" t="s">
        <v>4901</v>
      </c>
      <c r="R283" t="s">
        <v>4771</v>
      </c>
    </row>
    <row r="284" spans="1:18" x14ac:dyDescent="0.3">
      <c r="A284">
        <v>7533</v>
      </c>
      <c r="B284" t="s">
        <v>1035</v>
      </c>
      <c r="C284" t="s">
        <v>230</v>
      </c>
      <c r="D284" t="s">
        <v>85</v>
      </c>
      <c r="E284" s="1">
        <v>46175</v>
      </c>
      <c r="F284" t="s">
        <v>4436</v>
      </c>
      <c r="G284" t="s">
        <v>4211</v>
      </c>
      <c r="H284" t="s">
        <v>229</v>
      </c>
      <c r="I284" t="s">
        <v>204</v>
      </c>
      <c r="J284" s="1">
        <v>46203</v>
      </c>
      <c r="K284" t="s">
        <v>744</v>
      </c>
      <c r="L284">
        <v>1583.74</v>
      </c>
      <c r="M284">
        <v>1583.74</v>
      </c>
      <c r="N284" t="s">
        <v>710</v>
      </c>
      <c r="O284" t="s">
        <v>1033</v>
      </c>
      <c r="P284" t="s">
        <v>4781</v>
      </c>
      <c r="Q284" t="s">
        <v>4852</v>
      </c>
      <c r="R284" t="s">
        <v>4771</v>
      </c>
    </row>
    <row r="285" spans="1:18" x14ac:dyDescent="0.3">
      <c r="A285">
        <v>7539</v>
      </c>
      <c r="B285" t="s">
        <v>1035</v>
      </c>
      <c r="C285" t="s">
        <v>230</v>
      </c>
      <c r="D285" t="s">
        <v>85</v>
      </c>
      <c r="E285" s="1">
        <v>46175</v>
      </c>
      <c r="F285" t="s">
        <v>4436</v>
      </c>
      <c r="G285" t="s">
        <v>4505</v>
      </c>
      <c r="H285" t="s">
        <v>229</v>
      </c>
      <c r="I285" t="s">
        <v>204</v>
      </c>
      <c r="J285" s="1">
        <v>46203</v>
      </c>
      <c r="K285" t="s">
        <v>744</v>
      </c>
      <c r="L285">
        <v>1186.78</v>
      </c>
      <c r="M285">
        <v>1186.78</v>
      </c>
      <c r="N285" t="s">
        <v>710</v>
      </c>
      <c r="O285" t="s">
        <v>1033</v>
      </c>
      <c r="P285" t="s">
        <v>4781</v>
      </c>
      <c r="Q285" t="s">
        <v>4852</v>
      </c>
      <c r="R285" t="s">
        <v>4771</v>
      </c>
    </row>
    <row r="286" spans="1:18" x14ac:dyDescent="0.3">
      <c r="A286">
        <v>246</v>
      </c>
      <c r="B286" t="s">
        <v>4875</v>
      </c>
      <c r="C286" t="s">
        <v>312</v>
      </c>
      <c r="D286" t="s">
        <v>73</v>
      </c>
      <c r="E286" s="1">
        <v>46175</v>
      </c>
      <c r="F286" t="s">
        <v>4300</v>
      </c>
      <c r="G286" t="s">
        <v>4620</v>
      </c>
      <c r="H286" t="s">
        <v>365</v>
      </c>
      <c r="I286" t="s">
        <v>204</v>
      </c>
      <c r="J286" s="1">
        <v>46418</v>
      </c>
      <c r="K286" t="s">
        <v>748</v>
      </c>
      <c r="L286">
        <v>2361</v>
      </c>
      <c r="M286">
        <v>2361</v>
      </c>
      <c r="N286" t="s">
        <v>710</v>
      </c>
      <c r="O286" t="s">
        <v>4834</v>
      </c>
      <c r="P286" t="s">
        <v>1006</v>
      </c>
      <c r="Q286" t="s">
        <v>4856</v>
      </c>
      <c r="R286" t="s">
        <v>4773</v>
      </c>
    </row>
    <row r="287" spans="1:18" x14ac:dyDescent="0.3">
      <c r="A287">
        <v>6104</v>
      </c>
      <c r="B287" t="s">
        <v>4875</v>
      </c>
      <c r="C287" t="s">
        <v>535</v>
      </c>
      <c r="D287" t="s">
        <v>148</v>
      </c>
      <c r="E287" s="1">
        <v>46174</v>
      </c>
      <c r="F287" t="s">
        <v>4355</v>
      </c>
      <c r="G287" t="s">
        <v>4608</v>
      </c>
      <c r="H287" t="s">
        <v>654</v>
      </c>
      <c r="I287" t="s">
        <v>204</v>
      </c>
      <c r="J287" s="1">
        <v>46227</v>
      </c>
      <c r="K287" t="s">
        <v>748</v>
      </c>
      <c r="L287">
        <v>1</v>
      </c>
      <c r="M287">
        <v>5500</v>
      </c>
      <c r="N287" t="s">
        <v>954</v>
      </c>
      <c r="O287" t="s">
        <v>1040</v>
      </c>
      <c r="P287" t="s">
        <v>4779</v>
      </c>
      <c r="Q287" t="s">
        <v>4856</v>
      </c>
      <c r="R287" t="s">
        <v>807</v>
      </c>
    </row>
    <row r="288" spans="1:18" x14ac:dyDescent="0.3">
      <c r="A288">
        <v>441843</v>
      </c>
      <c r="B288" t="s">
        <v>1034</v>
      </c>
      <c r="C288" t="s">
        <v>235</v>
      </c>
      <c r="D288" t="s">
        <v>129</v>
      </c>
      <c r="E288" s="1">
        <v>46174</v>
      </c>
      <c r="F288" t="s">
        <v>4319</v>
      </c>
      <c r="G288" t="s">
        <v>4641</v>
      </c>
      <c r="H288" t="s">
        <v>234</v>
      </c>
      <c r="I288" t="s">
        <v>204</v>
      </c>
      <c r="J288" s="1">
        <v>46627</v>
      </c>
      <c r="K288" t="s">
        <v>717</v>
      </c>
      <c r="L288">
        <v>244</v>
      </c>
      <c r="M288">
        <v>244.1</v>
      </c>
      <c r="N288" t="s">
        <v>719</v>
      </c>
      <c r="O288" t="s">
        <v>4833</v>
      </c>
      <c r="P288" t="s">
        <v>4802</v>
      </c>
      <c r="Q288" t="s">
        <v>4852</v>
      </c>
      <c r="R288" t="s">
        <v>4771</v>
      </c>
    </row>
    <row r="289" spans="1:18" x14ac:dyDescent="0.3">
      <c r="A289">
        <v>32986</v>
      </c>
      <c r="B289" t="s">
        <v>4876</v>
      </c>
      <c r="C289" t="s">
        <v>680</v>
      </c>
      <c r="D289" t="s">
        <v>86</v>
      </c>
      <c r="E289" s="1">
        <v>46174</v>
      </c>
      <c r="F289" t="s">
        <v>4402</v>
      </c>
      <c r="G289" t="s">
        <v>4484</v>
      </c>
      <c r="H289" t="s">
        <v>679</v>
      </c>
      <c r="I289" t="s">
        <v>204</v>
      </c>
      <c r="J289" s="1">
        <v>47118</v>
      </c>
      <c r="K289" t="s">
        <v>839</v>
      </c>
      <c r="L289">
        <v>29931.919999999998</v>
      </c>
      <c r="M289">
        <v>29931.919999999998</v>
      </c>
      <c r="N289" t="s">
        <v>710</v>
      </c>
      <c r="O289" t="s">
        <v>4833</v>
      </c>
      <c r="P289" t="s">
        <v>4800</v>
      </c>
      <c r="Q289" t="s">
        <v>4852</v>
      </c>
      <c r="R289" t="s">
        <v>807</v>
      </c>
    </row>
    <row r="290" spans="1:18" x14ac:dyDescent="0.3">
      <c r="A290">
        <v>18330</v>
      </c>
      <c r="B290" t="s">
        <v>1034</v>
      </c>
      <c r="C290" t="s">
        <v>359</v>
      </c>
      <c r="D290" t="s">
        <v>53</v>
      </c>
      <c r="E290" s="1">
        <v>46174</v>
      </c>
      <c r="F290" t="s">
        <v>4305</v>
      </c>
      <c r="G290" t="s">
        <v>3517</v>
      </c>
      <c r="H290" t="s">
        <v>358</v>
      </c>
      <c r="I290" t="s">
        <v>204</v>
      </c>
      <c r="J290" s="1">
        <v>54878</v>
      </c>
      <c r="K290" t="s">
        <v>711</v>
      </c>
      <c r="L290">
        <v>1</v>
      </c>
      <c r="M290">
        <v>1450</v>
      </c>
      <c r="N290" t="s">
        <v>710</v>
      </c>
      <c r="O290" t="s">
        <v>1036</v>
      </c>
      <c r="P290" t="s">
        <v>4776</v>
      </c>
      <c r="Q290" t="s">
        <v>4901</v>
      </c>
      <c r="R290" t="s">
        <v>4773</v>
      </c>
    </row>
    <row r="291" spans="1:18" x14ac:dyDescent="0.3">
      <c r="A291">
        <v>6102</v>
      </c>
      <c r="B291" t="s">
        <v>1034</v>
      </c>
      <c r="C291" t="s">
        <v>535</v>
      </c>
      <c r="D291" t="s">
        <v>148</v>
      </c>
      <c r="E291" s="1">
        <v>46174</v>
      </c>
      <c r="F291" t="s">
        <v>4355</v>
      </c>
      <c r="G291" t="s">
        <v>3516</v>
      </c>
      <c r="H291" t="s">
        <v>681</v>
      </c>
      <c r="I291" t="s">
        <v>204</v>
      </c>
      <c r="J291" s="1">
        <v>46295</v>
      </c>
      <c r="K291" t="s">
        <v>711</v>
      </c>
      <c r="L291">
        <v>1</v>
      </c>
      <c r="M291">
        <v>3300</v>
      </c>
      <c r="N291" t="s">
        <v>890</v>
      </c>
      <c r="O291" t="s">
        <v>4844</v>
      </c>
      <c r="P291" t="s">
        <v>4779</v>
      </c>
      <c r="Q291" t="s">
        <v>4845</v>
      </c>
      <c r="R291" t="s">
        <v>807</v>
      </c>
    </row>
    <row r="292" spans="1:18" x14ac:dyDescent="0.3">
      <c r="A292">
        <v>6103</v>
      </c>
      <c r="B292" t="s">
        <v>1034</v>
      </c>
      <c r="C292" t="s">
        <v>535</v>
      </c>
      <c r="D292" t="s">
        <v>148</v>
      </c>
      <c r="E292" s="1">
        <v>46174</v>
      </c>
      <c r="F292" t="s">
        <v>4355</v>
      </c>
      <c r="G292" t="s">
        <v>3516</v>
      </c>
      <c r="H292" t="s">
        <v>681</v>
      </c>
      <c r="I292" t="s">
        <v>204</v>
      </c>
      <c r="J292" s="1">
        <v>46295</v>
      </c>
      <c r="K292" t="s">
        <v>711</v>
      </c>
      <c r="L292">
        <v>1</v>
      </c>
      <c r="M292">
        <v>4500</v>
      </c>
      <c r="N292" t="s">
        <v>890</v>
      </c>
      <c r="O292" t="s">
        <v>4844</v>
      </c>
      <c r="P292" t="s">
        <v>4779</v>
      </c>
      <c r="Q292" t="s">
        <v>4845</v>
      </c>
      <c r="R292" t="s">
        <v>807</v>
      </c>
    </row>
    <row r="293" spans="1:18" x14ac:dyDescent="0.3">
      <c r="A293">
        <v>857</v>
      </c>
      <c r="B293" t="s">
        <v>1034</v>
      </c>
      <c r="C293" t="s">
        <v>603</v>
      </c>
      <c r="D293" t="s">
        <v>69</v>
      </c>
      <c r="E293" s="1">
        <v>46174</v>
      </c>
      <c r="F293" t="s">
        <v>4345</v>
      </c>
      <c r="G293" t="s">
        <v>3818</v>
      </c>
      <c r="H293" t="s">
        <v>682</v>
      </c>
      <c r="I293" t="s">
        <v>204</v>
      </c>
      <c r="J293" s="1">
        <v>46276</v>
      </c>
      <c r="K293" t="s">
        <v>711</v>
      </c>
      <c r="L293">
        <v>1</v>
      </c>
      <c r="M293">
        <v>2413.6799999999998</v>
      </c>
      <c r="N293" t="s">
        <v>954</v>
      </c>
      <c r="O293" t="s">
        <v>4834</v>
      </c>
      <c r="P293" t="s">
        <v>952</v>
      </c>
      <c r="Q293" t="s">
        <v>4901</v>
      </c>
      <c r="R293" t="s">
        <v>807</v>
      </c>
    </row>
    <row r="294" spans="1:18" x14ac:dyDescent="0.3">
      <c r="A294">
        <v>6845</v>
      </c>
      <c r="B294" t="s">
        <v>1034</v>
      </c>
      <c r="C294" t="s">
        <v>208</v>
      </c>
      <c r="D294" t="s">
        <v>164</v>
      </c>
      <c r="E294" s="1">
        <v>46174</v>
      </c>
      <c r="F294" t="s">
        <v>4341</v>
      </c>
      <c r="G294" t="s">
        <v>4643</v>
      </c>
      <c r="H294" t="s">
        <v>604</v>
      </c>
      <c r="I294" t="s">
        <v>204</v>
      </c>
      <c r="J294" s="1">
        <v>46256</v>
      </c>
      <c r="K294" t="s">
        <v>711</v>
      </c>
      <c r="L294">
        <v>760</v>
      </c>
      <c r="M294">
        <v>760</v>
      </c>
      <c r="N294" t="s">
        <v>710</v>
      </c>
      <c r="O294" t="s">
        <v>1036</v>
      </c>
      <c r="P294" t="s">
        <v>4784</v>
      </c>
      <c r="Q294" t="s">
        <v>4901</v>
      </c>
    </row>
    <row r="295" spans="1:18" x14ac:dyDescent="0.3">
      <c r="A295">
        <v>108229</v>
      </c>
      <c r="B295" t="s">
        <v>1034</v>
      </c>
      <c r="C295" t="s">
        <v>609</v>
      </c>
      <c r="D295" t="s">
        <v>182</v>
      </c>
      <c r="E295" s="1">
        <v>46174</v>
      </c>
      <c r="F295" t="s">
        <v>4336</v>
      </c>
      <c r="G295" t="s">
        <v>4647</v>
      </c>
      <c r="H295" t="s">
        <v>608</v>
      </c>
      <c r="I295" t="s">
        <v>204</v>
      </c>
      <c r="J295" s="1">
        <v>46281</v>
      </c>
      <c r="K295" t="s">
        <v>717</v>
      </c>
      <c r="L295">
        <v>245586.12</v>
      </c>
      <c r="M295">
        <v>245586.12</v>
      </c>
      <c r="N295" t="s">
        <v>719</v>
      </c>
      <c r="O295" t="s">
        <v>1037</v>
      </c>
      <c r="P295" t="s">
        <v>4794</v>
      </c>
      <c r="Q295" t="s">
        <v>4852</v>
      </c>
      <c r="R295" t="s">
        <v>4772</v>
      </c>
    </row>
    <row r="296" spans="1:18" x14ac:dyDescent="0.3">
      <c r="A296">
        <v>110951</v>
      </c>
      <c r="B296" t="s">
        <v>1034</v>
      </c>
      <c r="C296" t="s">
        <v>609</v>
      </c>
      <c r="D296" t="s">
        <v>182</v>
      </c>
      <c r="E296" s="1">
        <v>46174</v>
      </c>
      <c r="F296" t="s">
        <v>4336</v>
      </c>
      <c r="G296" t="s">
        <v>4648</v>
      </c>
      <c r="H296" t="s">
        <v>608</v>
      </c>
      <c r="I296" t="s">
        <v>204</v>
      </c>
      <c r="J296" s="1">
        <v>46281</v>
      </c>
      <c r="K296" t="s">
        <v>717</v>
      </c>
      <c r="L296">
        <v>37224.36</v>
      </c>
      <c r="M296">
        <v>37224.36</v>
      </c>
      <c r="N296" t="s">
        <v>719</v>
      </c>
      <c r="O296" t="s">
        <v>1037</v>
      </c>
      <c r="P296" t="s">
        <v>4794</v>
      </c>
      <c r="Q296" t="s">
        <v>4852</v>
      </c>
      <c r="R296" t="s">
        <v>4772</v>
      </c>
    </row>
    <row r="297" spans="1:18" x14ac:dyDescent="0.3">
      <c r="A297">
        <v>277</v>
      </c>
      <c r="B297" t="s">
        <v>1034</v>
      </c>
      <c r="C297" t="s">
        <v>325</v>
      </c>
      <c r="D297" t="s">
        <v>193</v>
      </c>
      <c r="E297" s="1">
        <v>46174</v>
      </c>
      <c r="F297" t="s">
        <v>4297</v>
      </c>
      <c r="G297" t="s">
        <v>3605</v>
      </c>
      <c r="H297" t="s">
        <v>324</v>
      </c>
      <c r="I297" t="s">
        <v>204</v>
      </c>
      <c r="J297" s="1">
        <v>54878</v>
      </c>
      <c r="K297" t="s">
        <v>711</v>
      </c>
      <c r="L297">
        <v>3900</v>
      </c>
      <c r="M297">
        <v>3900</v>
      </c>
      <c r="N297" t="s">
        <v>710</v>
      </c>
      <c r="O297" t="s">
        <v>4844</v>
      </c>
      <c r="P297" t="s">
        <v>4779</v>
      </c>
      <c r="Q297" t="s">
        <v>4901</v>
      </c>
      <c r="R297" t="s">
        <v>4773</v>
      </c>
    </row>
    <row r="298" spans="1:18" x14ac:dyDescent="0.3">
      <c r="A298">
        <v>108228</v>
      </c>
      <c r="B298" t="s">
        <v>4875</v>
      </c>
      <c r="C298" t="s">
        <v>609</v>
      </c>
      <c r="D298" t="s">
        <v>182</v>
      </c>
      <c r="E298" s="1">
        <v>46174</v>
      </c>
      <c r="F298" t="s">
        <v>4336</v>
      </c>
      <c r="G298" t="s">
        <v>4645</v>
      </c>
      <c r="H298" t="s">
        <v>610</v>
      </c>
      <c r="I298" t="s">
        <v>204</v>
      </c>
      <c r="J298" s="1">
        <v>46282</v>
      </c>
      <c r="K298" t="s">
        <v>768</v>
      </c>
      <c r="L298">
        <v>67936.44</v>
      </c>
      <c r="M298">
        <v>67936.44</v>
      </c>
      <c r="N298" t="s">
        <v>710</v>
      </c>
      <c r="O298" t="s">
        <v>1037</v>
      </c>
      <c r="P298" t="s">
        <v>4794</v>
      </c>
      <c r="Q298" t="s">
        <v>4852</v>
      </c>
      <c r="R298" t="s">
        <v>4772</v>
      </c>
    </row>
    <row r="299" spans="1:18" x14ac:dyDescent="0.3">
      <c r="A299">
        <v>110950</v>
      </c>
      <c r="B299" t="s">
        <v>4875</v>
      </c>
      <c r="C299" t="s">
        <v>609</v>
      </c>
      <c r="D299" t="s">
        <v>182</v>
      </c>
      <c r="E299" s="1">
        <v>46174</v>
      </c>
      <c r="F299" t="s">
        <v>4336</v>
      </c>
      <c r="G299" t="s">
        <v>4646</v>
      </c>
      <c r="H299" t="s">
        <v>610</v>
      </c>
      <c r="I299" t="s">
        <v>204</v>
      </c>
      <c r="J299" s="1">
        <v>46282</v>
      </c>
      <c r="K299" t="s">
        <v>768</v>
      </c>
      <c r="L299">
        <v>9466.2099999999991</v>
      </c>
      <c r="M299">
        <v>9466.2099999999991</v>
      </c>
      <c r="N299" t="s">
        <v>710</v>
      </c>
      <c r="O299" t="s">
        <v>1037</v>
      </c>
      <c r="P299" t="s">
        <v>4794</v>
      </c>
      <c r="Q299" t="s">
        <v>4852</v>
      </c>
      <c r="R299" t="s">
        <v>4772</v>
      </c>
    </row>
    <row r="300" spans="1:18" x14ac:dyDescent="0.3">
      <c r="A300">
        <v>2542</v>
      </c>
      <c r="B300" t="s">
        <v>4875</v>
      </c>
      <c r="C300" t="s">
        <v>616</v>
      </c>
      <c r="D300" t="s">
        <v>152</v>
      </c>
      <c r="E300" s="1">
        <v>46174</v>
      </c>
      <c r="F300" t="s">
        <v>4338</v>
      </c>
      <c r="G300" t="s">
        <v>4605</v>
      </c>
      <c r="H300" t="s">
        <v>622</v>
      </c>
      <c r="I300" t="s">
        <v>204</v>
      </c>
      <c r="J300" s="1">
        <v>46351</v>
      </c>
      <c r="K300" t="s">
        <v>748</v>
      </c>
      <c r="L300">
        <v>28600.99</v>
      </c>
      <c r="M300">
        <v>28600.99</v>
      </c>
      <c r="N300" t="s">
        <v>710</v>
      </c>
      <c r="O300" t="s">
        <v>4904</v>
      </c>
      <c r="P300" t="s">
        <v>4796</v>
      </c>
      <c r="Q300" t="s">
        <v>4856</v>
      </c>
      <c r="R300" t="s">
        <v>4772</v>
      </c>
    </row>
    <row r="301" spans="1:18" x14ac:dyDescent="0.3">
      <c r="A301">
        <v>84</v>
      </c>
      <c r="B301" t="s">
        <v>4875</v>
      </c>
      <c r="C301" t="s">
        <v>561</v>
      </c>
      <c r="D301" t="s">
        <v>121</v>
      </c>
      <c r="E301" s="1">
        <v>46174</v>
      </c>
      <c r="F301" t="s">
        <v>4390</v>
      </c>
      <c r="G301" t="s">
        <v>4606</v>
      </c>
      <c r="H301" t="s">
        <v>560</v>
      </c>
      <c r="I301" t="s">
        <v>204</v>
      </c>
      <c r="J301" s="1">
        <v>46732</v>
      </c>
      <c r="K301" t="s">
        <v>748</v>
      </c>
      <c r="L301">
        <v>14100</v>
      </c>
      <c r="M301">
        <v>14100</v>
      </c>
      <c r="N301" t="s">
        <v>818</v>
      </c>
      <c r="O301" t="s">
        <v>1040</v>
      </c>
      <c r="P301" t="s">
        <v>4777</v>
      </c>
      <c r="Q301" t="s">
        <v>4856</v>
      </c>
      <c r="R301" t="s">
        <v>4771</v>
      </c>
    </row>
    <row r="302" spans="1:18" x14ac:dyDescent="0.3">
      <c r="A302">
        <v>3325702</v>
      </c>
      <c r="B302" t="s">
        <v>4874</v>
      </c>
      <c r="C302" t="s">
        <v>405</v>
      </c>
      <c r="D302" t="s">
        <v>107</v>
      </c>
      <c r="E302" s="1">
        <v>46174</v>
      </c>
      <c r="F302" t="s">
        <v>4362</v>
      </c>
      <c r="G302" t="s">
        <v>4652</v>
      </c>
      <c r="H302" t="s">
        <v>404</v>
      </c>
      <c r="I302" t="s">
        <v>204</v>
      </c>
      <c r="J302" s="1">
        <v>46477</v>
      </c>
      <c r="K302" t="s">
        <v>762</v>
      </c>
      <c r="L302">
        <v>149304.4</v>
      </c>
      <c r="M302">
        <v>149304.4</v>
      </c>
      <c r="N302" t="s">
        <v>710</v>
      </c>
      <c r="O302" t="s">
        <v>1037</v>
      </c>
      <c r="P302" t="s">
        <v>4806</v>
      </c>
      <c r="Q302" t="s">
        <v>4852</v>
      </c>
      <c r="R302" t="s">
        <v>4772</v>
      </c>
    </row>
    <row r="303" spans="1:18" x14ac:dyDescent="0.3">
      <c r="A303">
        <v>1887</v>
      </c>
      <c r="B303" t="s">
        <v>4874</v>
      </c>
      <c r="C303" t="s">
        <v>252</v>
      </c>
      <c r="D303" t="s">
        <v>183</v>
      </c>
      <c r="E303" s="1">
        <v>46174</v>
      </c>
      <c r="F303" t="s">
        <v>4404</v>
      </c>
      <c r="G303" t="s">
        <v>3526</v>
      </c>
      <c r="H303" t="s">
        <v>251</v>
      </c>
      <c r="I303" t="s">
        <v>204</v>
      </c>
      <c r="J303" s="1">
        <v>46418</v>
      </c>
      <c r="K303" t="s">
        <v>762</v>
      </c>
      <c r="L303">
        <v>20790</v>
      </c>
      <c r="M303">
        <v>20790</v>
      </c>
      <c r="N303" t="s">
        <v>719</v>
      </c>
      <c r="O303" t="s">
        <v>4904</v>
      </c>
      <c r="P303" t="s">
        <v>4792</v>
      </c>
      <c r="Q303" t="s">
        <v>4904</v>
      </c>
      <c r="R303" t="s">
        <v>4773</v>
      </c>
    </row>
    <row r="304" spans="1:18" x14ac:dyDescent="0.3">
      <c r="A304">
        <v>1105</v>
      </c>
      <c r="B304" t="s">
        <v>4874</v>
      </c>
      <c r="C304" t="s">
        <v>222</v>
      </c>
      <c r="D304" t="s">
        <v>80</v>
      </c>
      <c r="E304" s="1">
        <v>46174</v>
      </c>
      <c r="F304" t="s">
        <v>4419</v>
      </c>
      <c r="G304" t="s">
        <v>4611</v>
      </c>
      <c r="H304" t="s">
        <v>223</v>
      </c>
      <c r="I304" t="s">
        <v>204</v>
      </c>
      <c r="J304" s="1">
        <v>46504</v>
      </c>
      <c r="K304" t="s">
        <v>720</v>
      </c>
      <c r="L304">
        <v>1</v>
      </c>
      <c r="M304">
        <v>1315</v>
      </c>
      <c r="N304" t="s">
        <v>710</v>
      </c>
      <c r="O304" t="s">
        <v>4834</v>
      </c>
      <c r="P304" t="s">
        <v>4778</v>
      </c>
      <c r="Q304" t="s">
        <v>4858</v>
      </c>
      <c r="R304" t="s">
        <v>4773</v>
      </c>
    </row>
    <row r="305" spans="1:18" x14ac:dyDescent="0.3">
      <c r="A305">
        <v>40806</v>
      </c>
      <c r="B305" t="s">
        <v>4874</v>
      </c>
      <c r="C305" t="s">
        <v>692</v>
      </c>
      <c r="D305" t="s">
        <v>119</v>
      </c>
      <c r="E305" s="1">
        <v>46174</v>
      </c>
      <c r="F305" t="s">
        <v>4352</v>
      </c>
      <c r="G305" t="s">
        <v>4635</v>
      </c>
      <c r="H305" t="s">
        <v>691</v>
      </c>
      <c r="I305" t="s">
        <v>204</v>
      </c>
      <c r="J305" s="1">
        <v>46434</v>
      </c>
      <c r="K305" t="s">
        <v>762</v>
      </c>
      <c r="L305">
        <v>10</v>
      </c>
      <c r="M305">
        <v>142.6</v>
      </c>
      <c r="N305" t="s">
        <v>710</v>
      </c>
      <c r="O305" t="s">
        <v>4833</v>
      </c>
      <c r="P305" t="s">
        <v>1007</v>
      </c>
      <c r="Q305" t="s">
        <v>4852</v>
      </c>
      <c r="R305" t="s">
        <v>807</v>
      </c>
    </row>
    <row r="306" spans="1:18" x14ac:dyDescent="0.3">
      <c r="A306">
        <v>21503</v>
      </c>
      <c r="B306" t="s">
        <v>4874</v>
      </c>
      <c r="C306" t="s">
        <v>1031</v>
      </c>
      <c r="D306" t="s">
        <v>1032</v>
      </c>
      <c r="E306" s="1">
        <v>46174</v>
      </c>
      <c r="F306" t="s">
        <v>4415</v>
      </c>
      <c r="G306" t="s">
        <v>4595</v>
      </c>
      <c r="H306" t="s">
        <v>1030</v>
      </c>
      <c r="I306" t="s">
        <v>204</v>
      </c>
      <c r="J306" s="1">
        <v>46537</v>
      </c>
      <c r="K306" t="s">
        <v>720</v>
      </c>
      <c r="L306">
        <v>11</v>
      </c>
      <c r="M306">
        <v>4180</v>
      </c>
      <c r="N306" t="s">
        <v>710</v>
      </c>
      <c r="O306" t="s">
        <v>1038</v>
      </c>
      <c r="P306" t="s">
        <v>4809</v>
      </c>
      <c r="Q306" t="s">
        <v>4858</v>
      </c>
      <c r="R306" t="s">
        <v>807</v>
      </c>
    </row>
    <row r="307" spans="1:18" x14ac:dyDescent="0.3">
      <c r="A307">
        <v>32987</v>
      </c>
      <c r="B307" t="s">
        <v>4876</v>
      </c>
      <c r="C307" t="s">
        <v>680</v>
      </c>
      <c r="D307" t="s">
        <v>86</v>
      </c>
      <c r="E307" s="1">
        <v>46171</v>
      </c>
      <c r="F307" t="s">
        <v>4402</v>
      </c>
      <c r="G307" t="s">
        <v>4485</v>
      </c>
      <c r="H307" t="s">
        <v>679</v>
      </c>
      <c r="I307" t="s">
        <v>204</v>
      </c>
      <c r="J307" s="1">
        <v>47118</v>
      </c>
      <c r="K307" t="s">
        <v>839</v>
      </c>
      <c r="L307">
        <v>47502.93</v>
      </c>
      <c r="M307">
        <v>47502.93</v>
      </c>
      <c r="N307" t="s">
        <v>710</v>
      </c>
      <c r="O307" t="s">
        <v>4833</v>
      </c>
      <c r="P307" t="s">
        <v>4800</v>
      </c>
      <c r="Q307" t="s">
        <v>4852</v>
      </c>
      <c r="R307" t="s">
        <v>807</v>
      </c>
    </row>
    <row r="308" spans="1:18" x14ac:dyDescent="0.3">
      <c r="A308">
        <v>32105</v>
      </c>
      <c r="B308" t="s">
        <v>4874</v>
      </c>
      <c r="C308" t="s">
        <v>261</v>
      </c>
      <c r="D308" t="s">
        <v>167</v>
      </c>
      <c r="E308" s="1">
        <v>46171</v>
      </c>
      <c r="F308" t="s">
        <v>4402</v>
      </c>
      <c r="G308" t="s">
        <v>4585</v>
      </c>
      <c r="H308" t="s">
        <v>290</v>
      </c>
      <c r="I308" t="s">
        <v>204</v>
      </c>
      <c r="J308" s="1">
        <v>46264</v>
      </c>
      <c r="K308" t="s">
        <v>720</v>
      </c>
      <c r="L308">
        <v>11658.95</v>
      </c>
      <c r="M308">
        <v>11658.95</v>
      </c>
      <c r="N308" t="s">
        <v>710</v>
      </c>
      <c r="O308" t="s">
        <v>4849</v>
      </c>
      <c r="P308" t="s">
        <v>4804</v>
      </c>
      <c r="Q308" t="s">
        <v>4855</v>
      </c>
      <c r="R308" t="s">
        <v>4773</v>
      </c>
    </row>
    <row r="309" spans="1:18" x14ac:dyDescent="0.3">
      <c r="A309">
        <v>43614</v>
      </c>
      <c r="B309" t="s">
        <v>1034</v>
      </c>
      <c r="C309" t="s">
        <v>327</v>
      </c>
      <c r="D309" t="s">
        <v>159</v>
      </c>
      <c r="E309" s="1">
        <v>46171</v>
      </c>
      <c r="F309" t="s">
        <v>4295</v>
      </c>
      <c r="G309" t="s">
        <v>4562</v>
      </c>
      <c r="H309" t="s">
        <v>357</v>
      </c>
      <c r="I309" t="s">
        <v>204</v>
      </c>
      <c r="J309" s="1">
        <v>46476</v>
      </c>
      <c r="K309" t="s">
        <v>711</v>
      </c>
      <c r="L309">
        <v>2191.8000000000002</v>
      </c>
      <c r="M309">
        <v>2191.8000000000002</v>
      </c>
      <c r="N309" t="s">
        <v>890</v>
      </c>
      <c r="O309" t="s">
        <v>4834</v>
      </c>
      <c r="P309" t="s">
        <v>4776</v>
      </c>
      <c r="Q309" t="s">
        <v>4901</v>
      </c>
      <c r="R309" t="s">
        <v>4773</v>
      </c>
    </row>
    <row r="310" spans="1:18" x14ac:dyDescent="0.3">
      <c r="A310">
        <v>777611</v>
      </c>
      <c r="B310" t="s">
        <v>1034</v>
      </c>
      <c r="C310" t="s">
        <v>451</v>
      </c>
      <c r="D310" t="s">
        <v>129</v>
      </c>
      <c r="E310" s="1">
        <v>46171</v>
      </c>
      <c r="F310" t="s">
        <v>4319</v>
      </c>
      <c r="G310" t="s">
        <v>4441</v>
      </c>
      <c r="H310" t="s">
        <v>662</v>
      </c>
      <c r="I310" t="s">
        <v>204</v>
      </c>
      <c r="J310" s="1">
        <v>46655</v>
      </c>
      <c r="K310" t="s">
        <v>717</v>
      </c>
      <c r="L310">
        <v>188</v>
      </c>
      <c r="M310">
        <v>188.01</v>
      </c>
      <c r="N310" t="s">
        <v>719</v>
      </c>
      <c r="O310" t="s">
        <v>4833</v>
      </c>
      <c r="P310" t="s">
        <v>4802</v>
      </c>
      <c r="Q310" t="s">
        <v>4852</v>
      </c>
      <c r="R310" t="s">
        <v>807</v>
      </c>
    </row>
    <row r="311" spans="1:18" x14ac:dyDescent="0.3">
      <c r="A311">
        <v>1124</v>
      </c>
      <c r="B311" t="s">
        <v>1034</v>
      </c>
      <c r="C311" t="s">
        <v>355</v>
      </c>
      <c r="D311" t="s">
        <v>143</v>
      </c>
      <c r="E311" s="1">
        <v>46171</v>
      </c>
      <c r="F311" t="s">
        <v>4318</v>
      </c>
      <c r="G311" t="s">
        <v>4599</v>
      </c>
      <c r="H311" t="s">
        <v>361</v>
      </c>
      <c r="I311" t="s">
        <v>204</v>
      </c>
      <c r="J311" s="1">
        <v>54878</v>
      </c>
      <c r="K311" t="s">
        <v>711</v>
      </c>
      <c r="L311">
        <v>2317</v>
      </c>
      <c r="M311">
        <v>2317</v>
      </c>
      <c r="N311" t="s">
        <v>710</v>
      </c>
      <c r="O311" t="s">
        <v>4834</v>
      </c>
      <c r="P311" t="s">
        <v>4776</v>
      </c>
      <c r="Q311" t="s">
        <v>4901</v>
      </c>
      <c r="R311" t="s">
        <v>4771</v>
      </c>
    </row>
    <row r="312" spans="1:18" x14ac:dyDescent="0.3">
      <c r="A312">
        <v>770678</v>
      </c>
      <c r="B312" t="s">
        <v>1034</v>
      </c>
      <c r="C312" t="s">
        <v>463</v>
      </c>
      <c r="D312" t="s">
        <v>147</v>
      </c>
      <c r="E312" s="1">
        <v>46171</v>
      </c>
      <c r="F312" t="s">
        <v>4334</v>
      </c>
      <c r="G312" t="s">
        <v>4642</v>
      </c>
      <c r="H312" t="s">
        <v>462</v>
      </c>
      <c r="I312" t="s">
        <v>204</v>
      </c>
      <c r="J312" s="1">
        <v>46752</v>
      </c>
      <c r="K312" t="s">
        <v>717</v>
      </c>
      <c r="L312">
        <v>1215.06</v>
      </c>
      <c r="M312">
        <v>1215.06</v>
      </c>
      <c r="N312" t="s">
        <v>719</v>
      </c>
      <c r="O312" t="s">
        <v>1033</v>
      </c>
      <c r="P312" t="s">
        <v>4776</v>
      </c>
      <c r="Q312" t="s">
        <v>4852</v>
      </c>
      <c r="R312" t="s">
        <v>4771</v>
      </c>
    </row>
    <row r="313" spans="1:18" x14ac:dyDescent="0.3">
      <c r="A313">
        <v>1341</v>
      </c>
      <c r="B313" t="s">
        <v>1034</v>
      </c>
      <c r="C313" t="s">
        <v>1028</v>
      </c>
      <c r="D313" t="s">
        <v>1029</v>
      </c>
      <c r="E313" s="1">
        <v>46171</v>
      </c>
      <c r="F313" t="s">
        <v>4295</v>
      </c>
      <c r="G313" t="s">
        <v>4580</v>
      </c>
      <c r="H313" t="s">
        <v>1026</v>
      </c>
      <c r="I313" t="s">
        <v>204</v>
      </c>
      <c r="J313" s="1">
        <v>46507</v>
      </c>
      <c r="K313" t="s">
        <v>711</v>
      </c>
      <c r="L313">
        <v>4385.2</v>
      </c>
      <c r="M313">
        <v>4385.2</v>
      </c>
      <c r="N313" t="s">
        <v>890</v>
      </c>
      <c r="O313" t="s">
        <v>4834</v>
      </c>
      <c r="P313" t="s">
        <v>4809</v>
      </c>
      <c r="Q313" t="s">
        <v>4901</v>
      </c>
      <c r="R313" t="s">
        <v>807</v>
      </c>
    </row>
    <row r="314" spans="1:18" x14ac:dyDescent="0.3">
      <c r="A314">
        <v>734</v>
      </c>
      <c r="B314" t="s">
        <v>4875</v>
      </c>
      <c r="C314" t="s">
        <v>550</v>
      </c>
      <c r="D314" t="s">
        <v>189</v>
      </c>
      <c r="E314" s="1">
        <v>46171</v>
      </c>
      <c r="F314" t="s">
        <v>4338</v>
      </c>
      <c r="G314" t="s">
        <v>4575</v>
      </c>
      <c r="H314" t="s">
        <v>569</v>
      </c>
      <c r="I314" t="s">
        <v>204</v>
      </c>
      <c r="J314" s="1">
        <v>46599</v>
      </c>
      <c r="K314" t="s">
        <v>768</v>
      </c>
      <c r="L314">
        <v>23437.4</v>
      </c>
      <c r="M314">
        <v>23437.4</v>
      </c>
      <c r="N314" t="s">
        <v>710</v>
      </c>
      <c r="O314" t="s">
        <v>4904</v>
      </c>
      <c r="P314" t="s">
        <v>4792</v>
      </c>
      <c r="Q314" t="s">
        <v>4904</v>
      </c>
      <c r="R314" t="s">
        <v>4772</v>
      </c>
    </row>
    <row r="315" spans="1:18" x14ac:dyDescent="0.3">
      <c r="A315">
        <v>4529</v>
      </c>
      <c r="B315" t="s">
        <v>1034</v>
      </c>
      <c r="C315" t="s">
        <v>319</v>
      </c>
      <c r="D315" t="s">
        <v>36</v>
      </c>
      <c r="E315" s="1">
        <v>46170</v>
      </c>
      <c r="F315" t="s">
        <v>4298</v>
      </c>
      <c r="G315" t="s">
        <v>4633</v>
      </c>
      <c r="H315" t="s">
        <v>318</v>
      </c>
      <c r="I315" t="s">
        <v>204</v>
      </c>
      <c r="J315" s="1">
        <v>46214</v>
      </c>
      <c r="K315" t="s">
        <v>711</v>
      </c>
      <c r="L315">
        <v>1394</v>
      </c>
      <c r="M315">
        <v>1393.98</v>
      </c>
      <c r="N315" t="s">
        <v>710</v>
      </c>
      <c r="O315" t="s">
        <v>1036</v>
      </c>
      <c r="P315" t="s">
        <v>4784</v>
      </c>
      <c r="Q315" t="s">
        <v>4901</v>
      </c>
      <c r="R315" t="s">
        <v>4771</v>
      </c>
    </row>
    <row r="316" spans="1:18" x14ac:dyDescent="0.3">
      <c r="A316">
        <v>40315</v>
      </c>
      <c r="B316" t="s">
        <v>4875</v>
      </c>
      <c r="C316" t="s">
        <v>530</v>
      </c>
      <c r="D316" t="s">
        <v>24</v>
      </c>
      <c r="E316" s="1">
        <v>46170</v>
      </c>
      <c r="F316" t="s">
        <v>4297</v>
      </c>
      <c r="G316" t="s">
        <v>4472</v>
      </c>
      <c r="H316" t="s">
        <v>529</v>
      </c>
      <c r="I316" t="s">
        <v>204</v>
      </c>
      <c r="J316" s="1">
        <v>46477</v>
      </c>
      <c r="K316" t="s">
        <v>748</v>
      </c>
      <c r="L316">
        <v>8375.61</v>
      </c>
      <c r="M316">
        <v>8375.61</v>
      </c>
      <c r="N316" t="s">
        <v>710</v>
      </c>
      <c r="O316" t="s">
        <v>1040</v>
      </c>
      <c r="P316" t="s">
        <v>4779</v>
      </c>
      <c r="Q316" t="s">
        <v>4856</v>
      </c>
      <c r="R316" t="s">
        <v>4773</v>
      </c>
    </row>
    <row r="317" spans="1:18" x14ac:dyDescent="0.3">
      <c r="A317">
        <v>1434895</v>
      </c>
      <c r="B317" t="s">
        <v>4874</v>
      </c>
      <c r="C317" t="s">
        <v>472</v>
      </c>
      <c r="D317" t="s">
        <v>48</v>
      </c>
      <c r="E317" s="1">
        <v>46170</v>
      </c>
      <c r="F317" t="s">
        <v>4315</v>
      </c>
      <c r="G317" t="s">
        <v>4638</v>
      </c>
      <c r="H317" t="s">
        <v>471</v>
      </c>
      <c r="I317" t="s">
        <v>204</v>
      </c>
      <c r="J317" s="1">
        <v>46270</v>
      </c>
      <c r="K317" t="s">
        <v>762</v>
      </c>
      <c r="L317">
        <v>537.80999999999995</v>
      </c>
      <c r="M317">
        <v>537.80999999999995</v>
      </c>
      <c r="N317" t="s">
        <v>710</v>
      </c>
      <c r="O317" t="s">
        <v>4845</v>
      </c>
      <c r="P317" t="s">
        <v>4776</v>
      </c>
      <c r="Q317" t="s">
        <v>4845</v>
      </c>
      <c r="R317" t="s">
        <v>4773</v>
      </c>
    </row>
    <row r="318" spans="1:18" x14ac:dyDescent="0.3">
      <c r="A318">
        <v>1434897</v>
      </c>
      <c r="B318" t="s">
        <v>4874</v>
      </c>
      <c r="C318" t="s">
        <v>472</v>
      </c>
      <c r="D318" t="s">
        <v>48</v>
      </c>
      <c r="E318" s="1">
        <v>46170</v>
      </c>
      <c r="F318" t="s">
        <v>4345</v>
      </c>
      <c r="G318" t="s">
        <v>4638</v>
      </c>
      <c r="H318" t="s">
        <v>471</v>
      </c>
      <c r="I318" t="s">
        <v>204</v>
      </c>
      <c r="J318" s="1">
        <v>46270</v>
      </c>
      <c r="K318" t="s">
        <v>762</v>
      </c>
      <c r="L318">
        <v>53.78</v>
      </c>
      <c r="M318">
        <v>53.78</v>
      </c>
      <c r="N318" t="s">
        <v>710</v>
      </c>
      <c r="O318" t="s">
        <v>4845</v>
      </c>
      <c r="P318" t="s">
        <v>4776</v>
      </c>
      <c r="Q318" t="s">
        <v>4845</v>
      </c>
      <c r="R318" t="s">
        <v>4773</v>
      </c>
    </row>
    <row r="319" spans="1:18" x14ac:dyDescent="0.3">
      <c r="A319">
        <v>33829</v>
      </c>
      <c r="B319" t="s">
        <v>4874</v>
      </c>
      <c r="C319" t="s">
        <v>592</v>
      </c>
      <c r="D319" t="s">
        <v>8</v>
      </c>
      <c r="E319" s="1">
        <v>46170</v>
      </c>
      <c r="F319" t="s">
        <v>4363</v>
      </c>
      <c r="G319" t="s">
        <v>4634</v>
      </c>
      <c r="H319" t="s">
        <v>683</v>
      </c>
      <c r="I319" t="s">
        <v>204</v>
      </c>
      <c r="J319" s="1">
        <v>46387</v>
      </c>
      <c r="K319" t="s">
        <v>762</v>
      </c>
      <c r="L319">
        <v>10.72</v>
      </c>
      <c r="M319">
        <v>10.72</v>
      </c>
      <c r="N319" t="s">
        <v>890</v>
      </c>
      <c r="O319" t="s">
        <v>4833</v>
      </c>
      <c r="P319" t="s">
        <v>950</v>
      </c>
      <c r="Q319" t="s">
        <v>4852</v>
      </c>
      <c r="R319" t="s">
        <v>807</v>
      </c>
    </row>
    <row r="320" spans="1:18" x14ac:dyDescent="0.3">
      <c r="A320">
        <v>167756</v>
      </c>
      <c r="B320" t="s">
        <v>4874</v>
      </c>
      <c r="C320" t="s">
        <v>214</v>
      </c>
      <c r="D320" t="s">
        <v>94</v>
      </c>
      <c r="E320" s="1">
        <v>46170</v>
      </c>
      <c r="F320" t="s">
        <v>4295</v>
      </c>
      <c r="G320" t="s">
        <v>4584</v>
      </c>
      <c r="H320" t="s">
        <v>213</v>
      </c>
      <c r="I320" t="s">
        <v>204</v>
      </c>
      <c r="J320" s="1">
        <v>46309</v>
      </c>
      <c r="K320" t="s">
        <v>720</v>
      </c>
      <c r="L320">
        <v>16481.86</v>
      </c>
      <c r="M320">
        <v>16481.86</v>
      </c>
      <c r="N320" t="s">
        <v>710</v>
      </c>
      <c r="O320" t="s">
        <v>4834</v>
      </c>
      <c r="P320" t="s">
        <v>4776</v>
      </c>
      <c r="Q320" t="s">
        <v>4858</v>
      </c>
      <c r="R320" t="s">
        <v>4772</v>
      </c>
    </row>
    <row r="321" spans="1:18" x14ac:dyDescent="0.3">
      <c r="A321">
        <v>4526</v>
      </c>
      <c r="B321" t="s">
        <v>4875</v>
      </c>
      <c r="C321" t="s">
        <v>319</v>
      </c>
      <c r="D321" t="s">
        <v>36</v>
      </c>
      <c r="E321" s="1">
        <v>46170</v>
      </c>
      <c r="F321" t="s">
        <v>4298</v>
      </c>
      <c r="G321" t="s">
        <v>4630</v>
      </c>
      <c r="H321" t="s">
        <v>336</v>
      </c>
      <c r="I321" t="s">
        <v>204</v>
      </c>
      <c r="J321" s="1">
        <v>46075</v>
      </c>
      <c r="K321" t="s">
        <v>748</v>
      </c>
      <c r="L321">
        <v>3</v>
      </c>
      <c r="M321">
        <v>597.41999999999996</v>
      </c>
      <c r="N321" t="s">
        <v>710</v>
      </c>
      <c r="O321" t="s">
        <v>1040</v>
      </c>
      <c r="P321" t="s">
        <v>4784</v>
      </c>
      <c r="Q321" t="s">
        <v>4856</v>
      </c>
      <c r="R321" t="s">
        <v>4771</v>
      </c>
    </row>
    <row r="322" spans="1:18" x14ac:dyDescent="0.3">
      <c r="A322">
        <v>786</v>
      </c>
      <c r="B322" t="s">
        <v>4875</v>
      </c>
      <c r="C322" t="s">
        <v>220</v>
      </c>
      <c r="D322" t="s">
        <v>15</v>
      </c>
      <c r="E322" s="1">
        <v>46170</v>
      </c>
      <c r="F322" t="s">
        <v>4304</v>
      </c>
      <c r="G322" t="s">
        <v>4613</v>
      </c>
      <c r="H322" t="s">
        <v>273</v>
      </c>
      <c r="I322" t="s">
        <v>204</v>
      </c>
      <c r="J322" s="1">
        <v>54878</v>
      </c>
      <c r="K322" t="s">
        <v>748</v>
      </c>
      <c r="L322">
        <v>2215</v>
      </c>
      <c r="M322">
        <v>2215</v>
      </c>
      <c r="N322" t="s">
        <v>710</v>
      </c>
      <c r="O322" t="s">
        <v>4834</v>
      </c>
      <c r="P322" t="s">
        <v>4776</v>
      </c>
      <c r="Q322" t="s">
        <v>4856</v>
      </c>
      <c r="R322" t="s">
        <v>4773</v>
      </c>
    </row>
    <row r="323" spans="1:18" x14ac:dyDescent="0.3">
      <c r="A323">
        <v>5459</v>
      </c>
      <c r="B323" t="s">
        <v>1034</v>
      </c>
      <c r="C323" t="s">
        <v>319</v>
      </c>
      <c r="D323" t="s">
        <v>36</v>
      </c>
      <c r="E323" s="1">
        <v>46170</v>
      </c>
      <c r="F323" t="s">
        <v>4298</v>
      </c>
      <c r="G323" t="s">
        <v>4632</v>
      </c>
      <c r="H323" t="s">
        <v>318</v>
      </c>
      <c r="I323" t="s">
        <v>204</v>
      </c>
      <c r="J323" s="1">
        <v>46214</v>
      </c>
      <c r="K323" t="s">
        <v>711</v>
      </c>
      <c r="L323">
        <v>2191</v>
      </c>
      <c r="M323">
        <v>2190.54</v>
      </c>
      <c r="N323" t="s">
        <v>710</v>
      </c>
      <c r="O323" t="s">
        <v>1036</v>
      </c>
      <c r="P323" t="s">
        <v>4784</v>
      </c>
      <c r="Q323" t="s">
        <v>4901</v>
      </c>
      <c r="R323" t="s">
        <v>4771</v>
      </c>
    </row>
    <row r="324" spans="1:18" x14ac:dyDescent="0.3">
      <c r="A324">
        <v>43579</v>
      </c>
      <c r="B324" t="s">
        <v>1034</v>
      </c>
      <c r="C324" t="s">
        <v>327</v>
      </c>
      <c r="D324" t="s">
        <v>159</v>
      </c>
      <c r="E324" s="1">
        <v>46170</v>
      </c>
      <c r="F324" t="s">
        <v>4295</v>
      </c>
      <c r="G324" t="s">
        <v>4591</v>
      </c>
      <c r="H324" t="s">
        <v>357</v>
      </c>
      <c r="I324" t="s">
        <v>204</v>
      </c>
      <c r="J324" s="1">
        <v>46476</v>
      </c>
      <c r="K324" t="s">
        <v>711</v>
      </c>
      <c r="L324">
        <v>3050.2</v>
      </c>
      <c r="M324">
        <v>3050.2</v>
      </c>
      <c r="N324" t="s">
        <v>890</v>
      </c>
      <c r="O324" t="s">
        <v>4834</v>
      </c>
      <c r="P324" t="s">
        <v>4776</v>
      </c>
      <c r="Q324" t="s">
        <v>4901</v>
      </c>
      <c r="R324" t="s">
        <v>4773</v>
      </c>
    </row>
    <row r="325" spans="1:18" x14ac:dyDescent="0.3">
      <c r="A325">
        <v>1306</v>
      </c>
      <c r="B325" t="s">
        <v>4875</v>
      </c>
      <c r="C325" t="s">
        <v>319</v>
      </c>
      <c r="D325" t="s">
        <v>36</v>
      </c>
      <c r="E325" s="1">
        <v>46169</v>
      </c>
      <c r="F325" t="s">
        <v>4434</v>
      </c>
      <c r="G325" t="s">
        <v>4616</v>
      </c>
      <c r="H325" t="s">
        <v>336</v>
      </c>
      <c r="I325" t="s">
        <v>204</v>
      </c>
      <c r="J325" s="1">
        <v>46075</v>
      </c>
      <c r="K325" t="s">
        <v>748</v>
      </c>
      <c r="L325">
        <v>3200.7</v>
      </c>
      <c r="M325">
        <v>28254.82</v>
      </c>
      <c r="N325" t="s">
        <v>710</v>
      </c>
      <c r="O325" t="s">
        <v>1040</v>
      </c>
      <c r="P325" t="s">
        <v>4784</v>
      </c>
      <c r="Q325" t="s">
        <v>4856</v>
      </c>
      <c r="R325" t="s">
        <v>4771</v>
      </c>
    </row>
    <row r="326" spans="1:18" x14ac:dyDescent="0.3">
      <c r="A326">
        <v>1235</v>
      </c>
      <c r="B326" t="s">
        <v>4875</v>
      </c>
      <c r="C326" t="s">
        <v>319</v>
      </c>
      <c r="D326" t="s">
        <v>36</v>
      </c>
      <c r="E326" s="1">
        <v>46169</v>
      </c>
      <c r="F326" t="s">
        <v>4434</v>
      </c>
      <c r="G326" t="s">
        <v>4581</v>
      </c>
      <c r="H326" t="s">
        <v>336</v>
      </c>
      <c r="I326" t="s">
        <v>204</v>
      </c>
      <c r="J326" s="1">
        <v>46075</v>
      </c>
      <c r="K326" t="s">
        <v>748</v>
      </c>
      <c r="L326">
        <v>3828.4</v>
      </c>
      <c r="M326">
        <v>33795.97</v>
      </c>
      <c r="N326" t="s">
        <v>710</v>
      </c>
      <c r="O326" t="s">
        <v>1040</v>
      </c>
      <c r="P326" t="s">
        <v>4784</v>
      </c>
      <c r="Q326" t="s">
        <v>4856</v>
      </c>
      <c r="R326" t="s">
        <v>4771</v>
      </c>
    </row>
    <row r="327" spans="1:18" x14ac:dyDescent="0.3">
      <c r="A327">
        <v>144</v>
      </c>
      <c r="B327" t="s">
        <v>1034</v>
      </c>
      <c r="C327" t="s">
        <v>449</v>
      </c>
      <c r="D327" t="s">
        <v>20</v>
      </c>
      <c r="E327" s="1">
        <v>46169</v>
      </c>
      <c r="F327" t="s">
        <v>4331</v>
      </c>
      <c r="G327" t="s">
        <v>4631</v>
      </c>
      <c r="H327" t="s">
        <v>448</v>
      </c>
      <c r="I327" t="s">
        <v>204</v>
      </c>
      <c r="J327" s="1">
        <v>46219</v>
      </c>
      <c r="K327" t="s">
        <v>717</v>
      </c>
      <c r="L327">
        <v>8203.84</v>
      </c>
      <c r="M327">
        <v>8203.84</v>
      </c>
      <c r="N327" t="s">
        <v>710</v>
      </c>
      <c r="O327" t="s">
        <v>4902</v>
      </c>
      <c r="P327" t="s">
        <v>4776</v>
      </c>
      <c r="Q327" t="s">
        <v>4852</v>
      </c>
      <c r="R327" t="s">
        <v>4771</v>
      </c>
    </row>
    <row r="328" spans="1:18" x14ac:dyDescent="0.3">
      <c r="A328">
        <v>6816</v>
      </c>
      <c r="B328" t="s">
        <v>1034</v>
      </c>
      <c r="C328" t="s">
        <v>208</v>
      </c>
      <c r="D328" t="s">
        <v>164</v>
      </c>
      <c r="E328" s="1">
        <v>46169</v>
      </c>
      <c r="F328" t="s">
        <v>4341</v>
      </c>
      <c r="G328" t="s">
        <v>4627</v>
      </c>
      <c r="H328" t="s">
        <v>604</v>
      </c>
      <c r="I328" t="s">
        <v>204</v>
      </c>
      <c r="J328" s="1">
        <v>46256</v>
      </c>
      <c r="K328" t="s">
        <v>711</v>
      </c>
      <c r="L328">
        <v>640</v>
      </c>
      <c r="M328">
        <v>640</v>
      </c>
      <c r="N328" t="s">
        <v>710</v>
      </c>
      <c r="O328" t="s">
        <v>1036</v>
      </c>
      <c r="P328" t="s">
        <v>4784</v>
      </c>
      <c r="Q328" t="s">
        <v>4901</v>
      </c>
    </row>
    <row r="329" spans="1:18" x14ac:dyDescent="0.3">
      <c r="A329">
        <v>6816</v>
      </c>
      <c r="B329" t="s">
        <v>1034</v>
      </c>
      <c r="C329" t="s">
        <v>208</v>
      </c>
      <c r="D329" t="s">
        <v>164</v>
      </c>
      <c r="E329" s="1">
        <v>46169</v>
      </c>
      <c r="F329" t="s">
        <v>4343</v>
      </c>
      <c r="G329" t="s">
        <v>4627</v>
      </c>
      <c r="H329" t="s">
        <v>604</v>
      </c>
      <c r="I329" t="s">
        <v>204</v>
      </c>
      <c r="J329" s="1">
        <v>46256</v>
      </c>
      <c r="K329" t="s">
        <v>711</v>
      </c>
      <c r="L329">
        <v>140</v>
      </c>
      <c r="M329">
        <v>140</v>
      </c>
      <c r="N329" t="s">
        <v>710</v>
      </c>
      <c r="O329" t="s">
        <v>1036</v>
      </c>
      <c r="P329" t="s">
        <v>4784</v>
      </c>
      <c r="Q329" t="s">
        <v>4901</v>
      </c>
    </row>
    <row r="330" spans="1:18" x14ac:dyDescent="0.3">
      <c r="A330">
        <v>6816</v>
      </c>
      <c r="B330" t="s">
        <v>1034</v>
      </c>
      <c r="C330" t="s">
        <v>208</v>
      </c>
      <c r="D330" t="s">
        <v>164</v>
      </c>
      <c r="E330" s="1">
        <v>46169</v>
      </c>
      <c r="F330" t="s">
        <v>4342</v>
      </c>
      <c r="G330" t="s">
        <v>4627</v>
      </c>
      <c r="H330" t="s">
        <v>604</v>
      </c>
      <c r="I330" t="s">
        <v>204</v>
      </c>
      <c r="J330" s="1">
        <v>46256</v>
      </c>
      <c r="K330" t="s">
        <v>711</v>
      </c>
      <c r="L330">
        <v>340</v>
      </c>
      <c r="M330">
        <v>340</v>
      </c>
      <c r="N330" t="s">
        <v>710</v>
      </c>
      <c r="O330" t="s">
        <v>1036</v>
      </c>
      <c r="P330" t="s">
        <v>4784</v>
      </c>
      <c r="Q330" t="s">
        <v>4901</v>
      </c>
    </row>
    <row r="331" spans="1:18" x14ac:dyDescent="0.3">
      <c r="A331">
        <v>6816</v>
      </c>
      <c r="B331" t="s">
        <v>1034</v>
      </c>
      <c r="C331" t="s">
        <v>208</v>
      </c>
      <c r="D331" t="s">
        <v>164</v>
      </c>
      <c r="E331" s="1">
        <v>46169</v>
      </c>
      <c r="F331" t="s">
        <v>4342</v>
      </c>
      <c r="G331" t="s">
        <v>4627</v>
      </c>
      <c r="H331" t="s">
        <v>604</v>
      </c>
      <c r="I331" t="s">
        <v>204</v>
      </c>
      <c r="J331" s="1">
        <v>46256</v>
      </c>
      <c r="K331" t="s">
        <v>711</v>
      </c>
      <c r="L331">
        <v>340</v>
      </c>
      <c r="M331">
        <v>340</v>
      </c>
      <c r="N331" t="s">
        <v>710</v>
      </c>
      <c r="O331" t="s">
        <v>1036</v>
      </c>
      <c r="P331" t="s">
        <v>4784</v>
      </c>
      <c r="Q331" t="s">
        <v>4901</v>
      </c>
    </row>
    <row r="332" spans="1:18" x14ac:dyDescent="0.3">
      <c r="A332">
        <v>5579</v>
      </c>
      <c r="B332" t="s">
        <v>1034</v>
      </c>
      <c r="C332" t="s">
        <v>319</v>
      </c>
      <c r="D332" t="s">
        <v>36</v>
      </c>
      <c r="E332" s="1">
        <v>46169</v>
      </c>
      <c r="F332" t="s">
        <v>4298</v>
      </c>
      <c r="G332" t="s">
        <v>4547</v>
      </c>
      <c r="H332" t="s">
        <v>318</v>
      </c>
      <c r="I332" t="s">
        <v>204</v>
      </c>
      <c r="J332" s="1">
        <v>46214</v>
      </c>
      <c r="K332" t="s">
        <v>711</v>
      </c>
      <c r="L332">
        <v>1195</v>
      </c>
      <c r="M332">
        <v>1194.8399999999999</v>
      </c>
      <c r="N332" t="s">
        <v>710</v>
      </c>
      <c r="O332" t="s">
        <v>1036</v>
      </c>
      <c r="P332" t="s">
        <v>4784</v>
      </c>
      <c r="Q332" t="s">
        <v>4901</v>
      </c>
      <c r="R332" t="s">
        <v>4771</v>
      </c>
    </row>
    <row r="333" spans="1:18" x14ac:dyDescent="0.3">
      <c r="A333">
        <v>1274</v>
      </c>
      <c r="B333" t="s">
        <v>1034</v>
      </c>
      <c r="C333" t="s">
        <v>319</v>
      </c>
      <c r="D333" t="s">
        <v>36</v>
      </c>
      <c r="E333" s="1">
        <v>46169</v>
      </c>
      <c r="F333" t="s">
        <v>4298</v>
      </c>
      <c r="G333" t="s">
        <v>4548</v>
      </c>
      <c r="H333" t="s">
        <v>318</v>
      </c>
      <c r="I333" t="s">
        <v>204</v>
      </c>
      <c r="J333" s="1">
        <v>46214</v>
      </c>
      <c r="K333" t="s">
        <v>711</v>
      </c>
      <c r="L333">
        <v>1009</v>
      </c>
      <c r="M333">
        <v>1009.01</v>
      </c>
      <c r="N333" t="s">
        <v>710</v>
      </c>
      <c r="O333" t="s">
        <v>1036</v>
      </c>
      <c r="P333" t="s">
        <v>4784</v>
      </c>
      <c r="Q333" t="s">
        <v>4901</v>
      </c>
      <c r="R333" t="s">
        <v>4771</v>
      </c>
    </row>
    <row r="334" spans="1:18" x14ac:dyDescent="0.3">
      <c r="A334">
        <v>2345</v>
      </c>
      <c r="B334" t="s">
        <v>1034</v>
      </c>
      <c r="C334" t="s">
        <v>267</v>
      </c>
      <c r="D334" t="s">
        <v>186</v>
      </c>
      <c r="E334" s="1">
        <v>46169</v>
      </c>
      <c r="F334" t="s">
        <v>4350</v>
      </c>
      <c r="G334" t="s">
        <v>4596</v>
      </c>
      <c r="H334" t="s">
        <v>266</v>
      </c>
      <c r="I334" t="s">
        <v>204</v>
      </c>
      <c r="J334" s="1">
        <v>46259</v>
      </c>
      <c r="K334" t="s">
        <v>717</v>
      </c>
      <c r="L334">
        <v>1818</v>
      </c>
      <c r="M334">
        <v>1818</v>
      </c>
      <c r="N334" t="s">
        <v>710</v>
      </c>
      <c r="O334" t="s">
        <v>1037</v>
      </c>
      <c r="P334" t="s">
        <v>4780</v>
      </c>
      <c r="Q334" t="s">
        <v>4852</v>
      </c>
      <c r="R334" t="s">
        <v>4772</v>
      </c>
    </row>
    <row r="335" spans="1:18" x14ac:dyDescent="0.3">
      <c r="A335">
        <v>11166797</v>
      </c>
      <c r="B335" t="s">
        <v>4874</v>
      </c>
      <c r="C335" t="s">
        <v>433</v>
      </c>
      <c r="D335" t="s">
        <v>168</v>
      </c>
      <c r="E335" s="1">
        <v>46169</v>
      </c>
      <c r="F335" t="s">
        <v>4319</v>
      </c>
      <c r="G335" t="s">
        <v>4629</v>
      </c>
      <c r="H335" t="s">
        <v>432</v>
      </c>
      <c r="I335" t="s">
        <v>204</v>
      </c>
      <c r="J335" s="1">
        <v>46473</v>
      </c>
      <c r="K335" t="s">
        <v>762</v>
      </c>
      <c r="L335">
        <v>1364</v>
      </c>
      <c r="M335">
        <v>1363.94</v>
      </c>
      <c r="N335" t="s">
        <v>710</v>
      </c>
      <c r="O335" t="s">
        <v>4833</v>
      </c>
      <c r="P335" t="s">
        <v>4802</v>
      </c>
      <c r="Q335" t="s">
        <v>4852</v>
      </c>
      <c r="R335" t="s">
        <v>4771</v>
      </c>
    </row>
    <row r="336" spans="1:18" x14ac:dyDescent="0.3">
      <c r="A336">
        <v>449972026</v>
      </c>
      <c r="B336" t="s">
        <v>4874</v>
      </c>
      <c r="C336" t="s">
        <v>614</v>
      </c>
      <c r="D336" t="s">
        <v>74</v>
      </c>
      <c r="E336" s="1">
        <v>46169</v>
      </c>
      <c r="F336" t="s">
        <v>4362</v>
      </c>
      <c r="G336" t="s">
        <v>4006</v>
      </c>
      <c r="H336" t="s">
        <v>613</v>
      </c>
      <c r="I336" t="s">
        <v>204</v>
      </c>
      <c r="J336" s="1">
        <v>46993</v>
      </c>
      <c r="K336" t="s">
        <v>720</v>
      </c>
      <c r="L336">
        <v>1515</v>
      </c>
      <c r="M336">
        <v>-1515</v>
      </c>
      <c r="N336" t="s">
        <v>710</v>
      </c>
      <c r="O336" t="s">
        <v>1038</v>
      </c>
      <c r="P336" t="s">
        <v>4779</v>
      </c>
      <c r="Q336" t="s">
        <v>4858</v>
      </c>
      <c r="R336" t="s">
        <v>4771</v>
      </c>
    </row>
    <row r="337" spans="1:18" x14ac:dyDescent="0.3">
      <c r="A337">
        <v>9745</v>
      </c>
      <c r="B337" t="s">
        <v>1034</v>
      </c>
      <c r="C337" t="s">
        <v>267</v>
      </c>
      <c r="D337" t="s">
        <v>186</v>
      </c>
      <c r="E337" s="1">
        <v>46168</v>
      </c>
      <c r="F337" t="s">
        <v>4350</v>
      </c>
      <c r="G337" t="s">
        <v>4596</v>
      </c>
      <c r="H337" t="s">
        <v>266</v>
      </c>
      <c r="I337" t="s">
        <v>204</v>
      </c>
      <c r="J337" s="1">
        <v>46259</v>
      </c>
      <c r="K337" t="s">
        <v>717</v>
      </c>
      <c r="L337">
        <v>17655.52</v>
      </c>
      <c r="M337">
        <v>17655.52</v>
      </c>
      <c r="N337" t="s">
        <v>710</v>
      </c>
      <c r="O337" t="s">
        <v>1037</v>
      </c>
      <c r="P337" t="s">
        <v>4780</v>
      </c>
      <c r="Q337" t="s">
        <v>4852</v>
      </c>
      <c r="R337" t="s">
        <v>4772</v>
      </c>
    </row>
    <row r="338" spans="1:18" x14ac:dyDescent="0.3">
      <c r="A338">
        <v>9748</v>
      </c>
      <c r="B338" t="s">
        <v>1034</v>
      </c>
      <c r="C338" t="s">
        <v>267</v>
      </c>
      <c r="D338" t="s">
        <v>186</v>
      </c>
      <c r="E338" s="1">
        <v>46168</v>
      </c>
      <c r="F338" t="s">
        <v>4350</v>
      </c>
      <c r="G338" t="s">
        <v>4596</v>
      </c>
      <c r="H338" t="s">
        <v>266</v>
      </c>
      <c r="I338" t="s">
        <v>204</v>
      </c>
      <c r="J338" s="1">
        <v>46259</v>
      </c>
      <c r="K338" t="s">
        <v>717</v>
      </c>
      <c r="L338">
        <v>8069.46</v>
      </c>
      <c r="M338">
        <v>8069.46</v>
      </c>
      <c r="N338" t="s">
        <v>710</v>
      </c>
      <c r="O338" t="s">
        <v>1037</v>
      </c>
      <c r="P338" t="s">
        <v>4780</v>
      </c>
      <c r="Q338" t="s">
        <v>4852</v>
      </c>
      <c r="R338" t="s">
        <v>4772</v>
      </c>
    </row>
    <row r="339" spans="1:18" x14ac:dyDescent="0.3">
      <c r="A339">
        <v>775832</v>
      </c>
      <c r="B339" t="s">
        <v>4874</v>
      </c>
      <c r="C339" t="s">
        <v>696</v>
      </c>
      <c r="D339" t="s">
        <v>108</v>
      </c>
      <c r="E339" s="1">
        <v>46168</v>
      </c>
      <c r="F339" t="s">
        <v>4362</v>
      </c>
      <c r="G339" t="s">
        <v>4612</v>
      </c>
      <c r="H339" t="s">
        <v>695</v>
      </c>
      <c r="I339" t="s">
        <v>204</v>
      </c>
      <c r="J339" s="1">
        <v>46535</v>
      </c>
      <c r="K339" t="s">
        <v>762</v>
      </c>
      <c r="L339">
        <v>6330.42</v>
      </c>
      <c r="M339">
        <v>6330.42</v>
      </c>
      <c r="N339" t="s">
        <v>710</v>
      </c>
      <c r="O339" t="s">
        <v>1037</v>
      </c>
      <c r="P339" t="s">
        <v>4806</v>
      </c>
      <c r="Q339" t="s">
        <v>4852</v>
      </c>
      <c r="R339" t="s">
        <v>4772</v>
      </c>
    </row>
    <row r="340" spans="1:18" x14ac:dyDescent="0.3">
      <c r="A340">
        <v>443605</v>
      </c>
      <c r="B340" t="s">
        <v>4875</v>
      </c>
      <c r="C340" t="s">
        <v>338</v>
      </c>
      <c r="D340" t="s">
        <v>31</v>
      </c>
      <c r="E340" s="1">
        <v>46168</v>
      </c>
      <c r="F340" t="s">
        <v>4299</v>
      </c>
      <c r="G340" t="s">
        <v>4583</v>
      </c>
      <c r="H340" t="s">
        <v>353</v>
      </c>
      <c r="I340" t="s">
        <v>204</v>
      </c>
      <c r="J340" s="1">
        <v>54878</v>
      </c>
      <c r="K340" t="s">
        <v>748</v>
      </c>
      <c r="L340">
        <v>5883</v>
      </c>
      <c r="M340">
        <v>5882.77</v>
      </c>
      <c r="N340" t="s">
        <v>710</v>
      </c>
      <c r="O340" t="s">
        <v>1040</v>
      </c>
      <c r="P340" t="s">
        <v>4785</v>
      </c>
      <c r="Q340" t="s">
        <v>4856</v>
      </c>
      <c r="R340" t="s">
        <v>4773</v>
      </c>
    </row>
    <row r="341" spans="1:18" x14ac:dyDescent="0.3">
      <c r="A341">
        <v>439930</v>
      </c>
      <c r="B341" t="s">
        <v>1034</v>
      </c>
      <c r="C341" t="s">
        <v>451</v>
      </c>
      <c r="D341" t="s">
        <v>129</v>
      </c>
      <c r="E341" s="1">
        <v>46168</v>
      </c>
      <c r="F341" t="s">
        <v>4319</v>
      </c>
      <c r="G341" t="s">
        <v>4441</v>
      </c>
      <c r="H341" t="s">
        <v>662</v>
      </c>
      <c r="I341" t="s">
        <v>204</v>
      </c>
      <c r="J341" s="1">
        <v>46655</v>
      </c>
      <c r="K341" t="s">
        <v>717</v>
      </c>
      <c r="L341">
        <v>188</v>
      </c>
      <c r="M341">
        <v>-244.1</v>
      </c>
      <c r="N341" t="s">
        <v>719</v>
      </c>
      <c r="O341" t="s">
        <v>4833</v>
      </c>
      <c r="P341" t="s">
        <v>4802</v>
      </c>
      <c r="Q341" t="s">
        <v>4852</v>
      </c>
      <c r="R341" t="s">
        <v>807</v>
      </c>
    </row>
    <row r="342" spans="1:18" x14ac:dyDescent="0.3">
      <c r="A342">
        <v>9747</v>
      </c>
      <c r="B342" t="s">
        <v>1034</v>
      </c>
      <c r="C342" t="s">
        <v>267</v>
      </c>
      <c r="D342" t="s">
        <v>186</v>
      </c>
      <c r="E342" s="1">
        <v>46168</v>
      </c>
      <c r="F342" t="s">
        <v>4350</v>
      </c>
      <c r="G342" t="s">
        <v>4596</v>
      </c>
      <c r="H342" t="s">
        <v>266</v>
      </c>
      <c r="I342" t="s">
        <v>204</v>
      </c>
      <c r="J342" s="1">
        <v>46259</v>
      </c>
      <c r="K342" t="s">
        <v>717</v>
      </c>
      <c r="L342">
        <v>18005.400000000001</v>
      </c>
      <c r="M342">
        <v>18005.400000000001</v>
      </c>
      <c r="N342" t="s">
        <v>710</v>
      </c>
      <c r="O342" t="s">
        <v>1037</v>
      </c>
      <c r="P342" t="s">
        <v>4780</v>
      </c>
      <c r="Q342" t="s">
        <v>4852</v>
      </c>
      <c r="R342" t="s">
        <v>4772</v>
      </c>
    </row>
    <row r="343" spans="1:18" x14ac:dyDescent="0.3">
      <c r="A343">
        <v>9746</v>
      </c>
      <c r="B343" t="s">
        <v>1034</v>
      </c>
      <c r="C343" t="s">
        <v>267</v>
      </c>
      <c r="D343" t="s">
        <v>186</v>
      </c>
      <c r="E343" s="1">
        <v>46168</v>
      </c>
      <c r="F343" t="s">
        <v>4350</v>
      </c>
      <c r="G343" t="s">
        <v>4596</v>
      </c>
      <c r="H343" t="s">
        <v>266</v>
      </c>
      <c r="I343" t="s">
        <v>204</v>
      </c>
      <c r="J343" s="1">
        <v>46259</v>
      </c>
      <c r="K343" t="s">
        <v>717</v>
      </c>
      <c r="L343">
        <v>52802.7</v>
      </c>
      <c r="M343">
        <v>52802.7</v>
      </c>
      <c r="N343" t="s">
        <v>710</v>
      </c>
      <c r="O343" t="s">
        <v>1037</v>
      </c>
      <c r="P343" t="s">
        <v>4780</v>
      </c>
      <c r="Q343" t="s">
        <v>4852</v>
      </c>
      <c r="R343" t="s">
        <v>4772</v>
      </c>
    </row>
    <row r="344" spans="1:18" x14ac:dyDescent="0.3">
      <c r="A344">
        <v>9750</v>
      </c>
      <c r="B344" t="s">
        <v>1034</v>
      </c>
      <c r="C344" t="s">
        <v>267</v>
      </c>
      <c r="D344" t="s">
        <v>186</v>
      </c>
      <c r="E344" s="1">
        <v>46168</v>
      </c>
      <c r="F344" t="s">
        <v>4350</v>
      </c>
      <c r="G344" t="s">
        <v>4596</v>
      </c>
      <c r="H344" t="s">
        <v>266</v>
      </c>
      <c r="I344" t="s">
        <v>204</v>
      </c>
      <c r="J344" s="1">
        <v>46259</v>
      </c>
      <c r="K344" t="s">
        <v>717</v>
      </c>
      <c r="L344">
        <v>23920</v>
      </c>
      <c r="M344">
        <v>23920</v>
      </c>
      <c r="N344" t="s">
        <v>710</v>
      </c>
      <c r="O344" t="s">
        <v>1037</v>
      </c>
      <c r="P344" t="s">
        <v>4780</v>
      </c>
      <c r="Q344" t="s">
        <v>4852</v>
      </c>
      <c r="R344" t="s">
        <v>4772</v>
      </c>
    </row>
    <row r="345" spans="1:18" x14ac:dyDescent="0.3">
      <c r="A345">
        <v>414</v>
      </c>
      <c r="B345" t="s">
        <v>1034</v>
      </c>
      <c r="C345" t="s">
        <v>267</v>
      </c>
      <c r="D345" t="s">
        <v>186</v>
      </c>
      <c r="E345" s="1">
        <v>46168</v>
      </c>
      <c r="F345" t="s">
        <v>4349</v>
      </c>
      <c r="G345" t="s">
        <v>4596</v>
      </c>
      <c r="H345" t="s">
        <v>266</v>
      </c>
      <c r="I345" t="s">
        <v>204</v>
      </c>
      <c r="J345" s="1">
        <v>46259</v>
      </c>
      <c r="K345" t="s">
        <v>717</v>
      </c>
      <c r="L345">
        <v>51682.97</v>
      </c>
      <c r="M345">
        <v>51682.97</v>
      </c>
      <c r="N345" t="s">
        <v>710</v>
      </c>
      <c r="O345" t="s">
        <v>1037</v>
      </c>
      <c r="P345" t="s">
        <v>4780</v>
      </c>
      <c r="Q345" t="s">
        <v>4852</v>
      </c>
      <c r="R345" t="s">
        <v>4772</v>
      </c>
    </row>
    <row r="346" spans="1:18" x14ac:dyDescent="0.3">
      <c r="A346">
        <v>52239</v>
      </c>
      <c r="B346" t="s">
        <v>4874</v>
      </c>
      <c r="C346" t="s">
        <v>1023</v>
      </c>
      <c r="D346" t="s">
        <v>1024</v>
      </c>
      <c r="E346" s="1">
        <v>46168</v>
      </c>
      <c r="F346" t="s">
        <v>4757</v>
      </c>
      <c r="G346" t="s">
        <v>4587</v>
      </c>
      <c r="H346" t="s">
        <v>1021</v>
      </c>
      <c r="I346" t="s">
        <v>204</v>
      </c>
      <c r="J346" s="1">
        <v>46507</v>
      </c>
      <c r="K346" t="s">
        <v>762</v>
      </c>
      <c r="L346">
        <v>16256.15</v>
      </c>
      <c r="M346">
        <v>16256.15</v>
      </c>
      <c r="N346" t="s">
        <v>1025</v>
      </c>
      <c r="O346" t="s">
        <v>1037</v>
      </c>
      <c r="P346" t="s">
        <v>4789</v>
      </c>
      <c r="Q346" t="s">
        <v>4852</v>
      </c>
      <c r="R346" t="s">
        <v>807</v>
      </c>
    </row>
    <row r="347" spans="1:18" x14ac:dyDescent="0.3">
      <c r="A347">
        <v>9749</v>
      </c>
      <c r="B347" t="s">
        <v>1034</v>
      </c>
      <c r="C347" t="s">
        <v>267</v>
      </c>
      <c r="D347" t="s">
        <v>186</v>
      </c>
      <c r="E347" s="1">
        <v>46168</v>
      </c>
      <c r="F347" t="s">
        <v>4350</v>
      </c>
      <c r="G347" t="s">
        <v>4596</v>
      </c>
      <c r="H347" t="s">
        <v>266</v>
      </c>
      <c r="I347" t="s">
        <v>204</v>
      </c>
      <c r="J347" s="1">
        <v>46259</v>
      </c>
      <c r="K347" t="s">
        <v>717</v>
      </c>
      <c r="L347">
        <v>15462.72</v>
      </c>
      <c r="M347">
        <v>15462.72</v>
      </c>
      <c r="N347" t="s">
        <v>710</v>
      </c>
      <c r="O347" t="s">
        <v>1037</v>
      </c>
      <c r="P347" t="s">
        <v>4780</v>
      </c>
      <c r="Q347" t="s">
        <v>4852</v>
      </c>
      <c r="R347" t="s">
        <v>4772</v>
      </c>
    </row>
    <row r="348" spans="1:18" x14ac:dyDescent="0.3">
      <c r="A348">
        <v>18182</v>
      </c>
      <c r="B348" t="s">
        <v>1034</v>
      </c>
      <c r="C348" t="s">
        <v>359</v>
      </c>
      <c r="D348" t="s">
        <v>53</v>
      </c>
      <c r="E348" s="1">
        <v>46167</v>
      </c>
      <c r="F348" t="s">
        <v>4305</v>
      </c>
      <c r="G348" t="s">
        <v>3517</v>
      </c>
      <c r="H348" t="s">
        <v>358</v>
      </c>
      <c r="I348" t="s">
        <v>204</v>
      </c>
      <c r="J348" s="1">
        <v>54878</v>
      </c>
      <c r="K348" t="s">
        <v>711</v>
      </c>
      <c r="L348">
        <v>1</v>
      </c>
      <c r="M348">
        <v>1450</v>
      </c>
      <c r="N348" t="s">
        <v>710</v>
      </c>
      <c r="O348" t="s">
        <v>1036</v>
      </c>
      <c r="P348" t="s">
        <v>4776</v>
      </c>
      <c r="Q348" t="s">
        <v>4901</v>
      </c>
      <c r="R348" t="s">
        <v>4773</v>
      </c>
    </row>
    <row r="349" spans="1:18" x14ac:dyDescent="0.3">
      <c r="A349">
        <v>108845</v>
      </c>
      <c r="B349" t="s">
        <v>4874</v>
      </c>
      <c r="C349" t="s">
        <v>405</v>
      </c>
      <c r="D349" t="s">
        <v>107</v>
      </c>
      <c r="E349" s="1">
        <v>46167</v>
      </c>
      <c r="F349" t="s">
        <v>4362</v>
      </c>
      <c r="G349" t="s">
        <v>4628</v>
      </c>
      <c r="H349" t="s">
        <v>404</v>
      </c>
      <c r="I349" t="s">
        <v>204</v>
      </c>
      <c r="J349" s="1">
        <v>46477</v>
      </c>
      <c r="K349" t="s">
        <v>762</v>
      </c>
      <c r="L349">
        <v>15.35</v>
      </c>
      <c r="M349">
        <v>15.35</v>
      </c>
      <c r="N349" t="s">
        <v>710</v>
      </c>
      <c r="O349" t="s">
        <v>1037</v>
      </c>
      <c r="P349" t="s">
        <v>4806</v>
      </c>
      <c r="Q349" t="s">
        <v>4852</v>
      </c>
      <c r="R349" t="s">
        <v>4772</v>
      </c>
    </row>
    <row r="350" spans="1:18" x14ac:dyDescent="0.3">
      <c r="A350">
        <v>12718</v>
      </c>
      <c r="B350" t="s">
        <v>4874</v>
      </c>
      <c r="C350" t="s">
        <v>594</v>
      </c>
      <c r="D350" t="s">
        <v>27</v>
      </c>
      <c r="E350" s="1">
        <v>46167</v>
      </c>
      <c r="F350" t="s">
        <v>4323</v>
      </c>
      <c r="G350" t="s">
        <v>4598</v>
      </c>
      <c r="H350" t="s">
        <v>593</v>
      </c>
      <c r="I350" t="s">
        <v>204</v>
      </c>
      <c r="J350" s="1">
        <v>46204</v>
      </c>
      <c r="K350" t="s">
        <v>762</v>
      </c>
      <c r="L350">
        <v>447825.81</v>
      </c>
      <c r="M350">
        <v>447825.81</v>
      </c>
      <c r="N350" t="s">
        <v>814</v>
      </c>
      <c r="O350" t="s">
        <v>1037</v>
      </c>
      <c r="P350" t="s">
        <v>4794</v>
      </c>
      <c r="Q350" t="s">
        <v>4852</v>
      </c>
      <c r="R350" t="s">
        <v>4772</v>
      </c>
    </row>
    <row r="351" spans="1:18" x14ac:dyDescent="0.3">
      <c r="A351">
        <v>123599</v>
      </c>
      <c r="B351" t="s">
        <v>1034</v>
      </c>
      <c r="C351" t="s">
        <v>497</v>
      </c>
      <c r="D351" t="s">
        <v>58</v>
      </c>
      <c r="E351" s="1">
        <v>46167</v>
      </c>
      <c r="F351" t="s">
        <v>4354</v>
      </c>
      <c r="G351" t="s">
        <v>4522</v>
      </c>
      <c r="H351" t="s">
        <v>496</v>
      </c>
      <c r="I351" t="s">
        <v>204</v>
      </c>
      <c r="J351" s="1">
        <v>46265</v>
      </c>
      <c r="K351" t="s">
        <v>717</v>
      </c>
      <c r="L351">
        <v>1</v>
      </c>
      <c r="M351">
        <v>4397.3900000000003</v>
      </c>
      <c r="N351" t="s">
        <v>710</v>
      </c>
      <c r="O351" t="s">
        <v>4833</v>
      </c>
      <c r="P351" t="s">
        <v>4776</v>
      </c>
      <c r="Q351" t="s">
        <v>4852</v>
      </c>
      <c r="R351" t="s">
        <v>4773</v>
      </c>
    </row>
    <row r="352" spans="1:18" x14ac:dyDescent="0.3">
      <c r="A352">
        <v>7565</v>
      </c>
      <c r="B352" t="s">
        <v>1035</v>
      </c>
      <c r="C352" t="s">
        <v>230</v>
      </c>
      <c r="D352" t="s">
        <v>85</v>
      </c>
      <c r="E352" s="1">
        <v>46167</v>
      </c>
      <c r="F352" t="s">
        <v>4421</v>
      </c>
      <c r="G352" t="s">
        <v>4512</v>
      </c>
      <c r="H352" t="s">
        <v>229</v>
      </c>
      <c r="I352" t="s">
        <v>204</v>
      </c>
      <c r="J352" s="1">
        <v>46203</v>
      </c>
      <c r="K352" t="s">
        <v>744</v>
      </c>
      <c r="L352">
        <v>4089.16</v>
      </c>
      <c r="M352">
        <v>4089.16</v>
      </c>
      <c r="N352" t="s">
        <v>710</v>
      </c>
      <c r="O352" t="s">
        <v>1033</v>
      </c>
      <c r="P352" t="s">
        <v>4781</v>
      </c>
      <c r="Q352" t="s">
        <v>4852</v>
      </c>
      <c r="R352" t="s">
        <v>4771</v>
      </c>
    </row>
    <row r="353" spans="1:18" x14ac:dyDescent="0.3">
      <c r="A353">
        <v>5973</v>
      </c>
      <c r="B353" t="s">
        <v>1034</v>
      </c>
      <c r="C353" t="s">
        <v>535</v>
      </c>
      <c r="D353" t="s">
        <v>148</v>
      </c>
      <c r="E353" s="1">
        <v>46167</v>
      </c>
      <c r="F353" t="s">
        <v>4355</v>
      </c>
      <c r="G353" t="s">
        <v>3516</v>
      </c>
      <c r="H353" t="s">
        <v>681</v>
      </c>
      <c r="I353" t="s">
        <v>204</v>
      </c>
      <c r="J353" s="1">
        <v>46295</v>
      </c>
      <c r="K353" t="s">
        <v>711</v>
      </c>
      <c r="L353">
        <v>1</v>
      </c>
      <c r="M353">
        <v>4500</v>
      </c>
      <c r="N353" t="s">
        <v>890</v>
      </c>
      <c r="O353" t="s">
        <v>4844</v>
      </c>
      <c r="P353" t="s">
        <v>4779</v>
      </c>
      <c r="Q353" t="s">
        <v>4845</v>
      </c>
      <c r="R353" t="s">
        <v>807</v>
      </c>
    </row>
    <row r="354" spans="1:18" x14ac:dyDescent="0.3">
      <c r="A354">
        <v>7553</v>
      </c>
      <c r="B354" t="s">
        <v>1035</v>
      </c>
      <c r="C354" t="s">
        <v>230</v>
      </c>
      <c r="D354" t="s">
        <v>85</v>
      </c>
      <c r="E354" s="1">
        <v>46167</v>
      </c>
      <c r="F354" t="s">
        <v>4348</v>
      </c>
      <c r="G354" t="s">
        <v>4512</v>
      </c>
      <c r="H354" t="s">
        <v>229</v>
      </c>
      <c r="I354" t="s">
        <v>204</v>
      </c>
      <c r="J354" s="1">
        <v>46203</v>
      </c>
      <c r="K354" t="s">
        <v>744</v>
      </c>
      <c r="L354">
        <v>12110.4</v>
      </c>
      <c r="M354">
        <v>12110.4</v>
      </c>
      <c r="N354" t="s">
        <v>710</v>
      </c>
      <c r="O354" t="s">
        <v>1033</v>
      </c>
      <c r="P354" t="s">
        <v>4781</v>
      </c>
      <c r="Q354" t="s">
        <v>4852</v>
      </c>
      <c r="R354" t="s">
        <v>4771</v>
      </c>
    </row>
    <row r="355" spans="1:18" x14ac:dyDescent="0.3">
      <c r="A355">
        <v>73837</v>
      </c>
      <c r="B355" t="s">
        <v>4874</v>
      </c>
      <c r="C355" t="s">
        <v>514</v>
      </c>
      <c r="D355" t="s">
        <v>47</v>
      </c>
      <c r="E355" s="1">
        <v>46167</v>
      </c>
      <c r="F355" t="s">
        <v>4362</v>
      </c>
      <c r="G355" t="s">
        <v>4614</v>
      </c>
      <c r="H355" t="s">
        <v>513</v>
      </c>
      <c r="I355" t="s">
        <v>204</v>
      </c>
      <c r="J355" s="1">
        <v>46386</v>
      </c>
      <c r="K355" t="s">
        <v>762</v>
      </c>
      <c r="L355">
        <v>8863.92</v>
      </c>
      <c r="M355">
        <v>8863.92</v>
      </c>
      <c r="N355" t="s">
        <v>710</v>
      </c>
      <c r="O355" t="s">
        <v>4833</v>
      </c>
      <c r="P355" t="s">
        <v>4779</v>
      </c>
      <c r="Q355" t="s">
        <v>4852</v>
      </c>
    </row>
    <row r="356" spans="1:18" x14ac:dyDescent="0.3">
      <c r="A356">
        <v>2838</v>
      </c>
      <c r="B356" t="s">
        <v>1034</v>
      </c>
      <c r="C356" t="s">
        <v>497</v>
      </c>
      <c r="D356" t="s">
        <v>58</v>
      </c>
      <c r="E356" s="1">
        <v>46167</v>
      </c>
      <c r="F356" t="s">
        <v>4316</v>
      </c>
      <c r="G356" t="s">
        <v>4523</v>
      </c>
      <c r="H356" t="s">
        <v>498</v>
      </c>
      <c r="I356" t="s">
        <v>204</v>
      </c>
      <c r="J356" s="1">
        <v>46265</v>
      </c>
      <c r="K356" t="s">
        <v>717</v>
      </c>
      <c r="L356">
        <v>1</v>
      </c>
      <c r="M356">
        <v>1288.8599999999999</v>
      </c>
      <c r="N356" t="s">
        <v>710</v>
      </c>
      <c r="O356" t="s">
        <v>4833</v>
      </c>
      <c r="P356" t="s">
        <v>4776</v>
      </c>
      <c r="Q356" t="s">
        <v>4852</v>
      </c>
      <c r="R356" t="s">
        <v>4773</v>
      </c>
    </row>
    <row r="357" spans="1:18" x14ac:dyDescent="0.3">
      <c r="A357">
        <v>31</v>
      </c>
      <c r="B357" t="s">
        <v>1034</v>
      </c>
      <c r="C357" t="s">
        <v>507</v>
      </c>
      <c r="D357" t="s">
        <v>18</v>
      </c>
      <c r="E357" s="1">
        <v>46167</v>
      </c>
      <c r="F357" t="s">
        <v>4322</v>
      </c>
      <c r="G357" t="s">
        <v>4576</v>
      </c>
      <c r="H357" t="s">
        <v>506</v>
      </c>
      <c r="I357" t="s">
        <v>204</v>
      </c>
      <c r="J357" s="1">
        <v>46741</v>
      </c>
      <c r="K357" t="s">
        <v>711</v>
      </c>
      <c r="L357">
        <v>7700</v>
      </c>
      <c r="M357">
        <v>7700</v>
      </c>
      <c r="N357" t="s">
        <v>710</v>
      </c>
      <c r="O357" t="s">
        <v>1036</v>
      </c>
      <c r="P357" t="s">
        <v>4777</v>
      </c>
      <c r="Q357" t="s">
        <v>4901</v>
      </c>
      <c r="R357" t="s">
        <v>4773</v>
      </c>
    </row>
    <row r="358" spans="1:18" x14ac:dyDescent="0.3">
      <c r="A358">
        <v>43615</v>
      </c>
      <c r="B358" t="s">
        <v>1034</v>
      </c>
      <c r="C358" t="s">
        <v>327</v>
      </c>
      <c r="D358" t="s">
        <v>159</v>
      </c>
      <c r="E358" s="1">
        <v>46167</v>
      </c>
      <c r="F358" t="s">
        <v>4295</v>
      </c>
      <c r="G358" t="s">
        <v>4563</v>
      </c>
      <c r="H358" t="s">
        <v>357</v>
      </c>
      <c r="I358" t="s">
        <v>204</v>
      </c>
      <c r="J358" s="1">
        <v>46476</v>
      </c>
      <c r="K358" t="s">
        <v>711</v>
      </c>
      <c r="L358">
        <v>2550</v>
      </c>
      <c r="M358">
        <v>2550</v>
      </c>
      <c r="N358" t="s">
        <v>890</v>
      </c>
      <c r="O358" t="s">
        <v>4834</v>
      </c>
      <c r="P358" t="s">
        <v>4776</v>
      </c>
      <c r="Q358" t="s">
        <v>4901</v>
      </c>
      <c r="R358" t="s">
        <v>4773</v>
      </c>
    </row>
    <row r="359" spans="1:18" x14ac:dyDescent="0.3">
      <c r="A359">
        <v>65876</v>
      </c>
      <c r="B359" t="s">
        <v>1034</v>
      </c>
      <c r="C359" t="s">
        <v>666</v>
      </c>
      <c r="D359" t="s">
        <v>66</v>
      </c>
      <c r="E359" s="1">
        <v>46167</v>
      </c>
      <c r="F359" t="s">
        <v>4315</v>
      </c>
      <c r="G359" t="s">
        <v>4574</v>
      </c>
      <c r="H359" t="s">
        <v>665</v>
      </c>
      <c r="I359" t="s">
        <v>204</v>
      </c>
      <c r="J359" s="1">
        <v>46296</v>
      </c>
      <c r="K359" t="s">
        <v>717</v>
      </c>
      <c r="L359">
        <v>1</v>
      </c>
      <c r="M359">
        <v>799.95</v>
      </c>
      <c r="N359" t="s">
        <v>998</v>
      </c>
      <c r="O359" t="s">
        <v>1033</v>
      </c>
      <c r="P359" t="s">
        <v>4776</v>
      </c>
      <c r="Q359" t="s">
        <v>4852</v>
      </c>
      <c r="R359" t="s">
        <v>807</v>
      </c>
    </row>
    <row r="360" spans="1:18" x14ac:dyDescent="0.3">
      <c r="A360">
        <v>202681752</v>
      </c>
      <c r="B360" t="s">
        <v>1034</v>
      </c>
      <c r="C360" t="s">
        <v>522</v>
      </c>
      <c r="D360" t="s">
        <v>50</v>
      </c>
      <c r="E360" s="1">
        <v>46167</v>
      </c>
      <c r="F360" t="s">
        <v>4352</v>
      </c>
      <c r="G360" t="s">
        <v>4538</v>
      </c>
      <c r="H360" t="s">
        <v>521</v>
      </c>
      <c r="I360" t="s">
        <v>204</v>
      </c>
      <c r="J360" s="1">
        <v>46387</v>
      </c>
      <c r="K360" t="s">
        <v>717</v>
      </c>
      <c r="L360">
        <v>562.80999999999995</v>
      </c>
      <c r="M360">
        <v>562.80999999999995</v>
      </c>
      <c r="N360" t="s">
        <v>884</v>
      </c>
      <c r="O360" t="s">
        <v>1037</v>
      </c>
      <c r="P360" t="s">
        <v>4776</v>
      </c>
      <c r="Q360" t="s">
        <v>4852</v>
      </c>
      <c r="R360" t="s">
        <v>4773</v>
      </c>
    </row>
    <row r="361" spans="1:18" x14ac:dyDescent="0.3">
      <c r="A361">
        <v>192469</v>
      </c>
      <c r="B361" t="s">
        <v>1034</v>
      </c>
      <c r="C361" t="s">
        <v>415</v>
      </c>
      <c r="D361" t="s">
        <v>60</v>
      </c>
      <c r="E361" s="1">
        <v>46167</v>
      </c>
      <c r="F361" t="s">
        <v>4333</v>
      </c>
      <c r="G361" t="s">
        <v>4625</v>
      </c>
      <c r="H361" t="s">
        <v>431</v>
      </c>
      <c r="I361" t="s">
        <v>204</v>
      </c>
      <c r="J361" s="1">
        <v>46386</v>
      </c>
      <c r="K361" t="s">
        <v>717</v>
      </c>
      <c r="L361">
        <v>13570.54</v>
      </c>
      <c r="M361">
        <v>13570.54</v>
      </c>
      <c r="N361" t="s">
        <v>814</v>
      </c>
      <c r="O361" t="s">
        <v>1037</v>
      </c>
      <c r="P361" t="s">
        <v>4807</v>
      </c>
      <c r="Q361" t="s">
        <v>4852</v>
      </c>
      <c r="R361" t="s">
        <v>4771</v>
      </c>
    </row>
    <row r="362" spans="1:18" x14ac:dyDescent="0.3">
      <c r="A362">
        <v>2328</v>
      </c>
      <c r="B362" t="s">
        <v>1034</v>
      </c>
      <c r="C362" t="s">
        <v>267</v>
      </c>
      <c r="D362" t="s">
        <v>186</v>
      </c>
      <c r="E362" s="1">
        <v>46167</v>
      </c>
      <c r="F362" t="s">
        <v>4350</v>
      </c>
      <c r="G362" t="s">
        <v>4258</v>
      </c>
      <c r="H362" t="s">
        <v>266</v>
      </c>
      <c r="I362" t="s">
        <v>204</v>
      </c>
      <c r="J362" s="1">
        <v>46259</v>
      </c>
      <c r="K362" t="s">
        <v>717</v>
      </c>
      <c r="L362">
        <v>1898.8</v>
      </c>
      <c r="M362">
        <v>1898.8</v>
      </c>
      <c r="N362" t="s">
        <v>710</v>
      </c>
      <c r="O362" t="s">
        <v>1037</v>
      </c>
      <c r="P362" t="s">
        <v>4780</v>
      </c>
      <c r="Q362" t="s">
        <v>4852</v>
      </c>
      <c r="R362" t="s">
        <v>4772</v>
      </c>
    </row>
    <row r="363" spans="1:18" x14ac:dyDescent="0.3">
      <c r="A363">
        <v>169</v>
      </c>
      <c r="B363" t="s">
        <v>1034</v>
      </c>
      <c r="C363" t="s">
        <v>618</v>
      </c>
      <c r="D363" t="s">
        <v>112</v>
      </c>
      <c r="E363" s="1">
        <v>46167</v>
      </c>
      <c r="F363" t="s">
        <v>4361</v>
      </c>
      <c r="G363" t="s">
        <v>4497</v>
      </c>
      <c r="H363" t="s">
        <v>617</v>
      </c>
      <c r="I363" t="s">
        <v>204</v>
      </c>
      <c r="J363" s="1">
        <v>46347</v>
      </c>
      <c r="K363" t="s">
        <v>711</v>
      </c>
      <c r="L363">
        <v>575</v>
      </c>
      <c r="M363">
        <v>575</v>
      </c>
      <c r="N363" t="s">
        <v>818</v>
      </c>
      <c r="O363" t="s">
        <v>1036</v>
      </c>
      <c r="P363" t="s">
        <v>4776</v>
      </c>
      <c r="Q363" t="s">
        <v>4901</v>
      </c>
      <c r="R363" t="s">
        <v>4771</v>
      </c>
    </row>
    <row r="364" spans="1:18" x14ac:dyDescent="0.3">
      <c r="A364">
        <v>207</v>
      </c>
      <c r="B364" t="s">
        <v>1034</v>
      </c>
      <c r="C364" t="s">
        <v>312</v>
      </c>
      <c r="D364" t="s">
        <v>73</v>
      </c>
      <c r="E364" s="1">
        <v>46167</v>
      </c>
      <c r="F364" t="s">
        <v>4300</v>
      </c>
      <c r="G364" t="s">
        <v>3744</v>
      </c>
      <c r="H364" t="s">
        <v>311</v>
      </c>
      <c r="I364" t="s">
        <v>204</v>
      </c>
      <c r="J364" s="1">
        <v>54878</v>
      </c>
      <c r="K364" t="s">
        <v>711</v>
      </c>
      <c r="L364">
        <v>2361</v>
      </c>
      <c r="M364">
        <v>2361</v>
      </c>
      <c r="N364" t="s">
        <v>719</v>
      </c>
      <c r="O364" t="s">
        <v>4834</v>
      </c>
      <c r="P364" t="s">
        <v>1006</v>
      </c>
      <c r="Q364" t="s">
        <v>4901</v>
      </c>
      <c r="R364" t="s">
        <v>4773</v>
      </c>
    </row>
    <row r="365" spans="1:18" x14ac:dyDescent="0.3">
      <c r="A365">
        <v>110132</v>
      </c>
      <c r="B365" t="s">
        <v>1034</v>
      </c>
      <c r="C365" t="s">
        <v>495</v>
      </c>
      <c r="D365" t="s">
        <v>44</v>
      </c>
      <c r="E365" s="1">
        <v>46167</v>
      </c>
      <c r="F365" t="s">
        <v>4303</v>
      </c>
      <c r="G365" t="s">
        <v>4602</v>
      </c>
      <c r="H365" t="s">
        <v>494</v>
      </c>
      <c r="I365" t="s">
        <v>204</v>
      </c>
      <c r="J365" s="1">
        <v>54878</v>
      </c>
      <c r="K365" t="s">
        <v>717</v>
      </c>
      <c r="L365">
        <v>1729.14</v>
      </c>
      <c r="M365">
        <v>1729.14</v>
      </c>
      <c r="N365" t="s">
        <v>710</v>
      </c>
      <c r="O365" t="s">
        <v>4833</v>
      </c>
      <c r="P365" t="s">
        <v>4776</v>
      </c>
      <c r="Q365" t="s">
        <v>4852</v>
      </c>
      <c r="R365" t="s">
        <v>4773</v>
      </c>
    </row>
    <row r="366" spans="1:18" x14ac:dyDescent="0.3">
      <c r="A366">
        <v>247013</v>
      </c>
      <c r="B366" t="s">
        <v>1034</v>
      </c>
      <c r="C366" t="s">
        <v>694</v>
      </c>
      <c r="D366" t="s">
        <v>157</v>
      </c>
      <c r="E366" s="1">
        <v>46167</v>
      </c>
      <c r="F366" t="s">
        <v>4352</v>
      </c>
      <c r="G366" t="s">
        <v>3886</v>
      </c>
      <c r="H366" t="s">
        <v>693</v>
      </c>
      <c r="I366" t="s">
        <v>204</v>
      </c>
      <c r="J366" s="1">
        <v>46443</v>
      </c>
      <c r="K366" t="s">
        <v>717</v>
      </c>
      <c r="L366">
        <v>1</v>
      </c>
      <c r="M366">
        <v>4560</v>
      </c>
      <c r="N366" t="s">
        <v>809</v>
      </c>
      <c r="O366" t="s">
        <v>4845</v>
      </c>
      <c r="P366" t="s">
        <v>1009</v>
      </c>
      <c r="Q366" t="s">
        <v>4845</v>
      </c>
      <c r="R366" t="s">
        <v>807</v>
      </c>
    </row>
    <row r="367" spans="1:18" x14ac:dyDescent="0.3">
      <c r="A367">
        <v>5974</v>
      </c>
      <c r="B367" t="s">
        <v>1034</v>
      </c>
      <c r="C367" t="s">
        <v>535</v>
      </c>
      <c r="D367" t="s">
        <v>148</v>
      </c>
      <c r="E367" s="1">
        <v>46167</v>
      </c>
      <c r="F367" t="s">
        <v>4355</v>
      </c>
      <c r="G367" t="s">
        <v>3516</v>
      </c>
      <c r="H367" t="s">
        <v>681</v>
      </c>
      <c r="I367" t="s">
        <v>204</v>
      </c>
      <c r="J367" s="1">
        <v>46295</v>
      </c>
      <c r="K367" t="s">
        <v>711</v>
      </c>
      <c r="L367">
        <v>1</v>
      </c>
      <c r="M367">
        <v>3300</v>
      </c>
      <c r="N367" t="s">
        <v>890</v>
      </c>
      <c r="O367" t="s">
        <v>4844</v>
      </c>
      <c r="P367" t="s">
        <v>4779</v>
      </c>
      <c r="Q367" t="s">
        <v>4845</v>
      </c>
      <c r="R367" t="s">
        <v>807</v>
      </c>
    </row>
    <row r="368" spans="1:18" x14ac:dyDescent="0.3">
      <c r="A368">
        <v>12226</v>
      </c>
      <c r="B368" t="s">
        <v>1034</v>
      </c>
      <c r="C368" t="s">
        <v>624</v>
      </c>
      <c r="D368" t="s">
        <v>68</v>
      </c>
      <c r="E368" s="1">
        <v>46167</v>
      </c>
      <c r="F368" t="s">
        <v>4367</v>
      </c>
      <c r="G368" t="s">
        <v>3784</v>
      </c>
      <c r="H368" t="s">
        <v>623</v>
      </c>
      <c r="I368" t="s">
        <v>204</v>
      </c>
      <c r="J368" s="1">
        <v>46017</v>
      </c>
      <c r="K368" t="s">
        <v>839</v>
      </c>
      <c r="L368">
        <v>1682</v>
      </c>
      <c r="M368">
        <v>1682.08</v>
      </c>
      <c r="N368" t="s">
        <v>710</v>
      </c>
      <c r="O368" t="s">
        <v>1041</v>
      </c>
      <c r="P368" t="s">
        <v>4776</v>
      </c>
      <c r="Q368" t="s">
        <v>4852</v>
      </c>
      <c r="R368" t="s">
        <v>4771</v>
      </c>
    </row>
    <row r="369" spans="1:18" x14ac:dyDescent="0.3">
      <c r="A369">
        <v>10999</v>
      </c>
      <c r="B369" t="s">
        <v>1035</v>
      </c>
      <c r="C369" t="s">
        <v>546</v>
      </c>
      <c r="D369" t="s">
        <v>75</v>
      </c>
      <c r="E369" s="1">
        <v>46167</v>
      </c>
      <c r="F369" t="s">
        <v>4355</v>
      </c>
      <c r="G369" t="s">
        <v>4483</v>
      </c>
      <c r="H369" t="s">
        <v>545</v>
      </c>
      <c r="I369" t="s">
        <v>204</v>
      </c>
      <c r="J369" s="1">
        <v>46325</v>
      </c>
      <c r="K369" t="s">
        <v>744</v>
      </c>
      <c r="L369">
        <v>5530.46</v>
      </c>
      <c r="M369">
        <v>5530.46</v>
      </c>
      <c r="N369" t="s">
        <v>710</v>
      </c>
      <c r="O369" t="s">
        <v>4903</v>
      </c>
      <c r="P369" t="s">
        <v>4781</v>
      </c>
      <c r="Q369" t="s">
        <v>4858</v>
      </c>
      <c r="R369" t="s">
        <v>4773</v>
      </c>
    </row>
    <row r="370" spans="1:18" x14ac:dyDescent="0.3">
      <c r="A370">
        <v>11000</v>
      </c>
      <c r="B370" t="s">
        <v>1035</v>
      </c>
      <c r="C370" t="s">
        <v>546</v>
      </c>
      <c r="D370" t="s">
        <v>75</v>
      </c>
      <c r="E370" s="1">
        <v>46167</v>
      </c>
      <c r="F370" t="s">
        <v>4355</v>
      </c>
      <c r="G370" t="s">
        <v>4483</v>
      </c>
      <c r="H370" t="s">
        <v>545</v>
      </c>
      <c r="I370" t="s">
        <v>204</v>
      </c>
      <c r="J370" s="1">
        <v>46325</v>
      </c>
      <c r="K370" t="s">
        <v>744</v>
      </c>
      <c r="L370">
        <v>3200</v>
      </c>
      <c r="M370">
        <v>3200</v>
      </c>
      <c r="N370" t="s">
        <v>710</v>
      </c>
      <c r="O370" t="s">
        <v>4903</v>
      </c>
      <c r="P370" t="s">
        <v>4781</v>
      </c>
      <c r="Q370" t="s">
        <v>4858</v>
      </c>
      <c r="R370" t="s">
        <v>4773</v>
      </c>
    </row>
    <row r="371" spans="1:18" x14ac:dyDescent="0.3">
      <c r="A371">
        <v>11002</v>
      </c>
      <c r="B371" t="s">
        <v>1035</v>
      </c>
      <c r="C371" t="s">
        <v>546</v>
      </c>
      <c r="D371" t="s">
        <v>75</v>
      </c>
      <c r="E371" s="1">
        <v>46167</v>
      </c>
      <c r="F371" t="s">
        <v>4355</v>
      </c>
      <c r="G371" t="s">
        <v>4483</v>
      </c>
      <c r="H371" t="s">
        <v>545</v>
      </c>
      <c r="I371" t="s">
        <v>204</v>
      </c>
      <c r="J371" s="1">
        <v>46325</v>
      </c>
      <c r="K371" t="s">
        <v>744</v>
      </c>
      <c r="L371">
        <v>3307.46</v>
      </c>
      <c r="M371">
        <v>3307.43</v>
      </c>
      <c r="N371" t="s">
        <v>710</v>
      </c>
      <c r="O371" t="s">
        <v>4903</v>
      </c>
      <c r="P371" t="s">
        <v>4781</v>
      </c>
      <c r="Q371" t="s">
        <v>4858</v>
      </c>
      <c r="R371" t="s">
        <v>4773</v>
      </c>
    </row>
    <row r="372" spans="1:18" x14ac:dyDescent="0.3">
      <c r="A372">
        <v>7584</v>
      </c>
      <c r="B372" t="s">
        <v>1035</v>
      </c>
      <c r="C372" t="s">
        <v>230</v>
      </c>
      <c r="D372" t="s">
        <v>85</v>
      </c>
      <c r="E372" s="1">
        <v>46167</v>
      </c>
      <c r="F372" t="s">
        <v>4299</v>
      </c>
      <c r="G372" t="s">
        <v>4512</v>
      </c>
      <c r="H372" t="s">
        <v>229</v>
      </c>
      <c r="I372" t="s">
        <v>204</v>
      </c>
      <c r="J372" s="1">
        <v>46203</v>
      </c>
      <c r="K372" t="s">
        <v>744</v>
      </c>
      <c r="L372">
        <v>79</v>
      </c>
      <c r="M372">
        <v>79.489999999999995</v>
      </c>
      <c r="N372" t="s">
        <v>710</v>
      </c>
      <c r="O372" t="s">
        <v>1033</v>
      </c>
      <c r="P372" t="s">
        <v>4781</v>
      </c>
      <c r="Q372" t="s">
        <v>4852</v>
      </c>
      <c r="R372" t="s">
        <v>4771</v>
      </c>
    </row>
    <row r="373" spans="1:18" x14ac:dyDescent="0.3">
      <c r="A373">
        <v>7585</v>
      </c>
      <c r="B373" t="s">
        <v>1035</v>
      </c>
      <c r="C373" t="s">
        <v>230</v>
      </c>
      <c r="D373" t="s">
        <v>85</v>
      </c>
      <c r="E373" s="1">
        <v>46167</v>
      </c>
      <c r="F373" t="s">
        <v>4299</v>
      </c>
      <c r="G373" t="s">
        <v>4512</v>
      </c>
      <c r="H373" t="s">
        <v>229</v>
      </c>
      <c r="I373" t="s">
        <v>204</v>
      </c>
      <c r="J373" s="1">
        <v>46203</v>
      </c>
      <c r="K373" t="s">
        <v>744</v>
      </c>
      <c r="L373">
        <v>119</v>
      </c>
      <c r="M373">
        <v>119.06</v>
      </c>
      <c r="N373" t="s">
        <v>710</v>
      </c>
      <c r="O373" t="s">
        <v>1033</v>
      </c>
      <c r="P373" t="s">
        <v>4781</v>
      </c>
      <c r="Q373" t="s">
        <v>4852</v>
      </c>
      <c r="R373" t="s">
        <v>4771</v>
      </c>
    </row>
    <row r="374" spans="1:18" x14ac:dyDescent="0.3">
      <c r="A374">
        <v>7564</v>
      </c>
      <c r="B374" t="s">
        <v>1035</v>
      </c>
      <c r="C374" t="s">
        <v>230</v>
      </c>
      <c r="D374" t="s">
        <v>85</v>
      </c>
      <c r="E374" s="1">
        <v>46167</v>
      </c>
      <c r="F374" t="s">
        <v>4348</v>
      </c>
      <c r="G374" t="s">
        <v>4512</v>
      </c>
      <c r="H374" t="s">
        <v>229</v>
      </c>
      <c r="I374" t="s">
        <v>204</v>
      </c>
      <c r="J374" s="1">
        <v>46203</v>
      </c>
      <c r="K374" t="s">
        <v>744</v>
      </c>
      <c r="L374">
        <v>9503.19</v>
      </c>
      <c r="M374">
        <v>9503.19</v>
      </c>
      <c r="N374" t="s">
        <v>710</v>
      </c>
      <c r="O374" t="s">
        <v>1033</v>
      </c>
      <c r="P374" t="s">
        <v>4781</v>
      </c>
      <c r="Q374" t="s">
        <v>4852</v>
      </c>
      <c r="R374" t="s">
        <v>4771</v>
      </c>
    </row>
    <row r="375" spans="1:18" x14ac:dyDescent="0.3">
      <c r="A375">
        <v>62755</v>
      </c>
      <c r="B375" t="s">
        <v>4874</v>
      </c>
      <c r="C375" t="s">
        <v>664</v>
      </c>
      <c r="D375" t="s">
        <v>83</v>
      </c>
      <c r="E375" s="1">
        <v>46167</v>
      </c>
      <c r="F375" t="s">
        <v>4399</v>
      </c>
      <c r="G375" t="s">
        <v>4610</v>
      </c>
      <c r="H375" t="s">
        <v>663</v>
      </c>
      <c r="I375" t="s">
        <v>204</v>
      </c>
      <c r="J375" s="1">
        <v>46660</v>
      </c>
      <c r="K375" t="s">
        <v>762</v>
      </c>
      <c r="L375">
        <v>62690.01</v>
      </c>
      <c r="M375">
        <v>62690.01</v>
      </c>
      <c r="N375" t="s">
        <v>710</v>
      </c>
      <c r="O375" t="s">
        <v>1037</v>
      </c>
      <c r="P375" t="s">
        <v>850</v>
      </c>
      <c r="Q375" t="s">
        <v>4852</v>
      </c>
      <c r="R375" t="s">
        <v>807</v>
      </c>
    </row>
    <row r="376" spans="1:18" x14ac:dyDescent="0.3">
      <c r="A376">
        <v>7554</v>
      </c>
      <c r="B376" t="s">
        <v>1035</v>
      </c>
      <c r="C376" t="s">
        <v>230</v>
      </c>
      <c r="D376" t="s">
        <v>85</v>
      </c>
      <c r="E376" s="1">
        <v>46167</v>
      </c>
      <c r="F376" t="s">
        <v>4421</v>
      </c>
      <c r="G376" t="s">
        <v>4512</v>
      </c>
      <c r="H376" t="s">
        <v>229</v>
      </c>
      <c r="I376" t="s">
        <v>204</v>
      </c>
      <c r="J376" s="1">
        <v>46203</v>
      </c>
      <c r="K376" t="s">
        <v>744</v>
      </c>
      <c r="L376">
        <v>5456.94</v>
      </c>
      <c r="M376">
        <v>5456.94</v>
      </c>
      <c r="N376" t="s">
        <v>710</v>
      </c>
      <c r="O376" t="s">
        <v>1033</v>
      </c>
      <c r="P376" t="s">
        <v>4781</v>
      </c>
      <c r="Q376" t="s">
        <v>4852</v>
      </c>
      <c r="R376" t="s">
        <v>4771</v>
      </c>
    </row>
    <row r="377" spans="1:18" x14ac:dyDescent="0.3">
      <c r="A377">
        <v>67811</v>
      </c>
      <c r="B377" t="s">
        <v>4874</v>
      </c>
      <c r="C377" t="s">
        <v>437</v>
      </c>
      <c r="D377" t="s">
        <v>150</v>
      </c>
      <c r="E377" s="1">
        <v>46167</v>
      </c>
      <c r="F377" t="s">
        <v>4395</v>
      </c>
      <c r="G377" t="s">
        <v>4601</v>
      </c>
      <c r="H377" t="s">
        <v>436</v>
      </c>
      <c r="I377" t="s">
        <v>204</v>
      </c>
      <c r="J377" s="1">
        <v>54878</v>
      </c>
      <c r="K377" t="s">
        <v>762</v>
      </c>
      <c r="L377">
        <v>789</v>
      </c>
      <c r="M377">
        <v>789</v>
      </c>
      <c r="N377" t="s">
        <v>719</v>
      </c>
      <c r="O377" t="s">
        <v>1037</v>
      </c>
      <c r="P377" t="s">
        <v>4788</v>
      </c>
      <c r="Q377" t="s">
        <v>4852</v>
      </c>
      <c r="R377" t="s">
        <v>4771</v>
      </c>
    </row>
    <row r="378" spans="1:18" x14ac:dyDescent="0.3">
      <c r="A378">
        <v>643</v>
      </c>
      <c r="B378" t="s">
        <v>4874</v>
      </c>
      <c r="C378" t="s">
        <v>259</v>
      </c>
      <c r="D378" t="s">
        <v>122</v>
      </c>
      <c r="E378" s="1">
        <v>46167</v>
      </c>
      <c r="F378" t="s">
        <v>4390</v>
      </c>
      <c r="G378" t="s">
        <v>4508</v>
      </c>
      <c r="H378" t="s">
        <v>258</v>
      </c>
      <c r="I378" t="s">
        <v>204</v>
      </c>
      <c r="J378" s="1">
        <v>46337</v>
      </c>
      <c r="K378" t="s">
        <v>720</v>
      </c>
      <c r="L378">
        <v>18593.009999999998</v>
      </c>
      <c r="M378">
        <v>18593.009999999998</v>
      </c>
      <c r="N378" t="s">
        <v>710</v>
      </c>
      <c r="O378" t="s">
        <v>1038</v>
      </c>
      <c r="P378" t="s">
        <v>4777</v>
      </c>
      <c r="Q378" t="s">
        <v>4858</v>
      </c>
      <c r="R378" t="s">
        <v>4771</v>
      </c>
    </row>
    <row r="379" spans="1:18" x14ac:dyDescent="0.3">
      <c r="A379">
        <v>5399</v>
      </c>
      <c r="B379" t="s">
        <v>4874</v>
      </c>
      <c r="C379" t="s">
        <v>456</v>
      </c>
      <c r="D379" t="s">
        <v>71</v>
      </c>
      <c r="E379" s="1">
        <v>46167</v>
      </c>
      <c r="F379" t="s">
        <v>4401</v>
      </c>
      <c r="G379" t="s">
        <v>4217</v>
      </c>
      <c r="H379" t="s">
        <v>455</v>
      </c>
      <c r="I379" t="s">
        <v>204</v>
      </c>
      <c r="J379" s="1">
        <v>54878</v>
      </c>
      <c r="K379" t="s">
        <v>762</v>
      </c>
      <c r="L379">
        <v>6885.9</v>
      </c>
      <c r="M379">
        <v>6885.9</v>
      </c>
      <c r="N379" t="s">
        <v>710</v>
      </c>
      <c r="O379" t="s">
        <v>1042</v>
      </c>
      <c r="P379" t="s">
        <v>1006</v>
      </c>
      <c r="Q379" t="s">
        <v>4852</v>
      </c>
      <c r="R379" t="s">
        <v>4771</v>
      </c>
    </row>
    <row r="380" spans="1:18" x14ac:dyDescent="0.3">
      <c r="A380">
        <v>214563</v>
      </c>
      <c r="B380" t="s">
        <v>4874</v>
      </c>
      <c r="C380" t="s">
        <v>467</v>
      </c>
      <c r="D380" t="s">
        <v>175</v>
      </c>
      <c r="E380" s="1">
        <v>46167</v>
      </c>
      <c r="F380" t="s">
        <v>4315</v>
      </c>
      <c r="G380" t="s">
        <v>3665</v>
      </c>
      <c r="H380" t="s">
        <v>466</v>
      </c>
      <c r="I380" t="s">
        <v>204</v>
      </c>
      <c r="J380" s="1">
        <v>46266</v>
      </c>
      <c r="K380" t="s">
        <v>762</v>
      </c>
      <c r="L380">
        <v>1</v>
      </c>
      <c r="M380">
        <v>16567.98</v>
      </c>
      <c r="N380" t="s">
        <v>710</v>
      </c>
      <c r="O380" t="s">
        <v>4845</v>
      </c>
      <c r="P380" t="s">
        <v>4776</v>
      </c>
      <c r="Q380" t="s">
        <v>4845</v>
      </c>
      <c r="R380" t="s">
        <v>4773</v>
      </c>
    </row>
    <row r="381" spans="1:18" x14ac:dyDescent="0.3">
      <c r="A381">
        <v>192473</v>
      </c>
      <c r="B381" t="s">
        <v>4874</v>
      </c>
      <c r="C381" t="s">
        <v>415</v>
      </c>
      <c r="D381" t="s">
        <v>60</v>
      </c>
      <c r="E381" s="1">
        <v>46167</v>
      </c>
      <c r="F381" t="s">
        <v>4333</v>
      </c>
      <c r="G381" t="s">
        <v>4624</v>
      </c>
      <c r="H381" t="s">
        <v>457</v>
      </c>
      <c r="I381" t="s">
        <v>204</v>
      </c>
      <c r="J381" s="1">
        <v>46387</v>
      </c>
      <c r="K381" t="s">
        <v>762</v>
      </c>
      <c r="L381">
        <v>2568.64</v>
      </c>
      <c r="M381">
        <v>2568.64</v>
      </c>
      <c r="N381" t="s">
        <v>814</v>
      </c>
      <c r="O381" t="s">
        <v>1037</v>
      </c>
      <c r="P381" t="s">
        <v>4807</v>
      </c>
      <c r="Q381" t="s">
        <v>4852</v>
      </c>
      <c r="R381" t="s">
        <v>4771</v>
      </c>
    </row>
    <row r="382" spans="1:18" x14ac:dyDescent="0.3">
      <c r="A382">
        <v>1234</v>
      </c>
      <c r="B382" t="s">
        <v>4875</v>
      </c>
      <c r="C382" t="s">
        <v>355</v>
      </c>
      <c r="D382" t="s">
        <v>143</v>
      </c>
      <c r="E382" s="1">
        <v>46167</v>
      </c>
      <c r="F382" t="s">
        <v>4318</v>
      </c>
      <c r="G382" t="s">
        <v>4615</v>
      </c>
      <c r="H382" t="s">
        <v>354</v>
      </c>
      <c r="I382" t="s">
        <v>204</v>
      </c>
      <c r="J382" s="1">
        <v>54878</v>
      </c>
      <c r="K382" t="s">
        <v>748</v>
      </c>
      <c r="L382">
        <v>560</v>
      </c>
      <c r="M382">
        <v>560</v>
      </c>
      <c r="N382" t="s">
        <v>710</v>
      </c>
      <c r="O382" t="s">
        <v>4834</v>
      </c>
      <c r="P382" t="s">
        <v>4776</v>
      </c>
      <c r="Q382" t="s">
        <v>4856</v>
      </c>
      <c r="R382" t="s">
        <v>4771</v>
      </c>
    </row>
    <row r="383" spans="1:18" x14ac:dyDescent="0.3">
      <c r="A383">
        <v>174132</v>
      </c>
      <c r="B383" t="s">
        <v>4875</v>
      </c>
      <c r="C383" t="s">
        <v>301</v>
      </c>
      <c r="D383" t="s">
        <v>23</v>
      </c>
      <c r="E383" s="1">
        <v>46167</v>
      </c>
      <c r="F383" t="s">
        <v>4321</v>
      </c>
      <c r="G383" t="s">
        <v>4578</v>
      </c>
      <c r="H383" t="s">
        <v>342</v>
      </c>
      <c r="I383" t="s">
        <v>204</v>
      </c>
      <c r="J383" s="1">
        <v>46285</v>
      </c>
      <c r="K383" t="s">
        <v>748</v>
      </c>
      <c r="L383">
        <v>5127.5200000000004</v>
      </c>
      <c r="M383">
        <v>5127.51</v>
      </c>
      <c r="N383" t="s">
        <v>710</v>
      </c>
      <c r="O383" t="s">
        <v>1040</v>
      </c>
      <c r="P383" t="s">
        <v>4782</v>
      </c>
      <c r="Q383" t="s">
        <v>4856</v>
      </c>
      <c r="R383" t="s">
        <v>4773</v>
      </c>
    </row>
    <row r="384" spans="1:18" x14ac:dyDescent="0.3">
      <c r="A384">
        <v>174130</v>
      </c>
      <c r="B384" t="s">
        <v>4875</v>
      </c>
      <c r="C384" t="s">
        <v>301</v>
      </c>
      <c r="D384" t="s">
        <v>23</v>
      </c>
      <c r="E384" s="1">
        <v>46167</v>
      </c>
      <c r="F384" t="s">
        <v>4321</v>
      </c>
      <c r="G384" t="s">
        <v>4462</v>
      </c>
      <c r="H384" t="s">
        <v>342</v>
      </c>
      <c r="I384" t="s">
        <v>204</v>
      </c>
      <c r="J384" s="1">
        <v>46285</v>
      </c>
      <c r="K384" t="s">
        <v>748</v>
      </c>
      <c r="L384">
        <v>5127.5200000000004</v>
      </c>
      <c r="M384">
        <v>5127.51</v>
      </c>
      <c r="N384" t="s">
        <v>710</v>
      </c>
      <c r="O384" t="s">
        <v>1040</v>
      </c>
      <c r="P384" t="s">
        <v>4782</v>
      </c>
      <c r="Q384" t="s">
        <v>4856</v>
      </c>
      <c r="R384" t="s">
        <v>4773</v>
      </c>
    </row>
    <row r="385" spans="1:18" x14ac:dyDescent="0.3">
      <c r="A385">
        <v>192474</v>
      </c>
      <c r="B385" t="s">
        <v>4875</v>
      </c>
      <c r="C385" t="s">
        <v>415</v>
      </c>
      <c r="D385" t="s">
        <v>60</v>
      </c>
      <c r="E385" s="1">
        <v>46167</v>
      </c>
      <c r="F385" t="s">
        <v>4333</v>
      </c>
      <c r="G385" t="s">
        <v>4626</v>
      </c>
      <c r="H385" t="s">
        <v>414</v>
      </c>
      <c r="I385" t="s">
        <v>204</v>
      </c>
      <c r="J385" s="1">
        <v>46386</v>
      </c>
      <c r="K385" t="s">
        <v>768</v>
      </c>
      <c r="L385">
        <v>1688.13</v>
      </c>
      <c r="M385">
        <v>1688.13</v>
      </c>
      <c r="N385" t="s">
        <v>814</v>
      </c>
      <c r="O385" t="s">
        <v>1037</v>
      </c>
      <c r="P385" t="s">
        <v>4807</v>
      </c>
      <c r="Q385" t="s">
        <v>4852</v>
      </c>
      <c r="R385" t="s">
        <v>4771</v>
      </c>
    </row>
    <row r="386" spans="1:18" x14ac:dyDescent="0.3">
      <c r="A386">
        <v>7</v>
      </c>
      <c r="B386" t="s">
        <v>1034</v>
      </c>
      <c r="C386" t="s">
        <v>686</v>
      </c>
      <c r="D386" t="s">
        <v>116</v>
      </c>
      <c r="E386" s="1">
        <v>46164</v>
      </c>
      <c r="F386" t="s">
        <v>4385</v>
      </c>
      <c r="G386" t="s">
        <v>4604</v>
      </c>
      <c r="H386" t="s">
        <v>685</v>
      </c>
      <c r="I386" t="s">
        <v>204</v>
      </c>
      <c r="J386" s="1">
        <v>46418</v>
      </c>
      <c r="K386" t="s">
        <v>717</v>
      </c>
      <c r="L386">
        <v>63</v>
      </c>
      <c r="M386">
        <v>1575</v>
      </c>
      <c r="N386" t="s">
        <v>818</v>
      </c>
      <c r="O386" t="s">
        <v>1037</v>
      </c>
      <c r="P386" t="s">
        <v>4801</v>
      </c>
      <c r="Q386" t="s">
        <v>4852</v>
      </c>
      <c r="R386" t="s">
        <v>807</v>
      </c>
    </row>
    <row r="387" spans="1:18" x14ac:dyDescent="0.3">
      <c r="A387">
        <v>89</v>
      </c>
      <c r="B387" t="s">
        <v>4875</v>
      </c>
      <c r="C387" t="s">
        <v>322</v>
      </c>
      <c r="D387" t="s">
        <v>158</v>
      </c>
      <c r="E387" s="1">
        <v>46164</v>
      </c>
      <c r="F387" t="s">
        <v>4432</v>
      </c>
      <c r="G387" t="s">
        <v>4494</v>
      </c>
      <c r="H387" t="s">
        <v>352</v>
      </c>
      <c r="I387" t="s">
        <v>204</v>
      </c>
      <c r="J387" s="1">
        <v>46310</v>
      </c>
      <c r="K387" t="s">
        <v>748</v>
      </c>
      <c r="L387">
        <v>138</v>
      </c>
      <c r="M387">
        <v>2758.62</v>
      </c>
      <c r="N387" t="s">
        <v>710</v>
      </c>
      <c r="O387" t="s">
        <v>1040</v>
      </c>
      <c r="P387" t="s">
        <v>4782</v>
      </c>
      <c r="Q387" t="s">
        <v>4856</v>
      </c>
      <c r="R387" t="s">
        <v>4773</v>
      </c>
    </row>
    <row r="388" spans="1:18" x14ac:dyDescent="0.3">
      <c r="A388">
        <v>88</v>
      </c>
      <c r="B388" t="s">
        <v>4875</v>
      </c>
      <c r="C388" t="s">
        <v>322</v>
      </c>
      <c r="D388" t="s">
        <v>158</v>
      </c>
      <c r="E388" s="1">
        <v>46164</v>
      </c>
      <c r="F388" t="s">
        <v>4433</v>
      </c>
      <c r="G388" t="s">
        <v>4493</v>
      </c>
      <c r="H388" t="s">
        <v>346</v>
      </c>
      <c r="I388" t="s">
        <v>204</v>
      </c>
      <c r="J388" s="1">
        <v>46310</v>
      </c>
      <c r="K388" t="s">
        <v>748</v>
      </c>
      <c r="L388">
        <v>655</v>
      </c>
      <c r="M388">
        <v>8508.4500000000007</v>
      </c>
      <c r="N388" t="s">
        <v>710</v>
      </c>
      <c r="O388" t="s">
        <v>1040</v>
      </c>
      <c r="P388" t="s">
        <v>4782</v>
      </c>
      <c r="Q388" t="s">
        <v>4856</v>
      </c>
      <c r="R388" t="s">
        <v>4773</v>
      </c>
    </row>
    <row r="389" spans="1:18" x14ac:dyDescent="0.3">
      <c r="A389">
        <v>86</v>
      </c>
      <c r="B389" t="s">
        <v>4875</v>
      </c>
      <c r="C389" t="s">
        <v>322</v>
      </c>
      <c r="D389" t="s">
        <v>158</v>
      </c>
      <c r="E389" s="1">
        <v>46164</v>
      </c>
      <c r="F389" t="s">
        <v>4433</v>
      </c>
      <c r="G389" t="s">
        <v>4466</v>
      </c>
      <c r="H389" t="s">
        <v>346</v>
      </c>
      <c r="I389" t="s">
        <v>204</v>
      </c>
      <c r="J389" s="1">
        <v>46310</v>
      </c>
      <c r="K389" t="s">
        <v>748</v>
      </c>
      <c r="L389">
        <v>555</v>
      </c>
      <c r="M389">
        <v>7209.45</v>
      </c>
      <c r="N389" t="s">
        <v>710</v>
      </c>
      <c r="O389" t="s">
        <v>1040</v>
      </c>
      <c r="P389" t="s">
        <v>4782</v>
      </c>
      <c r="Q389" t="s">
        <v>4856</v>
      </c>
      <c r="R389" t="s">
        <v>4773</v>
      </c>
    </row>
    <row r="390" spans="1:18" x14ac:dyDescent="0.3">
      <c r="A390">
        <v>34</v>
      </c>
      <c r="B390" t="s">
        <v>1034</v>
      </c>
      <c r="C390" t="s">
        <v>656</v>
      </c>
      <c r="D390" t="s">
        <v>56</v>
      </c>
      <c r="E390" s="1">
        <v>46164</v>
      </c>
      <c r="F390" t="s">
        <v>4383</v>
      </c>
      <c r="G390" t="s">
        <v>4593</v>
      </c>
      <c r="H390" t="s">
        <v>655</v>
      </c>
      <c r="I390" t="s">
        <v>204</v>
      </c>
      <c r="J390" s="1">
        <v>46600</v>
      </c>
      <c r="K390" t="s">
        <v>711</v>
      </c>
      <c r="L390">
        <v>6000</v>
      </c>
      <c r="M390">
        <v>6000</v>
      </c>
      <c r="N390" t="s">
        <v>814</v>
      </c>
      <c r="O390" t="s">
        <v>1036</v>
      </c>
      <c r="P390" t="s">
        <v>4776</v>
      </c>
      <c r="Q390" t="s">
        <v>4901</v>
      </c>
      <c r="R390" t="s">
        <v>807</v>
      </c>
    </row>
    <row r="391" spans="1:18" x14ac:dyDescent="0.3">
      <c r="A391">
        <v>87</v>
      </c>
      <c r="B391" t="s">
        <v>4875</v>
      </c>
      <c r="C391" t="s">
        <v>322</v>
      </c>
      <c r="D391" t="s">
        <v>158</v>
      </c>
      <c r="E391" s="1">
        <v>46164</v>
      </c>
      <c r="F391" t="s">
        <v>4433</v>
      </c>
      <c r="G391" t="s">
        <v>4491</v>
      </c>
      <c r="H391" t="s">
        <v>321</v>
      </c>
      <c r="I391" t="s">
        <v>204</v>
      </c>
      <c r="J391" s="1">
        <v>46310</v>
      </c>
      <c r="K391" t="s">
        <v>748</v>
      </c>
      <c r="L391">
        <v>1667.4364</v>
      </c>
      <c r="M391">
        <v>21660</v>
      </c>
      <c r="N391" t="s">
        <v>710</v>
      </c>
      <c r="O391" t="s">
        <v>1040</v>
      </c>
      <c r="P391" t="s">
        <v>4782</v>
      </c>
      <c r="Q391" t="s">
        <v>4856</v>
      </c>
      <c r="R391" t="s">
        <v>4773</v>
      </c>
    </row>
    <row r="392" spans="1:18" x14ac:dyDescent="0.3">
      <c r="A392">
        <v>1328</v>
      </c>
      <c r="B392" t="s">
        <v>4874</v>
      </c>
      <c r="C392" t="s">
        <v>305</v>
      </c>
      <c r="D392" t="s">
        <v>59</v>
      </c>
      <c r="E392" s="1">
        <v>46164</v>
      </c>
      <c r="F392" t="s">
        <v>4359</v>
      </c>
      <c r="G392" t="s">
        <v>4542</v>
      </c>
      <c r="H392" t="s">
        <v>304</v>
      </c>
      <c r="I392" t="s">
        <v>204</v>
      </c>
      <c r="J392" s="1">
        <v>46481</v>
      </c>
      <c r="K392" t="s">
        <v>720</v>
      </c>
      <c r="L392">
        <v>133.47999999999999</v>
      </c>
      <c r="M392">
        <v>133.47999999999999</v>
      </c>
      <c r="N392" t="s">
        <v>809</v>
      </c>
      <c r="O392" t="s">
        <v>1038</v>
      </c>
      <c r="P392" t="s">
        <v>4783</v>
      </c>
      <c r="Q392" t="s">
        <v>4858</v>
      </c>
      <c r="R392" t="s">
        <v>4771</v>
      </c>
    </row>
    <row r="393" spans="1:18" x14ac:dyDescent="0.3">
      <c r="A393">
        <v>1330</v>
      </c>
      <c r="B393" t="s">
        <v>4874</v>
      </c>
      <c r="C393" t="s">
        <v>305</v>
      </c>
      <c r="D393" t="s">
        <v>59</v>
      </c>
      <c r="E393" s="1">
        <v>46164</v>
      </c>
      <c r="F393" t="s">
        <v>4359</v>
      </c>
      <c r="G393" t="s">
        <v>4586</v>
      </c>
      <c r="H393" t="s">
        <v>304</v>
      </c>
      <c r="I393" t="s">
        <v>204</v>
      </c>
      <c r="J393" s="1">
        <v>46481</v>
      </c>
      <c r="K393" t="s">
        <v>720</v>
      </c>
      <c r="L393">
        <v>4500</v>
      </c>
      <c r="M393">
        <v>4500</v>
      </c>
      <c r="N393" t="s">
        <v>809</v>
      </c>
      <c r="O393" t="s">
        <v>1038</v>
      </c>
      <c r="P393" t="s">
        <v>4783</v>
      </c>
      <c r="Q393" t="s">
        <v>4858</v>
      </c>
      <c r="R393" t="s">
        <v>4771</v>
      </c>
    </row>
    <row r="394" spans="1:18" x14ac:dyDescent="0.3">
      <c r="A394">
        <v>1329</v>
      </c>
      <c r="B394" t="s">
        <v>4874</v>
      </c>
      <c r="C394" t="s">
        <v>305</v>
      </c>
      <c r="D394" t="s">
        <v>59</v>
      </c>
      <c r="E394" s="1">
        <v>46164</v>
      </c>
      <c r="F394" t="s">
        <v>4359</v>
      </c>
      <c r="G394" t="s">
        <v>4588</v>
      </c>
      <c r="H394" t="s">
        <v>304</v>
      </c>
      <c r="I394" t="s">
        <v>204</v>
      </c>
      <c r="J394" s="1">
        <v>46481</v>
      </c>
      <c r="K394" t="s">
        <v>720</v>
      </c>
      <c r="L394">
        <v>4500</v>
      </c>
      <c r="M394">
        <v>4500</v>
      </c>
      <c r="N394" t="s">
        <v>809</v>
      </c>
      <c r="O394" t="s">
        <v>1038</v>
      </c>
      <c r="P394" t="s">
        <v>4783</v>
      </c>
      <c r="Q394" t="s">
        <v>4858</v>
      </c>
      <c r="R394" t="s">
        <v>4771</v>
      </c>
    </row>
    <row r="395" spans="1:18" x14ac:dyDescent="0.3">
      <c r="A395">
        <v>53866</v>
      </c>
      <c r="B395" t="s">
        <v>4874</v>
      </c>
      <c r="C395" t="s">
        <v>614</v>
      </c>
      <c r="D395" t="s">
        <v>74</v>
      </c>
      <c r="E395" s="1">
        <v>46164</v>
      </c>
      <c r="F395" t="s">
        <v>4362</v>
      </c>
      <c r="G395" t="s">
        <v>4590</v>
      </c>
      <c r="H395" t="s">
        <v>613</v>
      </c>
      <c r="I395" t="s">
        <v>204</v>
      </c>
      <c r="J395" s="1">
        <v>46993</v>
      </c>
      <c r="K395" t="s">
        <v>720</v>
      </c>
      <c r="L395">
        <v>1515</v>
      </c>
      <c r="M395">
        <v>1515</v>
      </c>
      <c r="N395" t="s">
        <v>710</v>
      </c>
      <c r="O395" t="s">
        <v>1038</v>
      </c>
      <c r="P395" t="s">
        <v>4779</v>
      </c>
      <c r="Q395" t="s">
        <v>4858</v>
      </c>
      <c r="R395" t="s">
        <v>4771</v>
      </c>
    </row>
    <row r="396" spans="1:18" x14ac:dyDescent="0.3">
      <c r="A396">
        <v>231</v>
      </c>
      <c r="B396" t="s">
        <v>4874</v>
      </c>
      <c r="C396" t="s">
        <v>565</v>
      </c>
      <c r="D396" t="s">
        <v>113</v>
      </c>
      <c r="E396" s="1">
        <v>46164</v>
      </c>
      <c r="F396" t="s">
        <v>4390</v>
      </c>
      <c r="G396" t="s">
        <v>4594</v>
      </c>
      <c r="H396" t="s">
        <v>564</v>
      </c>
      <c r="I396" t="s">
        <v>204</v>
      </c>
      <c r="J396" s="1">
        <v>46386</v>
      </c>
      <c r="K396" t="s">
        <v>720</v>
      </c>
      <c r="L396">
        <v>5200</v>
      </c>
      <c r="M396">
        <v>5200</v>
      </c>
      <c r="N396" t="s">
        <v>710</v>
      </c>
      <c r="O396" t="s">
        <v>1038</v>
      </c>
      <c r="P396" t="s">
        <v>4777</v>
      </c>
      <c r="Q396" t="s">
        <v>4858</v>
      </c>
      <c r="R396" t="s">
        <v>4771</v>
      </c>
    </row>
    <row r="397" spans="1:18" x14ac:dyDescent="0.3">
      <c r="A397">
        <v>421</v>
      </c>
      <c r="B397" t="s">
        <v>4874</v>
      </c>
      <c r="C397" t="s">
        <v>645</v>
      </c>
      <c r="D397" t="s">
        <v>76</v>
      </c>
      <c r="E397" s="1">
        <v>46164</v>
      </c>
      <c r="F397" t="s">
        <v>4318</v>
      </c>
      <c r="G397" t="s">
        <v>4579</v>
      </c>
      <c r="H397" t="s">
        <v>644</v>
      </c>
      <c r="I397" t="s">
        <v>204</v>
      </c>
      <c r="J397" s="1">
        <v>46478</v>
      </c>
      <c r="K397" t="s">
        <v>720</v>
      </c>
      <c r="L397">
        <v>4027.7</v>
      </c>
      <c r="M397">
        <v>4027.7</v>
      </c>
      <c r="N397" t="s">
        <v>710</v>
      </c>
      <c r="O397" t="s">
        <v>1038</v>
      </c>
      <c r="P397" t="s">
        <v>4776</v>
      </c>
      <c r="Q397" t="s">
        <v>4858</v>
      </c>
      <c r="R397" t="s">
        <v>4773</v>
      </c>
    </row>
    <row r="398" spans="1:18" x14ac:dyDescent="0.3">
      <c r="A398">
        <v>17</v>
      </c>
      <c r="B398" t="s">
        <v>1034</v>
      </c>
      <c r="C398" t="s">
        <v>516</v>
      </c>
      <c r="D398" t="s">
        <v>12</v>
      </c>
      <c r="E398" s="1">
        <v>46164</v>
      </c>
      <c r="F398" t="s">
        <v>4337</v>
      </c>
      <c r="G398" t="s">
        <v>4609</v>
      </c>
      <c r="H398" t="s">
        <v>515</v>
      </c>
      <c r="I398" t="s">
        <v>204</v>
      </c>
      <c r="J398" s="1">
        <v>46489</v>
      </c>
      <c r="K398" t="s">
        <v>711</v>
      </c>
      <c r="L398">
        <v>2925</v>
      </c>
      <c r="M398">
        <v>2925</v>
      </c>
      <c r="N398" t="s">
        <v>884</v>
      </c>
      <c r="O398" t="s">
        <v>1037</v>
      </c>
      <c r="P398" t="s">
        <v>4776</v>
      </c>
      <c r="Q398" t="s">
        <v>4852</v>
      </c>
      <c r="R398" t="s">
        <v>4772</v>
      </c>
    </row>
    <row r="399" spans="1:18" x14ac:dyDescent="0.3">
      <c r="A399">
        <v>412</v>
      </c>
      <c r="B399" t="s">
        <v>4874</v>
      </c>
      <c r="C399" t="s">
        <v>645</v>
      </c>
      <c r="D399" t="s">
        <v>76</v>
      </c>
      <c r="E399" s="1">
        <v>46164</v>
      </c>
      <c r="F399" t="s">
        <v>4318</v>
      </c>
      <c r="G399" t="s">
        <v>4577</v>
      </c>
      <c r="H399" t="s">
        <v>644</v>
      </c>
      <c r="I399" t="s">
        <v>204</v>
      </c>
      <c r="J399" s="1">
        <v>46478</v>
      </c>
      <c r="K399" t="s">
        <v>720</v>
      </c>
      <c r="L399">
        <v>1</v>
      </c>
      <c r="M399">
        <v>4027.7</v>
      </c>
      <c r="N399" t="s">
        <v>710</v>
      </c>
      <c r="O399" t="s">
        <v>1038</v>
      </c>
      <c r="P399" t="s">
        <v>4776</v>
      </c>
      <c r="Q399" t="s">
        <v>4858</v>
      </c>
      <c r="R399" t="s">
        <v>4773</v>
      </c>
    </row>
    <row r="400" spans="1:18" x14ac:dyDescent="0.3">
      <c r="A400">
        <v>112637</v>
      </c>
      <c r="B400" t="s">
        <v>4874</v>
      </c>
      <c r="C400" t="s">
        <v>379</v>
      </c>
      <c r="D400" t="s">
        <v>131</v>
      </c>
      <c r="E400" s="1">
        <v>46163</v>
      </c>
      <c r="F400" t="s">
        <v>4315</v>
      </c>
      <c r="G400" t="s">
        <v>4486</v>
      </c>
      <c r="H400" t="s">
        <v>378</v>
      </c>
      <c r="I400" t="s">
        <v>204</v>
      </c>
      <c r="J400" s="1">
        <v>54878</v>
      </c>
      <c r="K400" t="s">
        <v>762</v>
      </c>
      <c r="L400">
        <v>68.510000000000005</v>
      </c>
      <c r="M400">
        <v>68.510000000000005</v>
      </c>
      <c r="N400" t="s">
        <v>710</v>
      </c>
      <c r="O400" t="s">
        <v>4833</v>
      </c>
      <c r="P400" t="s">
        <v>4776</v>
      </c>
      <c r="Q400" t="s">
        <v>4852</v>
      </c>
      <c r="R400" t="s">
        <v>4773</v>
      </c>
    </row>
    <row r="401" spans="1:18" x14ac:dyDescent="0.3">
      <c r="A401">
        <v>52077</v>
      </c>
      <c r="B401" t="s">
        <v>4874</v>
      </c>
      <c r="C401" t="s">
        <v>1023</v>
      </c>
      <c r="D401" t="s">
        <v>1024</v>
      </c>
      <c r="E401" s="1">
        <v>46163</v>
      </c>
      <c r="F401" t="s">
        <v>4757</v>
      </c>
      <c r="G401" t="s">
        <v>4468</v>
      </c>
      <c r="H401" t="s">
        <v>1021</v>
      </c>
      <c r="I401" t="s">
        <v>204</v>
      </c>
      <c r="J401" s="1">
        <v>46507</v>
      </c>
      <c r="K401" t="s">
        <v>762</v>
      </c>
      <c r="L401">
        <v>17835.23</v>
      </c>
      <c r="M401">
        <v>17835.23</v>
      </c>
      <c r="N401" t="s">
        <v>1025</v>
      </c>
      <c r="O401" t="s">
        <v>1037</v>
      </c>
      <c r="P401" t="s">
        <v>4789</v>
      </c>
      <c r="Q401" t="s">
        <v>4852</v>
      </c>
      <c r="R401" t="s">
        <v>807</v>
      </c>
    </row>
    <row r="402" spans="1:18" x14ac:dyDescent="0.3">
      <c r="A402">
        <v>12</v>
      </c>
      <c r="B402" t="s">
        <v>4875</v>
      </c>
      <c r="C402" t="s">
        <v>651</v>
      </c>
      <c r="D402" t="s">
        <v>46</v>
      </c>
      <c r="E402" s="1">
        <v>46163</v>
      </c>
      <c r="F402" t="s">
        <v>4435</v>
      </c>
      <c r="G402" t="s">
        <v>4025</v>
      </c>
      <c r="H402" t="s">
        <v>650</v>
      </c>
      <c r="I402" t="s">
        <v>204</v>
      </c>
      <c r="J402" s="1">
        <v>46173</v>
      </c>
      <c r="K402" t="s">
        <v>748</v>
      </c>
      <c r="L402">
        <v>1570</v>
      </c>
      <c r="M402">
        <v>1570</v>
      </c>
      <c r="N402" t="s">
        <v>710</v>
      </c>
      <c r="O402" t="s">
        <v>1040</v>
      </c>
      <c r="P402" t="s">
        <v>4779</v>
      </c>
      <c r="Q402" t="s">
        <v>4856</v>
      </c>
    </row>
    <row r="403" spans="1:18" x14ac:dyDescent="0.3">
      <c r="A403">
        <v>14090</v>
      </c>
      <c r="B403" t="s">
        <v>4875</v>
      </c>
      <c r="C403" t="s">
        <v>598</v>
      </c>
      <c r="D403" t="s">
        <v>128</v>
      </c>
      <c r="E403" s="1">
        <v>46163</v>
      </c>
      <c r="F403" t="s">
        <v>4336</v>
      </c>
      <c r="G403" t="s">
        <v>4600</v>
      </c>
      <c r="H403" t="s">
        <v>600</v>
      </c>
      <c r="I403" t="s">
        <v>204</v>
      </c>
      <c r="J403" s="1">
        <v>45869</v>
      </c>
      <c r="K403" t="s">
        <v>768</v>
      </c>
      <c r="L403">
        <v>1177.02</v>
      </c>
      <c r="M403">
        <v>1177.02</v>
      </c>
      <c r="N403" t="s">
        <v>710</v>
      </c>
      <c r="O403" t="s">
        <v>1037</v>
      </c>
      <c r="P403" t="s">
        <v>4794</v>
      </c>
      <c r="Q403" t="s">
        <v>4852</v>
      </c>
      <c r="R403" t="s">
        <v>4772</v>
      </c>
    </row>
    <row r="404" spans="1:18" x14ac:dyDescent="0.3">
      <c r="A404">
        <v>360</v>
      </c>
      <c r="B404" t="s">
        <v>1034</v>
      </c>
      <c r="C404" t="s">
        <v>479</v>
      </c>
      <c r="D404" t="s">
        <v>99</v>
      </c>
      <c r="E404" s="1">
        <v>46163</v>
      </c>
      <c r="F404" t="s">
        <v>4307</v>
      </c>
      <c r="G404" t="s">
        <v>4597</v>
      </c>
      <c r="H404" t="s">
        <v>478</v>
      </c>
      <c r="I404" t="s">
        <v>204</v>
      </c>
      <c r="J404" s="1">
        <v>46239</v>
      </c>
      <c r="K404" t="s">
        <v>717</v>
      </c>
      <c r="L404">
        <v>3966</v>
      </c>
      <c r="M404">
        <v>48424.86</v>
      </c>
      <c r="N404" t="s">
        <v>710</v>
      </c>
      <c r="O404" t="s">
        <v>1037</v>
      </c>
      <c r="P404" t="s">
        <v>4790</v>
      </c>
      <c r="Q404" t="s">
        <v>4852</v>
      </c>
      <c r="R404" t="s">
        <v>4772</v>
      </c>
    </row>
    <row r="405" spans="1:18" x14ac:dyDescent="0.3">
      <c r="A405">
        <v>360</v>
      </c>
      <c r="B405" t="s">
        <v>1034</v>
      </c>
      <c r="C405" t="s">
        <v>479</v>
      </c>
      <c r="D405" t="s">
        <v>99</v>
      </c>
      <c r="E405" s="1">
        <v>46163</v>
      </c>
      <c r="F405" t="s">
        <v>4308</v>
      </c>
      <c r="G405" t="s">
        <v>4597</v>
      </c>
      <c r="H405" t="s">
        <v>478</v>
      </c>
      <c r="I405" t="s">
        <v>204</v>
      </c>
      <c r="J405" s="1">
        <v>46239</v>
      </c>
      <c r="K405" t="s">
        <v>717</v>
      </c>
      <c r="L405">
        <v>2627</v>
      </c>
      <c r="M405">
        <v>10402.92</v>
      </c>
      <c r="N405" t="s">
        <v>710</v>
      </c>
      <c r="O405" t="s">
        <v>1037</v>
      </c>
      <c r="P405" t="s">
        <v>4790</v>
      </c>
      <c r="Q405" t="s">
        <v>4852</v>
      </c>
      <c r="R405" t="s">
        <v>4772</v>
      </c>
    </row>
    <row r="406" spans="1:18" x14ac:dyDescent="0.3">
      <c r="A406">
        <v>360</v>
      </c>
      <c r="B406" t="s">
        <v>1034</v>
      </c>
      <c r="C406" t="s">
        <v>479</v>
      </c>
      <c r="D406" t="s">
        <v>99</v>
      </c>
      <c r="E406" s="1">
        <v>46163</v>
      </c>
      <c r="F406" t="s">
        <v>4310</v>
      </c>
      <c r="G406" t="s">
        <v>4597</v>
      </c>
      <c r="H406" t="s">
        <v>478</v>
      </c>
      <c r="I406" t="s">
        <v>204</v>
      </c>
      <c r="J406" s="1">
        <v>46239</v>
      </c>
      <c r="K406" t="s">
        <v>717</v>
      </c>
      <c r="L406">
        <v>32</v>
      </c>
      <c r="M406">
        <v>113.6</v>
      </c>
      <c r="N406" t="s">
        <v>710</v>
      </c>
      <c r="O406" t="s">
        <v>1037</v>
      </c>
      <c r="P406" t="s">
        <v>4790</v>
      </c>
      <c r="Q406" t="s">
        <v>4852</v>
      </c>
      <c r="R406" t="s">
        <v>4772</v>
      </c>
    </row>
    <row r="407" spans="1:18" x14ac:dyDescent="0.3">
      <c r="A407">
        <v>360</v>
      </c>
      <c r="B407" t="s">
        <v>1034</v>
      </c>
      <c r="C407" t="s">
        <v>479</v>
      </c>
      <c r="D407" t="s">
        <v>99</v>
      </c>
      <c r="E407" s="1">
        <v>46163</v>
      </c>
      <c r="F407" t="s">
        <v>4329</v>
      </c>
      <c r="G407" t="s">
        <v>4597</v>
      </c>
      <c r="H407" t="s">
        <v>478</v>
      </c>
      <c r="I407" t="s">
        <v>204</v>
      </c>
      <c r="J407" s="1">
        <v>46239</v>
      </c>
      <c r="K407" t="s">
        <v>717</v>
      </c>
      <c r="L407">
        <v>50</v>
      </c>
      <c r="M407">
        <v>564.5</v>
      </c>
      <c r="N407" t="s">
        <v>710</v>
      </c>
      <c r="O407" t="s">
        <v>1037</v>
      </c>
      <c r="P407" t="s">
        <v>4790</v>
      </c>
      <c r="Q407" t="s">
        <v>4852</v>
      </c>
      <c r="R407" t="s">
        <v>4772</v>
      </c>
    </row>
    <row r="408" spans="1:18" x14ac:dyDescent="0.3">
      <c r="A408">
        <v>360</v>
      </c>
      <c r="B408" t="s">
        <v>1034</v>
      </c>
      <c r="C408" t="s">
        <v>479</v>
      </c>
      <c r="D408" t="s">
        <v>99</v>
      </c>
      <c r="E408" s="1">
        <v>46163</v>
      </c>
      <c r="F408" t="s">
        <v>4312</v>
      </c>
      <c r="G408" t="s">
        <v>4597</v>
      </c>
      <c r="H408" t="s">
        <v>478</v>
      </c>
      <c r="I408" t="s">
        <v>204</v>
      </c>
      <c r="J408" s="1">
        <v>46239</v>
      </c>
      <c r="K408" t="s">
        <v>717</v>
      </c>
      <c r="L408">
        <v>41</v>
      </c>
      <c r="M408">
        <v>194.75</v>
      </c>
      <c r="N408" t="s">
        <v>710</v>
      </c>
      <c r="O408" t="s">
        <v>1037</v>
      </c>
      <c r="P408" t="s">
        <v>4790</v>
      </c>
      <c r="Q408" t="s">
        <v>4852</v>
      </c>
      <c r="R408" t="s">
        <v>4772</v>
      </c>
    </row>
    <row r="409" spans="1:18" x14ac:dyDescent="0.3">
      <c r="A409">
        <v>360</v>
      </c>
      <c r="B409" t="s">
        <v>1034</v>
      </c>
      <c r="C409" t="s">
        <v>479</v>
      </c>
      <c r="D409" t="s">
        <v>99</v>
      </c>
      <c r="E409" s="1">
        <v>46163</v>
      </c>
      <c r="F409" t="s">
        <v>4372</v>
      </c>
      <c r="G409" t="s">
        <v>4597</v>
      </c>
      <c r="H409" t="s">
        <v>478</v>
      </c>
      <c r="I409" t="s">
        <v>204</v>
      </c>
      <c r="J409" s="1">
        <v>46239</v>
      </c>
      <c r="K409" t="s">
        <v>717</v>
      </c>
      <c r="L409">
        <v>189</v>
      </c>
      <c r="M409">
        <v>1610.28</v>
      </c>
      <c r="N409" t="s">
        <v>710</v>
      </c>
      <c r="O409" t="s">
        <v>1037</v>
      </c>
      <c r="P409" t="s">
        <v>4790</v>
      </c>
      <c r="Q409" t="s">
        <v>4852</v>
      </c>
      <c r="R409" t="s">
        <v>4772</v>
      </c>
    </row>
    <row r="410" spans="1:18" x14ac:dyDescent="0.3">
      <c r="A410">
        <v>18596</v>
      </c>
      <c r="B410" t="s">
        <v>1034</v>
      </c>
      <c r="C410" t="s">
        <v>632</v>
      </c>
      <c r="D410" t="s">
        <v>41</v>
      </c>
      <c r="E410" s="1">
        <v>46163</v>
      </c>
      <c r="F410" t="s">
        <v>4352</v>
      </c>
      <c r="G410" t="s">
        <v>3580</v>
      </c>
      <c r="H410" t="s">
        <v>631</v>
      </c>
      <c r="I410" t="s">
        <v>204</v>
      </c>
      <c r="J410" s="1">
        <v>50860</v>
      </c>
      <c r="K410" t="s">
        <v>717</v>
      </c>
      <c r="L410">
        <v>1</v>
      </c>
      <c r="M410">
        <v>6708</v>
      </c>
      <c r="N410" t="s">
        <v>710</v>
      </c>
      <c r="O410" t="s">
        <v>4833</v>
      </c>
      <c r="P410" t="s">
        <v>4776</v>
      </c>
      <c r="Q410" t="s">
        <v>4852</v>
      </c>
      <c r="R410" t="s">
        <v>4771</v>
      </c>
    </row>
    <row r="411" spans="1:18" x14ac:dyDescent="0.3">
      <c r="A411">
        <v>12736</v>
      </c>
      <c r="B411" t="s">
        <v>4875</v>
      </c>
      <c r="C411" t="s">
        <v>594</v>
      </c>
      <c r="D411" t="s">
        <v>27</v>
      </c>
      <c r="E411" s="1">
        <v>46162</v>
      </c>
      <c r="F411" t="s">
        <v>4323</v>
      </c>
      <c r="G411" t="s">
        <v>4572</v>
      </c>
      <c r="H411" t="s">
        <v>596</v>
      </c>
      <c r="I411" t="s">
        <v>204</v>
      </c>
      <c r="J411" s="1">
        <v>46204</v>
      </c>
      <c r="K411" t="s">
        <v>768</v>
      </c>
      <c r="L411">
        <v>14259.53</v>
      </c>
      <c r="M411">
        <v>14259.53</v>
      </c>
      <c r="N411" t="s">
        <v>814</v>
      </c>
      <c r="O411" t="s">
        <v>1037</v>
      </c>
      <c r="P411" t="s">
        <v>4794</v>
      </c>
      <c r="Q411" t="s">
        <v>4852</v>
      </c>
      <c r="R411" t="s">
        <v>4772</v>
      </c>
    </row>
    <row r="412" spans="1:18" x14ac:dyDescent="0.3">
      <c r="A412">
        <v>43567</v>
      </c>
      <c r="B412" t="s">
        <v>4875</v>
      </c>
      <c r="C412" t="s">
        <v>327</v>
      </c>
      <c r="D412" t="s">
        <v>159</v>
      </c>
      <c r="E412" s="1">
        <v>46162</v>
      </c>
      <c r="F412" t="s">
        <v>4295</v>
      </c>
      <c r="G412" t="s">
        <v>4544</v>
      </c>
      <c r="H412" t="s">
        <v>326</v>
      </c>
      <c r="I412" t="s">
        <v>204</v>
      </c>
      <c r="J412" s="1">
        <v>54878</v>
      </c>
      <c r="K412" t="s">
        <v>748</v>
      </c>
      <c r="L412">
        <v>2938.88</v>
      </c>
      <c r="M412">
        <v>2938.88</v>
      </c>
      <c r="N412" t="s">
        <v>719</v>
      </c>
      <c r="O412" t="s">
        <v>4834</v>
      </c>
      <c r="P412" t="s">
        <v>4776</v>
      </c>
      <c r="Q412" t="s">
        <v>4856</v>
      </c>
      <c r="R412" t="s">
        <v>4773</v>
      </c>
    </row>
    <row r="413" spans="1:18" x14ac:dyDescent="0.3">
      <c r="A413">
        <v>43568</v>
      </c>
      <c r="B413" t="s">
        <v>4875</v>
      </c>
      <c r="C413" t="s">
        <v>327</v>
      </c>
      <c r="D413" t="s">
        <v>159</v>
      </c>
      <c r="E413" s="1">
        <v>46162</v>
      </c>
      <c r="F413" t="s">
        <v>4295</v>
      </c>
      <c r="G413" t="s">
        <v>4545</v>
      </c>
      <c r="H413" t="s">
        <v>326</v>
      </c>
      <c r="I413" t="s">
        <v>204</v>
      </c>
      <c r="J413" s="1">
        <v>54878</v>
      </c>
      <c r="K413" t="s">
        <v>748</v>
      </c>
      <c r="L413">
        <v>2550</v>
      </c>
      <c r="M413">
        <v>2550</v>
      </c>
      <c r="N413" t="s">
        <v>719</v>
      </c>
      <c r="O413" t="s">
        <v>4834</v>
      </c>
      <c r="P413" t="s">
        <v>4776</v>
      </c>
      <c r="Q413" t="s">
        <v>4856</v>
      </c>
      <c r="R413" t="s">
        <v>4773</v>
      </c>
    </row>
    <row r="414" spans="1:18" x14ac:dyDescent="0.3">
      <c r="A414">
        <v>43589</v>
      </c>
      <c r="B414" t="s">
        <v>1034</v>
      </c>
      <c r="C414" t="s">
        <v>327</v>
      </c>
      <c r="D414" t="s">
        <v>159</v>
      </c>
      <c r="E414" s="1">
        <v>46162</v>
      </c>
      <c r="F414" t="s">
        <v>4295</v>
      </c>
      <c r="G414" t="s">
        <v>4560</v>
      </c>
      <c r="H414" t="s">
        <v>357</v>
      </c>
      <c r="I414" t="s">
        <v>204</v>
      </c>
      <c r="J414" s="1">
        <v>46476</v>
      </c>
      <c r="K414" t="s">
        <v>711</v>
      </c>
      <c r="L414">
        <v>975.1</v>
      </c>
      <c r="M414">
        <v>975.1</v>
      </c>
      <c r="N414" t="s">
        <v>890</v>
      </c>
      <c r="O414" t="s">
        <v>4834</v>
      </c>
      <c r="P414" t="s">
        <v>4776</v>
      </c>
      <c r="Q414" t="s">
        <v>4901</v>
      </c>
      <c r="R414" t="s">
        <v>4773</v>
      </c>
    </row>
    <row r="415" spans="1:18" x14ac:dyDescent="0.3">
      <c r="A415">
        <v>43588</v>
      </c>
      <c r="B415" t="s">
        <v>1034</v>
      </c>
      <c r="C415" t="s">
        <v>327</v>
      </c>
      <c r="D415" t="s">
        <v>159</v>
      </c>
      <c r="E415" s="1">
        <v>46162</v>
      </c>
      <c r="F415" t="s">
        <v>4295</v>
      </c>
      <c r="G415" t="s">
        <v>4559</v>
      </c>
      <c r="H415" t="s">
        <v>357</v>
      </c>
      <c r="I415" t="s">
        <v>204</v>
      </c>
      <c r="J415" s="1">
        <v>46476</v>
      </c>
      <c r="K415" t="s">
        <v>711</v>
      </c>
      <c r="L415">
        <v>2550</v>
      </c>
      <c r="M415">
        <v>2550</v>
      </c>
      <c r="N415" t="s">
        <v>890</v>
      </c>
      <c r="O415" t="s">
        <v>4834</v>
      </c>
      <c r="P415" t="s">
        <v>4776</v>
      </c>
      <c r="Q415" t="s">
        <v>4901</v>
      </c>
      <c r="R415" t="s">
        <v>4773</v>
      </c>
    </row>
    <row r="416" spans="1:18" x14ac:dyDescent="0.3">
      <c r="A416">
        <v>43587</v>
      </c>
      <c r="B416" t="s">
        <v>1034</v>
      </c>
      <c r="C416" t="s">
        <v>327</v>
      </c>
      <c r="D416" t="s">
        <v>159</v>
      </c>
      <c r="E416" s="1">
        <v>46162</v>
      </c>
      <c r="F416" t="s">
        <v>4295</v>
      </c>
      <c r="G416" t="s">
        <v>4558</v>
      </c>
      <c r="H416" t="s">
        <v>357</v>
      </c>
      <c r="I416" t="s">
        <v>204</v>
      </c>
      <c r="J416" s="1">
        <v>46476</v>
      </c>
      <c r="K416" t="s">
        <v>711</v>
      </c>
      <c r="L416">
        <v>1950.2</v>
      </c>
      <c r="M416">
        <v>1950.2</v>
      </c>
      <c r="N416" t="s">
        <v>890</v>
      </c>
      <c r="O416" t="s">
        <v>4834</v>
      </c>
      <c r="P416" t="s">
        <v>4776</v>
      </c>
      <c r="Q416" t="s">
        <v>4901</v>
      </c>
      <c r="R416" t="s">
        <v>4773</v>
      </c>
    </row>
    <row r="417" spans="1:18" x14ac:dyDescent="0.3">
      <c r="A417">
        <v>43586</v>
      </c>
      <c r="B417" t="s">
        <v>1034</v>
      </c>
      <c r="C417" t="s">
        <v>327</v>
      </c>
      <c r="D417" t="s">
        <v>159</v>
      </c>
      <c r="E417" s="1">
        <v>46162</v>
      </c>
      <c r="F417" t="s">
        <v>4295</v>
      </c>
      <c r="G417" t="s">
        <v>4557</v>
      </c>
      <c r="H417" t="s">
        <v>357</v>
      </c>
      <c r="I417" t="s">
        <v>204</v>
      </c>
      <c r="J417" s="1">
        <v>46476</v>
      </c>
      <c r="K417" t="s">
        <v>711</v>
      </c>
      <c r="L417">
        <v>2150</v>
      </c>
      <c r="M417">
        <v>2150</v>
      </c>
      <c r="N417" t="s">
        <v>890</v>
      </c>
      <c r="O417" t="s">
        <v>4834</v>
      </c>
      <c r="P417" t="s">
        <v>4776</v>
      </c>
      <c r="Q417" t="s">
        <v>4901</v>
      </c>
      <c r="R417" t="s">
        <v>4773</v>
      </c>
    </row>
    <row r="418" spans="1:18" x14ac:dyDescent="0.3">
      <c r="A418">
        <v>43585</v>
      </c>
      <c r="B418" t="s">
        <v>1034</v>
      </c>
      <c r="C418" t="s">
        <v>327</v>
      </c>
      <c r="D418" t="s">
        <v>159</v>
      </c>
      <c r="E418" s="1">
        <v>46162</v>
      </c>
      <c r="F418" t="s">
        <v>4295</v>
      </c>
      <c r="G418" t="s">
        <v>4556</v>
      </c>
      <c r="H418" t="s">
        <v>357</v>
      </c>
      <c r="I418" t="s">
        <v>204</v>
      </c>
      <c r="J418" s="1">
        <v>46476</v>
      </c>
      <c r="K418" t="s">
        <v>711</v>
      </c>
      <c r="L418">
        <v>992.25</v>
      </c>
      <c r="M418">
        <v>992.25</v>
      </c>
      <c r="N418" t="s">
        <v>890</v>
      </c>
      <c r="O418" t="s">
        <v>4834</v>
      </c>
      <c r="P418" t="s">
        <v>4776</v>
      </c>
      <c r="Q418" t="s">
        <v>4901</v>
      </c>
      <c r="R418" t="s">
        <v>4773</v>
      </c>
    </row>
    <row r="419" spans="1:18" x14ac:dyDescent="0.3">
      <c r="A419">
        <v>43584</v>
      </c>
      <c r="B419" t="s">
        <v>1034</v>
      </c>
      <c r="C419" t="s">
        <v>327</v>
      </c>
      <c r="D419" t="s">
        <v>159</v>
      </c>
      <c r="E419" s="1">
        <v>46162</v>
      </c>
      <c r="F419" t="s">
        <v>4295</v>
      </c>
      <c r="G419" t="s">
        <v>4555</v>
      </c>
      <c r="H419" t="s">
        <v>357</v>
      </c>
      <c r="I419" t="s">
        <v>204</v>
      </c>
      <c r="J419" s="1">
        <v>46476</v>
      </c>
      <c r="K419" t="s">
        <v>711</v>
      </c>
      <c r="L419">
        <v>2550</v>
      </c>
      <c r="M419">
        <v>2550</v>
      </c>
      <c r="N419" t="s">
        <v>890</v>
      </c>
      <c r="O419" t="s">
        <v>4834</v>
      </c>
      <c r="P419" t="s">
        <v>4776</v>
      </c>
      <c r="Q419" t="s">
        <v>4901</v>
      </c>
      <c r="R419" t="s">
        <v>4773</v>
      </c>
    </row>
    <row r="420" spans="1:18" x14ac:dyDescent="0.3">
      <c r="A420">
        <v>43583</v>
      </c>
      <c r="B420" t="s">
        <v>1034</v>
      </c>
      <c r="C420" t="s">
        <v>327</v>
      </c>
      <c r="D420" t="s">
        <v>159</v>
      </c>
      <c r="E420" s="1">
        <v>46162</v>
      </c>
      <c r="F420" t="s">
        <v>4296</v>
      </c>
      <c r="G420" t="s">
        <v>4554</v>
      </c>
      <c r="H420" t="s">
        <v>357</v>
      </c>
      <c r="I420" t="s">
        <v>204</v>
      </c>
      <c r="J420" s="1">
        <v>46476</v>
      </c>
      <c r="K420" t="s">
        <v>711</v>
      </c>
      <c r="L420">
        <v>2059.1999999999998</v>
      </c>
      <c r="M420">
        <v>2059.1999999999998</v>
      </c>
      <c r="N420" t="s">
        <v>890</v>
      </c>
      <c r="O420" t="s">
        <v>4834</v>
      </c>
      <c r="P420" t="s">
        <v>4776</v>
      </c>
      <c r="Q420" t="s">
        <v>4901</v>
      </c>
      <c r="R420" t="s">
        <v>4773</v>
      </c>
    </row>
    <row r="421" spans="1:18" x14ac:dyDescent="0.3">
      <c r="A421">
        <v>43582</v>
      </c>
      <c r="B421" t="s">
        <v>1034</v>
      </c>
      <c r="C421" t="s">
        <v>327</v>
      </c>
      <c r="D421" t="s">
        <v>159</v>
      </c>
      <c r="E421" s="1">
        <v>46162</v>
      </c>
      <c r="F421" t="s">
        <v>4295</v>
      </c>
      <c r="G421" t="s">
        <v>4553</v>
      </c>
      <c r="H421" t="s">
        <v>357</v>
      </c>
      <c r="I421" t="s">
        <v>204</v>
      </c>
      <c r="J421" s="1">
        <v>46476</v>
      </c>
      <c r="K421" t="s">
        <v>711</v>
      </c>
      <c r="L421">
        <v>2150</v>
      </c>
      <c r="M421">
        <v>2150</v>
      </c>
      <c r="N421" t="s">
        <v>890</v>
      </c>
      <c r="O421" t="s">
        <v>4834</v>
      </c>
      <c r="P421" t="s">
        <v>4776</v>
      </c>
      <c r="Q421" t="s">
        <v>4901</v>
      </c>
      <c r="R421" t="s">
        <v>4773</v>
      </c>
    </row>
    <row r="422" spans="1:18" x14ac:dyDescent="0.3">
      <c r="A422">
        <v>43581</v>
      </c>
      <c r="B422" t="s">
        <v>1034</v>
      </c>
      <c r="C422" t="s">
        <v>327</v>
      </c>
      <c r="D422" t="s">
        <v>159</v>
      </c>
      <c r="E422" s="1">
        <v>46162</v>
      </c>
      <c r="F422" t="s">
        <v>4295</v>
      </c>
      <c r="G422" t="s">
        <v>4552</v>
      </c>
      <c r="H422" t="s">
        <v>357</v>
      </c>
      <c r="I422" t="s">
        <v>204</v>
      </c>
      <c r="J422" s="1">
        <v>46476</v>
      </c>
      <c r="K422" t="s">
        <v>711</v>
      </c>
      <c r="L422">
        <v>1313.55</v>
      </c>
      <c r="M422">
        <v>1313.55</v>
      </c>
      <c r="N422" t="s">
        <v>890</v>
      </c>
      <c r="O422" t="s">
        <v>4834</v>
      </c>
      <c r="P422" t="s">
        <v>4776</v>
      </c>
      <c r="Q422" t="s">
        <v>4901</v>
      </c>
      <c r="R422" t="s">
        <v>4773</v>
      </c>
    </row>
    <row r="423" spans="1:18" x14ac:dyDescent="0.3">
      <c r="A423">
        <v>43580</v>
      </c>
      <c r="B423" t="s">
        <v>1034</v>
      </c>
      <c r="C423" t="s">
        <v>327</v>
      </c>
      <c r="D423" t="s">
        <v>159</v>
      </c>
      <c r="E423" s="1">
        <v>46162</v>
      </c>
      <c r="F423" t="s">
        <v>4295</v>
      </c>
      <c r="G423" t="s">
        <v>4551</v>
      </c>
      <c r="H423" t="s">
        <v>357</v>
      </c>
      <c r="I423" t="s">
        <v>204</v>
      </c>
      <c r="J423" s="1">
        <v>46476</v>
      </c>
      <c r="K423" t="s">
        <v>711</v>
      </c>
      <c r="L423">
        <v>2150</v>
      </c>
      <c r="M423">
        <v>2150</v>
      </c>
      <c r="N423" t="s">
        <v>890</v>
      </c>
      <c r="O423" t="s">
        <v>4834</v>
      </c>
      <c r="P423" t="s">
        <v>4776</v>
      </c>
      <c r="Q423" t="s">
        <v>4901</v>
      </c>
      <c r="R423" t="s">
        <v>4773</v>
      </c>
    </row>
    <row r="424" spans="1:18" x14ac:dyDescent="0.3">
      <c r="A424">
        <v>43578</v>
      </c>
      <c r="B424" t="s">
        <v>1034</v>
      </c>
      <c r="C424" t="s">
        <v>327</v>
      </c>
      <c r="D424" t="s">
        <v>159</v>
      </c>
      <c r="E424" s="1">
        <v>46162</v>
      </c>
      <c r="F424" t="s">
        <v>4295</v>
      </c>
      <c r="G424" t="s">
        <v>4550</v>
      </c>
      <c r="H424" t="s">
        <v>357</v>
      </c>
      <c r="I424" t="s">
        <v>204</v>
      </c>
      <c r="J424" s="1">
        <v>46476</v>
      </c>
      <c r="K424" t="s">
        <v>711</v>
      </c>
      <c r="L424">
        <v>2150</v>
      </c>
      <c r="M424">
        <v>2150</v>
      </c>
      <c r="N424" t="s">
        <v>890</v>
      </c>
      <c r="O424" t="s">
        <v>4834</v>
      </c>
      <c r="P424" t="s">
        <v>4776</v>
      </c>
      <c r="Q424" t="s">
        <v>4901</v>
      </c>
      <c r="R424" t="s">
        <v>4773</v>
      </c>
    </row>
    <row r="425" spans="1:18" x14ac:dyDescent="0.3">
      <c r="A425">
        <v>43577</v>
      </c>
      <c r="B425" t="s">
        <v>1034</v>
      </c>
      <c r="C425" t="s">
        <v>327</v>
      </c>
      <c r="D425" t="s">
        <v>159</v>
      </c>
      <c r="E425" s="1">
        <v>46162</v>
      </c>
      <c r="F425" t="s">
        <v>4295</v>
      </c>
      <c r="G425" t="s">
        <v>4549</v>
      </c>
      <c r="H425" t="s">
        <v>357</v>
      </c>
      <c r="I425" t="s">
        <v>204</v>
      </c>
      <c r="J425" s="1">
        <v>46476</v>
      </c>
      <c r="K425" t="s">
        <v>711</v>
      </c>
      <c r="L425">
        <v>1578.15</v>
      </c>
      <c r="M425">
        <v>1578.15</v>
      </c>
      <c r="N425" t="s">
        <v>890</v>
      </c>
      <c r="O425" t="s">
        <v>4834</v>
      </c>
      <c r="P425" t="s">
        <v>4776</v>
      </c>
      <c r="Q425" t="s">
        <v>4901</v>
      </c>
      <c r="R425" t="s">
        <v>4773</v>
      </c>
    </row>
    <row r="426" spans="1:18" x14ac:dyDescent="0.3">
      <c r="A426">
        <v>4059</v>
      </c>
      <c r="B426" t="s">
        <v>1034</v>
      </c>
      <c r="C426" t="s">
        <v>590</v>
      </c>
      <c r="D426" t="s">
        <v>79</v>
      </c>
      <c r="E426" s="1">
        <v>46162</v>
      </c>
      <c r="F426" t="s">
        <v>4365</v>
      </c>
      <c r="G426" t="s">
        <v>4546</v>
      </c>
      <c r="H426" t="s">
        <v>589</v>
      </c>
      <c r="I426" t="s">
        <v>204</v>
      </c>
      <c r="J426" s="1">
        <v>46387</v>
      </c>
      <c r="K426" t="s">
        <v>717</v>
      </c>
      <c r="L426">
        <v>866</v>
      </c>
      <c r="M426">
        <v>866</v>
      </c>
      <c r="N426" t="s">
        <v>814</v>
      </c>
      <c r="O426" t="s">
        <v>4845</v>
      </c>
      <c r="P426" t="s">
        <v>4793</v>
      </c>
      <c r="Q426" t="s">
        <v>4845</v>
      </c>
      <c r="R426" t="s">
        <v>4773</v>
      </c>
    </row>
    <row r="427" spans="1:18" x14ac:dyDescent="0.3">
      <c r="A427">
        <v>12727</v>
      </c>
      <c r="B427" t="s">
        <v>1034</v>
      </c>
      <c r="C427" t="s">
        <v>594</v>
      </c>
      <c r="D427" t="s">
        <v>27</v>
      </c>
      <c r="E427" s="1">
        <v>46162</v>
      </c>
      <c r="F427" t="s">
        <v>4323</v>
      </c>
      <c r="G427" t="s">
        <v>4571</v>
      </c>
      <c r="H427" t="s">
        <v>595</v>
      </c>
      <c r="I427" t="s">
        <v>204</v>
      </c>
      <c r="J427" s="1">
        <v>46204</v>
      </c>
      <c r="K427" t="s">
        <v>717</v>
      </c>
      <c r="L427">
        <v>10469.040000000001</v>
      </c>
      <c r="M427">
        <v>10469.040000000001</v>
      </c>
      <c r="N427" t="s">
        <v>814</v>
      </c>
      <c r="O427" t="s">
        <v>1037</v>
      </c>
      <c r="P427" t="s">
        <v>4794</v>
      </c>
      <c r="Q427" t="s">
        <v>4852</v>
      </c>
      <c r="R427" t="s">
        <v>4772</v>
      </c>
    </row>
    <row r="428" spans="1:18" x14ac:dyDescent="0.3">
      <c r="A428">
        <v>43590</v>
      </c>
      <c r="B428" t="s">
        <v>1034</v>
      </c>
      <c r="C428" t="s">
        <v>327</v>
      </c>
      <c r="D428" t="s">
        <v>159</v>
      </c>
      <c r="E428" s="1">
        <v>46162</v>
      </c>
      <c r="F428" t="s">
        <v>4295</v>
      </c>
      <c r="G428" t="s">
        <v>4561</v>
      </c>
      <c r="H428" t="s">
        <v>357</v>
      </c>
      <c r="I428" t="s">
        <v>204</v>
      </c>
      <c r="J428" s="1">
        <v>46476</v>
      </c>
      <c r="K428" t="s">
        <v>711</v>
      </c>
      <c r="L428">
        <v>2550</v>
      </c>
      <c r="M428">
        <v>2550</v>
      </c>
      <c r="N428" t="s">
        <v>890</v>
      </c>
      <c r="O428" t="s">
        <v>4834</v>
      </c>
      <c r="P428" t="s">
        <v>4776</v>
      </c>
      <c r="Q428" t="s">
        <v>4901</v>
      </c>
      <c r="R428" t="s">
        <v>4773</v>
      </c>
    </row>
    <row r="429" spans="1:18" x14ac:dyDescent="0.3">
      <c r="A429">
        <v>14082</v>
      </c>
      <c r="B429" t="s">
        <v>1034</v>
      </c>
      <c r="C429" t="s">
        <v>598</v>
      </c>
      <c r="D429" t="s">
        <v>128</v>
      </c>
      <c r="E429" s="1">
        <v>46162</v>
      </c>
      <c r="F429" t="s">
        <v>4336</v>
      </c>
      <c r="G429" t="s">
        <v>4570</v>
      </c>
      <c r="H429" t="s">
        <v>597</v>
      </c>
      <c r="I429" t="s">
        <v>204</v>
      </c>
      <c r="J429" s="1">
        <v>45839</v>
      </c>
      <c r="K429" t="s">
        <v>717</v>
      </c>
      <c r="L429">
        <v>5053.42</v>
      </c>
      <c r="M429">
        <v>5053.42</v>
      </c>
      <c r="N429" t="s">
        <v>710</v>
      </c>
      <c r="O429" t="s">
        <v>1037</v>
      </c>
      <c r="P429" t="s">
        <v>4794</v>
      </c>
      <c r="Q429" t="s">
        <v>4852</v>
      </c>
      <c r="R429" t="s">
        <v>4772</v>
      </c>
    </row>
    <row r="430" spans="1:18" x14ac:dyDescent="0.3">
      <c r="A430">
        <v>10843062</v>
      </c>
      <c r="B430" t="s">
        <v>1034</v>
      </c>
      <c r="C430" t="s">
        <v>433</v>
      </c>
      <c r="D430" t="s">
        <v>168</v>
      </c>
      <c r="E430" s="1">
        <v>46162</v>
      </c>
      <c r="F430" t="s">
        <v>4319</v>
      </c>
      <c r="G430" t="s">
        <v>4565</v>
      </c>
      <c r="H430" t="s">
        <v>699</v>
      </c>
      <c r="I430" t="s">
        <v>204</v>
      </c>
      <c r="J430" s="1">
        <v>46477</v>
      </c>
      <c r="K430" t="s">
        <v>717</v>
      </c>
      <c r="L430">
        <v>327</v>
      </c>
      <c r="M430">
        <v>327.02</v>
      </c>
      <c r="N430" t="s">
        <v>719</v>
      </c>
      <c r="O430" t="s">
        <v>4833</v>
      </c>
      <c r="P430" t="s">
        <v>4802</v>
      </c>
      <c r="Q430" t="s">
        <v>4852</v>
      </c>
      <c r="R430" t="s">
        <v>807</v>
      </c>
    </row>
    <row r="431" spans="1:18" x14ac:dyDescent="0.3">
      <c r="A431">
        <v>80601</v>
      </c>
      <c r="B431" t="s">
        <v>4874</v>
      </c>
      <c r="C431" t="s">
        <v>634</v>
      </c>
      <c r="D431" t="s">
        <v>99</v>
      </c>
      <c r="E431" s="1">
        <v>46162</v>
      </c>
      <c r="F431" t="s">
        <v>4394</v>
      </c>
      <c r="G431" t="s">
        <v>4567</v>
      </c>
      <c r="H431" t="s">
        <v>633</v>
      </c>
      <c r="I431" t="s">
        <v>204</v>
      </c>
      <c r="J431" s="1">
        <v>46204</v>
      </c>
      <c r="K431" t="s">
        <v>762</v>
      </c>
      <c r="L431">
        <v>2025</v>
      </c>
      <c r="M431">
        <v>2025</v>
      </c>
      <c r="N431" t="s">
        <v>719</v>
      </c>
      <c r="O431" t="s">
        <v>1037</v>
      </c>
      <c r="P431" t="s">
        <v>4790</v>
      </c>
      <c r="Q431" t="s">
        <v>4852</v>
      </c>
    </row>
    <row r="432" spans="1:18" x14ac:dyDescent="0.3">
      <c r="A432">
        <v>80601</v>
      </c>
      <c r="B432" t="s">
        <v>4874</v>
      </c>
      <c r="C432" t="s">
        <v>634</v>
      </c>
      <c r="D432" t="s">
        <v>99</v>
      </c>
      <c r="E432" s="1">
        <v>46162</v>
      </c>
      <c r="F432" t="s">
        <v>4405</v>
      </c>
      <c r="G432" t="s">
        <v>4567</v>
      </c>
      <c r="H432" t="s">
        <v>633</v>
      </c>
      <c r="I432" t="s">
        <v>204</v>
      </c>
      <c r="J432" s="1">
        <v>46204</v>
      </c>
      <c r="K432" t="s">
        <v>762</v>
      </c>
      <c r="L432">
        <v>51</v>
      </c>
      <c r="M432">
        <v>68.849999999999994</v>
      </c>
      <c r="N432" t="s">
        <v>719</v>
      </c>
      <c r="O432" t="s">
        <v>1037</v>
      </c>
      <c r="P432" t="s">
        <v>4790</v>
      </c>
      <c r="Q432" t="s">
        <v>4852</v>
      </c>
    </row>
    <row r="433" spans="1:18" x14ac:dyDescent="0.3">
      <c r="A433">
        <v>80601</v>
      </c>
      <c r="B433" t="s">
        <v>4874</v>
      </c>
      <c r="C433" t="s">
        <v>634</v>
      </c>
      <c r="D433" t="s">
        <v>99</v>
      </c>
      <c r="E433" s="1">
        <v>46162</v>
      </c>
      <c r="F433" t="s">
        <v>4313</v>
      </c>
      <c r="G433" t="s">
        <v>4567</v>
      </c>
      <c r="H433" t="s">
        <v>633</v>
      </c>
      <c r="I433" t="s">
        <v>204</v>
      </c>
      <c r="J433" s="1">
        <v>46204</v>
      </c>
      <c r="K433" t="s">
        <v>762</v>
      </c>
      <c r="L433">
        <v>2</v>
      </c>
      <c r="M433">
        <v>13.14</v>
      </c>
      <c r="N433" t="s">
        <v>719</v>
      </c>
      <c r="O433" t="s">
        <v>1037</v>
      </c>
      <c r="P433" t="s">
        <v>4790</v>
      </c>
      <c r="Q433" t="s">
        <v>4852</v>
      </c>
    </row>
    <row r="434" spans="1:18" x14ac:dyDescent="0.3">
      <c r="A434">
        <v>80601</v>
      </c>
      <c r="B434" t="s">
        <v>4874</v>
      </c>
      <c r="C434" t="s">
        <v>634</v>
      </c>
      <c r="D434" t="s">
        <v>99</v>
      </c>
      <c r="E434" s="1">
        <v>46162</v>
      </c>
      <c r="F434" t="s">
        <v>4371</v>
      </c>
      <c r="G434" t="s">
        <v>4567</v>
      </c>
      <c r="H434" t="s">
        <v>633</v>
      </c>
      <c r="I434" t="s">
        <v>204</v>
      </c>
      <c r="J434" s="1">
        <v>46204</v>
      </c>
      <c r="K434" t="s">
        <v>762</v>
      </c>
      <c r="L434">
        <v>51</v>
      </c>
      <c r="M434">
        <v>1073.55</v>
      </c>
      <c r="N434" t="s">
        <v>719</v>
      </c>
      <c r="O434" t="s">
        <v>1037</v>
      </c>
      <c r="P434" t="s">
        <v>4790</v>
      </c>
      <c r="Q434" t="s">
        <v>4852</v>
      </c>
    </row>
    <row r="435" spans="1:18" x14ac:dyDescent="0.3">
      <c r="A435">
        <v>80601</v>
      </c>
      <c r="B435" t="s">
        <v>4874</v>
      </c>
      <c r="C435" t="s">
        <v>634</v>
      </c>
      <c r="D435" t="s">
        <v>99</v>
      </c>
      <c r="E435" s="1">
        <v>46162</v>
      </c>
      <c r="F435" t="s">
        <v>4307</v>
      </c>
      <c r="G435" t="s">
        <v>4567</v>
      </c>
      <c r="H435" t="s">
        <v>633</v>
      </c>
      <c r="I435" t="s">
        <v>204</v>
      </c>
      <c r="J435" s="1">
        <v>46204</v>
      </c>
      <c r="K435" t="s">
        <v>762</v>
      </c>
      <c r="L435">
        <v>2025</v>
      </c>
      <c r="M435">
        <v>31569.75</v>
      </c>
      <c r="N435" t="s">
        <v>719</v>
      </c>
      <c r="O435" t="s">
        <v>1037</v>
      </c>
      <c r="P435" t="s">
        <v>4790</v>
      </c>
      <c r="Q435" t="s">
        <v>4852</v>
      </c>
    </row>
    <row r="436" spans="1:18" x14ac:dyDescent="0.3">
      <c r="A436">
        <v>80601</v>
      </c>
      <c r="B436" t="s">
        <v>4874</v>
      </c>
      <c r="C436" t="s">
        <v>634</v>
      </c>
      <c r="D436" t="s">
        <v>99</v>
      </c>
      <c r="E436" s="1">
        <v>46162</v>
      </c>
      <c r="F436" t="s">
        <v>4329</v>
      </c>
      <c r="G436" t="s">
        <v>4567</v>
      </c>
      <c r="H436" t="s">
        <v>633</v>
      </c>
      <c r="I436" t="s">
        <v>204</v>
      </c>
      <c r="J436" s="1">
        <v>46204</v>
      </c>
      <c r="K436" t="s">
        <v>762</v>
      </c>
      <c r="L436">
        <v>57</v>
      </c>
      <c r="M436">
        <v>757.53</v>
      </c>
      <c r="N436" t="s">
        <v>719</v>
      </c>
      <c r="O436" t="s">
        <v>1037</v>
      </c>
      <c r="P436" t="s">
        <v>4790</v>
      </c>
      <c r="Q436" t="s">
        <v>4852</v>
      </c>
    </row>
    <row r="437" spans="1:18" x14ac:dyDescent="0.3">
      <c r="A437">
        <v>80601</v>
      </c>
      <c r="B437" t="s">
        <v>4874</v>
      </c>
      <c r="C437" t="s">
        <v>634</v>
      </c>
      <c r="D437" t="s">
        <v>99</v>
      </c>
      <c r="E437" s="1">
        <v>46162</v>
      </c>
      <c r="F437" t="s">
        <v>4422</v>
      </c>
      <c r="G437" t="s">
        <v>4567</v>
      </c>
      <c r="H437" t="s">
        <v>633</v>
      </c>
      <c r="I437" t="s">
        <v>204</v>
      </c>
      <c r="J437" s="1">
        <v>46204</v>
      </c>
      <c r="K437" t="s">
        <v>762</v>
      </c>
      <c r="L437">
        <v>12</v>
      </c>
      <c r="M437">
        <v>70.319999999999993</v>
      </c>
      <c r="N437" t="s">
        <v>719</v>
      </c>
      <c r="O437" t="s">
        <v>1037</v>
      </c>
      <c r="P437" t="s">
        <v>4790</v>
      </c>
      <c r="Q437" t="s">
        <v>4852</v>
      </c>
    </row>
    <row r="438" spans="1:18" x14ac:dyDescent="0.3">
      <c r="A438">
        <v>10847158</v>
      </c>
      <c r="B438" t="s">
        <v>4874</v>
      </c>
      <c r="C438" t="s">
        <v>433</v>
      </c>
      <c r="D438" t="s">
        <v>168</v>
      </c>
      <c r="E438" s="1">
        <v>46162</v>
      </c>
      <c r="F438" t="s">
        <v>4319</v>
      </c>
      <c r="G438" t="s">
        <v>4564</v>
      </c>
      <c r="H438" t="s">
        <v>432</v>
      </c>
      <c r="I438" t="s">
        <v>204</v>
      </c>
      <c r="J438" s="1">
        <v>46473</v>
      </c>
      <c r="K438" t="s">
        <v>762</v>
      </c>
      <c r="L438">
        <v>40</v>
      </c>
      <c r="M438">
        <v>40.47</v>
      </c>
      <c r="N438" t="s">
        <v>710</v>
      </c>
      <c r="O438" t="s">
        <v>4833</v>
      </c>
      <c r="P438" t="s">
        <v>4802</v>
      </c>
      <c r="Q438" t="s">
        <v>4852</v>
      </c>
      <c r="R438" t="s">
        <v>4771</v>
      </c>
    </row>
    <row r="439" spans="1:18" x14ac:dyDescent="0.3">
      <c r="A439">
        <v>80601</v>
      </c>
      <c r="B439" t="s">
        <v>4874</v>
      </c>
      <c r="C439" t="s">
        <v>634</v>
      </c>
      <c r="D439" t="s">
        <v>99</v>
      </c>
      <c r="E439" s="1">
        <v>46162</v>
      </c>
      <c r="F439" t="s">
        <v>4309</v>
      </c>
      <c r="G439" t="s">
        <v>4567</v>
      </c>
      <c r="H439" t="s">
        <v>633</v>
      </c>
      <c r="I439" t="s">
        <v>204</v>
      </c>
      <c r="J439" s="1">
        <v>46204</v>
      </c>
      <c r="K439" t="s">
        <v>762</v>
      </c>
      <c r="L439">
        <v>1</v>
      </c>
      <c r="M439">
        <v>4.6399999999999997</v>
      </c>
      <c r="N439" t="s">
        <v>719</v>
      </c>
      <c r="O439" t="s">
        <v>1037</v>
      </c>
      <c r="P439" t="s">
        <v>4790</v>
      </c>
      <c r="Q439" t="s">
        <v>4852</v>
      </c>
    </row>
    <row r="440" spans="1:18" x14ac:dyDescent="0.3">
      <c r="A440">
        <v>10841578</v>
      </c>
      <c r="B440" t="s">
        <v>4874</v>
      </c>
      <c r="C440" t="s">
        <v>433</v>
      </c>
      <c r="D440" t="s">
        <v>168</v>
      </c>
      <c r="E440" s="1">
        <v>46162</v>
      </c>
      <c r="F440" t="s">
        <v>4319</v>
      </c>
      <c r="G440" t="s">
        <v>4566</v>
      </c>
      <c r="H440" t="s">
        <v>432</v>
      </c>
      <c r="I440" t="s">
        <v>204</v>
      </c>
      <c r="J440" s="1">
        <v>46473</v>
      </c>
      <c r="K440" t="s">
        <v>762</v>
      </c>
      <c r="L440">
        <v>145</v>
      </c>
      <c r="M440">
        <v>144.87</v>
      </c>
      <c r="N440" t="s">
        <v>710</v>
      </c>
      <c r="O440" t="s">
        <v>4833</v>
      </c>
      <c r="P440" t="s">
        <v>4802</v>
      </c>
      <c r="Q440" t="s">
        <v>4852</v>
      </c>
      <c r="R440" t="s">
        <v>4771</v>
      </c>
    </row>
    <row r="441" spans="1:18" x14ac:dyDescent="0.3">
      <c r="A441">
        <v>14074</v>
      </c>
      <c r="B441" t="s">
        <v>4874</v>
      </c>
      <c r="C441" t="s">
        <v>598</v>
      </c>
      <c r="D441" t="s">
        <v>128</v>
      </c>
      <c r="E441" s="1">
        <v>46162</v>
      </c>
      <c r="F441" t="s">
        <v>4336</v>
      </c>
      <c r="G441" t="s">
        <v>4569</v>
      </c>
      <c r="H441" t="s">
        <v>599</v>
      </c>
      <c r="I441" t="s">
        <v>204</v>
      </c>
      <c r="J441" s="1">
        <v>45869</v>
      </c>
      <c r="K441" t="s">
        <v>762</v>
      </c>
      <c r="L441">
        <v>4285.2299999999996</v>
      </c>
      <c r="M441">
        <v>4285.2299999999996</v>
      </c>
      <c r="N441" t="s">
        <v>710</v>
      </c>
      <c r="O441" t="s">
        <v>1037</v>
      </c>
      <c r="P441" t="s">
        <v>4794</v>
      </c>
      <c r="Q441" t="s">
        <v>4852</v>
      </c>
      <c r="R441" t="s">
        <v>4772</v>
      </c>
    </row>
    <row r="442" spans="1:18" x14ac:dyDescent="0.3">
      <c r="A442">
        <v>80601</v>
      </c>
      <c r="B442" t="s">
        <v>4874</v>
      </c>
      <c r="C442" t="s">
        <v>634</v>
      </c>
      <c r="D442" t="s">
        <v>99</v>
      </c>
      <c r="E442" s="1">
        <v>46162</v>
      </c>
      <c r="F442" t="s">
        <v>4308</v>
      </c>
      <c r="G442" t="s">
        <v>4567</v>
      </c>
      <c r="H442" t="s">
        <v>633</v>
      </c>
      <c r="I442" t="s">
        <v>204</v>
      </c>
      <c r="J442" s="1">
        <v>46204</v>
      </c>
      <c r="K442" t="s">
        <v>762</v>
      </c>
      <c r="L442">
        <v>71</v>
      </c>
      <c r="M442">
        <v>345.77</v>
      </c>
      <c r="N442" t="s">
        <v>719</v>
      </c>
      <c r="O442" t="s">
        <v>1037</v>
      </c>
      <c r="P442" t="s">
        <v>4790</v>
      </c>
      <c r="Q442" t="s">
        <v>4852</v>
      </c>
    </row>
    <row r="443" spans="1:18" x14ac:dyDescent="0.3">
      <c r="A443">
        <v>69376764</v>
      </c>
      <c r="B443" t="s">
        <v>4874</v>
      </c>
      <c r="C443" t="s">
        <v>653</v>
      </c>
      <c r="D443" t="s">
        <v>14</v>
      </c>
      <c r="E443" s="1">
        <v>46162</v>
      </c>
      <c r="F443" t="s">
        <v>4336</v>
      </c>
      <c r="G443" t="s">
        <v>4568</v>
      </c>
      <c r="H443" t="s">
        <v>652</v>
      </c>
      <c r="I443" t="s">
        <v>204</v>
      </c>
      <c r="J443" s="1">
        <v>46583</v>
      </c>
      <c r="K443" t="s">
        <v>762</v>
      </c>
      <c r="L443">
        <v>86359.87</v>
      </c>
      <c r="M443">
        <v>86359.87</v>
      </c>
      <c r="N443" t="s">
        <v>710</v>
      </c>
      <c r="O443" t="s">
        <v>1037</v>
      </c>
      <c r="P443" t="s">
        <v>4794</v>
      </c>
      <c r="Q443" t="s">
        <v>4852</v>
      </c>
      <c r="R443" t="s">
        <v>807</v>
      </c>
    </row>
    <row r="444" spans="1:18" x14ac:dyDescent="0.3">
      <c r="A444">
        <v>64397</v>
      </c>
      <c r="B444" t="s">
        <v>4874</v>
      </c>
      <c r="C444" t="s">
        <v>426</v>
      </c>
      <c r="D444" t="s">
        <v>54</v>
      </c>
      <c r="E444" s="1">
        <v>46162</v>
      </c>
      <c r="F444" t="s">
        <v>4409</v>
      </c>
      <c r="G444" t="s">
        <v>4573</v>
      </c>
      <c r="H444" t="s">
        <v>425</v>
      </c>
      <c r="I444" t="s">
        <v>204</v>
      </c>
      <c r="J444" s="1">
        <v>46752</v>
      </c>
      <c r="K444" t="s">
        <v>785</v>
      </c>
      <c r="L444">
        <v>1</v>
      </c>
      <c r="M444">
        <v>85928</v>
      </c>
      <c r="N444" t="s">
        <v>710</v>
      </c>
      <c r="O444" t="s">
        <v>1038</v>
      </c>
      <c r="P444" t="s">
        <v>4787</v>
      </c>
      <c r="Q444" t="s">
        <v>4858</v>
      </c>
      <c r="R444" t="s">
        <v>4771</v>
      </c>
    </row>
    <row r="445" spans="1:18" x14ac:dyDescent="0.3">
      <c r="A445">
        <v>41256</v>
      </c>
      <c r="B445" t="s">
        <v>4874</v>
      </c>
      <c r="C445" t="s">
        <v>447</v>
      </c>
      <c r="D445" t="s">
        <v>57</v>
      </c>
      <c r="E445" s="1">
        <v>46162</v>
      </c>
      <c r="F445" t="s">
        <v>4345</v>
      </c>
      <c r="G445" t="s">
        <v>4487</v>
      </c>
      <c r="H445" t="s">
        <v>446</v>
      </c>
      <c r="I445" t="s">
        <v>204</v>
      </c>
      <c r="J445" s="1">
        <v>46203</v>
      </c>
      <c r="K445" t="s">
        <v>762</v>
      </c>
      <c r="L445">
        <v>1</v>
      </c>
      <c r="M445">
        <v>793.23</v>
      </c>
      <c r="N445" t="s">
        <v>710</v>
      </c>
      <c r="O445" t="s">
        <v>1038</v>
      </c>
      <c r="P445" t="s">
        <v>4776</v>
      </c>
      <c r="Q445" t="s">
        <v>4858</v>
      </c>
      <c r="R445" t="s">
        <v>4774</v>
      </c>
    </row>
    <row r="446" spans="1:18" x14ac:dyDescent="0.3">
      <c r="A446">
        <v>80601</v>
      </c>
      <c r="B446" t="s">
        <v>4874</v>
      </c>
      <c r="C446" t="s">
        <v>634</v>
      </c>
      <c r="D446" t="s">
        <v>99</v>
      </c>
      <c r="E446" s="1">
        <v>46162</v>
      </c>
      <c r="F446" t="s">
        <v>4310</v>
      </c>
      <c r="G446" t="s">
        <v>4567</v>
      </c>
      <c r="H446" t="s">
        <v>633</v>
      </c>
      <c r="I446" t="s">
        <v>204</v>
      </c>
      <c r="J446" s="1">
        <v>46204</v>
      </c>
      <c r="K446" t="s">
        <v>762</v>
      </c>
      <c r="L446">
        <v>89</v>
      </c>
      <c r="M446">
        <v>325.74</v>
      </c>
      <c r="N446" t="s">
        <v>719</v>
      </c>
      <c r="O446" t="s">
        <v>1037</v>
      </c>
      <c r="P446" t="s">
        <v>4790</v>
      </c>
      <c r="Q446" t="s">
        <v>4852</v>
      </c>
    </row>
    <row r="447" spans="1:18" x14ac:dyDescent="0.3">
      <c r="A447">
        <v>5706</v>
      </c>
      <c r="B447" t="s">
        <v>4874</v>
      </c>
      <c r="C447" t="s">
        <v>444</v>
      </c>
      <c r="D447" t="s">
        <v>21</v>
      </c>
      <c r="E447" s="1">
        <v>46161</v>
      </c>
      <c r="F447" t="s">
        <v>4380</v>
      </c>
      <c r="G447" t="s">
        <v>4510</v>
      </c>
      <c r="H447" t="s">
        <v>443</v>
      </c>
      <c r="I447" t="s">
        <v>209</v>
      </c>
      <c r="J447" s="1">
        <v>54878</v>
      </c>
      <c r="K447" t="s">
        <v>762</v>
      </c>
      <c r="L447">
        <v>480</v>
      </c>
      <c r="M447">
        <v>480</v>
      </c>
      <c r="N447" t="s">
        <v>710</v>
      </c>
      <c r="O447" t="s">
        <v>1037</v>
      </c>
      <c r="P447" t="s">
        <v>4808</v>
      </c>
      <c r="Q447" t="s">
        <v>4852</v>
      </c>
      <c r="R447" t="s">
        <v>4772</v>
      </c>
    </row>
    <row r="448" spans="1:18" x14ac:dyDescent="0.3">
      <c r="A448">
        <v>2511</v>
      </c>
      <c r="B448" t="s">
        <v>4874</v>
      </c>
      <c r="C448" t="s">
        <v>616</v>
      </c>
      <c r="D448" t="s">
        <v>152</v>
      </c>
      <c r="E448" s="1">
        <v>46160</v>
      </c>
      <c r="F448" t="s">
        <v>4338</v>
      </c>
      <c r="G448" t="s">
        <v>4525</v>
      </c>
      <c r="H448" t="s">
        <v>615</v>
      </c>
      <c r="I448" t="s">
        <v>204</v>
      </c>
      <c r="J448" s="1">
        <v>46327</v>
      </c>
      <c r="K448" t="s">
        <v>720</v>
      </c>
      <c r="L448">
        <v>92282.94</v>
      </c>
      <c r="M448">
        <v>92282.94</v>
      </c>
      <c r="N448" t="s">
        <v>710</v>
      </c>
      <c r="O448" t="s">
        <v>4834</v>
      </c>
      <c r="P448" t="s">
        <v>4776</v>
      </c>
      <c r="Q448" t="s">
        <v>4858</v>
      </c>
      <c r="R448" t="s">
        <v>4772</v>
      </c>
    </row>
    <row r="449" spans="1:18" x14ac:dyDescent="0.3">
      <c r="A449">
        <v>62451</v>
      </c>
      <c r="B449" t="s">
        <v>4874</v>
      </c>
      <c r="C449" t="s">
        <v>630</v>
      </c>
      <c r="D449" t="s">
        <v>145</v>
      </c>
      <c r="E449" s="1">
        <v>46160</v>
      </c>
      <c r="F449" t="s">
        <v>4297</v>
      </c>
      <c r="G449" t="s">
        <v>4529</v>
      </c>
      <c r="H449" t="s">
        <v>629</v>
      </c>
      <c r="I449" t="s">
        <v>204</v>
      </c>
      <c r="J449" s="1">
        <v>46264</v>
      </c>
      <c r="K449" t="s">
        <v>720</v>
      </c>
      <c r="L449">
        <v>1</v>
      </c>
      <c r="M449">
        <v>6250</v>
      </c>
      <c r="N449" t="s">
        <v>710</v>
      </c>
      <c r="O449" t="s">
        <v>4849</v>
      </c>
      <c r="P449" t="s">
        <v>4777</v>
      </c>
      <c r="Q449" t="s">
        <v>4855</v>
      </c>
      <c r="R449" t="s">
        <v>4771</v>
      </c>
    </row>
    <row r="450" spans="1:18" x14ac:dyDescent="0.3">
      <c r="A450">
        <v>2298110</v>
      </c>
      <c r="B450" t="s">
        <v>4874</v>
      </c>
      <c r="C450" t="s">
        <v>668</v>
      </c>
      <c r="D450" t="s">
        <v>84</v>
      </c>
      <c r="E450" s="1">
        <v>46160</v>
      </c>
      <c r="F450" t="s">
        <v>4324</v>
      </c>
      <c r="G450" t="s">
        <v>4535</v>
      </c>
      <c r="H450" t="s">
        <v>667</v>
      </c>
      <c r="I450" t="s">
        <v>204</v>
      </c>
      <c r="J450" s="1">
        <v>46676</v>
      </c>
      <c r="K450" t="s">
        <v>762</v>
      </c>
      <c r="L450">
        <v>1000</v>
      </c>
      <c r="M450">
        <v>1000</v>
      </c>
      <c r="N450" t="s">
        <v>1000</v>
      </c>
      <c r="O450" t="s">
        <v>1037</v>
      </c>
      <c r="P450" t="s">
        <v>4799</v>
      </c>
      <c r="Q450" t="s">
        <v>4852</v>
      </c>
      <c r="R450" t="s">
        <v>807</v>
      </c>
    </row>
    <row r="451" spans="1:18" x14ac:dyDescent="0.3">
      <c r="A451">
        <v>2298191</v>
      </c>
      <c r="B451" t="s">
        <v>4874</v>
      </c>
      <c r="C451" t="s">
        <v>668</v>
      </c>
      <c r="D451" t="s">
        <v>84</v>
      </c>
      <c r="E451" s="1">
        <v>46160</v>
      </c>
      <c r="F451" t="s">
        <v>4324</v>
      </c>
      <c r="G451" t="s">
        <v>4534</v>
      </c>
      <c r="H451" t="s">
        <v>667</v>
      </c>
      <c r="I451" t="s">
        <v>204</v>
      </c>
      <c r="J451" s="1">
        <v>46676</v>
      </c>
      <c r="K451" t="s">
        <v>762</v>
      </c>
      <c r="L451">
        <v>120167</v>
      </c>
      <c r="M451">
        <v>120167</v>
      </c>
      <c r="N451" t="s">
        <v>1000</v>
      </c>
      <c r="O451" t="s">
        <v>1037</v>
      </c>
      <c r="P451" t="s">
        <v>4799</v>
      </c>
      <c r="Q451" t="s">
        <v>4852</v>
      </c>
      <c r="R451" t="s">
        <v>807</v>
      </c>
    </row>
    <row r="452" spans="1:18" x14ac:dyDescent="0.3">
      <c r="A452">
        <v>16545</v>
      </c>
      <c r="B452" t="s">
        <v>4874</v>
      </c>
      <c r="C452" t="s">
        <v>439</v>
      </c>
      <c r="D452" t="s">
        <v>156</v>
      </c>
      <c r="E452" s="1">
        <v>46160</v>
      </c>
      <c r="F452" t="s">
        <v>4396</v>
      </c>
      <c r="G452" t="s">
        <v>4540</v>
      </c>
      <c r="H452" t="s">
        <v>438</v>
      </c>
      <c r="I452" t="s">
        <v>204</v>
      </c>
      <c r="J452" s="1">
        <v>46265</v>
      </c>
      <c r="K452" t="s">
        <v>762</v>
      </c>
      <c r="L452">
        <v>7336.21</v>
      </c>
      <c r="M452">
        <v>7336.21</v>
      </c>
      <c r="N452" t="s">
        <v>710</v>
      </c>
      <c r="O452" t="s">
        <v>1037</v>
      </c>
      <c r="P452" t="s">
        <v>4789</v>
      </c>
      <c r="Q452" t="s">
        <v>4852</v>
      </c>
      <c r="R452" t="s">
        <v>4771</v>
      </c>
    </row>
    <row r="453" spans="1:18" x14ac:dyDescent="0.3">
      <c r="A453">
        <v>7438</v>
      </c>
      <c r="B453" t="s">
        <v>4874</v>
      </c>
      <c r="C453" t="s">
        <v>484</v>
      </c>
      <c r="D453" t="s">
        <v>140</v>
      </c>
      <c r="E453" s="1">
        <v>46160</v>
      </c>
      <c r="F453" t="s">
        <v>4345</v>
      </c>
      <c r="G453" t="s">
        <v>4480</v>
      </c>
      <c r="H453" t="s">
        <v>483</v>
      </c>
      <c r="I453" t="s">
        <v>204</v>
      </c>
      <c r="J453" s="1">
        <v>46508</v>
      </c>
      <c r="K453" t="s">
        <v>762</v>
      </c>
      <c r="L453">
        <v>49120</v>
      </c>
      <c r="M453">
        <v>49120</v>
      </c>
      <c r="N453" t="s">
        <v>710</v>
      </c>
      <c r="O453" t="s">
        <v>4833</v>
      </c>
      <c r="P453" t="s">
        <v>4776</v>
      </c>
      <c r="Q453" t="s">
        <v>4852</v>
      </c>
      <c r="R453" t="s">
        <v>4773</v>
      </c>
    </row>
    <row r="454" spans="1:18" x14ac:dyDescent="0.3">
      <c r="A454">
        <v>299136</v>
      </c>
      <c r="B454" t="s">
        <v>4874</v>
      </c>
      <c r="C454" t="s">
        <v>391</v>
      </c>
      <c r="D454" t="s">
        <v>104</v>
      </c>
      <c r="E454" s="1">
        <v>46160</v>
      </c>
      <c r="F454" t="s">
        <v>4423</v>
      </c>
      <c r="G454" t="s">
        <v>4481</v>
      </c>
      <c r="H454" t="s">
        <v>390</v>
      </c>
      <c r="I454" t="s">
        <v>204</v>
      </c>
      <c r="J454" s="1">
        <v>54878</v>
      </c>
      <c r="K454" t="s">
        <v>762</v>
      </c>
      <c r="L454">
        <v>312.67</v>
      </c>
      <c r="M454">
        <v>312.67</v>
      </c>
      <c r="N454" t="s">
        <v>710</v>
      </c>
      <c r="O454" t="s">
        <v>4833</v>
      </c>
      <c r="P454" t="s">
        <v>4776</v>
      </c>
      <c r="Q454" t="s">
        <v>4852</v>
      </c>
      <c r="R454" t="s">
        <v>4773</v>
      </c>
    </row>
    <row r="455" spans="1:18" x14ac:dyDescent="0.3">
      <c r="A455">
        <v>4207087</v>
      </c>
      <c r="B455" t="s">
        <v>4874</v>
      </c>
      <c r="C455" t="s">
        <v>417</v>
      </c>
      <c r="D455" t="s">
        <v>185</v>
      </c>
      <c r="E455" s="1">
        <v>46160</v>
      </c>
      <c r="F455" t="s">
        <v>4335</v>
      </c>
      <c r="G455" t="s">
        <v>4280</v>
      </c>
      <c r="H455" t="s">
        <v>461</v>
      </c>
      <c r="I455" t="s">
        <v>204</v>
      </c>
      <c r="J455" s="1">
        <v>54878</v>
      </c>
      <c r="K455" t="s">
        <v>762</v>
      </c>
      <c r="L455">
        <v>6697.19</v>
      </c>
      <c r="M455">
        <v>6697.19</v>
      </c>
      <c r="N455" t="s">
        <v>710</v>
      </c>
      <c r="O455" t="s">
        <v>1037</v>
      </c>
      <c r="P455" t="s">
        <v>4780</v>
      </c>
      <c r="Q455" t="s">
        <v>4852</v>
      </c>
      <c r="R455" t="s">
        <v>4771</v>
      </c>
    </row>
    <row r="456" spans="1:18" x14ac:dyDescent="0.3">
      <c r="A456">
        <v>18625</v>
      </c>
      <c r="B456" t="s">
        <v>4874</v>
      </c>
      <c r="C456" t="s">
        <v>391</v>
      </c>
      <c r="D456" t="s">
        <v>104</v>
      </c>
      <c r="E456" s="1">
        <v>46160</v>
      </c>
      <c r="F456" t="s">
        <v>4306</v>
      </c>
      <c r="G456" t="s">
        <v>4476</v>
      </c>
      <c r="H456" t="s">
        <v>390</v>
      </c>
      <c r="I456" t="s">
        <v>204</v>
      </c>
      <c r="J456" s="1">
        <v>54878</v>
      </c>
      <c r="K456" t="s">
        <v>762</v>
      </c>
      <c r="L456">
        <v>1435.1</v>
      </c>
      <c r="M456">
        <v>1435.1</v>
      </c>
      <c r="N456" t="s">
        <v>710</v>
      </c>
      <c r="O456" t="s">
        <v>4833</v>
      </c>
      <c r="P456" t="s">
        <v>4776</v>
      </c>
      <c r="Q456" t="s">
        <v>4852</v>
      </c>
      <c r="R456" t="s">
        <v>4773</v>
      </c>
    </row>
    <row r="457" spans="1:18" x14ac:dyDescent="0.3">
      <c r="A457">
        <v>2298119</v>
      </c>
      <c r="B457" t="s">
        <v>4875</v>
      </c>
      <c r="C457" t="s">
        <v>668</v>
      </c>
      <c r="D457" t="s">
        <v>84</v>
      </c>
      <c r="E457" s="1">
        <v>46160</v>
      </c>
      <c r="F457" t="s">
        <v>4324</v>
      </c>
      <c r="G457" t="s">
        <v>4533</v>
      </c>
      <c r="H457" t="s">
        <v>670</v>
      </c>
      <c r="I457" t="s">
        <v>204</v>
      </c>
      <c r="J457" s="1">
        <v>46677</v>
      </c>
      <c r="K457" t="s">
        <v>768</v>
      </c>
      <c r="L457">
        <v>47510</v>
      </c>
      <c r="M457">
        <v>47510</v>
      </c>
      <c r="N457" t="s">
        <v>1000</v>
      </c>
      <c r="O457" t="s">
        <v>1037</v>
      </c>
      <c r="P457" t="s">
        <v>4799</v>
      </c>
      <c r="Q457" t="s">
        <v>4852</v>
      </c>
      <c r="R457" t="s">
        <v>807</v>
      </c>
    </row>
    <row r="458" spans="1:18" x14ac:dyDescent="0.3">
      <c r="A458">
        <v>7492</v>
      </c>
      <c r="B458" t="s">
        <v>1035</v>
      </c>
      <c r="C458" t="s">
        <v>230</v>
      </c>
      <c r="D458" t="s">
        <v>85</v>
      </c>
      <c r="E458" s="1">
        <v>46160</v>
      </c>
      <c r="F458" t="s">
        <v>4348</v>
      </c>
      <c r="G458" t="s">
        <v>4282</v>
      </c>
      <c r="H458" t="s">
        <v>229</v>
      </c>
      <c r="I458" t="s">
        <v>204</v>
      </c>
      <c r="J458" s="1">
        <v>46203</v>
      </c>
      <c r="K458" t="s">
        <v>744</v>
      </c>
      <c r="L458">
        <v>20615.84</v>
      </c>
      <c r="M458">
        <v>20615.84</v>
      </c>
      <c r="N458" t="s">
        <v>710</v>
      </c>
      <c r="O458" t="s">
        <v>1033</v>
      </c>
      <c r="P458" t="s">
        <v>4781</v>
      </c>
      <c r="Q458" t="s">
        <v>4852</v>
      </c>
      <c r="R458" t="s">
        <v>4771</v>
      </c>
    </row>
    <row r="459" spans="1:18" x14ac:dyDescent="0.3">
      <c r="A459">
        <v>16544</v>
      </c>
      <c r="B459" t="s">
        <v>4876</v>
      </c>
      <c r="C459" t="s">
        <v>439</v>
      </c>
      <c r="D459" t="s">
        <v>156</v>
      </c>
      <c r="E459" s="1">
        <v>46160</v>
      </c>
      <c r="F459" t="s">
        <v>4396</v>
      </c>
      <c r="G459" t="s">
        <v>4539</v>
      </c>
      <c r="H459" t="s">
        <v>485</v>
      </c>
      <c r="I459" t="s">
        <v>204</v>
      </c>
      <c r="J459" s="1">
        <v>54878</v>
      </c>
      <c r="K459" t="s">
        <v>839</v>
      </c>
      <c r="L459">
        <v>4040.26</v>
      </c>
      <c r="M459">
        <v>4040.26</v>
      </c>
      <c r="N459" t="s">
        <v>710</v>
      </c>
      <c r="O459" t="s">
        <v>1037</v>
      </c>
      <c r="P459" t="s">
        <v>4776</v>
      </c>
      <c r="Q459" t="s">
        <v>4852</v>
      </c>
      <c r="R459" t="s">
        <v>4771</v>
      </c>
    </row>
    <row r="460" spans="1:18" x14ac:dyDescent="0.3">
      <c r="A460">
        <v>4207070</v>
      </c>
      <c r="B460" t="s">
        <v>4875</v>
      </c>
      <c r="C460" t="s">
        <v>417</v>
      </c>
      <c r="D460" t="s">
        <v>185</v>
      </c>
      <c r="E460" s="1">
        <v>46160</v>
      </c>
      <c r="F460" t="s">
        <v>4335</v>
      </c>
      <c r="G460" t="s">
        <v>4482</v>
      </c>
      <c r="H460" t="s">
        <v>684</v>
      </c>
      <c r="I460" t="s">
        <v>204</v>
      </c>
      <c r="J460" s="1">
        <v>55243</v>
      </c>
      <c r="K460" t="s">
        <v>768</v>
      </c>
      <c r="L460">
        <v>501.67</v>
      </c>
      <c r="M460">
        <v>501.67</v>
      </c>
      <c r="N460" t="s">
        <v>710</v>
      </c>
      <c r="O460" t="s">
        <v>1037</v>
      </c>
      <c r="P460" t="s">
        <v>4810</v>
      </c>
      <c r="Q460" t="s">
        <v>4852</v>
      </c>
      <c r="R460" t="s">
        <v>807</v>
      </c>
    </row>
    <row r="461" spans="1:18" x14ac:dyDescent="0.3">
      <c r="A461">
        <v>7491</v>
      </c>
      <c r="B461" t="s">
        <v>1035</v>
      </c>
      <c r="C461" t="s">
        <v>230</v>
      </c>
      <c r="D461" t="s">
        <v>85</v>
      </c>
      <c r="E461" s="1">
        <v>46160</v>
      </c>
      <c r="F461" t="s">
        <v>4348</v>
      </c>
      <c r="G461" t="s">
        <v>4282</v>
      </c>
      <c r="H461" t="s">
        <v>229</v>
      </c>
      <c r="I461" t="s">
        <v>204</v>
      </c>
      <c r="J461" s="1">
        <v>46203</v>
      </c>
      <c r="K461" t="s">
        <v>744</v>
      </c>
      <c r="L461">
        <v>50395.12</v>
      </c>
      <c r="M461">
        <v>50395.12</v>
      </c>
      <c r="N461" t="s">
        <v>710</v>
      </c>
      <c r="O461" t="s">
        <v>1033</v>
      </c>
      <c r="P461" t="s">
        <v>4781</v>
      </c>
      <c r="Q461" t="s">
        <v>4852</v>
      </c>
      <c r="R461" t="s">
        <v>4771</v>
      </c>
    </row>
    <row r="462" spans="1:18" x14ac:dyDescent="0.3">
      <c r="A462">
        <v>104371</v>
      </c>
      <c r="B462" t="s">
        <v>1034</v>
      </c>
      <c r="C462" t="s">
        <v>502</v>
      </c>
      <c r="D462" t="s">
        <v>2</v>
      </c>
      <c r="E462" s="1">
        <v>46160</v>
      </c>
      <c r="F462" t="s">
        <v>4303</v>
      </c>
      <c r="G462" t="s">
        <v>4537</v>
      </c>
      <c r="H462" t="s">
        <v>501</v>
      </c>
      <c r="I462" t="s">
        <v>204</v>
      </c>
      <c r="J462" s="1">
        <v>54878</v>
      </c>
      <c r="K462" t="s">
        <v>717</v>
      </c>
      <c r="L462">
        <v>1901.56</v>
      </c>
      <c r="M462">
        <v>1901.56</v>
      </c>
      <c r="N462" t="s">
        <v>710</v>
      </c>
      <c r="O462" t="s">
        <v>4833</v>
      </c>
      <c r="P462" t="s">
        <v>4776</v>
      </c>
      <c r="Q462" t="s">
        <v>4852</v>
      </c>
      <c r="R462" t="s">
        <v>4774</v>
      </c>
    </row>
    <row r="463" spans="1:18" x14ac:dyDescent="0.3">
      <c r="A463">
        <v>874838</v>
      </c>
      <c r="B463" t="s">
        <v>1034</v>
      </c>
      <c r="C463" t="s">
        <v>276</v>
      </c>
      <c r="D463" t="s">
        <v>5</v>
      </c>
      <c r="E463" s="1">
        <v>46160</v>
      </c>
      <c r="F463" t="s">
        <v>4315</v>
      </c>
      <c r="G463" t="s">
        <v>4541</v>
      </c>
      <c r="H463" t="s">
        <v>275</v>
      </c>
      <c r="I463" t="s">
        <v>204</v>
      </c>
      <c r="J463" s="1">
        <v>46904</v>
      </c>
      <c r="K463" t="s">
        <v>717</v>
      </c>
      <c r="L463">
        <v>38568.47</v>
      </c>
      <c r="M463">
        <v>38568.47</v>
      </c>
      <c r="N463" t="s">
        <v>710</v>
      </c>
      <c r="O463" t="s">
        <v>1037</v>
      </c>
      <c r="P463" t="s">
        <v>4776</v>
      </c>
      <c r="Q463" t="s">
        <v>4852</v>
      </c>
      <c r="R463" t="s">
        <v>4773</v>
      </c>
    </row>
    <row r="464" spans="1:18" x14ac:dyDescent="0.3">
      <c r="A464">
        <v>10</v>
      </c>
      <c r="B464" t="s">
        <v>1034</v>
      </c>
      <c r="C464" t="s">
        <v>516</v>
      </c>
      <c r="D464" t="s">
        <v>12</v>
      </c>
      <c r="E464" s="1">
        <v>46160</v>
      </c>
      <c r="F464" t="s">
        <v>4337</v>
      </c>
      <c r="G464" t="s">
        <v>4467</v>
      </c>
      <c r="H464" t="s">
        <v>515</v>
      </c>
      <c r="I464" t="s">
        <v>204</v>
      </c>
      <c r="J464" s="1">
        <v>46489</v>
      </c>
      <c r="K464" t="s">
        <v>711</v>
      </c>
      <c r="L464">
        <v>2875</v>
      </c>
      <c r="M464">
        <v>2875</v>
      </c>
      <c r="N464" t="s">
        <v>884</v>
      </c>
      <c r="O464" t="s">
        <v>1037</v>
      </c>
      <c r="P464" t="s">
        <v>4776</v>
      </c>
      <c r="Q464" t="s">
        <v>4852</v>
      </c>
      <c r="R464" t="s">
        <v>4772</v>
      </c>
    </row>
    <row r="465" spans="1:18" x14ac:dyDescent="0.3">
      <c r="A465">
        <v>18625</v>
      </c>
      <c r="B465" t="s">
        <v>4874</v>
      </c>
      <c r="C465" t="s">
        <v>391</v>
      </c>
      <c r="D465" t="s">
        <v>104</v>
      </c>
      <c r="E465" s="1">
        <v>46160</v>
      </c>
      <c r="F465" t="s">
        <v>4354</v>
      </c>
      <c r="G465" t="s">
        <v>4476</v>
      </c>
      <c r="H465" t="s">
        <v>390</v>
      </c>
      <c r="I465" t="s">
        <v>204</v>
      </c>
      <c r="J465" s="1">
        <v>54878</v>
      </c>
      <c r="K465" t="s">
        <v>762</v>
      </c>
      <c r="L465">
        <v>224.98</v>
      </c>
      <c r="M465">
        <v>224.98</v>
      </c>
      <c r="N465" t="s">
        <v>710</v>
      </c>
      <c r="O465" t="s">
        <v>4833</v>
      </c>
      <c r="P465" t="s">
        <v>4776</v>
      </c>
      <c r="Q465" t="s">
        <v>4852</v>
      </c>
      <c r="R465" t="s">
        <v>4773</v>
      </c>
    </row>
    <row r="466" spans="1:18" x14ac:dyDescent="0.3">
      <c r="A466">
        <v>4207075</v>
      </c>
      <c r="B466" t="s">
        <v>1034</v>
      </c>
      <c r="C466" t="s">
        <v>417</v>
      </c>
      <c r="D466" t="s">
        <v>185</v>
      </c>
      <c r="E466" s="1">
        <v>46160</v>
      </c>
      <c r="F466" t="s">
        <v>4335</v>
      </c>
      <c r="G466" t="s">
        <v>4281</v>
      </c>
      <c r="H466" t="s">
        <v>416</v>
      </c>
      <c r="I466" t="s">
        <v>204</v>
      </c>
      <c r="J466" s="1">
        <v>54878</v>
      </c>
      <c r="K466" t="s">
        <v>717</v>
      </c>
      <c r="L466">
        <v>1464.2</v>
      </c>
      <c r="M466">
        <v>1464.2</v>
      </c>
      <c r="N466" t="s">
        <v>710</v>
      </c>
      <c r="O466" t="s">
        <v>1037</v>
      </c>
      <c r="P466" t="s">
        <v>4780</v>
      </c>
      <c r="Q466" t="s">
        <v>4852</v>
      </c>
      <c r="R466" t="s">
        <v>4771</v>
      </c>
    </row>
    <row r="467" spans="1:18" x14ac:dyDescent="0.3">
      <c r="A467">
        <v>2298108</v>
      </c>
      <c r="B467" t="s">
        <v>1034</v>
      </c>
      <c r="C467" t="s">
        <v>668</v>
      </c>
      <c r="D467" t="s">
        <v>84</v>
      </c>
      <c r="E467" s="1">
        <v>46160</v>
      </c>
      <c r="F467" t="s">
        <v>4324</v>
      </c>
      <c r="G467" t="s">
        <v>4532</v>
      </c>
      <c r="H467" t="s">
        <v>671</v>
      </c>
      <c r="I467" t="s">
        <v>204</v>
      </c>
      <c r="J467" s="1">
        <v>46324</v>
      </c>
      <c r="K467" t="s">
        <v>717</v>
      </c>
      <c r="L467">
        <v>3000</v>
      </c>
      <c r="M467">
        <v>3000</v>
      </c>
      <c r="N467" t="s">
        <v>710</v>
      </c>
      <c r="O467" t="s">
        <v>1037</v>
      </c>
      <c r="P467" t="s">
        <v>4799</v>
      </c>
      <c r="Q467" t="s">
        <v>4852</v>
      </c>
      <c r="R467" t="s">
        <v>807</v>
      </c>
    </row>
    <row r="468" spans="1:18" x14ac:dyDescent="0.3">
      <c r="A468">
        <v>2298192</v>
      </c>
      <c r="B468" t="s">
        <v>1034</v>
      </c>
      <c r="C468" t="s">
        <v>668</v>
      </c>
      <c r="D468" t="s">
        <v>84</v>
      </c>
      <c r="E468" s="1">
        <v>46160</v>
      </c>
      <c r="F468" t="s">
        <v>4324</v>
      </c>
      <c r="G468" t="s">
        <v>4531</v>
      </c>
      <c r="H468" t="s">
        <v>671</v>
      </c>
      <c r="I468" t="s">
        <v>204</v>
      </c>
      <c r="J468" s="1">
        <v>46324</v>
      </c>
      <c r="K468" t="s">
        <v>717</v>
      </c>
      <c r="L468">
        <v>170360</v>
      </c>
      <c r="M468">
        <v>170360</v>
      </c>
      <c r="N468" t="s">
        <v>710</v>
      </c>
      <c r="O468" t="s">
        <v>1037</v>
      </c>
      <c r="P468" t="s">
        <v>4799</v>
      </c>
      <c r="Q468" t="s">
        <v>4852</v>
      </c>
      <c r="R468" t="s">
        <v>807</v>
      </c>
    </row>
    <row r="469" spans="1:18" x14ac:dyDescent="0.3">
      <c r="A469">
        <v>3568</v>
      </c>
      <c r="B469" t="s">
        <v>1034</v>
      </c>
      <c r="C469" t="s">
        <v>314</v>
      </c>
      <c r="D469" t="s">
        <v>39</v>
      </c>
      <c r="E469" s="1">
        <v>46158</v>
      </c>
      <c r="F469" t="s">
        <v>4347</v>
      </c>
      <c r="G469" t="s">
        <v>3762</v>
      </c>
      <c r="H469" t="s">
        <v>313</v>
      </c>
      <c r="I469" t="s">
        <v>204</v>
      </c>
      <c r="J469" s="1">
        <v>46237</v>
      </c>
      <c r="K469" t="s">
        <v>711</v>
      </c>
      <c r="L469">
        <v>1</v>
      </c>
      <c r="M469">
        <v>1150</v>
      </c>
      <c r="N469" t="s">
        <v>710</v>
      </c>
      <c r="O469" t="s">
        <v>4834</v>
      </c>
      <c r="P469" t="s">
        <v>4779</v>
      </c>
      <c r="Q469" t="s">
        <v>4901</v>
      </c>
      <c r="R469" t="s">
        <v>4773</v>
      </c>
    </row>
    <row r="470" spans="1:18" x14ac:dyDescent="0.3">
      <c r="A470">
        <v>118052</v>
      </c>
      <c r="B470" t="s">
        <v>4874</v>
      </c>
      <c r="C470" t="s">
        <v>227</v>
      </c>
      <c r="D470" t="s">
        <v>191</v>
      </c>
      <c r="E470" s="1">
        <v>46158</v>
      </c>
      <c r="F470" t="s">
        <v>4387</v>
      </c>
      <c r="G470" t="s">
        <v>4536</v>
      </c>
      <c r="H470" t="s">
        <v>577</v>
      </c>
      <c r="I470" t="s">
        <v>204</v>
      </c>
      <c r="J470" s="1">
        <v>46493</v>
      </c>
      <c r="K470" t="s">
        <v>762</v>
      </c>
      <c r="L470">
        <v>35318.379999999997</v>
      </c>
      <c r="M470">
        <v>35318.379999999997</v>
      </c>
      <c r="N470" t="s">
        <v>809</v>
      </c>
      <c r="O470" t="s">
        <v>4904</v>
      </c>
      <c r="P470" t="s">
        <v>4792</v>
      </c>
      <c r="Q470" t="s">
        <v>4904</v>
      </c>
      <c r="R470" t="s">
        <v>4772</v>
      </c>
    </row>
    <row r="471" spans="1:18" x14ac:dyDescent="0.3">
      <c r="A471">
        <v>3575</v>
      </c>
      <c r="B471" t="s">
        <v>4875</v>
      </c>
      <c r="C471" t="s">
        <v>314</v>
      </c>
      <c r="D471" t="s">
        <v>39</v>
      </c>
      <c r="E471" s="1">
        <v>46158</v>
      </c>
      <c r="F471" t="s">
        <v>4347</v>
      </c>
      <c r="G471" t="s">
        <v>4528</v>
      </c>
      <c r="H471" t="s">
        <v>341</v>
      </c>
      <c r="I471" t="s">
        <v>204</v>
      </c>
      <c r="J471" s="1">
        <v>46266</v>
      </c>
      <c r="K471" t="s">
        <v>748</v>
      </c>
      <c r="L471">
        <v>1</v>
      </c>
      <c r="M471">
        <v>1100</v>
      </c>
      <c r="N471" t="s">
        <v>710</v>
      </c>
      <c r="O471" t="s">
        <v>4834</v>
      </c>
      <c r="P471" t="s">
        <v>4776</v>
      </c>
      <c r="Q471" t="s">
        <v>4856</v>
      </c>
      <c r="R471" t="s">
        <v>4773</v>
      </c>
    </row>
    <row r="472" spans="1:18" x14ac:dyDescent="0.3">
      <c r="A472">
        <v>34419</v>
      </c>
      <c r="B472" t="s">
        <v>4874</v>
      </c>
      <c r="C472" t="s">
        <v>592</v>
      </c>
      <c r="D472" t="s">
        <v>8</v>
      </c>
      <c r="E472" s="1">
        <v>46158</v>
      </c>
      <c r="F472" t="s">
        <v>4352</v>
      </c>
      <c r="G472" t="s">
        <v>4543</v>
      </c>
      <c r="H472" t="s">
        <v>683</v>
      </c>
      <c r="I472" t="s">
        <v>204</v>
      </c>
      <c r="J472" s="1">
        <v>46387</v>
      </c>
      <c r="K472" t="s">
        <v>762</v>
      </c>
      <c r="L472">
        <v>1260.04</v>
      </c>
      <c r="M472">
        <v>1260.04</v>
      </c>
      <c r="N472" t="s">
        <v>890</v>
      </c>
      <c r="O472" t="s">
        <v>4833</v>
      </c>
      <c r="P472" t="s">
        <v>950</v>
      </c>
      <c r="Q472" t="s">
        <v>4852</v>
      </c>
      <c r="R472" t="s">
        <v>807</v>
      </c>
    </row>
    <row r="473" spans="1:18" x14ac:dyDescent="0.3">
      <c r="A473">
        <v>195798</v>
      </c>
      <c r="B473" t="s">
        <v>4874</v>
      </c>
      <c r="C473" t="s">
        <v>411</v>
      </c>
      <c r="D473" t="s">
        <v>154</v>
      </c>
      <c r="E473" s="1">
        <v>46158</v>
      </c>
      <c r="F473" t="s">
        <v>4315</v>
      </c>
      <c r="G473" t="s">
        <v>4500</v>
      </c>
      <c r="H473" t="s">
        <v>410</v>
      </c>
      <c r="I473" t="s">
        <v>204</v>
      </c>
      <c r="J473" s="1">
        <v>46344</v>
      </c>
      <c r="K473" t="s">
        <v>762</v>
      </c>
      <c r="L473">
        <v>4053.25</v>
      </c>
      <c r="M473">
        <v>4053.25</v>
      </c>
      <c r="N473" t="s">
        <v>710</v>
      </c>
      <c r="O473" t="s">
        <v>4833</v>
      </c>
      <c r="P473" t="s">
        <v>4776</v>
      </c>
      <c r="Q473" t="s">
        <v>4852</v>
      </c>
      <c r="R473" t="s">
        <v>4773</v>
      </c>
    </row>
    <row r="474" spans="1:18" x14ac:dyDescent="0.3">
      <c r="A474">
        <v>2073</v>
      </c>
      <c r="B474" t="s">
        <v>4874</v>
      </c>
      <c r="C474" t="s">
        <v>647</v>
      </c>
      <c r="D474" t="s">
        <v>130</v>
      </c>
      <c r="E474" s="1">
        <v>46157</v>
      </c>
      <c r="F474" t="s">
        <v>4363</v>
      </c>
      <c r="G474" t="s">
        <v>4524</v>
      </c>
      <c r="H474" t="s">
        <v>646</v>
      </c>
      <c r="I474" t="s">
        <v>204</v>
      </c>
      <c r="J474" s="1">
        <v>46522</v>
      </c>
      <c r="K474" t="s">
        <v>762</v>
      </c>
      <c r="L474">
        <v>1</v>
      </c>
      <c r="M474">
        <v>18212</v>
      </c>
      <c r="N474" t="s">
        <v>890</v>
      </c>
      <c r="O474" t="s">
        <v>1044</v>
      </c>
      <c r="P474" t="s">
        <v>4776</v>
      </c>
      <c r="Q474" t="s">
        <v>4852</v>
      </c>
    </row>
    <row r="475" spans="1:18" x14ac:dyDescent="0.3">
      <c r="A475">
        <v>39874</v>
      </c>
      <c r="B475" t="s">
        <v>4875</v>
      </c>
      <c r="C475" t="s">
        <v>530</v>
      </c>
      <c r="D475" t="s">
        <v>24</v>
      </c>
      <c r="E475" s="1">
        <v>46157</v>
      </c>
      <c r="F475" t="s">
        <v>4297</v>
      </c>
      <c r="G475" t="s">
        <v>4463</v>
      </c>
      <c r="H475" t="s">
        <v>529</v>
      </c>
      <c r="I475" t="s">
        <v>204</v>
      </c>
      <c r="J475" s="1">
        <v>46477</v>
      </c>
      <c r="K475" t="s">
        <v>748</v>
      </c>
      <c r="L475">
        <v>8033.45</v>
      </c>
      <c r="M475">
        <v>8033.45</v>
      </c>
      <c r="N475" t="s">
        <v>710</v>
      </c>
      <c r="O475" t="s">
        <v>1040</v>
      </c>
      <c r="P475" t="s">
        <v>4779</v>
      </c>
      <c r="Q475" t="s">
        <v>4856</v>
      </c>
      <c r="R475" t="s">
        <v>4773</v>
      </c>
    </row>
    <row r="476" spans="1:18" x14ac:dyDescent="0.3">
      <c r="A476">
        <v>132966</v>
      </c>
      <c r="B476" t="s">
        <v>4874</v>
      </c>
      <c r="C476" t="s">
        <v>298</v>
      </c>
      <c r="D476" t="s">
        <v>11</v>
      </c>
      <c r="E476" s="1">
        <v>46156</v>
      </c>
      <c r="F476" t="s">
        <v>4297</v>
      </c>
      <c r="G476" t="s">
        <v>4498</v>
      </c>
      <c r="H476" t="s">
        <v>297</v>
      </c>
      <c r="I476" t="s">
        <v>204</v>
      </c>
      <c r="J476" s="1">
        <v>54878</v>
      </c>
      <c r="K476" t="s">
        <v>720</v>
      </c>
      <c r="L476">
        <v>1185.78</v>
      </c>
      <c r="M476">
        <v>1185.78</v>
      </c>
      <c r="N476" t="s">
        <v>710</v>
      </c>
      <c r="O476" t="s">
        <v>1038</v>
      </c>
      <c r="P476" t="s">
        <v>4779</v>
      </c>
      <c r="Q476" t="s">
        <v>4858</v>
      </c>
      <c r="R476" t="s">
        <v>4771</v>
      </c>
    </row>
    <row r="477" spans="1:18" x14ac:dyDescent="0.3">
      <c r="A477">
        <v>428151</v>
      </c>
      <c r="B477" t="s">
        <v>4875</v>
      </c>
      <c r="C477" t="s">
        <v>435</v>
      </c>
      <c r="D477" t="s">
        <v>30</v>
      </c>
      <c r="E477" s="1">
        <v>46156</v>
      </c>
      <c r="F477" t="s">
        <v>4351</v>
      </c>
      <c r="G477" t="s">
        <v>4514</v>
      </c>
      <c r="H477" t="s">
        <v>434</v>
      </c>
      <c r="I477" t="s">
        <v>204</v>
      </c>
      <c r="J477" s="1">
        <v>46752</v>
      </c>
      <c r="K477" t="s">
        <v>785</v>
      </c>
      <c r="L477">
        <v>1</v>
      </c>
      <c r="M477">
        <v>94332.76</v>
      </c>
      <c r="N477" t="s">
        <v>998</v>
      </c>
      <c r="O477" t="s">
        <v>1038</v>
      </c>
      <c r="P477" t="s">
        <v>4787</v>
      </c>
      <c r="Q477" t="s">
        <v>4858</v>
      </c>
      <c r="R477" t="s">
        <v>4771</v>
      </c>
    </row>
    <row r="478" spans="1:18" x14ac:dyDescent="0.3">
      <c r="A478">
        <v>173563</v>
      </c>
      <c r="B478" t="s">
        <v>4874</v>
      </c>
      <c r="C478" t="s">
        <v>301</v>
      </c>
      <c r="D478" t="s">
        <v>23</v>
      </c>
      <c r="E478" s="1">
        <v>46156</v>
      </c>
      <c r="F478" t="s">
        <v>4321</v>
      </c>
      <c r="G478" t="s">
        <v>4526</v>
      </c>
      <c r="H478" t="s">
        <v>300</v>
      </c>
      <c r="I478" t="s">
        <v>204</v>
      </c>
      <c r="J478" s="1">
        <v>46418</v>
      </c>
      <c r="K478" t="s">
        <v>720</v>
      </c>
      <c r="L478">
        <v>1</v>
      </c>
      <c r="M478">
        <v>5208.8900000000003</v>
      </c>
      <c r="N478" t="s">
        <v>710</v>
      </c>
      <c r="O478" t="s">
        <v>1038</v>
      </c>
      <c r="P478" t="s">
        <v>4782</v>
      </c>
      <c r="Q478" t="s">
        <v>4858</v>
      </c>
      <c r="R478" t="s">
        <v>4773</v>
      </c>
    </row>
    <row r="479" spans="1:18" x14ac:dyDescent="0.3">
      <c r="A479">
        <v>3426</v>
      </c>
      <c r="B479" t="s">
        <v>4874</v>
      </c>
      <c r="C479" t="s">
        <v>533</v>
      </c>
      <c r="D479" t="s">
        <v>103</v>
      </c>
      <c r="E479" s="1">
        <v>46156</v>
      </c>
      <c r="F479" t="s">
        <v>4416</v>
      </c>
      <c r="G479" t="s">
        <v>3556</v>
      </c>
      <c r="H479" t="s">
        <v>532</v>
      </c>
      <c r="I479" t="s">
        <v>204</v>
      </c>
      <c r="J479" s="1">
        <v>46568</v>
      </c>
      <c r="K479" t="s">
        <v>892</v>
      </c>
      <c r="L479">
        <v>12367.55</v>
      </c>
      <c r="M479">
        <v>12426.95</v>
      </c>
      <c r="N479" t="s">
        <v>710</v>
      </c>
      <c r="O479" t="s">
        <v>4811</v>
      </c>
      <c r="P479" t="s">
        <v>4776</v>
      </c>
      <c r="Q479" t="s">
        <v>4859</v>
      </c>
      <c r="R479" t="s">
        <v>4771</v>
      </c>
    </row>
    <row r="480" spans="1:18" x14ac:dyDescent="0.3">
      <c r="A480">
        <v>108341</v>
      </c>
      <c r="B480" t="s">
        <v>4874</v>
      </c>
      <c r="C480" t="s">
        <v>405</v>
      </c>
      <c r="D480" t="s">
        <v>107</v>
      </c>
      <c r="E480" s="1">
        <v>46156</v>
      </c>
      <c r="F480" t="s">
        <v>4362</v>
      </c>
      <c r="G480" t="s">
        <v>4479</v>
      </c>
      <c r="H480" t="s">
        <v>404</v>
      </c>
      <c r="I480" t="s">
        <v>204</v>
      </c>
      <c r="J480" s="1">
        <v>46477</v>
      </c>
      <c r="K480" t="s">
        <v>762</v>
      </c>
      <c r="L480">
        <v>15.34</v>
      </c>
      <c r="M480">
        <v>15.34</v>
      </c>
      <c r="N480" t="s">
        <v>710</v>
      </c>
      <c r="O480" t="s">
        <v>1037</v>
      </c>
      <c r="P480" t="s">
        <v>4806</v>
      </c>
      <c r="Q480" t="s">
        <v>4852</v>
      </c>
      <c r="R480" t="s">
        <v>4772</v>
      </c>
    </row>
    <row r="481" spans="1:18" x14ac:dyDescent="0.3">
      <c r="A481">
        <v>6079</v>
      </c>
      <c r="B481" t="s">
        <v>1034</v>
      </c>
      <c r="C481" t="s">
        <v>208</v>
      </c>
      <c r="D481" t="s">
        <v>164</v>
      </c>
      <c r="E481" s="1">
        <v>46156</v>
      </c>
      <c r="F481" t="s">
        <v>4297</v>
      </c>
      <c r="G481" t="s">
        <v>4530</v>
      </c>
      <c r="H481" t="s">
        <v>604</v>
      </c>
      <c r="I481" t="s">
        <v>204</v>
      </c>
      <c r="J481" s="1">
        <v>46256</v>
      </c>
      <c r="K481" t="s">
        <v>711</v>
      </c>
      <c r="L481">
        <v>720</v>
      </c>
      <c r="M481">
        <v>720</v>
      </c>
      <c r="N481" t="s">
        <v>710</v>
      </c>
      <c r="O481" t="s">
        <v>1036</v>
      </c>
      <c r="P481" t="s">
        <v>4784</v>
      </c>
      <c r="Q481" t="s">
        <v>4901</v>
      </c>
    </row>
    <row r="482" spans="1:18" x14ac:dyDescent="0.3">
      <c r="A482">
        <v>6080</v>
      </c>
      <c r="B482" t="s">
        <v>1034</v>
      </c>
      <c r="C482" t="s">
        <v>208</v>
      </c>
      <c r="D482" t="s">
        <v>164</v>
      </c>
      <c r="E482" s="1">
        <v>46156</v>
      </c>
      <c r="F482" t="s">
        <v>4297</v>
      </c>
      <c r="G482" t="s">
        <v>4530</v>
      </c>
      <c r="H482" t="s">
        <v>604</v>
      </c>
      <c r="I482" t="s">
        <v>204</v>
      </c>
      <c r="J482" s="1">
        <v>46256</v>
      </c>
      <c r="K482" t="s">
        <v>711</v>
      </c>
      <c r="L482">
        <v>720</v>
      </c>
      <c r="M482">
        <v>720</v>
      </c>
      <c r="N482" t="s">
        <v>710</v>
      </c>
      <c r="O482" t="s">
        <v>1036</v>
      </c>
      <c r="P482" t="s">
        <v>4784</v>
      </c>
      <c r="Q482" t="s">
        <v>4901</v>
      </c>
    </row>
    <row r="483" spans="1:18" x14ac:dyDescent="0.3">
      <c r="A483">
        <v>6081</v>
      </c>
      <c r="B483" t="s">
        <v>1034</v>
      </c>
      <c r="C483" t="s">
        <v>208</v>
      </c>
      <c r="D483" t="s">
        <v>164</v>
      </c>
      <c r="E483" s="1">
        <v>46156</v>
      </c>
      <c r="F483" t="s">
        <v>4297</v>
      </c>
      <c r="G483" t="s">
        <v>4530</v>
      </c>
      <c r="H483" t="s">
        <v>604</v>
      </c>
      <c r="I483" t="s">
        <v>204</v>
      </c>
      <c r="J483" s="1">
        <v>46256</v>
      </c>
      <c r="K483" t="s">
        <v>711</v>
      </c>
      <c r="L483">
        <v>720</v>
      </c>
      <c r="M483">
        <v>720</v>
      </c>
      <c r="N483" t="s">
        <v>710</v>
      </c>
      <c r="O483" t="s">
        <v>1036</v>
      </c>
      <c r="P483" t="s">
        <v>4784</v>
      </c>
      <c r="Q483" t="s">
        <v>4901</v>
      </c>
    </row>
    <row r="484" spans="1:18" x14ac:dyDescent="0.3">
      <c r="A484">
        <v>725958</v>
      </c>
      <c r="B484" t="s">
        <v>1034</v>
      </c>
      <c r="C484" t="s">
        <v>333</v>
      </c>
      <c r="D484" t="s">
        <v>29</v>
      </c>
      <c r="E484" s="1">
        <v>46156</v>
      </c>
      <c r="F484" t="s">
        <v>4317</v>
      </c>
      <c r="G484" t="s">
        <v>4520</v>
      </c>
      <c r="H484" t="s">
        <v>332</v>
      </c>
      <c r="I484" t="s">
        <v>204</v>
      </c>
      <c r="J484" s="1">
        <v>54878</v>
      </c>
      <c r="K484" t="s">
        <v>711</v>
      </c>
      <c r="L484">
        <v>708</v>
      </c>
      <c r="M484">
        <v>708.16</v>
      </c>
      <c r="N484" t="s">
        <v>710</v>
      </c>
      <c r="O484" t="s">
        <v>1036</v>
      </c>
      <c r="P484" t="s">
        <v>4776</v>
      </c>
      <c r="Q484" t="s">
        <v>4901</v>
      </c>
      <c r="R484" t="s">
        <v>4771</v>
      </c>
    </row>
    <row r="485" spans="1:18" x14ac:dyDescent="0.3">
      <c r="A485">
        <v>40576</v>
      </c>
      <c r="B485" t="s">
        <v>4874</v>
      </c>
      <c r="C485" t="s">
        <v>692</v>
      </c>
      <c r="D485" t="s">
        <v>119</v>
      </c>
      <c r="E485" s="1">
        <v>46156</v>
      </c>
      <c r="F485" t="s">
        <v>4352</v>
      </c>
      <c r="G485" t="s">
        <v>4471</v>
      </c>
      <c r="H485" t="s">
        <v>691</v>
      </c>
      <c r="I485" t="s">
        <v>204</v>
      </c>
      <c r="J485" s="1">
        <v>46434</v>
      </c>
      <c r="K485" t="s">
        <v>762</v>
      </c>
      <c r="L485">
        <v>10</v>
      </c>
      <c r="M485">
        <v>142.6</v>
      </c>
      <c r="N485" t="s">
        <v>710</v>
      </c>
      <c r="O485" t="s">
        <v>4833</v>
      </c>
      <c r="P485" t="s">
        <v>1007</v>
      </c>
      <c r="Q485" t="s">
        <v>4852</v>
      </c>
      <c r="R485" t="s">
        <v>807</v>
      </c>
    </row>
    <row r="486" spans="1:18" x14ac:dyDescent="0.3">
      <c r="A486">
        <v>5576</v>
      </c>
      <c r="B486" t="s">
        <v>4875</v>
      </c>
      <c r="C486" t="s">
        <v>319</v>
      </c>
      <c r="D486" t="s">
        <v>36</v>
      </c>
      <c r="E486" s="1">
        <v>46156</v>
      </c>
      <c r="F486" t="s">
        <v>4298</v>
      </c>
      <c r="G486" t="s">
        <v>4527</v>
      </c>
      <c r="H486" t="s">
        <v>336</v>
      </c>
      <c r="I486" t="s">
        <v>204</v>
      </c>
      <c r="J486" s="1">
        <v>46075</v>
      </c>
      <c r="K486" t="s">
        <v>748</v>
      </c>
      <c r="L486">
        <v>2</v>
      </c>
      <c r="M486">
        <v>398.28</v>
      </c>
      <c r="N486" t="s">
        <v>710</v>
      </c>
      <c r="O486" t="s">
        <v>1040</v>
      </c>
      <c r="P486" t="s">
        <v>4784</v>
      </c>
      <c r="Q486" t="s">
        <v>4856</v>
      </c>
      <c r="R486" t="s">
        <v>4771</v>
      </c>
    </row>
    <row r="487" spans="1:18" x14ac:dyDescent="0.3">
      <c r="A487">
        <v>728921</v>
      </c>
      <c r="B487" t="s">
        <v>4875</v>
      </c>
      <c r="C487" t="s">
        <v>333</v>
      </c>
      <c r="D487" t="s">
        <v>29</v>
      </c>
      <c r="E487" s="1">
        <v>46156</v>
      </c>
      <c r="F487" t="s">
        <v>4317</v>
      </c>
      <c r="G487" t="s">
        <v>4519</v>
      </c>
      <c r="H487" t="s">
        <v>335</v>
      </c>
      <c r="I487" t="s">
        <v>204</v>
      </c>
      <c r="J487" s="1">
        <v>54878</v>
      </c>
      <c r="K487" t="s">
        <v>748</v>
      </c>
      <c r="L487">
        <v>686</v>
      </c>
      <c r="M487">
        <v>685.79</v>
      </c>
      <c r="N487" t="s">
        <v>710</v>
      </c>
      <c r="O487" t="s">
        <v>1040</v>
      </c>
      <c r="P487" t="s">
        <v>4776</v>
      </c>
      <c r="Q487" t="s">
        <v>4856</v>
      </c>
      <c r="R487" t="s">
        <v>4771</v>
      </c>
    </row>
    <row r="488" spans="1:18" x14ac:dyDescent="0.3">
      <c r="A488">
        <v>827928</v>
      </c>
      <c r="B488" t="s">
        <v>4874</v>
      </c>
      <c r="C488" t="s">
        <v>298</v>
      </c>
      <c r="D488" t="s">
        <v>11</v>
      </c>
      <c r="E488" s="1">
        <v>46156</v>
      </c>
      <c r="F488" t="s">
        <v>4297</v>
      </c>
      <c r="G488" t="s">
        <v>4464</v>
      </c>
      <c r="H488" t="s">
        <v>297</v>
      </c>
      <c r="I488" t="s">
        <v>204</v>
      </c>
      <c r="J488" s="1">
        <v>54878</v>
      </c>
      <c r="K488" t="s">
        <v>720</v>
      </c>
      <c r="L488">
        <v>1225.32</v>
      </c>
      <c r="M488">
        <v>1225.32</v>
      </c>
      <c r="N488" t="s">
        <v>710</v>
      </c>
      <c r="O488" t="s">
        <v>1038</v>
      </c>
      <c r="P488" t="s">
        <v>4779</v>
      </c>
      <c r="Q488" t="s">
        <v>4858</v>
      </c>
      <c r="R488" t="s">
        <v>4771</v>
      </c>
    </row>
    <row r="489" spans="1:18" x14ac:dyDescent="0.3">
      <c r="A489">
        <v>6078</v>
      </c>
      <c r="B489" t="s">
        <v>1034</v>
      </c>
      <c r="C489" t="s">
        <v>208</v>
      </c>
      <c r="D489" t="s">
        <v>164</v>
      </c>
      <c r="E489" s="1">
        <v>46156</v>
      </c>
      <c r="F489" t="s">
        <v>4297</v>
      </c>
      <c r="G489" t="s">
        <v>4530</v>
      </c>
      <c r="H489" t="s">
        <v>604</v>
      </c>
      <c r="I489" t="s">
        <v>204</v>
      </c>
      <c r="J489" s="1">
        <v>46256</v>
      </c>
      <c r="K489" t="s">
        <v>711</v>
      </c>
      <c r="L489">
        <v>720</v>
      </c>
      <c r="M489">
        <v>720</v>
      </c>
      <c r="N489" t="s">
        <v>710</v>
      </c>
      <c r="O489" t="s">
        <v>1036</v>
      </c>
      <c r="P489" t="s">
        <v>4784</v>
      </c>
      <c r="Q489" t="s">
        <v>4901</v>
      </c>
    </row>
    <row r="490" spans="1:18" x14ac:dyDescent="0.3">
      <c r="A490">
        <v>6077</v>
      </c>
      <c r="B490" t="s">
        <v>1034</v>
      </c>
      <c r="C490" t="s">
        <v>208</v>
      </c>
      <c r="D490" t="s">
        <v>164</v>
      </c>
      <c r="E490" s="1">
        <v>46156</v>
      </c>
      <c r="F490" t="s">
        <v>4297</v>
      </c>
      <c r="G490" t="s">
        <v>4530</v>
      </c>
      <c r="H490" t="s">
        <v>604</v>
      </c>
      <c r="I490" t="s">
        <v>204</v>
      </c>
      <c r="J490" s="1">
        <v>46256</v>
      </c>
      <c r="K490" t="s">
        <v>711</v>
      </c>
      <c r="L490">
        <v>720</v>
      </c>
      <c r="M490">
        <v>720</v>
      </c>
      <c r="N490" t="s">
        <v>710</v>
      </c>
      <c r="O490" t="s">
        <v>1036</v>
      </c>
      <c r="P490" t="s">
        <v>4784</v>
      </c>
      <c r="Q490" t="s">
        <v>4901</v>
      </c>
    </row>
    <row r="491" spans="1:18" x14ac:dyDescent="0.3">
      <c r="A491">
        <v>1238</v>
      </c>
      <c r="B491" t="s">
        <v>1034</v>
      </c>
      <c r="C491" t="s">
        <v>319</v>
      </c>
      <c r="D491" t="s">
        <v>36</v>
      </c>
      <c r="E491" s="1">
        <v>46156</v>
      </c>
      <c r="F491" t="s">
        <v>4298</v>
      </c>
      <c r="G491" t="s">
        <v>4518</v>
      </c>
      <c r="H491" t="s">
        <v>318</v>
      </c>
      <c r="I491" t="s">
        <v>204</v>
      </c>
      <c r="J491" s="1">
        <v>46214</v>
      </c>
      <c r="K491" t="s">
        <v>711</v>
      </c>
      <c r="L491">
        <v>683</v>
      </c>
      <c r="M491">
        <v>683.26</v>
      </c>
      <c r="N491" t="s">
        <v>710</v>
      </c>
      <c r="O491" t="s">
        <v>1036</v>
      </c>
      <c r="P491" t="s">
        <v>4784</v>
      </c>
      <c r="Q491" t="s">
        <v>4901</v>
      </c>
      <c r="R491" t="s">
        <v>4771</v>
      </c>
    </row>
    <row r="492" spans="1:18" x14ac:dyDescent="0.3">
      <c r="A492">
        <v>7475</v>
      </c>
      <c r="B492" t="s">
        <v>1035</v>
      </c>
      <c r="C492" t="s">
        <v>230</v>
      </c>
      <c r="D492" t="s">
        <v>85</v>
      </c>
      <c r="E492" s="1">
        <v>46156</v>
      </c>
      <c r="F492" t="s">
        <v>4436</v>
      </c>
      <c r="G492" t="s">
        <v>4505</v>
      </c>
      <c r="H492" t="s">
        <v>229</v>
      </c>
      <c r="I492" t="s">
        <v>204</v>
      </c>
      <c r="J492" s="1">
        <v>46203</v>
      </c>
      <c r="K492" t="s">
        <v>744</v>
      </c>
      <c r="L492">
        <v>1583.74</v>
      </c>
      <c r="M492">
        <v>1583.74</v>
      </c>
      <c r="N492" t="s">
        <v>710</v>
      </c>
      <c r="O492" t="s">
        <v>1033</v>
      </c>
      <c r="P492" t="s">
        <v>4781</v>
      </c>
      <c r="Q492" t="s">
        <v>4852</v>
      </c>
      <c r="R492" t="s">
        <v>4771</v>
      </c>
    </row>
    <row r="493" spans="1:18" x14ac:dyDescent="0.3">
      <c r="A493">
        <v>29</v>
      </c>
      <c r="B493" t="s">
        <v>1034</v>
      </c>
      <c r="C493" t="s">
        <v>656</v>
      </c>
      <c r="D493" t="s">
        <v>56</v>
      </c>
      <c r="E493" s="1">
        <v>46155</v>
      </c>
      <c r="F493" t="s">
        <v>4383</v>
      </c>
      <c r="G493" t="s">
        <v>4516</v>
      </c>
      <c r="H493" t="s">
        <v>655</v>
      </c>
      <c r="I493" t="s">
        <v>204</v>
      </c>
      <c r="J493" s="1">
        <v>46600</v>
      </c>
      <c r="K493" t="s">
        <v>711</v>
      </c>
      <c r="L493">
        <v>6000</v>
      </c>
      <c r="M493">
        <v>6000</v>
      </c>
      <c r="N493" t="s">
        <v>814</v>
      </c>
      <c r="O493" t="s">
        <v>1036</v>
      </c>
      <c r="P493" t="s">
        <v>4776</v>
      </c>
      <c r="Q493" t="s">
        <v>4901</v>
      </c>
      <c r="R493" t="s">
        <v>807</v>
      </c>
    </row>
    <row r="494" spans="1:18" x14ac:dyDescent="0.3">
      <c r="A494">
        <v>19576728</v>
      </c>
      <c r="B494" t="s">
        <v>1034</v>
      </c>
      <c r="C494" t="s">
        <v>678</v>
      </c>
      <c r="D494" t="s">
        <v>181</v>
      </c>
      <c r="E494" s="1">
        <v>46155</v>
      </c>
      <c r="F494" t="s">
        <v>4382</v>
      </c>
      <c r="G494" t="s">
        <v>4191</v>
      </c>
      <c r="H494" t="s">
        <v>677</v>
      </c>
      <c r="I494" t="s">
        <v>204</v>
      </c>
      <c r="J494" s="1">
        <v>46387</v>
      </c>
      <c r="K494" t="s">
        <v>717</v>
      </c>
      <c r="L494">
        <v>32565.85</v>
      </c>
      <c r="M494">
        <v>32565.85</v>
      </c>
      <c r="N494" t="s">
        <v>719</v>
      </c>
      <c r="O494" t="s">
        <v>1037</v>
      </c>
      <c r="P494" t="s">
        <v>4794</v>
      </c>
      <c r="Q494" t="s">
        <v>4852</v>
      </c>
      <c r="R494" t="s">
        <v>807</v>
      </c>
    </row>
    <row r="495" spans="1:18" x14ac:dyDescent="0.3">
      <c r="A495">
        <v>3632</v>
      </c>
      <c r="B495" t="s">
        <v>4875</v>
      </c>
      <c r="C495" t="s">
        <v>541</v>
      </c>
      <c r="D495" t="s">
        <v>173</v>
      </c>
      <c r="E495" s="1">
        <v>46155</v>
      </c>
      <c r="F495" t="s">
        <v>4326</v>
      </c>
      <c r="G495" t="s">
        <v>4513</v>
      </c>
      <c r="H495" t="s">
        <v>542</v>
      </c>
      <c r="I495" t="s">
        <v>204</v>
      </c>
      <c r="J495" s="1">
        <v>46537</v>
      </c>
      <c r="K495" t="s">
        <v>748</v>
      </c>
      <c r="L495">
        <v>2337.9499999999998</v>
      </c>
      <c r="M495">
        <v>2337.9499999999998</v>
      </c>
      <c r="N495" t="s">
        <v>814</v>
      </c>
      <c r="O495" t="s">
        <v>1040</v>
      </c>
      <c r="P495" t="s">
        <v>4791</v>
      </c>
      <c r="Q495" t="s">
        <v>4856</v>
      </c>
      <c r="R495" t="s">
        <v>4773</v>
      </c>
    </row>
    <row r="496" spans="1:18" x14ac:dyDescent="0.3">
      <c r="A496">
        <v>3430</v>
      </c>
      <c r="B496" t="s">
        <v>4875</v>
      </c>
      <c r="C496" t="s">
        <v>541</v>
      </c>
      <c r="D496" t="s">
        <v>173</v>
      </c>
      <c r="E496" s="1">
        <v>46155</v>
      </c>
      <c r="F496" t="s">
        <v>4326</v>
      </c>
      <c r="G496" t="s">
        <v>4465</v>
      </c>
      <c r="H496" t="s">
        <v>542</v>
      </c>
      <c r="I496" t="s">
        <v>204</v>
      </c>
      <c r="J496" s="1">
        <v>46537</v>
      </c>
      <c r="K496" t="s">
        <v>748</v>
      </c>
      <c r="L496">
        <v>2337.9499999999998</v>
      </c>
      <c r="M496">
        <v>2337.9499999999998</v>
      </c>
      <c r="N496" t="s">
        <v>814</v>
      </c>
      <c r="O496" t="s">
        <v>1040</v>
      </c>
      <c r="P496" t="s">
        <v>4791</v>
      </c>
      <c r="Q496" t="s">
        <v>4856</v>
      </c>
      <c r="R496" t="s">
        <v>4773</v>
      </c>
    </row>
    <row r="497" spans="1:18" x14ac:dyDescent="0.3">
      <c r="A497">
        <v>18538</v>
      </c>
      <c r="B497" t="s">
        <v>4875</v>
      </c>
      <c r="C497" t="s">
        <v>493</v>
      </c>
      <c r="D497" t="s">
        <v>197</v>
      </c>
      <c r="E497" s="1">
        <v>46155</v>
      </c>
      <c r="F497" t="s">
        <v>4306</v>
      </c>
      <c r="G497" t="s">
        <v>4478</v>
      </c>
      <c r="H497" t="s">
        <v>492</v>
      </c>
      <c r="I497" t="s">
        <v>204</v>
      </c>
      <c r="J497" s="1">
        <v>54878</v>
      </c>
      <c r="K497" t="s">
        <v>768</v>
      </c>
      <c r="L497">
        <v>799</v>
      </c>
      <c r="M497">
        <v>799</v>
      </c>
      <c r="N497" t="s">
        <v>710</v>
      </c>
      <c r="O497" t="s">
        <v>4833</v>
      </c>
      <c r="P497" t="s">
        <v>4786</v>
      </c>
      <c r="Q497" t="s">
        <v>4852</v>
      </c>
      <c r="R497" t="s">
        <v>4773</v>
      </c>
    </row>
    <row r="498" spans="1:18" x14ac:dyDescent="0.3">
      <c r="A498">
        <v>702807</v>
      </c>
      <c r="B498" t="s">
        <v>4874</v>
      </c>
      <c r="C498" t="s">
        <v>333</v>
      </c>
      <c r="D498" t="s">
        <v>29</v>
      </c>
      <c r="E498" s="1">
        <v>46155</v>
      </c>
      <c r="F498" t="s">
        <v>4317</v>
      </c>
      <c r="G498" t="s">
        <v>4521</v>
      </c>
      <c r="H498" t="s">
        <v>460</v>
      </c>
      <c r="I498" t="s">
        <v>204</v>
      </c>
      <c r="J498" s="1">
        <v>54878</v>
      </c>
      <c r="K498" t="s">
        <v>785</v>
      </c>
      <c r="L498">
        <v>1</v>
      </c>
      <c r="M498">
        <v>709.47</v>
      </c>
      <c r="N498" t="s">
        <v>710</v>
      </c>
      <c r="O498" t="s">
        <v>1038</v>
      </c>
      <c r="P498" t="s">
        <v>4776</v>
      </c>
      <c r="Q498" t="s">
        <v>4858</v>
      </c>
      <c r="R498" t="s">
        <v>4771</v>
      </c>
    </row>
    <row r="499" spans="1:18" x14ac:dyDescent="0.3">
      <c r="A499">
        <v>3142982</v>
      </c>
      <c r="B499" t="s">
        <v>4874</v>
      </c>
      <c r="C499" t="s">
        <v>405</v>
      </c>
      <c r="D499" t="s">
        <v>107</v>
      </c>
      <c r="E499" s="1">
        <v>46155</v>
      </c>
      <c r="F499" t="s">
        <v>4362</v>
      </c>
      <c r="G499" t="s">
        <v>4517</v>
      </c>
      <c r="H499" t="s">
        <v>404</v>
      </c>
      <c r="I499" t="s">
        <v>204</v>
      </c>
      <c r="J499" s="1">
        <v>46477</v>
      </c>
      <c r="K499" t="s">
        <v>762</v>
      </c>
      <c r="L499">
        <v>2078</v>
      </c>
      <c r="M499">
        <v>2078</v>
      </c>
      <c r="N499" t="s">
        <v>710</v>
      </c>
      <c r="O499" t="s">
        <v>1037</v>
      </c>
      <c r="P499" t="s">
        <v>4806</v>
      </c>
      <c r="Q499" t="s">
        <v>4852</v>
      </c>
      <c r="R499" t="s">
        <v>4772</v>
      </c>
    </row>
    <row r="500" spans="1:18" x14ac:dyDescent="0.3">
      <c r="A500">
        <v>61804</v>
      </c>
      <c r="B500" t="s">
        <v>4875</v>
      </c>
      <c r="C500" t="s">
        <v>208</v>
      </c>
      <c r="D500" t="s">
        <v>164</v>
      </c>
      <c r="E500" s="1">
        <v>46155</v>
      </c>
      <c r="F500" t="s">
        <v>4297</v>
      </c>
      <c r="G500" t="s">
        <v>4253</v>
      </c>
      <c r="H500" t="s">
        <v>605</v>
      </c>
      <c r="I500" t="s">
        <v>204</v>
      </c>
      <c r="J500" s="1">
        <v>46256</v>
      </c>
      <c r="K500" t="s">
        <v>748</v>
      </c>
      <c r="L500">
        <v>120</v>
      </c>
      <c r="M500">
        <v>120</v>
      </c>
      <c r="N500" t="s">
        <v>710</v>
      </c>
      <c r="O500" t="s">
        <v>1040</v>
      </c>
      <c r="P500" t="s">
        <v>4795</v>
      </c>
      <c r="Q500" t="s">
        <v>4856</v>
      </c>
    </row>
    <row r="501" spans="1:18" x14ac:dyDescent="0.3">
      <c r="A501">
        <v>3517</v>
      </c>
      <c r="B501" t="s">
        <v>4875</v>
      </c>
      <c r="C501" t="s">
        <v>541</v>
      </c>
      <c r="D501" t="s">
        <v>173</v>
      </c>
      <c r="E501" s="1">
        <v>46155</v>
      </c>
      <c r="F501" t="s">
        <v>4326</v>
      </c>
      <c r="G501" t="s">
        <v>4511</v>
      </c>
      <c r="H501" t="s">
        <v>542</v>
      </c>
      <c r="I501" t="s">
        <v>204</v>
      </c>
      <c r="J501" s="1">
        <v>46537</v>
      </c>
      <c r="K501" t="s">
        <v>748</v>
      </c>
      <c r="L501">
        <v>2337.9499999999998</v>
      </c>
      <c r="M501">
        <v>2337.9499999999998</v>
      </c>
      <c r="N501" t="s">
        <v>814</v>
      </c>
      <c r="O501" t="s">
        <v>1040</v>
      </c>
      <c r="P501" t="s">
        <v>4791</v>
      </c>
      <c r="Q501" t="s">
        <v>4856</v>
      </c>
      <c r="R501" t="s">
        <v>4773</v>
      </c>
    </row>
    <row r="502" spans="1:18" x14ac:dyDescent="0.3">
      <c r="A502">
        <v>1666</v>
      </c>
      <c r="B502" t="s">
        <v>4875</v>
      </c>
      <c r="C502" t="s">
        <v>638</v>
      </c>
      <c r="D502" t="s">
        <v>134</v>
      </c>
      <c r="E502" s="1">
        <v>46155</v>
      </c>
      <c r="F502" t="s">
        <v>4296</v>
      </c>
      <c r="G502" t="s">
        <v>4252</v>
      </c>
      <c r="H502" t="s">
        <v>639</v>
      </c>
      <c r="I502" t="s">
        <v>204</v>
      </c>
      <c r="J502" s="1">
        <v>46537</v>
      </c>
      <c r="K502" t="s">
        <v>748</v>
      </c>
      <c r="L502">
        <v>1301</v>
      </c>
      <c r="M502">
        <v>1301</v>
      </c>
      <c r="N502" t="s">
        <v>710</v>
      </c>
      <c r="O502" t="s">
        <v>1040</v>
      </c>
      <c r="P502" t="s">
        <v>4776</v>
      </c>
      <c r="Q502" t="s">
        <v>4856</v>
      </c>
    </row>
    <row r="503" spans="1:18" x14ac:dyDescent="0.3">
      <c r="A503">
        <v>2201833</v>
      </c>
      <c r="B503" t="s">
        <v>4874</v>
      </c>
      <c r="C503" t="s">
        <v>668</v>
      </c>
      <c r="D503" t="s">
        <v>84</v>
      </c>
      <c r="E503" s="1">
        <v>46154</v>
      </c>
      <c r="F503" t="s">
        <v>4384</v>
      </c>
      <c r="G503" t="s">
        <v>4470</v>
      </c>
      <c r="H503" t="s">
        <v>667</v>
      </c>
      <c r="I503" t="s">
        <v>204</v>
      </c>
      <c r="J503" s="1">
        <v>46676</v>
      </c>
      <c r="K503" t="s">
        <v>762</v>
      </c>
      <c r="L503">
        <v>25200</v>
      </c>
      <c r="M503">
        <v>25200</v>
      </c>
      <c r="N503" t="s">
        <v>1000</v>
      </c>
      <c r="O503" t="s">
        <v>1037</v>
      </c>
      <c r="P503" t="s">
        <v>4799</v>
      </c>
      <c r="Q503" t="s">
        <v>4852</v>
      </c>
      <c r="R503" t="s">
        <v>807</v>
      </c>
    </row>
    <row r="504" spans="1:18" x14ac:dyDescent="0.3">
      <c r="A504">
        <v>9395</v>
      </c>
      <c r="B504" t="s">
        <v>4874</v>
      </c>
      <c r="C504" t="s">
        <v>422</v>
      </c>
      <c r="D504" t="s">
        <v>37</v>
      </c>
      <c r="E504" s="1">
        <v>46154</v>
      </c>
      <c r="F504" t="s">
        <v>4306</v>
      </c>
      <c r="G504" t="s">
        <v>4507</v>
      </c>
      <c r="H504" t="s">
        <v>421</v>
      </c>
      <c r="I504" t="s">
        <v>204</v>
      </c>
      <c r="J504" s="1">
        <v>46080</v>
      </c>
      <c r="K504" t="s">
        <v>762</v>
      </c>
      <c r="L504">
        <v>800</v>
      </c>
      <c r="M504">
        <v>800</v>
      </c>
      <c r="N504" t="s">
        <v>710</v>
      </c>
      <c r="O504" t="s">
        <v>4833</v>
      </c>
      <c r="P504" t="s">
        <v>4786</v>
      </c>
      <c r="Q504" t="s">
        <v>4852</v>
      </c>
      <c r="R504" t="s">
        <v>4773</v>
      </c>
    </row>
    <row r="505" spans="1:18" x14ac:dyDescent="0.3">
      <c r="A505">
        <v>226436</v>
      </c>
      <c r="B505" t="s">
        <v>4874</v>
      </c>
      <c r="C505" t="s">
        <v>441</v>
      </c>
      <c r="D505" t="s">
        <v>38</v>
      </c>
      <c r="E505" s="1">
        <v>46154</v>
      </c>
      <c r="F505" t="s">
        <v>4393</v>
      </c>
      <c r="G505" t="s">
        <v>4506</v>
      </c>
      <c r="H505" t="s">
        <v>440</v>
      </c>
      <c r="I505" t="s">
        <v>204</v>
      </c>
      <c r="J505" s="1">
        <v>46191</v>
      </c>
      <c r="K505" t="s">
        <v>762</v>
      </c>
      <c r="L505">
        <v>11315</v>
      </c>
      <c r="M505">
        <v>11315</v>
      </c>
      <c r="N505" t="s">
        <v>710</v>
      </c>
      <c r="O505" t="s">
        <v>4833</v>
      </c>
      <c r="P505" t="s">
        <v>4786</v>
      </c>
      <c r="Q505" t="s">
        <v>4852</v>
      </c>
      <c r="R505" t="s">
        <v>4773</v>
      </c>
    </row>
    <row r="506" spans="1:18" x14ac:dyDescent="0.3">
      <c r="A506">
        <v>1004</v>
      </c>
      <c r="B506" t="s">
        <v>4874</v>
      </c>
      <c r="C506" t="s">
        <v>222</v>
      </c>
      <c r="D506" t="s">
        <v>80</v>
      </c>
      <c r="E506" s="1">
        <v>46154</v>
      </c>
      <c r="F506" t="s">
        <v>4419</v>
      </c>
      <c r="G506" t="s">
        <v>4474</v>
      </c>
      <c r="H506" t="s">
        <v>223</v>
      </c>
      <c r="I506" t="s">
        <v>204</v>
      </c>
      <c r="J506" s="1">
        <v>46504</v>
      </c>
      <c r="K506" t="s">
        <v>720</v>
      </c>
      <c r="L506">
        <v>1</v>
      </c>
      <c r="M506">
        <v>1315</v>
      </c>
      <c r="N506" t="s">
        <v>710</v>
      </c>
      <c r="O506" t="s">
        <v>4834</v>
      </c>
      <c r="P506" t="s">
        <v>4778</v>
      </c>
      <c r="Q506" t="s">
        <v>4858</v>
      </c>
      <c r="R506" t="s">
        <v>4773</v>
      </c>
    </row>
    <row r="507" spans="1:18" x14ac:dyDescent="0.3">
      <c r="A507">
        <v>1876</v>
      </c>
      <c r="B507" t="s">
        <v>4874</v>
      </c>
      <c r="C507" t="s">
        <v>252</v>
      </c>
      <c r="D507" t="s">
        <v>183</v>
      </c>
      <c r="E507" s="1">
        <v>46154</v>
      </c>
      <c r="F507" t="s">
        <v>4404</v>
      </c>
      <c r="G507" t="s">
        <v>3526</v>
      </c>
      <c r="H507" t="s">
        <v>251</v>
      </c>
      <c r="I507" t="s">
        <v>204</v>
      </c>
      <c r="J507" s="1">
        <v>46418</v>
      </c>
      <c r="K507" t="s">
        <v>762</v>
      </c>
      <c r="L507">
        <v>20790</v>
      </c>
      <c r="M507">
        <v>20790</v>
      </c>
      <c r="N507" t="s">
        <v>719</v>
      </c>
      <c r="O507" t="s">
        <v>4904</v>
      </c>
      <c r="P507" t="s">
        <v>4792</v>
      </c>
      <c r="Q507" t="s">
        <v>4904</v>
      </c>
      <c r="R507" t="s">
        <v>4773</v>
      </c>
    </row>
    <row r="508" spans="1:18" x14ac:dyDescent="0.3">
      <c r="A508">
        <v>7579</v>
      </c>
      <c r="B508" t="s">
        <v>1035</v>
      </c>
      <c r="C508" t="s">
        <v>230</v>
      </c>
      <c r="D508" t="s">
        <v>85</v>
      </c>
      <c r="E508" s="1">
        <v>46154</v>
      </c>
      <c r="F508" t="s">
        <v>4348</v>
      </c>
      <c r="G508" t="s">
        <v>4515</v>
      </c>
      <c r="H508" t="s">
        <v>229</v>
      </c>
      <c r="I508" t="s">
        <v>204</v>
      </c>
      <c r="J508" s="1">
        <v>46203</v>
      </c>
      <c r="K508" t="s">
        <v>744</v>
      </c>
      <c r="L508">
        <v>7457.3</v>
      </c>
      <c r="M508">
        <v>7457.3</v>
      </c>
      <c r="N508" t="s">
        <v>710</v>
      </c>
      <c r="O508" t="s">
        <v>1033</v>
      </c>
      <c r="P508" t="s">
        <v>4781</v>
      </c>
      <c r="Q508" t="s">
        <v>4852</v>
      </c>
      <c r="R508" t="s">
        <v>4771</v>
      </c>
    </row>
    <row r="509" spans="1:18" x14ac:dyDescent="0.3">
      <c r="A509">
        <v>7570</v>
      </c>
      <c r="B509" t="s">
        <v>1035</v>
      </c>
      <c r="C509" t="s">
        <v>230</v>
      </c>
      <c r="D509" t="s">
        <v>85</v>
      </c>
      <c r="E509" s="1">
        <v>46154</v>
      </c>
      <c r="F509" t="s">
        <v>4348</v>
      </c>
      <c r="G509" t="s">
        <v>4515</v>
      </c>
      <c r="H509" t="s">
        <v>229</v>
      </c>
      <c r="I509" t="s">
        <v>204</v>
      </c>
      <c r="J509" s="1">
        <v>46203</v>
      </c>
      <c r="K509" t="s">
        <v>744</v>
      </c>
      <c r="L509">
        <v>3349.46</v>
      </c>
      <c r="M509">
        <v>3349.46</v>
      </c>
      <c r="N509" t="s">
        <v>710</v>
      </c>
      <c r="O509" t="s">
        <v>1033</v>
      </c>
      <c r="P509" t="s">
        <v>4781</v>
      </c>
      <c r="Q509" t="s">
        <v>4852</v>
      </c>
      <c r="R509" t="s">
        <v>4771</v>
      </c>
    </row>
    <row r="510" spans="1:18" x14ac:dyDescent="0.3">
      <c r="A510">
        <v>7534</v>
      </c>
      <c r="B510" t="s">
        <v>1035</v>
      </c>
      <c r="C510" t="s">
        <v>230</v>
      </c>
      <c r="D510" t="s">
        <v>85</v>
      </c>
      <c r="E510" s="1">
        <v>46154</v>
      </c>
      <c r="F510" t="s">
        <v>4436</v>
      </c>
      <c r="G510" t="s">
        <v>4509</v>
      </c>
      <c r="H510" t="s">
        <v>229</v>
      </c>
      <c r="I510" t="s">
        <v>204</v>
      </c>
      <c r="J510" s="1">
        <v>46203</v>
      </c>
      <c r="K510" t="s">
        <v>744</v>
      </c>
      <c r="L510">
        <v>6295.1</v>
      </c>
      <c r="M510">
        <v>6295.1</v>
      </c>
      <c r="N510" t="s">
        <v>710</v>
      </c>
      <c r="O510" t="s">
        <v>1033</v>
      </c>
      <c r="P510" t="s">
        <v>4781</v>
      </c>
      <c r="Q510" t="s">
        <v>4852</v>
      </c>
      <c r="R510" t="s">
        <v>4771</v>
      </c>
    </row>
    <row r="511" spans="1:18" x14ac:dyDescent="0.3">
      <c r="A511">
        <v>93698</v>
      </c>
      <c r="B511" t="s">
        <v>1034</v>
      </c>
      <c r="C511" t="s">
        <v>609</v>
      </c>
      <c r="D511" t="s">
        <v>182</v>
      </c>
      <c r="E511" s="1">
        <v>46154</v>
      </c>
      <c r="F511" t="s">
        <v>4336</v>
      </c>
      <c r="G511" t="s">
        <v>4473</v>
      </c>
      <c r="H511" t="s">
        <v>608</v>
      </c>
      <c r="I511" t="s">
        <v>204</v>
      </c>
      <c r="J511" s="1">
        <v>46281</v>
      </c>
      <c r="K511" t="s">
        <v>717</v>
      </c>
      <c r="L511">
        <v>248864.12</v>
      </c>
      <c r="M511">
        <v>248864.12</v>
      </c>
      <c r="N511" t="s">
        <v>719</v>
      </c>
      <c r="O511" t="s">
        <v>1037</v>
      </c>
      <c r="P511" t="s">
        <v>4794</v>
      </c>
      <c r="Q511" t="s">
        <v>4852</v>
      </c>
      <c r="R511" t="s">
        <v>4772</v>
      </c>
    </row>
    <row r="512" spans="1:18" x14ac:dyDescent="0.3">
      <c r="A512">
        <v>19682579</v>
      </c>
      <c r="B512" t="s">
        <v>1034</v>
      </c>
      <c r="C512" t="s">
        <v>678</v>
      </c>
      <c r="D512" t="s">
        <v>181</v>
      </c>
      <c r="E512" s="1">
        <v>46154</v>
      </c>
      <c r="F512" t="s">
        <v>4382</v>
      </c>
      <c r="G512" t="s">
        <v>4492</v>
      </c>
      <c r="H512" t="s">
        <v>677</v>
      </c>
      <c r="I512" t="s">
        <v>204</v>
      </c>
      <c r="J512" s="1">
        <v>46387</v>
      </c>
      <c r="K512" t="s">
        <v>717</v>
      </c>
      <c r="L512">
        <v>34907.620000000003</v>
      </c>
      <c r="M512">
        <v>34907.620000000003</v>
      </c>
      <c r="N512" t="s">
        <v>719</v>
      </c>
      <c r="O512" t="s">
        <v>1037</v>
      </c>
      <c r="P512" t="s">
        <v>4794</v>
      </c>
      <c r="Q512" t="s">
        <v>4852</v>
      </c>
      <c r="R512" t="s">
        <v>807</v>
      </c>
    </row>
    <row r="513" spans="1:18" x14ac:dyDescent="0.3">
      <c r="A513">
        <v>2201831</v>
      </c>
      <c r="B513" t="s">
        <v>1034</v>
      </c>
      <c r="C513" t="s">
        <v>668</v>
      </c>
      <c r="D513" t="s">
        <v>84</v>
      </c>
      <c r="E513" s="1">
        <v>46154</v>
      </c>
      <c r="F513" t="s">
        <v>4384</v>
      </c>
      <c r="G513" t="s">
        <v>4255</v>
      </c>
      <c r="H513" t="s">
        <v>669</v>
      </c>
      <c r="I513" t="s">
        <v>204</v>
      </c>
      <c r="J513" s="1">
        <v>46326</v>
      </c>
      <c r="K513" t="s">
        <v>717</v>
      </c>
      <c r="L513">
        <v>18266.91</v>
      </c>
      <c r="M513">
        <v>18266.91</v>
      </c>
      <c r="N513" t="s">
        <v>1000</v>
      </c>
      <c r="O513" t="s">
        <v>1037</v>
      </c>
      <c r="P513" t="s">
        <v>4799</v>
      </c>
      <c r="Q513" t="s">
        <v>4852</v>
      </c>
      <c r="R513" t="s">
        <v>807</v>
      </c>
    </row>
    <row r="514" spans="1:18" x14ac:dyDescent="0.3">
      <c r="A514">
        <v>96452</v>
      </c>
      <c r="B514" t="s">
        <v>1034</v>
      </c>
      <c r="C514" t="s">
        <v>609</v>
      </c>
      <c r="D514" t="s">
        <v>182</v>
      </c>
      <c r="E514" s="1">
        <v>46154</v>
      </c>
      <c r="F514" t="s">
        <v>4336</v>
      </c>
      <c r="G514" t="s">
        <v>4278</v>
      </c>
      <c r="H514" t="s">
        <v>608</v>
      </c>
      <c r="I514" t="s">
        <v>204</v>
      </c>
      <c r="J514" s="1">
        <v>46281</v>
      </c>
      <c r="K514" t="s">
        <v>717</v>
      </c>
      <c r="L514">
        <v>43671.51</v>
      </c>
      <c r="M514">
        <v>43671.51</v>
      </c>
      <c r="N514" t="s">
        <v>719</v>
      </c>
      <c r="O514" t="s">
        <v>1037</v>
      </c>
      <c r="P514" t="s">
        <v>4794</v>
      </c>
      <c r="Q514" t="s">
        <v>4852</v>
      </c>
      <c r="R514" t="s">
        <v>4772</v>
      </c>
    </row>
    <row r="515" spans="1:18" x14ac:dyDescent="0.3">
      <c r="A515">
        <v>3578</v>
      </c>
      <c r="B515" t="s">
        <v>4874</v>
      </c>
      <c r="C515" t="s">
        <v>572</v>
      </c>
      <c r="D515" t="s">
        <v>43</v>
      </c>
      <c r="E515" s="1">
        <v>46154</v>
      </c>
      <c r="F515" t="s">
        <v>4321</v>
      </c>
      <c r="G515" t="s">
        <v>4488</v>
      </c>
      <c r="H515" t="s">
        <v>571</v>
      </c>
      <c r="I515" t="s">
        <v>204</v>
      </c>
      <c r="J515" s="1">
        <v>46387</v>
      </c>
      <c r="K515" t="s">
        <v>720</v>
      </c>
      <c r="L515">
        <v>10900.87</v>
      </c>
      <c r="M515">
        <v>10900.87</v>
      </c>
      <c r="N515" t="s">
        <v>814</v>
      </c>
      <c r="O515" t="s">
        <v>1038</v>
      </c>
      <c r="P515" t="s">
        <v>4782</v>
      </c>
      <c r="Q515" t="s">
        <v>4858</v>
      </c>
      <c r="R515" t="s">
        <v>4771</v>
      </c>
    </row>
    <row r="516" spans="1:18" x14ac:dyDescent="0.3">
      <c r="A516">
        <v>2203083</v>
      </c>
      <c r="B516" t="s">
        <v>4875</v>
      </c>
      <c r="C516" t="s">
        <v>668</v>
      </c>
      <c r="D516" t="s">
        <v>84</v>
      </c>
      <c r="E516" s="1">
        <v>46154</v>
      </c>
      <c r="F516" t="s">
        <v>4384</v>
      </c>
      <c r="G516" t="s">
        <v>4469</v>
      </c>
      <c r="H516" t="s">
        <v>670</v>
      </c>
      <c r="I516" t="s">
        <v>204</v>
      </c>
      <c r="J516" s="1">
        <v>46677</v>
      </c>
      <c r="K516" t="s">
        <v>768</v>
      </c>
      <c r="L516">
        <v>2800</v>
      </c>
      <c r="M516">
        <v>2800</v>
      </c>
      <c r="N516" t="s">
        <v>1000</v>
      </c>
      <c r="O516" t="s">
        <v>1037</v>
      </c>
      <c r="P516" t="s">
        <v>4799</v>
      </c>
      <c r="Q516" t="s">
        <v>4852</v>
      </c>
      <c r="R516" t="s">
        <v>807</v>
      </c>
    </row>
    <row r="517" spans="1:18" x14ac:dyDescent="0.3">
      <c r="A517">
        <v>93697</v>
      </c>
      <c r="B517" t="s">
        <v>4875</v>
      </c>
      <c r="C517" t="s">
        <v>609</v>
      </c>
      <c r="D517" t="s">
        <v>182</v>
      </c>
      <c r="E517" s="1">
        <v>46154</v>
      </c>
      <c r="F517" t="s">
        <v>4336</v>
      </c>
      <c r="G517" t="s">
        <v>4267</v>
      </c>
      <c r="H517" t="s">
        <v>610</v>
      </c>
      <c r="I517" t="s">
        <v>204</v>
      </c>
      <c r="J517" s="1">
        <v>46282</v>
      </c>
      <c r="K517" t="s">
        <v>768</v>
      </c>
      <c r="L517">
        <v>64860.66</v>
      </c>
      <c r="M517">
        <v>64860.66</v>
      </c>
      <c r="N517" t="s">
        <v>710</v>
      </c>
      <c r="O517" t="s">
        <v>1037</v>
      </c>
      <c r="P517" t="s">
        <v>4794</v>
      </c>
      <c r="Q517" t="s">
        <v>4852</v>
      </c>
      <c r="R517" t="s">
        <v>4772</v>
      </c>
    </row>
    <row r="518" spans="1:18" x14ac:dyDescent="0.3">
      <c r="A518">
        <v>96451</v>
      </c>
      <c r="B518" t="s">
        <v>4875</v>
      </c>
      <c r="C518" t="s">
        <v>609</v>
      </c>
      <c r="D518" t="s">
        <v>182</v>
      </c>
      <c r="E518" s="1">
        <v>46154</v>
      </c>
      <c r="F518" t="s">
        <v>4336</v>
      </c>
      <c r="G518" t="s">
        <v>4279</v>
      </c>
      <c r="H518" t="s">
        <v>610</v>
      </c>
      <c r="I518" t="s">
        <v>204</v>
      </c>
      <c r="J518" s="1">
        <v>46282</v>
      </c>
      <c r="K518" t="s">
        <v>768</v>
      </c>
      <c r="L518">
        <v>9539.76</v>
      </c>
      <c r="M518">
        <v>9539.76</v>
      </c>
      <c r="N518" t="s">
        <v>710</v>
      </c>
      <c r="O518" t="s">
        <v>1037</v>
      </c>
      <c r="P518" t="s">
        <v>4794</v>
      </c>
      <c r="Q518" t="s">
        <v>4852</v>
      </c>
      <c r="R518" t="s">
        <v>4772</v>
      </c>
    </row>
    <row r="519" spans="1:18" x14ac:dyDescent="0.3">
      <c r="A519">
        <v>242</v>
      </c>
      <c r="B519" t="s">
        <v>1034</v>
      </c>
      <c r="C519" t="s">
        <v>1013</v>
      </c>
      <c r="D519" t="s">
        <v>1014</v>
      </c>
      <c r="E519" s="1">
        <v>46153</v>
      </c>
      <c r="F519" t="s">
        <v>4321</v>
      </c>
      <c r="G519" t="s">
        <v>4495</v>
      </c>
      <c r="H519" t="s">
        <v>1011</v>
      </c>
      <c r="I519" t="s">
        <v>204</v>
      </c>
      <c r="J519" s="1">
        <v>46407</v>
      </c>
      <c r="K519" t="s">
        <v>711</v>
      </c>
      <c r="L519">
        <v>3371.19</v>
      </c>
      <c r="M519">
        <v>3371.19</v>
      </c>
      <c r="N519" t="s">
        <v>710</v>
      </c>
      <c r="O519" t="s">
        <v>4844</v>
      </c>
      <c r="P519" t="s">
        <v>1012</v>
      </c>
      <c r="Q519" t="s">
        <v>4845</v>
      </c>
      <c r="R519" t="s">
        <v>807</v>
      </c>
    </row>
    <row r="520" spans="1:18" x14ac:dyDescent="0.3">
      <c r="A520">
        <v>64659</v>
      </c>
      <c r="B520" t="s">
        <v>1034</v>
      </c>
      <c r="C520" t="s">
        <v>500</v>
      </c>
      <c r="D520" t="s">
        <v>16</v>
      </c>
      <c r="E520" s="1">
        <v>46153</v>
      </c>
      <c r="F520" t="s">
        <v>4306</v>
      </c>
      <c r="G520" t="s">
        <v>4501</v>
      </c>
      <c r="H520" t="s">
        <v>499</v>
      </c>
      <c r="I520" t="s">
        <v>204</v>
      </c>
      <c r="J520" s="1">
        <v>54878</v>
      </c>
      <c r="K520" t="s">
        <v>717</v>
      </c>
      <c r="L520">
        <v>1633.45</v>
      </c>
      <c r="M520">
        <v>1633.45</v>
      </c>
      <c r="N520" t="s">
        <v>710</v>
      </c>
      <c r="O520" t="s">
        <v>4833</v>
      </c>
      <c r="P520" t="s">
        <v>4786</v>
      </c>
      <c r="Q520" t="s">
        <v>4852</v>
      </c>
      <c r="R520" t="s">
        <v>4773</v>
      </c>
    </row>
    <row r="521" spans="1:18" x14ac:dyDescent="0.3">
      <c r="A521">
        <v>324</v>
      </c>
      <c r="B521" t="s">
        <v>1034</v>
      </c>
      <c r="C521" t="s">
        <v>1013</v>
      </c>
      <c r="D521" t="s">
        <v>1014</v>
      </c>
      <c r="E521" s="1">
        <v>46153</v>
      </c>
      <c r="F521" t="s">
        <v>4321</v>
      </c>
      <c r="G521" t="s">
        <v>4503</v>
      </c>
      <c r="H521" t="s">
        <v>1011</v>
      </c>
      <c r="I521" t="s">
        <v>204</v>
      </c>
      <c r="J521" s="1">
        <v>46407</v>
      </c>
      <c r="K521" t="s">
        <v>711</v>
      </c>
      <c r="L521">
        <v>3371.19</v>
      </c>
      <c r="M521">
        <v>3371.19</v>
      </c>
      <c r="N521" t="s">
        <v>710</v>
      </c>
      <c r="O521" t="s">
        <v>4844</v>
      </c>
      <c r="P521" t="s">
        <v>1012</v>
      </c>
      <c r="Q521" t="s">
        <v>4845</v>
      </c>
      <c r="R521" t="s">
        <v>807</v>
      </c>
    </row>
    <row r="522" spans="1:18" x14ac:dyDescent="0.3">
      <c r="A522">
        <v>388</v>
      </c>
      <c r="B522" t="s">
        <v>1034</v>
      </c>
      <c r="C522" t="s">
        <v>1013</v>
      </c>
      <c r="D522" t="s">
        <v>1014</v>
      </c>
      <c r="E522" s="1">
        <v>46153</v>
      </c>
      <c r="F522" t="s">
        <v>4321</v>
      </c>
      <c r="G522" t="s">
        <v>4504</v>
      </c>
      <c r="H522" t="s">
        <v>1011</v>
      </c>
      <c r="I522" t="s">
        <v>204</v>
      </c>
      <c r="J522" s="1">
        <v>46407</v>
      </c>
      <c r="K522" t="s">
        <v>711</v>
      </c>
      <c r="L522">
        <v>3371.19</v>
      </c>
      <c r="M522">
        <v>3371.19</v>
      </c>
      <c r="N522" t="s">
        <v>710</v>
      </c>
      <c r="O522" t="s">
        <v>4844</v>
      </c>
      <c r="P522" t="s">
        <v>1012</v>
      </c>
      <c r="Q522" t="s">
        <v>4845</v>
      </c>
      <c r="R522" t="s">
        <v>807</v>
      </c>
    </row>
    <row r="523" spans="1:18" x14ac:dyDescent="0.3">
      <c r="A523">
        <v>162</v>
      </c>
      <c r="B523" t="s">
        <v>4874</v>
      </c>
      <c r="C523" t="s">
        <v>607</v>
      </c>
      <c r="D523" t="s">
        <v>81</v>
      </c>
      <c r="E523" s="1">
        <v>46153</v>
      </c>
      <c r="F523" t="s">
        <v>4357</v>
      </c>
      <c r="G523" t="s">
        <v>4453</v>
      </c>
      <c r="H523" t="s">
        <v>606</v>
      </c>
      <c r="I523" t="s">
        <v>204</v>
      </c>
      <c r="J523" s="1">
        <v>46387</v>
      </c>
      <c r="K523" t="s">
        <v>720</v>
      </c>
      <c r="L523">
        <v>19564.150000000001</v>
      </c>
      <c r="M523">
        <v>19564.150000000001</v>
      </c>
      <c r="N523" t="s">
        <v>710</v>
      </c>
      <c r="O523" t="s">
        <v>1038</v>
      </c>
      <c r="P523" t="s">
        <v>4777</v>
      </c>
      <c r="Q523" t="s">
        <v>4858</v>
      </c>
      <c r="R523" t="s">
        <v>4773</v>
      </c>
    </row>
    <row r="524" spans="1:18" x14ac:dyDescent="0.3">
      <c r="A524">
        <v>12900</v>
      </c>
      <c r="B524" t="s">
        <v>4874</v>
      </c>
      <c r="C524" t="s">
        <v>237</v>
      </c>
      <c r="D524" t="s">
        <v>4</v>
      </c>
      <c r="E524" s="1">
        <v>46153</v>
      </c>
      <c r="F524" t="s">
        <v>4368</v>
      </c>
      <c r="G524" t="s">
        <v>4452</v>
      </c>
      <c r="H524" t="s">
        <v>236</v>
      </c>
      <c r="I524" t="s">
        <v>204</v>
      </c>
      <c r="J524" s="1">
        <v>54878</v>
      </c>
      <c r="K524" t="s">
        <v>720</v>
      </c>
      <c r="L524">
        <v>5271</v>
      </c>
      <c r="M524">
        <v>5271</v>
      </c>
      <c r="N524" t="s">
        <v>710</v>
      </c>
      <c r="O524" t="s">
        <v>1038</v>
      </c>
      <c r="P524" t="s">
        <v>4776</v>
      </c>
      <c r="Q524" t="s">
        <v>4858</v>
      </c>
      <c r="R524" t="s">
        <v>4771</v>
      </c>
    </row>
    <row r="525" spans="1:18" x14ac:dyDescent="0.3">
      <c r="A525">
        <v>11003</v>
      </c>
      <c r="B525" t="s">
        <v>4874</v>
      </c>
      <c r="C525" t="s">
        <v>546</v>
      </c>
      <c r="D525" t="s">
        <v>75</v>
      </c>
      <c r="E525" s="1">
        <v>46153</v>
      </c>
      <c r="F525" t="s">
        <v>4355</v>
      </c>
      <c r="G525" t="s">
        <v>4454</v>
      </c>
      <c r="H525" t="s">
        <v>581</v>
      </c>
      <c r="I525" t="s">
        <v>204</v>
      </c>
      <c r="J525" s="1">
        <v>46233</v>
      </c>
      <c r="K525" t="s">
        <v>720</v>
      </c>
      <c r="L525">
        <v>3650</v>
      </c>
      <c r="M525">
        <v>3650</v>
      </c>
      <c r="N525" t="s">
        <v>814</v>
      </c>
      <c r="O525" t="s">
        <v>1038</v>
      </c>
      <c r="P525" t="s">
        <v>4779</v>
      </c>
      <c r="Q525" t="s">
        <v>4858</v>
      </c>
      <c r="R525" t="s">
        <v>4773</v>
      </c>
    </row>
    <row r="526" spans="1:18" x14ac:dyDescent="0.3">
      <c r="A526">
        <v>406739</v>
      </c>
      <c r="B526" t="s">
        <v>4874</v>
      </c>
      <c r="C526" t="s">
        <v>250</v>
      </c>
      <c r="D526" t="s">
        <v>55</v>
      </c>
      <c r="E526" s="1">
        <v>46153</v>
      </c>
      <c r="F526" t="s">
        <v>4391</v>
      </c>
      <c r="G526" t="s">
        <v>4496</v>
      </c>
      <c r="H526" t="s">
        <v>249</v>
      </c>
      <c r="I526" t="s">
        <v>204</v>
      </c>
      <c r="J526" s="1">
        <v>54878</v>
      </c>
      <c r="K526" t="s">
        <v>720</v>
      </c>
      <c r="L526">
        <v>643.59</v>
      </c>
      <c r="M526">
        <v>643.59</v>
      </c>
      <c r="N526" t="s">
        <v>719</v>
      </c>
      <c r="O526" t="s">
        <v>1038</v>
      </c>
      <c r="P526" t="s">
        <v>4778</v>
      </c>
      <c r="Q526" t="s">
        <v>4858</v>
      </c>
      <c r="R526" t="s">
        <v>4771</v>
      </c>
    </row>
    <row r="527" spans="1:18" x14ac:dyDescent="0.3">
      <c r="A527">
        <v>602162</v>
      </c>
      <c r="B527" t="s">
        <v>4874</v>
      </c>
      <c r="C527" t="s">
        <v>248</v>
      </c>
      <c r="D527" t="s">
        <v>13</v>
      </c>
      <c r="E527" s="1">
        <v>46153</v>
      </c>
      <c r="F527" t="s">
        <v>4297</v>
      </c>
      <c r="G527" t="s">
        <v>4499</v>
      </c>
      <c r="H527" t="s">
        <v>247</v>
      </c>
      <c r="I527" t="s">
        <v>204</v>
      </c>
      <c r="J527" s="1">
        <v>54878</v>
      </c>
      <c r="K527" t="s">
        <v>720</v>
      </c>
      <c r="L527">
        <v>573.72</v>
      </c>
      <c r="M527">
        <v>573.72</v>
      </c>
      <c r="N527" t="s">
        <v>710</v>
      </c>
      <c r="O527" t="s">
        <v>1038</v>
      </c>
      <c r="P527" t="s">
        <v>4779</v>
      </c>
      <c r="Q527" t="s">
        <v>4858</v>
      </c>
      <c r="R527" t="s">
        <v>4773</v>
      </c>
    </row>
    <row r="528" spans="1:18" x14ac:dyDescent="0.3">
      <c r="A528">
        <v>3631</v>
      </c>
      <c r="B528" t="s">
        <v>4874</v>
      </c>
      <c r="C528" t="s">
        <v>541</v>
      </c>
      <c r="D528" t="s">
        <v>173</v>
      </c>
      <c r="E528" s="1">
        <v>46153</v>
      </c>
      <c r="F528" t="s">
        <v>4326</v>
      </c>
      <c r="G528" t="s">
        <v>4502</v>
      </c>
      <c r="H528" t="s">
        <v>548</v>
      </c>
      <c r="I528" t="s">
        <v>204</v>
      </c>
      <c r="J528" s="1">
        <v>46387</v>
      </c>
      <c r="K528" t="s">
        <v>720</v>
      </c>
      <c r="L528">
        <v>2300</v>
      </c>
      <c r="M528">
        <v>2300</v>
      </c>
      <c r="N528" t="s">
        <v>710</v>
      </c>
      <c r="O528" t="s">
        <v>1038</v>
      </c>
      <c r="P528" t="s">
        <v>4791</v>
      </c>
      <c r="Q528" t="s">
        <v>4858</v>
      </c>
      <c r="R528" t="s">
        <v>4773</v>
      </c>
    </row>
    <row r="529" spans="1:18" x14ac:dyDescent="0.3">
      <c r="A529">
        <v>7402</v>
      </c>
      <c r="B529" t="s">
        <v>4874</v>
      </c>
      <c r="C529" t="s">
        <v>387</v>
      </c>
      <c r="D529" t="s">
        <v>42</v>
      </c>
      <c r="E529" s="1">
        <v>46153</v>
      </c>
      <c r="F529" t="s">
        <v>4345</v>
      </c>
      <c r="G529" t="s">
        <v>4477</v>
      </c>
      <c r="H529" t="s">
        <v>386</v>
      </c>
      <c r="I529" t="s">
        <v>204</v>
      </c>
      <c r="J529" s="1">
        <v>54878</v>
      </c>
      <c r="K529" t="s">
        <v>762</v>
      </c>
      <c r="L529">
        <v>1887</v>
      </c>
      <c r="M529">
        <v>1887</v>
      </c>
      <c r="N529" t="s">
        <v>719</v>
      </c>
      <c r="O529" t="s">
        <v>4833</v>
      </c>
      <c r="P529" t="s">
        <v>4776</v>
      </c>
      <c r="Q529" t="s">
        <v>4852</v>
      </c>
      <c r="R529" t="s">
        <v>4773</v>
      </c>
    </row>
    <row r="530" spans="1:18" x14ac:dyDescent="0.3">
      <c r="A530">
        <v>6058</v>
      </c>
      <c r="B530" t="s">
        <v>4874</v>
      </c>
      <c r="C530" t="s">
        <v>401</v>
      </c>
      <c r="D530" t="s">
        <v>187</v>
      </c>
      <c r="E530" s="1">
        <v>46153</v>
      </c>
      <c r="F530" t="s">
        <v>4345</v>
      </c>
      <c r="G530" t="s">
        <v>4475</v>
      </c>
      <c r="H530" t="s">
        <v>400</v>
      </c>
      <c r="I530" t="s">
        <v>204</v>
      </c>
      <c r="J530" s="1">
        <v>54878</v>
      </c>
      <c r="K530" t="s">
        <v>762</v>
      </c>
      <c r="L530">
        <v>390</v>
      </c>
      <c r="M530">
        <v>390</v>
      </c>
      <c r="N530" t="s">
        <v>710</v>
      </c>
      <c r="O530" t="s">
        <v>4833</v>
      </c>
      <c r="P530" t="s">
        <v>4776</v>
      </c>
      <c r="Q530" t="s">
        <v>4852</v>
      </c>
      <c r="R530" t="s">
        <v>4773</v>
      </c>
    </row>
    <row r="531" spans="1:18" x14ac:dyDescent="0.3">
      <c r="A531">
        <v>11001</v>
      </c>
      <c r="B531" t="s">
        <v>4874</v>
      </c>
      <c r="C531" t="s">
        <v>546</v>
      </c>
      <c r="D531" t="s">
        <v>75</v>
      </c>
      <c r="E531" s="1">
        <v>46153</v>
      </c>
      <c r="F531" t="s">
        <v>4355</v>
      </c>
      <c r="G531" t="s">
        <v>4454</v>
      </c>
      <c r="H531" t="s">
        <v>581</v>
      </c>
      <c r="I531" t="s">
        <v>204</v>
      </c>
      <c r="J531" s="1">
        <v>46233</v>
      </c>
      <c r="K531" t="s">
        <v>720</v>
      </c>
      <c r="L531">
        <v>3090.55</v>
      </c>
      <c r="M531">
        <v>3090.55</v>
      </c>
      <c r="N531" t="s">
        <v>814</v>
      </c>
      <c r="O531" t="s">
        <v>1038</v>
      </c>
      <c r="P531" t="s">
        <v>4779</v>
      </c>
      <c r="Q531" t="s">
        <v>4858</v>
      </c>
      <c r="R531" t="s">
        <v>4773</v>
      </c>
    </row>
    <row r="532" spans="1:18" x14ac:dyDescent="0.3">
      <c r="A532">
        <v>42</v>
      </c>
      <c r="B532" t="s">
        <v>1034</v>
      </c>
      <c r="C532" t="s">
        <v>658</v>
      </c>
      <c r="D532" t="s">
        <v>192</v>
      </c>
      <c r="E532" s="1">
        <v>46153</v>
      </c>
      <c r="F532" t="s">
        <v>4377</v>
      </c>
      <c r="G532" t="s">
        <v>4489</v>
      </c>
      <c r="H532" t="s">
        <v>657</v>
      </c>
      <c r="I532" t="s">
        <v>204</v>
      </c>
      <c r="J532" s="1">
        <v>46218</v>
      </c>
      <c r="K532" t="s">
        <v>711</v>
      </c>
      <c r="L532">
        <v>1</v>
      </c>
      <c r="M532">
        <v>2150</v>
      </c>
      <c r="N532" t="s">
        <v>710</v>
      </c>
      <c r="O532" t="s">
        <v>4834</v>
      </c>
      <c r="P532" t="s">
        <v>4776</v>
      </c>
      <c r="Q532" t="s">
        <v>4901</v>
      </c>
      <c r="R532" t="s">
        <v>807</v>
      </c>
    </row>
    <row r="533" spans="1:18" x14ac:dyDescent="0.3">
      <c r="A533">
        <v>439930</v>
      </c>
      <c r="B533" t="s">
        <v>1034</v>
      </c>
      <c r="C533" t="s">
        <v>451</v>
      </c>
      <c r="D533" t="s">
        <v>129</v>
      </c>
      <c r="E533" s="1">
        <v>46150</v>
      </c>
      <c r="F533" t="s">
        <v>4319</v>
      </c>
      <c r="G533" t="s">
        <v>4441</v>
      </c>
      <c r="H533" t="s">
        <v>662</v>
      </c>
      <c r="I533" t="s">
        <v>204</v>
      </c>
      <c r="J533" s="1">
        <v>46655</v>
      </c>
      <c r="K533" t="s">
        <v>717</v>
      </c>
      <c r="L533">
        <v>188</v>
      </c>
      <c r="M533">
        <v>244.1</v>
      </c>
      <c r="N533" t="s">
        <v>719</v>
      </c>
      <c r="O533" t="s">
        <v>4833</v>
      </c>
      <c r="P533" t="s">
        <v>4802</v>
      </c>
      <c r="Q533" t="s">
        <v>4852</v>
      </c>
      <c r="R533" t="s">
        <v>807</v>
      </c>
    </row>
    <row r="534" spans="1:18" x14ac:dyDescent="0.3">
      <c r="A534">
        <v>77535</v>
      </c>
      <c r="B534" t="s">
        <v>1034</v>
      </c>
      <c r="C534" t="s">
        <v>451</v>
      </c>
      <c r="D534" t="s">
        <v>129</v>
      </c>
      <c r="E534" s="1">
        <v>46150</v>
      </c>
      <c r="F534" t="s">
        <v>4319</v>
      </c>
      <c r="G534" t="s">
        <v>4441</v>
      </c>
      <c r="H534" t="s">
        <v>662</v>
      </c>
      <c r="I534" t="s">
        <v>204</v>
      </c>
      <c r="J534" s="1">
        <v>46655</v>
      </c>
      <c r="K534" t="s">
        <v>717</v>
      </c>
      <c r="L534">
        <v>1692</v>
      </c>
      <c r="M534">
        <v>1692.42</v>
      </c>
      <c r="N534" t="s">
        <v>719</v>
      </c>
      <c r="O534" t="s">
        <v>4833</v>
      </c>
      <c r="P534" t="s">
        <v>4802</v>
      </c>
      <c r="Q534" t="s">
        <v>4852</v>
      </c>
      <c r="R534" t="s">
        <v>807</v>
      </c>
    </row>
    <row r="535" spans="1:18" x14ac:dyDescent="0.3">
      <c r="A535">
        <v>77569</v>
      </c>
      <c r="B535" t="s">
        <v>1034</v>
      </c>
      <c r="C535" t="s">
        <v>451</v>
      </c>
      <c r="D535" t="s">
        <v>129</v>
      </c>
      <c r="E535" s="1">
        <v>46150</v>
      </c>
      <c r="F535" t="s">
        <v>4319</v>
      </c>
      <c r="G535" t="s">
        <v>4441</v>
      </c>
      <c r="H535" t="s">
        <v>662</v>
      </c>
      <c r="I535" t="s">
        <v>204</v>
      </c>
      <c r="J535" s="1">
        <v>46655</v>
      </c>
      <c r="K535" t="s">
        <v>717</v>
      </c>
      <c r="L535">
        <v>2618</v>
      </c>
      <c r="M535">
        <v>2618.17</v>
      </c>
      <c r="N535" t="s">
        <v>719</v>
      </c>
      <c r="O535" t="s">
        <v>4833</v>
      </c>
      <c r="P535" t="s">
        <v>4802</v>
      </c>
      <c r="Q535" t="s">
        <v>4852</v>
      </c>
      <c r="R535" t="s">
        <v>807</v>
      </c>
    </row>
    <row r="536" spans="1:18" x14ac:dyDescent="0.3">
      <c r="A536">
        <v>3630</v>
      </c>
      <c r="B536" t="s">
        <v>1034</v>
      </c>
      <c r="C536" t="s">
        <v>541</v>
      </c>
      <c r="D536" t="s">
        <v>173</v>
      </c>
      <c r="E536" s="1">
        <v>46150</v>
      </c>
      <c r="F536" t="s">
        <v>4326</v>
      </c>
      <c r="G536" t="s">
        <v>3653</v>
      </c>
      <c r="H536" t="s">
        <v>540</v>
      </c>
      <c r="I536" t="s">
        <v>204</v>
      </c>
      <c r="J536" s="1">
        <v>46386</v>
      </c>
      <c r="K536" t="s">
        <v>711</v>
      </c>
      <c r="L536">
        <v>1</v>
      </c>
      <c r="M536">
        <v>2337.9499999999998</v>
      </c>
      <c r="N536" t="s">
        <v>890</v>
      </c>
      <c r="O536" t="s">
        <v>1036</v>
      </c>
      <c r="P536" t="s">
        <v>4791</v>
      </c>
      <c r="Q536" t="s">
        <v>4901</v>
      </c>
      <c r="R536" t="s">
        <v>4773</v>
      </c>
    </row>
    <row r="537" spans="1:18" x14ac:dyDescent="0.3">
      <c r="A537">
        <v>1665</v>
      </c>
      <c r="B537" t="s">
        <v>1034</v>
      </c>
      <c r="C537" t="s">
        <v>638</v>
      </c>
      <c r="D537" t="s">
        <v>134</v>
      </c>
      <c r="E537" s="1">
        <v>46150</v>
      </c>
      <c r="F537" t="s">
        <v>4296</v>
      </c>
      <c r="G537" t="s">
        <v>3582</v>
      </c>
      <c r="H537" t="s">
        <v>637</v>
      </c>
      <c r="I537" t="s">
        <v>204</v>
      </c>
      <c r="J537" s="1">
        <v>46537</v>
      </c>
      <c r="K537" t="s">
        <v>711</v>
      </c>
      <c r="L537">
        <v>1941</v>
      </c>
      <c r="M537">
        <v>1941</v>
      </c>
      <c r="N537" t="s">
        <v>710</v>
      </c>
      <c r="O537" t="s">
        <v>1036</v>
      </c>
      <c r="P537" t="s">
        <v>4776</v>
      </c>
      <c r="Q537" t="s">
        <v>4901</v>
      </c>
    </row>
    <row r="538" spans="1:18" x14ac:dyDescent="0.3">
      <c r="A538">
        <v>5400</v>
      </c>
      <c r="B538" t="s">
        <v>1034</v>
      </c>
      <c r="C538" t="s">
        <v>319</v>
      </c>
      <c r="D538" t="s">
        <v>36</v>
      </c>
      <c r="E538" s="1">
        <v>46150</v>
      </c>
      <c r="F538" t="s">
        <v>4298</v>
      </c>
      <c r="G538" t="s">
        <v>4443</v>
      </c>
      <c r="H538" t="s">
        <v>318</v>
      </c>
      <c r="I538" t="s">
        <v>204</v>
      </c>
      <c r="J538" s="1">
        <v>46214</v>
      </c>
      <c r="K538" t="s">
        <v>711</v>
      </c>
      <c r="L538">
        <v>597</v>
      </c>
      <c r="M538">
        <v>597.41999999999996</v>
      </c>
      <c r="N538" t="s">
        <v>710</v>
      </c>
      <c r="O538" t="s">
        <v>1036</v>
      </c>
      <c r="P538" t="s">
        <v>4784</v>
      </c>
      <c r="Q538" t="s">
        <v>4901</v>
      </c>
      <c r="R538" t="s">
        <v>4771</v>
      </c>
    </row>
    <row r="539" spans="1:18" x14ac:dyDescent="0.3">
      <c r="A539">
        <v>1192</v>
      </c>
      <c r="B539" t="s">
        <v>1034</v>
      </c>
      <c r="C539" t="s">
        <v>319</v>
      </c>
      <c r="D539" t="s">
        <v>36</v>
      </c>
      <c r="E539" s="1">
        <v>46150</v>
      </c>
      <c r="F539" t="s">
        <v>4298</v>
      </c>
      <c r="G539" t="s">
        <v>4444</v>
      </c>
      <c r="H539" t="s">
        <v>318</v>
      </c>
      <c r="I539" t="s">
        <v>204</v>
      </c>
      <c r="J539" s="1">
        <v>46214</v>
      </c>
      <c r="K539" t="s">
        <v>711</v>
      </c>
      <c r="L539">
        <v>1065</v>
      </c>
      <c r="M539">
        <v>1064.6199999999999</v>
      </c>
      <c r="N539" t="s">
        <v>710</v>
      </c>
      <c r="O539" t="s">
        <v>1036</v>
      </c>
      <c r="P539" t="s">
        <v>4784</v>
      </c>
      <c r="Q539" t="s">
        <v>4901</v>
      </c>
      <c r="R539" t="s">
        <v>4771</v>
      </c>
    </row>
    <row r="540" spans="1:18" x14ac:dyDescent="0.3">
      <c r="A540">
        <v>2960</v>
      </c>
      <c r="B540" t="s">
        <v>1034</v>
      </c>
      <c r="C540" t="s">
        <v>585</v>
      </c>
      <c r="D540" t="s">
        <v>179</v>
      </c>
      <c r="E540" s="1">
        <v>46150</v>
      </c>
      <c r="F540" t="s">
        <v>4306</v>
      </c>
      <c r="G540" t="s">
        <v>4440</v>
      </c>
      <c r="H540" t="s">
        <v>584</v>
      </c>
      <c r="I540" t="s">
        <v>204</v>
      </c>
      <c r="J540" s="1">
        <v>46477</v>
      </c>
      <c r="K540" t="s">
        <v>717</v>
      </c>
      <c r="L540">
        <v>1</v>
      </c>
      <c r="M540">
        <v>1139.9000000000001</v>
      </c>
      <c r="N540" t="s">
        <v>719</v>
      </c>
      <c r="O540" t="s">
        <v>4833</v>
      </c>
      <c r="P540" t="s">
        <v>4786</v>
      </c>
      <c r="Q540" t="s">
        <v>4852</v>
      </c>
      <c r="R540" t="s">
        <v>4771</v>
      </c>
    </row>
    <row r="541" spans="1:18" x14ac:dyDescent="0.3">
      <c r="A541">
        <v>752</v>
      </c>
      <c r="B541" t="s">
        <v>1034</v>
      </c>
      <c r="C541" t="s">
        <v>675</v>
      </c>
      <c r="D541" t="s">
        <v>177</v>
      </c>
      <c r="E541" s="1">
        <v>46150</v>
      </c>
      <c r="F541" t="s">
        <v>4380</v>
      </c>
      <c r="G541" t="s">
        <v>4442</v>
      </c>
      <c r="H541" t="s">
        <v>676</v>
      </c>
      <c r="I541" t="s">
        <v>204</v>
      </c>
      <c r="J541" s="1">
        <v>46356</v>
      </c>
      <c r="K541" t="s">
        <v>768</v>
      </c>
      <c r="L541">
        <v>160</v>
      </c>
      <c r="M541">
        <v>160</v>
      </c>
      <c r="N541" t="s">
        <v>818</v>
      </c>
      <c r="O541" t="s">
        <v>1037</v>
      </c>
      <c r="P541" t="s">
        <v>4776</v>
      </c>
      <c r="Q541" t="s">
        <v>4852</v>
      </c>
      <c r="R541" t="s">
        <v>807</v>
      </c>
    </row>
    <row r="542" spans="1:18" x14ac:dyDescent="0.3">
      <c r="A542">
        <v>425826</v>
      </c>
      <c r="B542" t="s">
        <v>1034</v>
      </c>
      <c r="C542" t="s">
        <v>435</v>
      </c>
      <c r="D542" t="s">
        <v>30</v>
      </c>
      <c r="E542" s="1">
        <v>46150</v>
      </c>
      <c r="F542" t="s">
        <v>4351</v>
      </c>
      <c r="G542" t="s">
        <v>4439</v>
      </c>
      <c r="H542" t="s">
        <v>434</v>
      </c>
      <c r="I542" t="s">
        <v>204</v>
      </c>
      <c r="J542" s="1">
        <v>46752</v>
      </c>
      <c r="K542" t="s">
        <v>785</v>
      </c>
      <c r="L542">
        <v>1</v>
      </c>
      <c r="M542">
        <v>178117.48</v>
      </c>
      <c r="N542" t="s">
        <v>998</v>
      </c>
      <c r="O542" t="s">
        <v>1038</v>
      </c>
      <c r="P542" t="s">
        <v>4787</v>
      </c>
      <c r="Q542" t="s">
        <v>4858</v>
      </c>
      <c r="R542" t="s">
        <v>4771</v>
      </c>
    </row>
    <row r="543" spans="1:18" x14ac:dyDescent="0.3">
      <c r="A543">
        <v>2961</v>
      </c>
      <c r="B543" t="s">
        <v>4875</v>
      </c>
      <c r="C543" t="s">
        <v>585</v>
      </c>
      <c r="D543" t="s">
        <v>179</v>
      </c>
      <c r="E543" s="1">
        <v>46150</v>
      </c>
      <c r="F543" t="s">
        <v>4306</v>
      </c>
      <c r="G543" t="s">
        <v>4456</v>
      </c>
      <c r="H543" t="s">
        <v>586</v>
      </c>
      <c r="I543" t="s">
        <v>204</v>
      </c>
      <c r="J543" s="1">
        <v>46477</v>
      </c>
      <c r="K543" t="s">
        <v>768</v>
      </c>
      <c r="L543">
        <v>1139.9000000000001</v>
      </c>
      <c r="M543">
        <v>1139.9000000000001</v>
      </c>
      <c r="N543" t="s">
        <v>719</v>
      </c>
      <c r="O543" t="s">
        <v>4833</v>
      </c>
      <c r="P543" t="s">
        <v>4786</v>
      </c>
      <c r="Q543" t="s">
        <v>4852</v>
      </c>
      <c r="R543" t="s">
        <v>4771</v>
      </c>
    </row>
    <row r="544" spans="1:18" x14ac:dyDescent="0.3">
      <c r="A544">
        <v>2525</v>
      </c>
      <c r="B544" t="s">
        <v>4875</v>
      </c>
      <c r="C544" t="s">
        <v>616</v>
      </c>
      <c r="D544" t="s">
        <v>152</v>
      </c>
      <c r="E544" s="1">
        <v>46150</v>
      </c>
      <c r="F544" t="s">
        <v>4338</v>
      </c>
      <c r="G544" t="s">
        <v>4232</v>
      </c>
      <c r="H544" t="s">
        <v>622</v>
      </c>
      <c r="I544" t="s">
        <v>204</v>
      </c>
      <c r="J544" s="1">
        <v>46351</v>
      </c>
      <c r="K544" t="s">
        <v>748</v>
      </c>
      <c r="L544">
        <v>28600.99</v>
      </c>
      <c r="M544">
        <v>28600.99</v>
      </c>
      <c r="N544" t="s">
        <v>710</v>
      </c>
      <c r="O544" t="s">
        <v>4904</v>
      </c>
      <c r="P544" t="s">
        <v>4796</v>
      </c>
      <c r="Q544" t="s">
        <v>4856</v>
      </c>
      <c r="R544" t="s">
        <v>4772</v>
      </c>
    </row>
    <row r="545" spans="1:18" x14ac:dyDescent="0.3">
      <c r="A545">
        <v>775</v>
      </c>
      <c r="B545" t="s">
        <v>4875</v>
      </c>
      <c r="C545" t="s">
        <v>675</v>
      </c>
      <c r="D545" t="s">
        <v>177</v>
      </c>
      <c r="E545" s="1">
        <v>46150</v>
      </c>
      <c r="F545" t="s">
        <v>4380</v>
      </c>
      <c r="G545" t="s">
        <v>4455</v>
      </c>
      <c r="H545" t="s">
        <v>676</v>
      </c>
      <c r="I545" t="s">
        <v>204</v>
      </c>
      <c r="J545" s="1">
        <v>46356</v>
      </c>
      <c r="K545" t="s">
        <v>768</v>
      </c>
      <c r="L545">
        <v>285</v>
      </c>
      <c r="M545">
        <v>285</v>
      </c>
      <c r="N545" t="s">
        <v>818</v>
      </c>
      <c r="O545" t="s">
        <v>1037</v>
      </c>
      <c r="P545" t="s">
        <v>4776</v>
      </c>
      <c r="Q545" t="s">
        <v>4852</v>
      </c>
      <c r="R545" t="s">
        <v>807</v>
      </c>
    </row>
    <row r="546" spans="1:18" x14ac:dyDescent="0.3">
      <c r="A546">
        <v>1660508</v>
      </c>
      <c r="B546" t="s">
        <v>4874</v>
      </c>
      <c r="C546" t="s">
        <v>389</v>
      </c>
      <c r="D546" t="s">
        <v>32</v>
      </c>
      <c r="E546" s="1">
        <v>46150</v>
      </c>
      <c r="F546" t="s">
        <v>4299</v>
      </c>
      <c r="G546" t="s">
        <v>4445</v>
      </c>
      <c r="H546" t="s">
        <v>388</v>
      </c>
      <c r="I546" t="s">
        <v>204</v>
      </c>
      <c r="J546" s="1">
        <v>46752</v>
      </c>
      <c r="K546" t="s">
        <v>785</v>
      </c>
      <c r="L546">
        <v>1</v>
      </c>
      <c r="M546">
        <v>35162.11</v>
      </c>
      <c r="N546" t="s">
        <v>710</v>
      </c>
      <c r="O546" t="s">
        <v>1038</v>
      </c>
      <c r="P546" t="s">
        <v>4785</v>
      </c>
      <c r="Q546" t="s">
        <v>4858</v>
      </c>
      <c r="R546" t="s">
        <v>4771</v>
      </c>
    </row>
    <row r="547" spans="1:18" x14ac:dyDescent="0.3">
      <c r="A547">
        <v>2938973</v>
      </c>
      <c r="B547" t="s">
        <v>4874</v>
      </c>
      <c r="C547" t="s">
        <v>433</v>
      </c>
      <c r="D547" t="s">
        <v>168</v>
      </c>
      <c r="E547" s="1">
        <v>46150</v>
      </c>
      <c r="F547" t="s">
        <v>4319</v>
      </c>
      <c r="G547" t="s">
        <v>4446</v>
      </c>
      <c r="H547" t="s">
        <v>432</v>
      </c>
      <c r="I547" t="s">
        <v>204</v>
      </c>
      <c r="J547" s="1">
        <v>46473</v>
      </c>
      <c r="K547" t="s">
        <v>762</v>
      </c>
      <c r="L547">
        <v>5142</v>
      </c>
      <c r="M547">
        <v>5142.0600000000004</v>
      </c>
      <c r="N547" t="s">
        <v>710</v>
      </c>
      <c r="O547" t="s">
        <v>4833</v>
      </c>
      <c r="P547" t="s">
        <v>4802</v>
      </c>
      <c r="Q547" t="s">
        <v>4852</v>
      </c>
      <c r="R547" t="s">
        <v>4771</v>
      </c>
    </row>
    <row r="548" spans="1:18" x14ac:dyDescent="0.3">
      <c r="A548">
        <v>108160</v>
      </c>
      <c r="B548" t="s">
        <v>4874</v>
      </c>
      <c r="C548" t="s">
        <v>405</v>
      </c>
      <c r="D548" t="s">
        <v>107</v>
      </c>
      <c r="E548" s="1">
        <v>46150</v>
      </c>
      <c r="F548" t="s">
        <v>4362</v>
      </c>
      <c r="G548" t="s">
        <v>4447</v>
      </c>
      <c r="H548" t="s">
        <v>404</v>
      </c>
      <c r="I548" t="s">
        <v>204</v>
      </c>
      <c r="J548" s="1">
        <v>46477</v>
      </c>
      <c r="K548" t="s">
        <v>762</v>
      </c>
      <c r="L548">
        <v>2236.6799999999998</v>
      </c>
      <c r="M548">
        <v>2236.6799999999998</v>
      </c>
      <c r="N548" t="s">
        <v>710</v>
      </c>
      <c r="O548" t="s">
        <v>1037</v>
      </c>
      <c r="P548" t="s">
        <v>4806</v>
      </c>
      <c r="Q548" t="s">
        <v>4852</v>
      </c>
      <c r="R548" t="s">
        <v>4772</v>
      </c>
    </row>
    <row r="549" spans="1:18" x14ac:dyDescent="0.3">
      <c r="A549">
        <v>3240083</v>
      </c>
      <c r="B549" t="s">
        <v>4874</v>
      </c>
      <c r="C549" t="s">
        <v>405</v>
      </c>
      <c r="D549" t="s">
        <v>107</v>
      </c>
      <c r="E549" s="1">
        <v>46150</v>
      </c>
      <c r="F549" t="s">
        <v>4362</v>
      </c>
      <c r="G549" t="s">
        <v>4448</v>
      </c>
      <c r="H549" t="s">
        <v>404</v>
      </c>
      <c r="I549" t="s">
        <v>204</v>
      </c>
      <c r="J549" s="1">
        <v>46477</v>
      </c>
      <c r="K549" t="s">
        <v>762</v>
      </c>
      <c r="L549">
        <v>143307.98000000001</v>
      </c>
      <c r="M549">
        <v>143307.98000000001</v>
      </c>
      <c r="N549" t="s">
        <v>710</v>
      </c>
      <c r="O549" t="s">
        <v>1037</v>
      </c>
      <c r="P549" t="s">
        <v>4806</v>
      </c>
      <c r="Q549" t="s">
        <v>4852</v>
      </c>
      <c r="R549" t="s">
        <v>4772</v>
      </c>
    </row>
    <row r="550" spans="1:18" x14ac:dyDescent="0.3">
      <c r="A550">
        <v>3115090</v>
      </c>
      <c r="B550" t="s">
        <v>4874</v>
      </c>
      <c r="C550" t="s">
        <v>405</v>
      </c>
      <c r="D550" t="s">
        <v>107</v>
      </c>
      <c r="E550" s="1">
        <v>46150</v>
      </c>
      <c r="F550" t="s">
        <v>4362</v>
      </c>
      <c r="G550" t="s">
        <v>4449</v>
      </c>
      <c r="H550" t="s">
        <v>404</v>
      </c>
      <c r="I550" t="s">
        <v>204</v>
      </c>
      <c r="J550" s="1">
        <v>46477</v>
      </c>
      <c r="K550" t="s">
        <v>762</v>
      </c>
      <c r="L550">
        <v>1559</v>
      </c>
      <c r="M550">
        <v>1559</v>
      </c>
      <c r="N550" t="s">
        <v>710</v>
      </c>
      <c r="O550" t="s">
        <v>1037</v>
      </c>
      <c r="P550" t="s">
        <v>4806</v>
      </c>
      <c r="Q550" t="s">
        <v>4852</v>
      </c>
      <c r="R550" t="s">
        <v>4772</v>
      </c>
    </row>
    <row r="551" spans="1:18" x14ac:dyDescent="0.3">
      <c r="A551">
        <v>3142983</v>
      </c>
      <c r="B551" t="s">
        <v>4874</v>
      </c>
      <c r="C551" t="s">
        <v>405</v>
      </c>
      <c r="D551" t="s">
        <v>107</v>
      </c>
      <c r="E551" s="1">
        <v>46150</v>
      </c>
      <c r="F551" t="s">
        <v>4362</v>
      </c>
      <c r="G551" t="s">
        <v>4450</v>
      </c>
      <c r="H551" t="s">
        <v>404</v>
      </c>
      <c r="I551" t="s">
        <v>204</v>
      </c>
      <c r="J551" s="1">
        <v>46477</v>
      </c>
      <c r="K551" t="s">
        <v>762</v>
      </c>
      <c r="L551">
        <v>1394</v>
      </c>
      <c r="M551">
        <v>1394</v>
      </c>
      <c r="N551" t="s">
        <v>710</v>
      </c>
      <c r="O551" t="s">
        <v>1037</v>
      </c>
      <c r="P551" t="s">
        <v>4806</v>
      </c>
      <c r="Q551" t="s">
        <v>4852</v>
      </c>
      <c r="R551" t="s">
        <v>4772</v>
      </c>
    </row>
    <row r="552" spans="1:18" x14ac:dyDescent="0.3">
      <c r="A552">
        <v>195479</v>
      </c>
      <c r="B552" t="s">
        <v>4874</v>
      </c>
      <c r="C552" t="s">
        <v>411</v>
      </c>
      <c r="D552" t="s">
        <v>154</v>
      </c>
      <c r="E552" s="1">
        <v>46150</v>
      </c>
      <c r="F552" t="s">
        <v>4345</v>
      </c>
      <c r="G552" t="s">
        <v>4451</v>
      </c>
      <c r="H552" t="s">
        <v>410</v>
      </c>
      <c r="I552" t="s">
        <v>204</v>
      </c>
      <c r="J552" s="1">
        <v>46344</v>
      </c>
      <c r="K552" t="s">
        <v>762</v>
      </c>
      <c r="L552">
        <v>16275.21</v>
      </c>
      <c r="M552">
        <v>16275.21</v>
      </c>
      <c r="N552" t="s">
        <v>710</v>
      </c>
      <c r="O552" t="s">
        <v>4833</v>
      </c>
      <c r="P552" t="s">
        <v>4776</v>
      </c>
      <c r="Q552" t="s">
        <v>4852</v>
      </c>
      <c r="R552" t="s">
        <v>4773</v>
      </c>
    </row>
    <row r="553" spans="1:18" x14ac:dyDescent="0.3">
      <c r="A553">
        <v>62061</v>
      </c>
      <c r="B553" t="s">
        <v>1034</v>
      </c>
      <c r="C553" t="s">
        <v>790</v>
      </c>
      <c r="D553" t="s">
        <v>19</v>
      </c>
      <c r="E553" s="1">
        <v>46150</v>
      </c>
      <c r="F553" t="s">
        <v>4348</v>
      </c>
      <c r="G553" t="s">
        <v>4271</v>
      </c>
      <c r="H553" t="s">
        <v>287</v>
      </c>
      <c r="I553" t="s">
        <v>209</v>
      </c>
      <c r="J553" s="1">
        <v>54878</v>
      </c>
      <c r="K553" t="s">
        <v>711</v>
      </c>
      <c r="L553">
        <v>1</v>
      </c>
      <c r="M553">
        <v>2950</v>
      </c>
      <c r="N553" t="s">
        <v>710</v>
      </c>
      <c r="O553" t="s">
        <v>1037</v>
      </c>
      <c r="P553" t="s">
        <v>4781</v>
      </c>
      <c r="Q553" t="s">
        <v>4852</v>
      </c>
      <c r="R553" t="s">
        <v>4771</v>
      </c>
    </row>
    <row r="554" spans="1:18" x14ac:dyDescent="0.3">
      <c r="A554">
        <v>5975</v>
      </c>
      <c r="B554" t="s">
        <v>4875</v>
      </c>
      <c r="C554" t="s">
        <v>535</v>
      </c>
      <c r="D554" t="s">
        <v>148</v>
      </c>
      <c r="E554" s="1">
        <v>46149</v>
      </c>
      <c r="F554" t="s">
        <v>4355</v>
      </c>
      <c r="G554" t="s">
        <v>4234</v>
      </c>
      <c r="H554" t="s">
        <v>654</v>
      </c>
      <c r="I554" t="s">
        <v>204</v>
      </c>
      <c r="J554" s="1">
        <v>46227</v>
      </c>
      <c r="K554" t="s">
        <v>748</v>
      </c>
      <c r="L554">
        <v>1</v>
      </c>
      <c r="M554">
        <v>5500</v>
      </c>
      <c r="N554" t="s">
        <v>954</v>
      </c>
      <c r="O554" t="s">
        <v>1040</v>
      </c>
      <c r="P554" t="s">
        <v>4779</v>
      </c>
      <c r="Q554" t="s">
        <v>4856</v>
      </c>
      <c r="R554" t="s">
        <v>807</v>
      </c>
    </row>
    <row r="555" spans="1:18" x14ac:dyDescent="0.3">
      <c r="A555">
        <v>93625</v>
      </c>
      <c r="B555" t="s">
        <v>4875</v>
      </c>
      <c r="C555" t="s">
        <v>319</v>
      </c>
      <c r="D555" t="s">
        <v>36</v>
      </c>
      <c r="E555" s="1">
        <v>46149</v>
      </c>
      <c r="F555" t="s">
        <v>4298</v>
      </c>
      <c r="G555" t="s">
        <v>4263</v>
      </c>
      <c r="H555" t="s">
        <v>336</v>
      </c>
      <c r="I555" t="s">
        <v>204</v>
      </c>
      <c r="J555" s="1">
        <v>46075</v>
      </c>
      <c r="K555" t="s">
        <v>748</v>
      </c>
      <c r="L555">
        <v>1</v>
      </c>
      <c r="M555">
        <v>199.14</v>
      </c>
      <c r="N555" t="s">
        <v>710</v>
      </c>
      <c r="O555" t="s">
        <v>1040</v>
      </c>
      <c r="P555" t="s">
        <v>4784</v>
      </c>
      <c r="Q555" t="s">
        <v>4856</v>
      </c>
      <c r="R555" t="s">
        <v>4771</v>
      </c>
    </row>
    <row r="556" spans="1:18" x14ac:dyDescent="0.3">
      <c r="A556">
        <v>601917</v>
      </c>
      <c r="B556" t="s">
        <v>4875</v>
      </c>
      <c r="C556" t="s">
        <v>248</v>
      </c>
      <c r="D556" t="s">
        <v>13</v>
      </c>
      <c r="E556" s="1">
        <v>46149</v>
      </c>
      <c r="F556" t="s">
        <v>4430</v>
      </c>
      <c r="G556" t="s">
        <v>4251</v>
      </c>
      <c r="H556" t="s">
        <v>351</v>
      </c>
      <c r="I556" t="s">
        <v>204</v>
      </c>
      <c r="J556" s="1">
        <v>54878</v>
      </c>
      <c r="K556" t="s">
        <v>748</v>
      </c>
      <c r="L556">
        <v>1558.79</v>
      </c>
      <c r="M556">
        <v>1558.79</v>
      </c>
      <c r="N556" t="s">
        <v>710</v>
      </c>
      <c r="O556" t="s">
        <v>1040</v>
      </c>
      <c r="P556" t="s">
        <v>4779</v>
      </c>
      <c r="Q556" t="s">
        <v>4856</v>
      </c>
      <c r="R556" t="s">
        <v>4773</v>
      </c>
    </row>
    <row r="557" spans="1:18" x14ac:dyDescent="0.3">
      <c r="A557">
        <v>32865</v>
      </c>
      <c r="B557" t="s">
        <v>4876</v>
      </c>
      <c r="C557" t="s">
        <v>680</v>
      </c>
      <c r="D557" t="s">
        <v>86</v>
      </c>
      <c r="E557" s="1">
        <v>46149</v>
      </c>
      <c r="F557" t="s">
        <v>4402</v>
      </c>
      <c r="G557" t="s">
        <v>3694</v>
      </c>
      <c r="H557" t="s">
        <v>679</v>
      </c>
      <c r="I557" t="s">
        <v>204</v>
      </c>
      <c r="J557" s="1">
        <v>47118</v>
      </c>
      <c r="K557" t="s">
        <v>839</v>
      </c>
      <c r="L557">
        <v>224021.31</v>
      </c>
      <c r="M557">
        <v>224021.31</v>
      </c>
      <c r="N557" t="s">
        <v>710</v>
      </c>
      <c r="O557" t="s">
        <v>4833</v>
      </c>
      <c r="P557" t="s">
        <v>4800</v>
      </c>
      <c r="Q557" t="s">
        <v>4852</v>
      </c>
      <c r="R557" t="s">
        <v>807</v>
      </c>
    </row>
    <row r="558" spans="1:18" x14ac:dyDescent="0.3">
      <c r="A558">
        <v>32864</v>
      </c>
      <c r="B558" t="s">
        <v>4876</v>
      </c>
      <c r="C558" t="s">
        <v>680</v>
      </c>
      <c r="D558" t="s">
        <v>86</v>
      </c>
      <c r="E558" s="1">
        <v>46149</v>
      </c>
      <c r="F558" t="s">
        <v>4402</v>
      </c>
      <c r="G558" t="s">
        <v>3694</v>
      </c>
      <c r="H558" t="s">
        <v>679</v>
      </c>
      <c r="I558" t="s">
        <v>204</v>
      </c>
      <c r="J558" s="1">
        <v>47118</v>
      </c>
      <c r="K558" t="s">
        <v>839</v>
      </c>
      <c r="L558">
        <v>55683.23</v>
      </c>
      <c r="M558">
        <v>55683.23</v>
      </c>
      <c r="N558" t="s">
        <v>710</v>
      </c>
      <c r="O558" t="s">
        <v>4833</v>
      </c>
      <c r="P558" t="s">
        <v>4800</v>
      </c>
      <c r="Q558" t="s">
        <v>4852</v>
      </c>
      <c r="R558" t="s">
        <v>807</v>
      </c>
    </row>
    <row r="559" spans="1:18" x14ac:dyDescent="0.3">
      <c r="A559">
        <v>80469</v>
      </c>
      <c r="B559" t="s">
        <v>4874</v>
      </c>
      <c r="C559" t="s">
        <v>634</v>
      </c>
      <c r="D559" t="s">
        <v>99</v>
      </c>
      <c r="E559" s="1">
        <v>46149</v>
      </c>
      <c r="F559" t="s">
        <v>4307</v>
      </c>
      <c r="G559" t="s">
        <v>4270</v>
      </c>
      <c r="H559" t="s">
        <v>633</v>
      </c>
      <c r="I559" t="s">
        <v>204</v>
      </c>
      <c r="J559" s="1">
        <v>46204</v>
      </c>
      <c r="K559" t="s">
        <v>762</v>
      </c>
      <c r="L559">
        <v>2024</v>
      </c>
      <c r="M559">
        <v>31554.16</v>
      </c>
      <c r="N559" t="s">
        <v>719</v>
      </c>
      <c r="O559" t="s">
        <v>1037</v>
      </c>
      <c r="P559" t="s">
        <v>4790</v>
      </c>
      <c r="Q559" t="s">
        <v>4852</v>
      </c>
    </row>
    <row r="560" spans="1:18" x14ac:dyDescent="0.3">
      <c r="A560">
        <v>80469</v>
      </c>
      <c r="B560" t="s">
        <v>4874</v>
      </c>
      <c r="C560" t="s">
        <v>634</v>
      </c>
      <c r="D560" t="s">
        <v>99</v>
      </c>
      <c r="E560" s="1">
        <v>46149</v>
      </c>
      <c r="F560" t="s">
        <v>4371</v>
      </c>
      <c r="G560" t="s">
        <v>4270</v>
      </c>
      <c r="H560" t="s">
        <v>633</v>
      </c>
      <c r="I560" t="s">
        <v>204</v>
      </c>
      <c r="J560" s="1">
        <v>46204</v>
      </c>
      <c r="K560" t="s">
        <v>762</v>
      </c>
      <c r="L560">
        <v>201</v>
      </c>
      <c r="M560">
        <v>4231.05</v>
      </c>
      <c r="N560" t="s">
        <v>719</v>
      </c>
      <c r="O560" t="s">
        <v>1037</v>
      </c>
      <c r="P560" t="s">
        <v>4790</v>
      </c>
      <c r="Q560" t="s">
        <v>4852</v>
      </c>
    </row>
    <row r="561" spans="1:18" x14ac:dyDescent="0.3">
      <c r="A561">
        <v>80469</v>
      </c>
      <c r="B561" t="s">
        <v>4874</v>
      </c>
      <c r="C561" t="s">
        <v>634</v>
      </c>
      <c r="D561" t="s">
        <v>99</v>
      </c>
      <c r="E561" s="1">
        <v>46149</v>
      </c>
      <c r="F561" t="s">
        <v>4308</v>
      </c>
      <c r="G561" t="s">
        <v>4270</v>
      </c>
      <c r="H561" t="s">
        <v>633</v>
      </c>
      <c r="I561" t="s">
        <v>204</v>
      </c>
      <c r="J561" s="1">
        <v>46204</v>
      </c>
      <c r="K561" t="s">
        <v>762</v>
      </c>
      <c r="L561">
        <v>96</v>
      </c>
      <c r="M561">
        <v>467.52</v>
      </c>
      <c r="N561" t="s">
        <v>719</v>
      </c>
      <c r="O561" t="s">
        <v>1037</v>
      </c>
      <c r="P561" t="s">
        <v>4790</v>
      </c>
      <c r="Q561" t="s">
        <v>4852</v>
      </c>
    </row>
    <row r="562" spans="1:18" x14ac:dyDescent="0.3">
      <c r="A562">
        <v>80469</v>
      </c>
      <c r="B562" t="s">
        <v>4874</v>
      </c>
      <c r="C562" t="s">
        <v>634</v>
      </c>
      <c r="D562" t="s">
        <v>99</v>
      </c>
      <c r="E562" s="1">
        <v>46149</v>
      </c>
      <c r="F562" t="s">
        <v>4394</v>
      </c>
      <c r="G562" t="s">
        <v>4270</v>
      </c>
      <c r="H562" t="s">
        <v>633</v>
      </c>
      <c r="I562" t="s">
        <v>204</v>
      </c>
      <c r="J562" s="1">
        <v>46204</v>
      </c>
      <c r="K562" t="s">
        <v>762</v>
      </c>
      <c r="L562">
        <v>2024</v>
      </c>
      <c r="M562">
        <v>2024</v>
      </c>
      <c r="N562" t="s">
        <v>719</v>
      </c>
      <c r="O562" t="s">
        <v>1037</v>
      </c>
      <c r="P562" t="s">
        <v>4790</v>
      </c>
      <c r="Q562" t="s">
        <v>4852</v>
      </c>
    </row>
    <row r="563" spans="1:18" x14ac:dyDescent="0.3">
      <c r="A563">
        <v>80469</v>
      </c>
      <c r="B563" t="s">
        <v>4874</v>
      </c>
      <c r="C563" t="s">
        <v>634</v>
      </c>
      <c r="D563" t="s">
        <v>99</v>
      </c>
      <c r="E563" s="1">
        <v>46149</v>
      </c>
      <c r="F563" t="s">
        <v>4394</v>
      </c>
      <c r="G563" t="s">
        <v>4270</v>
      </c>
      <c r="H563" t="s">
        <v>633</v>
      </c>
      <c r="I563" t="s">
        <v>204</v>
      </c>
      <c r="J563" s="1">
        <v>46204</v>
      </c>
      <c r="K563" t="s">
        <v>762</v>
      </c>
      <c r="L563">
        <v>201</v>
      </c>
      <c r="M563">
        <v>271.35000000000002</v>
      </c>
      <c r="N563" t="s">
        <v>719</v>
      </c>
      <c r="O563" t="s">
        <v>1037</v>
      </c>
      <c r="P563" t="s">
        <v>4790</v>
      </c>
      <c r="Q563" t="s">
        <v>4852</v>
      </c>
    </row>
    <row r="564" spans="1:18" x14ac:dyDescent="0.3">
      <c r="A564">
        <v>423386</v>
      </c>
      <c r="B564" t="s">
        <v>4874</v>
      </c>
      <c r="C564" t="s">
        <v>435</v>
      </c>
      <c r="D564" t="s">
        <v>30</v>
      </c>
      <c r="E564" s="1">
        <v>46149</v>
      </c>
      <c r="F564" t="s">
        <v>4351</v>
      </c>
      <c r="G564" t="s">
        <v>4286</v>
      </c>
      <c r="H564" t="s">
        <v>434</v>
      </c>
      <c r="I564" t="s">
        <v>204</v>
      </c>
      <c r="J564" s="1">
        <v>46752</v>
      </c>
      <c r="K564" t="s">
        <v>785</v>
      </c>
      <c r="L564">
        <v>1</v>
      </c>
      <c r="M564">
        <v>116532.41</v>
      </c>
      <c r="N564" t="s">
        <v>998</v>
      </c>
      <c r="O564" t="s">
        <v>1038</v>
      </c>
      <c r="P564" t="s">
        <v>4787</v>
      </c>
      <c r="Q564" t="s">
        <v>4858</v>
      </c>
      <c r="R564" t="s">
        <v>4771</v>
      </c>
    </row>
    <row r="565" spans="1:18" x14ac:dyDescent="0.3">
      <c r="A565">
        <v>449972026</v>
      </c>
      <c r="B565" t="s">
        <v>4874</v>
      </c>
      <c r="C565" t="s">
        <v>614</v>
      </c>
      <c r="D565" t="s">
        <v>74</v>
      </c>
      <c r="E565" s="1">
        <v>46149</v>
      </c>
      <c r="F565" t="s">
        <v>4362</v>
      </c>
      <c r="G565" t="s">
        <v>4006</v>
      </c>
      <c r="H565" t="s">
        <v>613</v>
      </c>
      <c r="I565" t="s">
        <v>204</v>
      </c>
      <c r="J565" s="1">
        <v>46993</v>
      </c>
      <c r="K565" t="s">
        <v>720</v>
      </c>
      <c r="L565">
        <v>1515</v>
      </c>
      <c r="M565">
        <v>1515</v>
      </c>
      <c r="N565" t="s">
        <v>710</v>
      </c>
      <c r="O565" t="s">
        <v>1038</v>
      </c>
      <c r="P565" t="s">
        <v>4779</v>
      </c>
      <c r="Q565" t="s">
        <v>4858</v>
      </c>
      <c r="R565" t="s">
        <v>4771</v>
      </c>
    </row>
    <row r="566" spans="1:18" x14ac:dyDescent="0.3">
      <c r="A566">
        <v>3336</v>
      </c>
      <c r="B566" t="s">
        <v>4874</v>
      </c>
      <c r="C566" t="s">
        <v>630</v>
      </c>
      <c r="D566" t="s">
        <v>145</v>
      </c>
      <c r="E566" s="1">
        <v>46149</v>
      </c>
      <c r="F566" t="s">
        <v>4300</v>
      </c>
      <c r="G566" t="s">
        <v>4275</v>
      </c>
      <c r="H566" t="s">
        <v>629</v>
      </c>
      <c r="I566" t="s">
        <v>204</v>
      </c>
      <c r="J566" s="1">
        <v>46264</v>
      </c>
      <c r="K566" t="s">
        <v>720</v>
      </c>
      <c r="L566">
        <v>1</v>
      </c>
      <c r="M566">
        <v>24500</v>
      </c>
      <c r="N566" t="s">
        <v>710</v>
      </c>
      <c r="O566" t="s">
        <v>4849</v>
      </c>
      <c r="P566" t="s">
        <v>4777</v>
      </c>
      <c r="Q566" t="s">
        <v>4855</v>
      </c>
      <c r="R566" t="s">
        <v>4771</v>
      </c>
    </row>
    <row r="567" spans="1:18" x14ac:dyDescent="0.3">
      <c r="A567">
        <v>80469</v>
      </c>
      <c r="B567" t="s">
        <v>4874</v>
      </c>
      <c r="C567" t="s">
        <v>634</v>
      </c>
      <c r="D567" t="s">
        <v>99</v>
      </c>
      <c r="E567" s="1">
        <v>46149</v>
      </c>
      <c r="F567" t="s">
        <v>4424</v>
      </c>
      <c r="G567" t="s">
        <v>4270</v>
      </c>
      <c r="H567" t="s">
        <v>633</v>
      </c>
      <c r="I567" t="s">
        <v>204</v>
      </c>
      <c r="J567" s="1">
        <v>46204</v>
      </c>
      <c r="K567" t="s">
        <v>762</v>
      </c>
      <c r="L567">
        <v>2</v>
      </c>
      <c r="M567">
        <v>22.5</v>
      </c>
      <c r="N567" t="s">
        <v>719</v>
      </c>
      <c r="O567" t="s">
        <v>1037</v>
      </c>
      <c r="P567" t="s">
        <v>4790</v>
      </c>
      <c r="Q567" t="s">
        <v>4852</v>
      </c>
    </row>
    <row r="568" spans="1:18" x14ac:dyDescent="0.3">
      <c r="A568">
        <v>80469</v>
      </c>
      <c r="B568" t="s">
        <v>4874</v>
      </c>
      <c r="C568" t="s">
        <v>634</v>
      </c>
      <c r="D568" t="s">
        <v>99</v>
      </c>
      <c r="E568" s="1">
        <v>46149</v>
      </c>
      <c r="F568" t="s">
        <v>4403</v>
      </c>
      <c r="G568" t="s">
        <v>4270</v>
      </c>
      <c r="H568" t="s">
        <v>633</v>
      </c>
      <c r="I568" t="s">
        <v>204</v>
      </c>
      <c r="J568" s="1">
        <v>46204</v>
      </c>
      <c r="K568" t="s">
        <v>762</v>
      </c>
      <c r="L568">
        <v>1</v>
      </c>
      <c r="M568">
        <v>15.3</v>
      </c>
      <c r="N568" t="s">
        <v>719</v>
      </c>
      <c r="O568" t="s">
        <v>1037</v>
      </c>
      <c r="P568" t="s">
        <v>4790</v>
      </c>
      <c r="Q568" t="s">
        <v>4852</v>
      </c>
    </row>
    <row r="569" spans="1:18" x14ac:dyDescent="0.3">
      <c r="A569">
        <v>3966</v>
      </c>
      <c r="B569" t="s">
        <v>4874</v>
      </c>
      <c r="C569" t="s">
        <v>225</v>
      </c>
      <c r="D569" t="s">
        <v>166</v>
      </c>
      <c r="E569" s="1">
        <v>46149</v>
      </c>
      <c r="F569" t="s">
        <v>4383</v>
      </c>
      <c r="G569" t="s">
        <v>4276</v>
      </c>
      <c r="H569" t="s">
        <v>224</v>
      </c>
      <c r="I569" t="s">
        <v>204</v>
      </c>
      <c r="J569" s="1">
        <v>54878</v>
      </c>
      <c r="K569" t="s">
        <v>720</v>
      </c>
      <c r="L569">
        <v>476.36</v>
      </c>
      <c r="M569">
        <v>476.36</v>
      </c>
      <c r="N569" t="s">
        <v>710</v>
      </c>
      <c r="O569" t="s">
        <v>4849</v>
      </c>
      <c r="P569" t="s">
        <v>4776</v>
      </c>
      <c r="Q569" t="s">
        <v>4855</v>
      </c>
      <c r="R569" t="s">
        <v>4773</v>
      </c>
    </row>
    <row r="570" spans="1:18" x14ac:dyDescent="0.3">
      <c r="A570">
        <v>55</v>
      </c>
      <c r="B570" t="s">
        <v>4876</v>
      </c>
      <c r="C570" t="s">
        <v>476</v>
      </c>
      <c r="D570" t="s">
        <v>195</v>
      </c>
      <c r="E570" s="1">
        <v>46149</v>
      </c>
      <c r="F570" t="s">
        <v>4401</v>
      </c>
      <c r="G570" t="s">
        <v>4273</v>
      </c>
      <c r="H570" t="s">
        <v>475</v>
      </c>
      <c r="I570" t="s">
        <v>204</v>
      </c>
      <c r="J570" s="1">
        <v>54878</v>
      </c>
      <c r="K570" t="s">
        <v>839</v>
      </c>
      <c r="L570">
        <v>39330</v>
      </c>
      <c r="M570">
        <v>39330</v>
      </c>
      <c r="N570" t="s">
        <v>710</v>
      </c>
      <c r="O570" t="s">
        <v>1042</v>
      </c>
      <c r="P570" t="s">
        <v>1006</v>
      </c>
      <c r="Q570" t="s">
        <v>4852</v>
      </c>
      <c r="R570" t="s">
        <v>4771</v>
      </c>
    </row>
    <row r="571" spans="1:18" x14ac:dyDescent="0.3">
      <c r="A571">
        <v>80469</v>
      </c>
      <c r="B571" t="s">
        <v>4874</v>
      </c>
      <c r="C571" t="s">
        <v>634</v>
      </c>
      <c r="D571" t="s">
        <v>99</v>
      </c>
      <c r="E571" s="1">
        <v>46149</v>
      </c>
      <c r="F571" t="s">
        <v>4398</v>
      </c>
      <c r="G571" t="s">
        <v>4270</v>
      </c>
      <c r="H571" t="s">
        <v>633</v>
      </c>
      <c r="I571" t="s">
        <v>204</v>
      </c>
      <c r="J571" s="1">
        <v>46204</v>
      </c>
      <c r="K571" t="s">
        <v>762</v>
      </c>
      <c r="L571">
        <v>100</v>
      </c>
      <c r="M571">
        <v>10</v>
      </c>
      <c r="N571" t="s">
        <v>719</v>
      </c>
      <c r="O571" t="s">
        <v>1037</v>
      </c>
      <c r="P571" t="s">
        <v>4790</v>
      </c>
      <c r="Q571" t="s">
        <v>4852</v>
      </c>
    </row>
    <row r="572" spans="1:18" x14ac:dyDescent="0.3">
      <c r="A572">
        <v>80469</v>
      </c>
      <c r="B572" t="s">
        <v>4874</v>
      </c>
      <c r="C572" t="s">
        <v>634</v>
      </c>
      <c r="D572" t="s">
        <v>99</v>
      </c>
      <c r="E572" s="1">
        <v>46149</v>
      </c>
      <c r="F572" t="s">
        <v>4309</v>
      </c>
      <c r="G572" t="s">
        <v>4270</v>
      </c>
      <c r="H572" t="s">
        <v>633</v>
      </c>
      <c r="I572" t="s">
        <v>204</v>
      </c>
      <c r="J572" s="1">
        <v>46204</v>
      </c>
      <c r="K572" t="s">
        <v>762</v>
      </c>
      <c r="L572">
        <v>2</v>
      </c>
      <c r="M572">
        <v>9.2799999999999994</v>
      </c>
      <c r="N572" t="s">
        <v>719</v>
      </c>
      <c r="O572" t="s">
        <v>1037</v>
      </c>
      <c r="P572" t="s">
        <v>4790</v>
      </c>
      <c r="Q572" t="s">
        <v>4852</v>
      </c>
    </row>
    <row r="573" spans="1:18" x14ac:dyDescent="0.3">
      <c r="A573">
        <v>80469</v>
      </c>
      <c r="B573" t="s">
        <v>4874</v>
      </c>
      <c r="C573" t="s">
        <v>634</v>
      </c>
      <c r="D573" t="s">
        <v>99</v>
      </c>
      <c r="E573" s="1">
        <v>46149</v>
      </c>
      <c r="F573" t="s">
        <v>4310</v>
      </c>
      <c r="G573" t="s">
        <v>4270</v>
      </c>
      <c r="H573" t="s">
        <v>633</v>
      </c>
      <c r="I573" t="s">
        <v>204</v>
      </c>
      <c r="J573" s="1">
        <v>46204</v>
      </c>
      <c r="K573" t="s">
        <v>762</v>
      </c>
      <c r="L573">
        <v>84</v>
      </c>
      <c r="M573">
        <v>307.44</v>
      </c>
      <c r="N573" t="s">
        <v>719</v>
      </c>
      <c r="O573" t="s">
        <v>1037</v>
      </c>
      <c r="P573" t="s">
        <v>4790</v>
      </c>
      <c r="Q573" t="s">
        <v>4852</v>
      </c>
    </row>
    <row r="574" spans="1:18" x14ac:dyDescent="0.3">
      <c r="A574">
        <v>80469</v>
      </c>
      <c r="B574" t="s">
        <v>4874</v>
      </c>
      <c r="C574" t="s">
        <v>634</v>
      </c>
      <c r="D574" t="s">
        <v>99</v>
      </c>
      <c r="E574" s="1">
        <v>46149</v>
      </c>
      <c r="F574" t="s">
        <v>4313</v>
      </c>
      <c r="G574" t="s">
        <v>4270</v>
      </c>
      <c r="H574" t="s">
        <v>633</v>
      </c>
      <c r="I574" t="s">
        <v>204</v>
      </c>
      <c r="J574" s="1">
        <v>46204</v>
      </c>
      <c r="K574" t="s">
        <v>762</v>
      </c>
      <c r="L574">
        <v>7</v>
      </c>
      <c r="M574">
        <v>45.99</v>
      </c>
      <c r="N574" t="s">
        <v>719</v>
      </c>
      <c r="O574" t="s">
        <v>1037</v>
      </c>
      <c r="P574" t="s">
        <v>4790</v>
      </c>
      <c r="Q574" t="s">
        <v>4852</v>
      </c>
    </row>
    <row r="575" spans="1:18" x14ac:dyDescent="0.3">
      <c r="A575">
        <v>223</v>
      </c>
      <c r="B575" t="s">
        <v>4875</v>
      </c>
      <c r="C575" t="s">
        <v>312</v>
      </c>
      <c r="D575" t="s">
        <v>73</v>
      </c>
      <c r="E575" s="1">
        <v>46149</v>
      </c>
      <c r="F575" t="s">
        <v>4300</v>
      </c>
      <c r="G575" t="s">
        <v>4249</v>
      </c>
      <c r="H575" t="s">
        <v>365</v>
      </c>
      <c r="I575" t="s">
        <v>204</v>
      </c>
      <c r="J575" s="1">
        <v>46418</v>
      </c>
      <c r="K575" t="s">
        <v>748</v>
      </c>
      <c r="L575">
        <v>2361</v>
      </c>
      <c r="M575">
        <v>2361</v>
      </c>
      <c r="N575" t="s">
        <v>710</v>
      </c>
      <c r="O575" t="s">
        <v>4834</v>
      </c>
      <c r="P575" t="s">
        <v>1006</v>
      </c>
      <c r="Q575" t="s">
        <v>4856</v>
      </c>
      <c r="R575" t="s">
        <v>4773</v>
      </c>
    </row>
    <row r="576" spans="1:18" x14ac:dyDescent="0.3">
      <c r="A576">
        <v>3625</v>
      </c>
      <c r="B576" t="s">
        <v>4874</v>
      </c>
      <c r="C576" t="s">
        <v>612</v>
      </c>
      <c r="D576" t="s">
        <v>102</v>
      </c>
      <c r="E576" s="1">
        <v>46149</v>
      </c>
      <c r="F576" t="s">
        <v>4300</v>
      </c>
      <c r="G576" t="s">
        <v>4274</v>
      </c>
      <c r="H576" t="s">
        <v>611</v>
      </c>
      <c r="I576" t="s">
        <v>209</v>
      </c>
      <c r="J576" s="1">
        <v>45961</v>
      </c>
      <c r="K576" t="s">
        <v>720</v>
      </c>
      <c r="L576">
        <v>1</v>
      </c>
      <c r="M576">
        <v>20748</v>
      </c>
      <c r="N576" t="s">
        <v>710</v>
      </c>
      <c r="O576" t="s">
        <v>1037</v>
      </c>
      <c r="P576" t="s">
        <v>4777</v>
      </c>
      <c r="Q576" t="s">
        <v>4852</v>
      </c>
      <c r="R576" t="s">
        <v>4773</v>
      </c>
    </row>
    <row r="577" spans="1:18" x14ac:dyDescent="0.3">
      <c r="A577">
        <v>80469</v>
      </c>
      <c r="B577" t="s">
        <v>4874</v>
      </c>
      <c r="C577" t="s">
        <v>634</v>
      </c>
      <c r="D577" t="s">
        <v>99</v>
      </c>
      <c r="E577" s="1">
        <v>46149</v>
      </c>
      <c r="F577" t="s">
        <v>4411</v>
      </c>
      <c r="G577" t="s">
        <v>4270</v>
      </c>
      <c r="H577" t="s">
        <v>633</v>
      </c>
      <c r="I577" t="s">
        <v>204</v>
      </c>
      <c r="J577" s="1">
        <v>46204</v>
      </c>
      <c r="K577" t="s">
        <v>762</v>
      </c>
      <c r="L577">
        <v>23</v>
      </c>
      <c r="M577">
        <v>328.9</v>
      </c>
      <c r="N577" t="s">
        <v>719</v>
      </c>
      <c r="O577" t="s">
        <v>1037</v>
      </c>
      <c r="P577" t="s">
        <v>4790</v>
      </c>
      <c r="Q577" t="s">
        <v>4852</v>
      </c>
    </row>
    <row r="578" spans="1:18" x14ac:dyDescent="0.3">
      <c r="A578">
        <v>2854</v>
      </c>
      <c r="B578" t="s">
        <v>1034</v>
      </c>
      <c r="C578" t="s">
        <v>203</v>
      </c>
      <c r="D578" t="s">
        <v>118</v>
      </c>
      <c r="E578" s="1">
        <v>46148</v>
      </c>
      <c r="F578" t="s">
        <v>4353</v>
      </c>
      <c r="G578" t="s">
        <v>4265</v>
      </c>
      <c r="H578" t="s">
        <v>202</v>
      </c>
      <c r="I578" t="s">
        <v>204</v>
      </c>
      <c r="J578" s="1">
        <v>46387</v>
      </c>
      <c r="K578" t="s">
        <v>717</v>
      </c>
      <c r="L578">
        <v>91.6</v>
      </c>
      <c r="M578">
        <v>91.6</v>
      </c>
      <c r="N578" t="s">
        <v>710</v>
      </c>
      <c r="O578" t="s">
        <v>1037</v>
      </c>
      <c r="P578" t="s">
        <v>4776</v>
      </c>
      <c r="Q578" t="s">
        <v>4852</v>
      </c>
      <c r="R578" t="s">
        <v>4772</v>
      </c>
    </row>
    <row r="579" spans="1:18" x14ac:dyDescent="0.3">
      <c r="A579">
        <v>602218</v>
      </c>
      <c r="B579" t="s">
        <v>1034</v>
      </c>
      <c r="C579" t="s">
        <v>248</v>
      </c>
      <c r="D579" t="s">
        <v>13</v>
      </c>
      <c r="E579" s="1">
        <v>46148</v>
      </c>
      <c r="F579" t="s">
        <v>4297</v>
      </c>
      <c r="G579" t="s">
        <v>3845</v>
      </c>
      <c r="H579" t="s">
        <v>315</v>
      </c>
      <c r="I579" t="s">
        <v>204</v>
      </c>
      <c r="J579" s="1">
        <v>46073</v>
      </c>
      <c r="K579" t="s">
        <v>711</v>
      </c>
      <c r="L579">
        <v>1</v>
      </c>
      <c r="M579">
        <v>404.45</v>
      </c>
      <c r="N579" t="s">
        <v>710</v>
      </c>
      <c r="O579" t="s">
        <v>1036</v>
      </c>
      <c r="P579" t="s">
        <v>4779</v>
      </c>
      <c r="Q579" t="s">
        <v>4901</v>
      </c>
      <c r="R579" t="s">
        <v>4773</v>
      </c>
    </row>
    <row r="580" spans="1:18" x14ac:dyDescent="0.3">
      <c r="A580">
        <v>7501</v>
      </c>
      <c r="B580" t="s">
        <v>1034</v>
      </c>
      <c r="C580" t="s">
        <v>230</v>
      </c>
      <c r="D580" t="s">
        <v>85</v>
      </c>
      <c r="E580" s="1">
        <v>46148</v>
      </c>
      <c r="F580" t="s">
        <v>4348</v>
      </c>
      <c r="G580" t="s">
        <v>4284</v>
      </c>
      <c r="H580" t="s">
        <v>570</v>
      </c>
      <c r="I580" t="s">
        <v>204</v>
      </c>
      <c r="J580" s="1">
        <v>46418</v>
      </c>
      <c r="K580" t="s">
        <v>717</v>
      </c>
      <c r="L580">
        <v>508195.8</v>
      </c>
      <c r="M580">
        <v>508195.8</v>
      </c>
      <c r="N580" t="s">
        <v>719</v>
      </c>
      <c r="O580" t="s">
        <v>1033</v>
      </c>
      <c r="P580" t="s">
        <v>4781</v>
      </c>
      <c r="Q580" t="s">
        <v>4852</v>
      </c>
      <c r="R580" t="s">
        <v>4771</v>
      </c>
    </row>
    <row r="581" spans="1:18" x14ac:dyDescent="0.3">
      <c r="A581">
        <v>7497</v>
      </c>
      <c r="B581" t="s">
        <v>4874</v>
      </c>
      <c r="C581" t="s">
        <v>230</v>
      </c>
      <c r="D581" t="s">
        <v>85</v>
      </c>
      <c r="E581" s="1">
        <v>46148</v>
      </c>
      <c r="F581" t="s">
        <v>4348</v>
      </c>
      <c r="G581" t="s">
        <v>4283</v>
      </c>
      <c r="H581" t="s">
        <v>299</v>
      </c>
      <c r="I581" t="s">
        <v>204</v>
      </c>
      <c r="J581" s="1">
        <v>46536</v>
      </c>
      <c r="K581" t="s">
        <v>762</v>
      </c>
      <c r="L581">
        <v>1</v>
      </c>
      <c r="M581">
        <v>198518.11</v>
      </c>
      <c r="N581" t="s">
        <v>710</v>
      </c>
      <c r="O581" t="s">
        <v>1033</v>
      </c>
      <c r="P581" t="s">
        <v>4781</v>
      </c>
      <c r="Q581" t="s">
        <v>4852</v>
      </c>
      <c r="R581" t="s">
        <v>4771</v>
      </c>
    </row>
    <row r="582" spans="1:18" x14ac:dyDescent="0.3">
      <c r="A582">
        <v>7517</v>
      </c>
      <c r="B582" t="s">
        <v>4874</v>
      </c>
      <c r="C582" t="s">
        <v>230</v>
      </c>
      <c r="D582" t="s">
        <v>85</v>
      </c>
      <c r="E582" s="1">
        <v>46148</v>
      </c>
      <c r="F582" t="s">
        <v>4421</v>
      </c>
      <c r="G582" t="s">
        <v>4277</v>
      </c>
      <c r="H582" t="s">
        <v>299</v>
      </c>
      <c r="I582" t="s">
        <v>204</v>
      </c>
      <c r="J582" s="1">
        <v>46536</v>
      </c>
      <c r="K582" t="s">
        <v>762</v>
      </c>
      <c r="L582">
        <v>1</v>
      </c>
      <c r="M582">
        <v>12939.3</v>
      </c>
      <c r="N582" t="s">
        <v>710</v>
      </c>
      <c r="O582" t="s">
        <v>1033</v>
      </c>
      <c r="P582" t="s">
        <v>4781</v>
      </c>
      <c r="Q582" t="s">
        <v>4852</v>
      </c>
      <c r="R582" t="s">
        <v>4771</v>
      </c>
    </row>
    <row r="583" spans="1:18" x14ac:dyDescent="0.3">
      <c r="A583">
        <v>55459</v>
      </c>
      <c r="B583" t="s">
        <v>4875</v>
      </c>
      <c r="C583" t="s">
        <v>203</v>
      </c>
      <c r="D583" t="s">
        <v>118</v>
      </c>
      <c r="E583" s="1">
        <v>46148</v>
      </c>
      <c r="F583" t="s">
        <v>4353</v>
      </c>
      <c r="G583" t="s">
        <v>4264</v>
      </c>
      <c r="H583" t="s">
        <v>202</v>
      </c>
      <c r="I583" t="s">
        <v>204</v>
      </c>
      <c r="J583" s="1">
        <v>46387</v>
      </c>
      <c r="K583" t="s">
        <v>717</v>
      </c>
      <c r="L583">
        <v>82.26</v>
      </c>
      <c r="M583">
        <v>82.26</v>
      </c>
      <c r="N583" t="s">
        <v>710</v>
      </c>
      <c r="O583" t="s">
        <v>1037</v>
      </c>
      <c r="P583" t="s">
        <v>4776</v>
      </c>
      <c r="Q583" t="s">
        <v>4852</v>
      </c>
      <c r="R583" t="s">
        <v>4772</v>
      </c>
    </row>
    <row r="584" spans="1:18" x14ac:dyDescent="0.3">
      <c r="A584">
        <v>73</v>
      </c>
      <c r="B584" t="s">
        <v>4875</v>
      </c>
      <c r="C584" t="s">
        <v>561</v>
      </c>
      <c r="D584" t="s">
        <v>121</v>
      </c>
      <c r="E584" s="1">
        <v>46148</v>
      </c>
      <c r="F584" t="s">
        <v>4390</v>
      </c>
      <c r="G584" t="s">
        <v>4233</v>
      </c>
      <c r="H584" t="s">
        <v>560</v>
      </c>
      <c r="I584" t="s">
        <v>204</v>
      </c>
      <c r="J584" s="1">
        <v>46732</v>
      </c>
      <c r="K584" t="s">
        <v>748</v>
      </c>
      <c r="L584">
        <v>14100</v>
      </c>
      <c r="M584">
        <v>14100</v>
      </c>
      <c r="N584" t="s">
        <v>818</v>
      </c>
      <c r="O584" t="s">
        <v>1040</v>
      </c>
      <c r="P584" t="s">
        <v>4777</v>
      </c>
      <c r="Q584" t="s">
        <v>4856</v>
      </c>
      <c r="R584" t="s">
        <v>4771</v>
      </c>
    </row>
    <row r="585" spans="1:18" x14ac:dyDescent="0.3">
      <c r="A585">
        <v>602218</v>
      </c>
      <c r="B585" t="s">
        <v>1034</v>
      </c>
      <c r="C585" t="s">
        <v>248</v>
      </c>
      <c r="D585" t="s">
        <v>13</v>
      </c>
      <c r="E585" s="1">
        <v>46148</v>
      </c>
      <c r="F585" t="s">
        <v>4297</v>
      </c>
      <c r="G585" t="s">
        <v>3654</v>
      </c>
      <c r="H585" t="s">
        <v>315</v>
      </c>
      <c r="I585" t="s">
        <v>204</v>
      </c>
      <c r="J585" s="1">
        <v>46073</v>
      </c>
      <c r="K585" t="s">
        <v>711</v>
      </c>
      <c r="L585">
        <v>5391.91</v>
      </c>
      <c r="M585">
        <v>5391.91</v>
      </c>
      <c r="N585" t="s">
        <v>710</v>
      </c>
      <c r="O585" t="s">
        <v>1036</v>
      </c>
      <c r="P585" t="s">
        <v>4779</v>
      </c>
      <c r="Q585" t="s">
        <v>4901</v>
      </c>
      <c r="R585" t="s">
        <v>4773</v>
      </c>
    </row>
    <row r="586" spans="1:18" x14ac:dyDescent="0.3">
      <c r="A586">
        <v>359</v>
      </c>
      <c r="B586" t="s">
        <v>1034</v>
      </c>
      <c r="C586" t="s">
        <v>479</v>
      </c>
      <c r="D586" t="s">
        <v>99</v>
      </c>
      <c r="E586" s="1">
        <v>46147</v>
      </c>
      <c r="F586" t="s">
        <v>4307</v>
      </c>
      <c r="G586" t="s">
        <v>4269</v>
      </c>
      <c r="H586" t="s">
        <v>478</v>
      </c>
      <c r="I586" t="s">
        <v>204</v>
      </c>
      <c r="J586" s="1">
        <v>46239</v>
      </c>
      <c r="K586" t="s">
        <v>717</v>
      </c>
      <c r="L586">
        <v>3977</v>
      </c>
      <c r="M586">
        <v>48559.17</v>
      </c>
      <c r="N586" t="s">
        <v>710</v>
      </c>
      <c r="O586" t="s">
        <v>1037</v>
      </c>
      <c r="P586" t="s">
        <v>4790</v>
      </c>
      <c r="Q586" t="s">
        <v>4852</v>
      </c>
      <c r="R586" t="s">
        <v>4772</v>
      </c>
    </row>
    <row r="587" spans="1:18" x14ac:dyDescent="0.3">
      <c r="A587">
        <v>359</v>
      </c>
      <c r="B587" t="s">
        <v>1034</v>
      </c>
      <c r="C587" t="s">
        <v>479</v>
      </c>
      <c r="D587" t="s">
        <v>99</v>
      </c>
      <c r="E587" s="1">
        <v>46147</v>
      </c>
      <c r="F587" t="s">
        <v>4372</v>
      </c>
      <c r="G587" t="s">
        <v>4269</v>
      </c>
      <c r="H587" t="s">
        <v>478</v>
      </c>
      <c r="I587" t="s">
        <v>204</v>
      </c>
      <c r="J587" s="1">
        <v>46239</v>
      </c>
      <c r="K587" t="s">
        <v>717</v>
      </c>
      <c r="L587">
        <v>321</v>
      </c>
      <c r="M587">
        <v>2734.92</v>
      </c>
      <c r="N587" t="s">
        <v>710</v>
      </c>
      <c r="O587" t="s">
        <v>1037</v>
      </c>
      <c r="P587" t="s">
        <v>4790</v>
      </c>
      <c r="Q587" t="s">
        <v>4852</v>
      </c>
      <c r="R587" t="s">
        <v>4772</v>
      </c>
    </row>
    <row r="588" spans="1:18" x14ac:dyDescent="0.3">
      <c r="A588">
        <v>359</v>
      </c>
      <c r="B588" t="s">
        <v>1034</v>
      </c>
      <c r="C588" t="s">
        <v>479</v>
      </c>
      <c r="D588" t="s">
        <v>99</v>
      </c>
      <c r="E588" s="1">
        <v>46147</v>
      </c>
      <c r="F588" t="s">
        <v>4308</v>
      </c>
      <c r="G588" t="s">
        <v>4269</v>
      </c>
      <c r="H588" t="s">
        <v>478</v>
      </c>
      <c r="I588" t="s">
        <v>204</v>
      </c>
      <c r="J588" s="1">
        <v>46239</v>
      </c>
      <c r="K588" t="s">
        <v>717</v>
      </c>
      <c r="L588">
        <v>2789</v>
      </c>
      <c r="M588">
        <v>11044.44</v>
      </c>
      <c r="N588" t="s">
        <v>710</v>
      </c>
      <c r="O588" t="s">
        <v>1037</v>
      </c>
      <c r="P588" t="s">
        <v>4790</v>
      </c>
      <c r="Q588" t="s">
        <v>4852</v>
      </c>
      <c r="R588" t="s">
        <v>4772</v>
      </c>
    </row>
    <row r="589" spans="1:18" x14ac:dyDescent="0.3">
      <c r="A589">
        <v>359</v>
      </c>
      <c r="B589" t="s">
        <v>1034</v>
      </c>
      <c r="C589" t="s">
        <v>479</v>
      </c>
      <c r="D589" t="s">
        <v>99</v>
      </c>
      <c r="E589" s="1">
        <v>46147</v>
      </c>
      <c r="F589" t="s">
        <v>4313</v>
      </c>
      <c r="G589" t="s">
        <v>4269</v>
      </c>
      <c r="H589" t="s">
        <v>478</v>
      </c>
      <c r="I589" t="s">
        <v>204</v>
      </c>
      <c r="J589" s="1">
        <v>46239</v>
      </c>
      <c r="K589" t="s">
        <v>717</v>
      </c>
      <c r="L589">
        <v>85</v>
      </c>
      <c r="M589">
        <v>453.9</v>
      </c>
      <c r="N589" t="s">
        <v>710</v>
      </c>
      <c r="O589" t="s">
        <v>1037</v>
      </c>
      <c r="P589" t="s">
        <v>4790</v>
      </c>
      <c r="Q589" t="s">
        <v>4852</v>
      </c>
      <c r="R589" t="s">
        <v>4772</v>
      </c>
    </row>
    <row r="590" spans="1:18" x14ac:dyDescent="0.3">
      <c r="A590">
        <v>359</v>
      </c>
      <c r="B590" t="s">
        <v>1034</v>
      </c>
      <c r="C590" t="s">
        <v>479</v>
      </c>
      <c r="D590" t="s">
        <v>99</v>
      </c>
      <c r="E590" s="1">
        <v>46147</v>
      </c>
      <c r="F590" t="s">
        <v>4310</v>
      </c>
      <c r="G590" t="s">
        <v>4269</v>
      </c>
      <c r="H590" t="s">
        <v>478</v>
      </c>
      <c r="I590" t="s">
        <v>204</v>
      </c>
      <c r="J590" s="1">
        <v>46239</v>
      </c>
      <c r="K590" t="s">
        <v>717</v>
      </c>
      <c r="L590">
        <v>30</v>
      </c>
      <c r="M590">
        <v>106.5</v>
      </c>
      <c r="N590" t="s">
        <v>710</v>
      </c>
      <c r="O590" t="s">
        <v>1037</v>
      </c>
      <c r="P590" t="s">
        <v>4790</v>
      </c>
      <c r="Q590" t="s">
        <v>4852</v>
      </c>
      <c r="R590" t="s">
        <v>4772</v>
      </c>
    </row>
    <row r="591" spans="1:18" x14ac:dyDescent="0.3">
      <c r="A591">
        <v>359</v>
      </c>
      <c r="B591" t="s">
        <v>1034</v>
      </c>
      <c r="C591" t="s">
        <v>479</v>
      </c>
      <c r="D591" t="s">
        <v>99</v>
      </c>
      <c r="E591" s="1">
        <v>46147</v>
      </c>
      <c r="F591" t="s">
        <v>4312</v>
      </c>
      <c r="G591" t="s">
        <v>4269</v>
      </c>
      <c r="H591" t="s">
        <v>478</v>
      </c>
      <c r="I591" t="s">
        <v>204</v>
      </c>
      <c r="J591" s="1">
        <v>46239</v>
      </c>
      <c r="K591" t="s">
        <v>717</v>
      </c>
      <c r="L591">
        <v>79</v>
      </c>
      <c r="M591">
        <v>375.25</v>
      </c>
      <c r="N591" t="s">
        <v>710</v>
      </c>
      <c r="O591" t="s">
        <v>1037</v>
      </c>
      <c r="P591" t="s">
        <v>4790</v>
      </c>
      <c r="Q591" t="s">
        <v>4852</v>
      </c>
      <c r="R591" t="s">
        <v>4772</v>
      </c>
    </row>
    <row r="592" spans="1:18" x14ac:dyDescent="0.3">
      <c r="A592">
        <v>126</v>
      </c>
      <c r="B592" t="s">
        <v>1034</v>
      </c>
      <c r="C592" t="s">
        <v>641</v>
      </c>
      <c r="D592" t="s">
        <v>26</v>
      </c>
      <c r="E592" s="1">
        <v>46147</v>
      </c>
      <c r="F592" t="s">
        <v>4370</v>
      </c>
      <c r="G592" t="s">
        <v>4257</v>
      </c>
      <c r="H592" t="s">
        <v>640</v>
      </c>
      <c r="I592" t="s">
        <v>204</v>
      </c>
      <c r="J592" s="1">
        <v>46142</v>
      </c>
      <c r="K592" t="s">
        <v>717</v>
      </c>
      <c r="L592">
        <v>36677.58</v>
      </c>
      <c r="M592">
        <v>36677.58</v>
      </c>
      <c r="N592" t="s">
        <v>710</v>
      </c>
      <c r="O592" t="s">
        <v>1042</v>
      </c>
      <c r="P592" t="s">
        <v>1006</v>
      </c>
      <c r="Q592" t="s">
        <v>4852</v>
      </c>
    </row>
    <row r="593" spans="1:18" x14ac:dyDescent="0.3">
      <c r="A593">
        <v>1119</v>
      </c>
      <c r="B593" t="s">
        <v>4875</v>
      </c>
      <c r="C593" t="s">
        <v>319</v>
      </c>
      <c r="D593" t="s">
        <v>36</v>
      </c>
      <c r="E593" s="1">
        <v>46147</v>
      </c>
      <c r="F593" t="s">
        <v>4434</v>
      </c>
      <c r="G593" t="s">
        <v>4166</v>
      </c>
      <c r="H593" t="s">
        <v>336</v>
      </c>
      <c r="I593" t="s">
        <v>204</v>
      </c>
      <c r="J593" s="1">
        <v>46075</v>
      </c>
      <c r="K593" t="s">
        <v>748</v>
      </c>
      <c r="L593">
        <v>3700.1</v>
      </c>
      <c r="M593">
        <v>33070.379999999997</v>
      </c>
      <c r="N593" t="s">
        <v>710</v>
      </c>
      <c r="O593" t="s">
        <v>1040</v>
      </c>
      <c r="P593" t="s">
        <v>4784</v>
      </c>
      <c r="Q593" t="s">
        <v>4856</v>
      </c>
      <c r="R593" t="s">
        <v>4771</v>
      </c>
    </row>
    <row r="594" spans="1:18" x14ac:dyDescent="0.3">
      <c r="A594">
        <v>1679936</v>
      </c>
      <c r="B594" t="s">
        <v>4874</v>
      </c>
      <c r="C594" t="s">
        <v>407</v>
      </c>
      <c r="D594" t="s">
        <v>170</v>
      </c>
      <c r="E594" s="1">
        <v>46147</v>
      </c>
      <c r="F594" t="s">
        <v>4388</v>
      </c>
      <c r="G594" t="s">
        <v>4268</v>
      </c>
      <c r="H594" t="s">
        <v>406</v>
      </c>
      <c r="I594" t="s">
        <v>204</v>
      </c>
      <c r="J594" s="1">
        <v>46387</v>
      </c>
      <c r="K594" t="s">
        <v>762</v>
      </c>
      <c r="L594">
        <v>42421</v>
      </c>
      <c r="M594">
        <v>42420.73</v>
      </c>
      <c r="N594" t="s">
        <v>710</v>
      </c>
      <c r="O594" t="s">
        <v>4833</v>
      </c>
      <c r="P594" t="s">
        <v>4776</v>
      </c>
      <c r="Q594" t="s">
        <v>4852</v>
      </c>
      <c r="R594" t="s">
        <v>4771</v>
      </c>
    </row>
    <row r="595" spans="1:18" x14ac:dyDescent="0.3">
      <c r="A595">
        <v>359</v>
      </c>
      <c r="B595" t="s">
        <v>1034</v>
      </c>
      <c r="C595" t="s">
        <v>479</v>
      </c>
      <c r="D595" t="s">
        <v>99</v>
      </c>
      <c r="E595" s="1">
        <v>46147</v>
      </c>
      <c r="F595" t="s">
        <v>4314</v>
      </c>
      <c r="G595" t="s">
        <v>4269</v>
      </c>
      <c r="H595" t="s">
        <v>478</v>
      </c>
      <c r="I595" t="s">
        <v>204</v>
      </c>
      <c r="J595" s="1">
        <v>46239</v>
      </c>
      <c r="K595" t="s">
        <v>717</v>
      </c>
      <c r="L595">
        <v>102</v>
      </c>
      <c r="M595">
        <v>1680.96</v>
      </c>
      <c r="N595" t="s">
        <v>710</v>
      </c>
      <c r="O595" t="s">
        <v>1037</v>
      </c>
      <c r="P595" t="s">
        <v>4790</v>
      </c>
      <c r="Q595" t="s">
        <v>4852</v>
      </c>
      <c r="R595" t="s">
        <v>4772</v>
      </c>
    </row>
    <row r="596" spans="1:18" x14ac:dyDescent="0.3">
      <c r="A596">
        <v>276</v>
      </c>
      <c r="B596" t="s">
        <v>1034</v>
      </c>
      <c r="C596" t="s">
        <v>325</v>
      </c>
      <c r="D596" t="s">
        <v>193</v>
      </c>
      <c r="E596" s="1">
        <v>46146</v>
      </c>
      <c r="F596" t="s">
        <v>4297</v>
      </c>
      <c r="G596" t="s">
        <v>3605</v>
      </c>
      <c r="H596" t="s">
        <v>324</v>
      </c>
      <c r="I596" t="s">
        <v>204</v>
      </c>
      <c r="J596" s="1">
        <v>54878</v>
      </c>
      <c r="K596" t="s">
        <v>711</v>
      </c>
      <c r="L596">
        <v>3900</v>
      </c>
      <c r="M596">
        <v>3900</v>
      </c>
      <c r="N596" t="s">
        <v>710</v>
      </c>
      <c r="O596" t="s">
        <v>4844</v>
      </c>
      <c r="P596" t="s">
        <v>4779</v>
      </c>
      <c r="Q596" t="s">
        <v>4901</v>
      </c>
      <c r="R596" t="s">
        <v>4773</v>
      </c>
    </row>
    <row r="597" spans="1:18" x14ac:dyDescent="0.3">
      <c r="A597">
        <v>850</v>
      </c>
      <c r="B597" t="s">
        <v>1034</v>
      </c>
      <c r="C597" t="s">
        <v>603</v>
      </c>
      <c r="D597" t="s">
        <v>69</v>
      </c>
      <c r="E597" s="1">
        <v>46146</v>
      </c>
      <c r="F597" t="s">
        <v>4345</v>
      </c>
      <c r="G597" t="s">
        <v>3818</v>
      </c>
      <c r="H597" t="s">
        <v>682</v>
      </c>
      <c r="I597" t="s">
        <v>204</v>
      </c>
      <c r="J597" s="1">
        <v>46276</v>
      </c>
      <c r="K597" t="s">
        <v>711</v>
      </c>
      <c r="L597">
        <v>1</v>
      </c>
      <c r="M597">
        <v>2413.6799999999998</v>
      </c>
      <c r="N597" t="s">
        <v>954</v>
      </c>
      <c r="O597" t="s">
        <v>4834</v>
      </c>
      <c r="P597" t="s">
        <v>952</v>
      </c>
      <c r="Q597" t="s">
        <v>4901</v>
      </c>
      <c r="R597" t="s">
        <v>807</v>
      </c>
    </row>
    <row r="598" spans="1:18" x14ac:dyDescent="0.3">
      <c r="A598">
        <v>1940</v>
      </c>
      <c r="B598" t="s">
        <v>1034</v>
      </c>
      <c r="C598" t="s">
        <v>497</v>
      </c>
      <c r="D598" t="s">
        <v>58</v>
      </c>
      <c r="E598" s="1">
        <v>46146</v>
      </c>
      <c r="F598" t="s">
        <v>4316</v>
      </c>
      <c r="G598" t="s">
        <v>4216</v>
      </c>
      <c r="H598" t="s">
        <v>498</v>
      </c>
      <c r="I598" t="s">
        <v>204</v>
      </c>
      <c r="J598" s="1">
        <v>46265</v>
      </c>
      <c r="K598" t="s">
        <v>717</v>
      </c>
      <c r="L598">
        <v>1</v>
      </c>
      <c r="M598">
        <v>1288.8599999999999</v>
      </c>
      <c r="N598" t="s">
        <v>710</v>
      </c>
      <c r="O598" t="s">
        <v>4833</v>
      </c>
      <c r="P598" t="s">
        <v>4776</v>
      </c>
      <c r="Q598" t="s">
        <v>4852</v>
      </c>
      <c r="R598" t="s">
        <v>4773</v>
      </c>
    </row>
    <row r="599" spans="1:18" x14ac:dyDescent="0.3">
      <c r="A599">
        <v>9697</v>
      </c>
      <c r="B599" t="s">
        <v>1034</v>
      </c>
      <c r="C599" t="s">
        <v>267</v>
      </c>
      <c r="D599" t="s">
        <v>186</v>
      </c>
      <c r="E599" s="1">
        <v>46142</v>
      </c>
      <c r="F599" t="s">
        <v>4350</v>
      </c>
      <c r="G599" t="s">
        <v>4258</v>
      </c>
      <c r="H599" t="s">
        <v>266</v>
      </c>
      <c r="I599" t="s">
        <v>204</v>
      </c>
      <c r="J599" s="1">
        <v>46259</v>
      </c>
      <c r="K599" t="s">
        <v>717</v>
      </c>
      <c r="L599">
        <v>18805.64</v>
      </c>
      <c r="M599">
        <v>18805.64</v>
      </c>
      <c r="N599" t="s">
        <v>710</v>
      </c>
      <c r="O599" t="s">
        <v>1037</v>
      </c>
      <c r="P599" t="s">
        <v>4780</v>
      </c>
      <c r="Q599" t="s">
        <v>4852</v>
      </c>
      <c r="R599" t="s">
        <v>4772</v>
      </c>
    </row>
    <row r="600" spans="1:18" x14ac:dyDescent="0.3">
      <c r="A600">
        <v>9698</v>
      </c>
      <c r="B600" t="s">
        <v>1034</v>
      </c>
      <c r="C600" t="s">
        <v>267</v>
      </c>
      <c r="D600" t="s">
        <v>186</v>
      </c>
      <c r="E600" s="1">
        <v>46142</v>
      </c>
      <c r="F600" t="s">
        <v>4350</v>
      </c>
      <c r="G600" t="s">
        <v>4258</v>
      </c>
      <c r="H600" t="s">
        <v>266</v>
      </c>
      <c r="I600" t="s">
        <v>204</v>
      </c>
      <c r="J600" s="1">
        <v>46259</v>
      </c>
      <c r="K600" t="s">
        <v>717</v>
      </c>
      <c r="L600">
        <v>8453.7199999999993</v>
      </c>
      <c r="M600">
        <v>8453.7199999999993</v>
      </c>
      <c r="N600" t="s">
        <v>710</v>
      </c>
      <c r="O600" t="s">
        <v>1037</v>
      </c>
      <c r="P600" t="s">
        <v>4780</v>
      </c>
      <c r="Q600" t="s">
        <v>4852</v>
      </c>
      <c r="R600" t="s">
        <v>4772</v>
      </c>
    </row>
    <row r="601" spans="1:18" x14ac:dyDescent="0.3">
      <c r="A601">
        <v>9695</v>
      </c>
      <c r="B601" t="s">
        <v>1034</v>
      </c>
      <c r="C601" t="s">
        <v>267</v>
      </c>
      <c r="D601" t="s">
        <v>186</v>
      </c>
      <c r="E601" s="1">
        <v>46142</v>
      </c>
      <c r="F601" t="s">
        <v>4350</v>
      </c>
      <c r="G601" t="s">
        <v>4258</v>
      </c>
      <c r="H601" t="s">
        <v>266</v>
      </c>
      <c r="I601" t="s">
        <v>204</v>
      </c>
      <c r="J601" s="1">
        <v>46259</v>
      </c>
      <c r="K601" t="s">
        <v>717</v>
      </c>
      <c r="L601">
        <v>17979.400000000001</v>
      </c>
      <c r="M601">
        <v>17979.400000000001</v>
      </c>
      <c r="N601" t="s">
        <v>710</v>
      </c>
      <c r="O601" t="s">
        <v>1037</v>
      </c>
      <c r="P601" t="s">
        <v>4780</v>
      </c>
      <c r="Q601" t="s">
        <v>4852</v>
      </c>
      <c r="R601" t="s">
        <v>4772</v>
      </c>
    </row>
    <row r="602" spans="1:18" x14ac:dyDescent="0.3">
      <c r="A602">
        <v>9696</v>
      </c>
      <c r="B602" t="s">
        <v>1034</v>
      </c>
      <c r="C602" t="s">
        <v>267</v>
      </c>
      <c r="D602" t="s">
        <v>186</v>
      </c>
      <c r="E602" s="1">
        <v>46142</v>
      </c>
      <c r="F602" t="s">
        <v>4350</v>
      </c>
      <c r="G602" t="s">
        <v>4258</v>
      </c>
      <c r="H602" t="s">
        <v>266</v>
      </c>
      <c r="I602" t="s">
        <v>204</v>
      </c>
      <c r="J602" s="1">
        <v>46259</v>
      </c>
      <c r="K602" t="s">
        <v>717</v>
      </c>
      <c r="L602">
        <v>57531.3</v>
      </c>
      <c r="M602">
        <v>57531.3</v>
      </c>
      <c r="N602" t="s">
        <v>710</v>
      </c>
      <c r="O602" t="s">
        <v>1037</v>
      </c>
      <c r="P602" t="s">
        <v>4780</v>
      </c>
      <c r="Q602" t="s">
        <v>4852</v>
      </c>
      <c r="R602" t="s">
        <v>4772</v>
      </c>
    </row>
    <row r="603" spans="1:18" x14ac:dyDescent="0.3">
      <c r="A603">
        <v>9699</v>
      </c>
      <c r="B603" t="s">
        <v>1034</v>
      </c>
      <c r="C603" t="s">
        <v>267</v>
      </c>
      <c r="D603" t="s">
        <v>186</v>
      </c>
      <c r="E603" s="1">
        <v>46142</v>
      </c>
      <c r="F603" t="s">
        <v>4350</v>
      </c>
      <c r="G603" t="s">
        <v>4258</v>
      </c>
      <c r="H603" t="s">
        <v>266</v>
      </c>
      <c r="I603" t="s">
        <v>204</v>
      </c>
      <c r="J603" s="1">
        <v>46259</v>
      </c>
      <c r="K603" t="s">
        <v>717</v>
      </c>
      <c r="L603">
        <v>16199.04</v>
      </c>
      <c r="M603">
        <v>16199.04</v>
      </c>
      <c r="N603" t="s">
        <v>710</v>
      </c>
      <c r="O603" t="s">
        <v>1037</v>
      </c>
      <c r="P603" t="s">
        <v>4780</v>
      </c>
      <c r="Q603" t="s">
        <v>4852</v>
      </c>
      <c r="R603" t="s">
        <v>4772</v>
      </c>
    </row>
    <row r="604" spans="1:18" x14ac:dyDescent="0.3">
      <c r="A604">
        <v>6613</v>
      </c>
      <c r="B604" t="s">
        <v>1034</v>
      </c>
      <c r="C604" t="s">
        <v>208</v>
      </c>
      <c r="D604" t="s">
        <v>164</v>
      </c>
      <c r="E604" s="1">
        <v>46142</v>
      </c>
      <c r="F604" t="s">
        <v>4342</v>
      </c>
      <c r="G604" t="s">
        <v>4266</v>
      </c>
      <c r="H604" t="s">
        <v>604</v>
      </c>
      <c r="I604" t="s">
        <v>204</v>
      </c>
      <c r="J604" s="1">
        <v>46256</v>
      </c>
      <c r="K604" t="s">
        <v>711</v>
      </c>
      <c r="L604">
        <v>340</v>
      </c>
      <c r="M604">
        <v>340</v>
      </c>
      <c r="N604" t="s">
        <v>710</v>
      </c>
      <c r="O604" t="s">
        <v>1036</v>
      </c>
      <c r="P604" t="s">
        <v>4784</v>
      </c>
      <c r="Q604" t="s">
        <v>4901</v>
      </c>
    </row>
    <row r="605" spans="1:18" x14ac:dyDescent="0.3">
      <c r="A605">
        <v>351</v>
      </c>
      <c r="B605" t="s">
        <v>1034</v>
      </c>
      <c r="C605" t="s">
        <v>267</v>
      </c>
      <c r="D605" t="s">
        <v>186</v>
      </c>
      <c r="E605" s="1">
        <v>46142</v>
      </c>
      <c r="F605" t="s">
        <v>4349</v>
      </c>
      <c r="G605" t="s">
        <v>4258</v>
      </c>
      <c r="H605" t="s">
        <v>266</v>
      </c>
      <c r="I605" t="s">
        <v>204</v>
      </c>
      <c r="J605" s="1">
        <v>46259</v>
      </c>
      <c r="K605" t="s">
        <v>717</v>
      </c>
      <c r="L605">
        <v>53412.14</v>
      </c>
      <c r="M605">
        <v>53412.14</v>
      </c>
      <c r="N605" t="s">
        <v>710</v>
      </c>
      <c r="O605" t="s">
        <v>1037</v>
      </c>
      <c r="P605" t="s">
        <v>4780</v>
      </c>
      <c r="Q605" t="s">
        <v>4852</v>
      </c>
      <c r="R605" t="s">
        <v>4772</v>
      </c>
    </row>
    <row r="606" spans="1:18" x14ac:dyDescent="0.3">
      <c r="A606">
        <v>7489</v>
      </c>
      <c r="B606" t="s">
        <v>1035</v>
      </c>
      <c r="C606" t="s">
        <v>230</v>
      </c>
      <c r="D606" t="s">
        <v>85</v>
      </c>
      <c r="E606" s="1">
        <v>46142</v>
      </c>
      <c r="F606" t="s">
        <v>4409</v>
      </c>
      <c r="G606" t="s">
        <v>4211</v>
      </c>
      <c r="H606" t="s">
        <v>229</v>
      </c>
      <c r="I606" t="s">
        <v>204</v>
      </c>
      <c r="J606" s="1">
        <v>46203</v>
      </c>
      <c r="K606" t="s">
        <v>744</v>
      </c>
      <c r="L606">
        <v>450</v>
      </c>
      <c r="M606">
        <v>450.04</v>
      </c>
      <c r="N606" t="s">
        <v>710</v>
      </c>
      <c r="O606" t="s">
        <v>1033</v>
      </c>
      <c r="P606" t="s">
        <v>4781</v>
      </c>
      <c r="Q606" t="s">
        <v>4852</v>
      </c>
      <c r="R606" t="s">
        <v>4771</v>
      </c>
    </row>
    <row r="607" spans="1:18" x14ac:dyDescent="0.3">
      <c r="A607">
        <v>7481</v>
      </c>
      <c r="B607" t="s">
        <v>1035</v>
      </c>
      <c r="C607" t="s">
        <v>230</v>
      </c>
      <c r="D607" t="s">
        <v>85</v>
      </c>
      <c r="E607" s="1">
        <v>46142</v>
      </c>
      <c r="F607" t="s">
        <v>4436</v>
      </c>
      <c r="G607" t="s">
        <v>4211</v>
      </c>
      <c r="H607" t="s">
        <v>229</v>
      </c>
      <c r="I607" t="s">
        <v>204</v>
      </c>
      <c r="J607" s="1">
        <v>46203</v>
      </c>
      <c r="K607" t="s">
        <v>744</v>
      </c>
      <c r="L607">
        <v>1186.78</v>
      </c>
      <c r="M607">
        <v>1186.78</v>
      </c>
      <c r="N607" t="s">
        <v>710</v>
      </c>
      <c r="O607" t="s">
        <v>1033</v>
      </c>
      <c r="P607" t="s">
        <v>4781</v>
      </c>
      <c r="Q607" t="s">
        <v>4852</v>
      </c>
      <c r="R607" t="s">
        <v>4771</v>
      </c>
    </row>
    <row r="608" spans="1:18" x14ac:dyDescent="0.3">
      <c r="A608">
        <v>7530</v>
      </c>
      <c r="B608" t="s">
        <v>1035</v>
      </c>
      <c r="C608" t="s">
        <v>230</v>
      </c>
      <c r="D608" t="s">
        <v>85</v>
      </c>
      <c r="E608" s="1">
        <v>46142</v>
      </c>
      <c r="F608" t="s">
        <v>4299</v>
      </c>
      <c r="G608" t="s">
        <v>4211</v>
      </c>
      <c r="H608" t="s">
        <v>229</v>
      </c>
      <c r="I608" t="s">
        <v>204</v>
      </c>
      <c r="J608" s="1">
        <v>46203</v>
      </c>
      <c r="K608" t="s">
        <v>744</v>
      </c>
      <c r="L608">
        <v>106</v>
      </c>
      <c r="M608">
        <v>105.53</v>
      </c>
      <c r="N608" t="s">
        <v>710</v>
      </c>
      <c r="O608" t="s">
        <v>1033</v>
      </c>
      <c r="P608" t="s">
        <v>4781</v>
      </c>
      <c r="Q608" t="s">
        <v>4852</v>
      </c>
      <c r="R608" t="s">
        <v>4771</v>
      </c>
    </row>
    <row r="609" spans="1:18" x14ac:dyDescent="0.3">
      <c r="A609">
        <v>6613</v>
      </c>
      <c r="B609" t="s">
        <v>1034</v>
      </c>
      <c r="C609" t="s">
        <v>208</v>
      </c>
      <c r="D609" t="s">
        <v>164</v>
      </c>
      <c r="E609" s="1">
        <v>46142</v>
      </c>
      <c r="F609" t="s">
        <v>4343</v>
      </c>
      <c r="G609" t="s">
        <v>4266</v>
      </c>
      <c r="H609" t="s">
        <v>604</v>
      </c>
      <c r="I609" t="s">
        <v>204</v>
      </c>
      <c r="J609" s="1">
        <v>46256</v>
      </c>
      <c r="K609" t="s">
        <v>711</v>
      </c>
      <c r="L609">
        <v>140</v>
      </c>
      <c r="M609">
        <v>140</v>
      </c>
      <c r="N609" t="s">
        <v>710</v>
      </c>
      <c r="O609" t="s">
        <v>1036</v>
      </c>
      <c r="P609" t="s">
        <v>4784</v>
      </c>
      <c r="Q609" t="s">
        <v>4901</v>
      </c>
    </row>
    <row r="610" spans="1:18" x14ac:dyDescent="0.3">
      <c r="A610">
        <v>7490</v>
      </c>
      <c r="B610" t="s">
        <v>1035</v>
      </c>
      <c r="C610" t="s">
        <v>230</v>
      </c>
      <c r="D610" t="s">
        <v>85</v>
      </c>
      <c r="E610" s="1">
        <v>46142</v>
      </c>
      <c r="F610" t="s">
        <v>4409</v>
      </c>
      <c r="G610" t="s">
        <v>4211</v>
      </c>
      <c r="H610" t="s">
        <v>229</v>
      </c>
      <c r="I610" t="s">
        <v>204</v>
      </c>
      <c r="J610" s="1">
        <v>46203</v>
      </c>
      <c r="K610" t="s">
        <v>744</v>
      </c>
      <c r="L610">
        <v>291</v>
      </c>
      <c r="M610">
        <v>291.08</v>
      </c>
      <c r="N610" t="s">
        <v>710</v>
      </c>
      <c r="O610" t="s">
        <v>1033</v>
      </c>
      <c r="P610" t="s">
        <v>4781</v>
      </c>
      <c r="Q610" t="s">
        <v>4852</v>
      </c>
      <c r="R610" t="s">
        <v>4771</v>
      </c>
    </row>
    <row r="611" spans="1:18" x14ac:dyDescent="0.3">
      <c r="A611">
        <v>6613</v>
      </c>
      <c r="B611" t="s">
        <v>1034</v>
      </c>
      <c r="C611" t="s">
        <v>208</v>
      </c>
      <c r="D611" t="s">
        <v>164</v>
      </c>
      <c r="E611" s="1">
        <v>46142</v>
      </c>
      <c r="F611" t="s">
        <v>4342</v>
      </c>
      <c r="G611" t="s">
        <v>4266</v>
      </c>
      <c r="H611" t="s">
        <v>604</v>
      </c>
      <c r="I611" t="s">
        <v>204</v>
      </c>
      <c r="J611" s="1">
        <v>46256</v>
      </c>
      <c r="K611" t="s">
        <v>711</v>
      </c>
      <c r="L611">
        <v>340</v>
      </c>
      <c r="M611">
        <v>340</v>
      </c>
      <c r="N611" t="s">
        <v>710</v>
      </c>
      <c r="O611" t="s">
        <v>1036</v>
      </c>
      <c r="P611" t="s">
        <v>4784</v>
      </c>
      <c r="Q611" t="s">
        <v>4901</v>
      </c>
    </row>
    <row r="612" spans="1:18" x14ac:dyDescent="0.3">
      <c r="A612">
        <v>9700</v>
      </c>
      <c r="B612" t="s">
        <v>1034</v>
      </c>
      <c r="C612" t="s">
        <v>267</v>
      </c>
      <c r="D612" t="s">
        <v>186</v>
      </c>
      <c r="E612" s="1">
        <v>46142</v>
      </c>
      <c r="F612" t="s">
        <v>4350</v>
      </c>
      <c r="G612" t="s">
        <v>4258</v>
      </c>
      <c r="H612" t="s">
        <v>266</v>
      </c>
      <c r="I612" t="s">
        <v>204</v>
      </c>
      <c r="J612" s="1">
        <v>46259</v>
      </c>
      <c r="K612" t="s">
        <v>717</v>
      </c>
      <c r="L612">
        <v>22880</v>
      </c>
      <c r="M612">
        <v>22880</v>
      </c>
      <c r="N612" t="s">
        <v>710</v>
      </c>
      <c r="O612" t="s">
        <v>1037</v>
      </c>
      <c r="P612" t="s">
        <v>4780</v>
      </c>
      <c r="Q612" t="s">
        <v>4852</v>
      </c>
      <c r="R612" t="s">
        <v>4772</v>
      </c>
    </row>
    <row r="613" spans="1:18" x14ac:dyDescent="0.3">
      <c r="A613">
        <v>53538</v>
      </c>
      <c r="B613" t="s">
        <v>1034</v>
      </c>
      <c r="C613" t="s">
        <v>232</v>
      </c>
      <c r="D613" t="s">
        <v>87</v>
      </c>
      <c r="E613" s="1">
        <v>46142</v>
      </c>
      <c r="F613" t="s">
        <v>4304</v>
      </c>
      <c r="G613" t="s">
        <v>4214</v>
      </c>
      <c r="H613" t="s">
        <v>231</v>
      </c>
      <c r="I613" t="s">
        <v>204</v>
      </c>
      <c r="J613" s="1">
        <v>47208</v>
      </c>
      <c r="K613" t="s">
        <v>711</v>
      </c>
      <c r="L613">
        <v>3750</v>
      </c>
      <c r="M613">
        <v>3750</v>
      </c>
      <c r="N613" t="s">
        <v>710</v>
      </c>
      <c r="O613" t="s">
        <v>4834</v>
      </c>
      <c r="P613" t="s">
        <v>4776</v>
      </c>
      <c r="Q613" t="s">
        <v>4901</v>
      </c>
      <c r="R613" t="s">
        <v>4773</v>
      </c>
    </row>
    <row r="614" spans="1:18" x14ac:dyDescent="0.3">
      <c r="A614">
        <v>53538</v>
      </c>
      <c r="B614" t="s">
        <v>1034</v>
      </c>
      <c r="C614" t="s">
        <v>232</v>
      </c>
      <c r="D614" t="s">
        <v>87</v>
      </c>
      <c r="E614" s="1">
        <v>46142</v>
      </c>
      <c r="F614" t="s">
        <v>4304</v>
      </c>
      <c r="G614" t="s">
        <v>4214</v>
      </c>
      <c r="H614" t="s">
        <v>231</v>
      </c>
      <c r="I614" t="s">
        <v>204</v>
      </c>
      <c r="J614" s="1">
        <v>47208</v>
      </c>
      <c r="K614" t="s">
        <v>711</v>
      </c>
      <c r="L614">
        <v>9225</v>
      </c>
      <c r="M614">
        <v>9225</v>
      </c>
      <c r="N614" t="s">
        <v>710</v>
      </c>
      <c r="O614" t="s">
        <v>4834</v>
      </c>
      <c r="P614" t="s">
        <v>4776</v>
      </c>
      <c r="Q614" t="s">
        <v>4901</v>
      </c>
      <c r="R614" t="s">
        <v>4773</v>
      </c>
    </row>
    <row r="615" spans="1:18" x14ac:dyDescent="0.3">
      <c r="A615">
        <v>53538</v>
      </c>
      <c r="B615" t="s">
        <v>1034</v>
      </c>
      <c r="C615" t="s">
        <v>232</v>
      </c>
      <c r="D615" t="s">
        <v>87</v>
      </c>
      <c r="E615" s="1">
        <v>46142</v>
      </c>
      <c r="F615" t="s">
        <v>4304</v>
      </c>
      <c r="G615" t="s">
        <v>4214</v>
      </c>
      <c r="H615" t="s">
        <v>231</v>
      </c>
      <c r="I615" t="s">
        <v>204</v>
      </c>
      <c r="J615" s="1">
        <v>47208</v>
      </c>
      <c r="K615" t="s">
        <v>711</v>
      </c>
      <c r="L615">
        <v>7175</v>
      </c>
      <c r="M615">
        <v>7175</v>
      </c>
      <c r="N615" t="s">
        <v>710</v>
      </c>
      <c r="O615" t="s">
        <v>4834</v>
      </c>
      <c r="P615" t="s">
        <v>4776</v>
      </c>
      <c r="Q615" t="s">
        <v>4901</v>
      </c>
      <c r="R615" t="s">
        <v>4773</v>
      </c>
    </row>
    <row r="616" spans="1:18" x14ac:dyDescent="0.3">
      <c r="A616">
        <v>53538</v>
      </c>
      <c r="B616" t="s">
        <v>1034</v>
      </c>
      <c r="C616" t="s">
        <v>232</v>
      </c>
      <c r="D616" t="s">
        <v>87</v>
      </c>
      <c r="E616" s="1">
        <v>46142</v>
      </c>
      <c r="F616" t="s">
        <v>4304</v>
      </c>
      <c r="G616" t="s">
        <v>4214</v>
      </c>
      <c r="H616" t="s">
        <v>231</v>
      </c>
      <c r="I616" t="s">
        <v>204</v>
      </c>
      <c r="J616" s="1">
        <v>47208</v>
      </c>
      <c r="K616" t="s">
        <v>711</v>
      </c>
      <c r="L616">
        <v>9225</v>
      </c>
      <c r="M616">
        <v>9225</v>
      </c>
      <c r="N616" t="s">
        <v>710</v>
      </c>
      <c r="O616" t="s">
        <v>4834</v>
      </c>
      <c r="P616" t="s">
        <v>4776</v>
      </c>
      <c r="Q616" t="s">
        <v>4901</v>
      </c>
      <c r="R616" t="s">
        <v>4773</v>
      </c>
    </row>
    <row r="617" spans="1:18" x14ac:dyDescent="0.3">
      <c r="A617">
        <v>352</v>
      </c>
      <c r="B617" t="s">
        <v>1034</v>
      </c>
      <c r="C617" t="s">
        <v>267</v>
      </c>
      <c r="D617" t="s">
        <v>186</v>
      </c>
      <c r="E617" s="1">
        <v>46142</v>
      </c>
      <c r="F617" t="s">
        <v>4350</v>
      </c>
      <c r="G617" t="s">
        <v>4259</v>
      </c>
      <c r="H617" t="s">
        <v>266</v>
      </c>
      <c r="I617" t="s">
        <v>204</v>
      </c>
      <c r="J617" s="1">
        <v>46259</v>
      </c>
      <c r="K617" t="s">
        <v>717</v>
      </c>
      <c r="L617">
        <v>2080.8200000000002</v>
      </c>
      <c r="M617">
        <v>2080.8200000000002</v>
      </c>
      <c r="N617" t="s">
        <v>710</v>
      </c>
      <c r="O617" t="s">
        <v>1037</v>
      </c>
      <c r="P617" t="s">
        <v>4780</v>
      </c>
      <c r="Q617" t="s">
        <v>4852</v>
      </c>
      <c r="R617" t="s">
        <v>4772</v>
      </c>
    </row>
    <row r="618" spans="1:18" x14ac:dyDescent="0.3">
      <c r="A618">
        <v>6668</v>
      </c>
      <c r="B618" t="s">
        <v>1034</v>
      </c>
      <c r="C618" t="s">
        <v>208</v>
      </c>
      <c r="D618" t="s">
        <v>164</v>
      </c>
      <c r="E618" s="1">
        <v>46142</v>
      </c>
      <c r="F618" t="s">
        <v>4342</v>
      </c>
      <c r="G618" t="s">
        <v>4231</v>
      </c>
      <c r="H618" t="s">
        <v>604</v>
      </c>
      <c r="I618" t="s">
        <v>204</v>
      </c>
      <c r="J618" s="1">
        <v>46256</v>
      </c>
      <c r="K618" t="s">
        <v>711</v>
      </c>
      <c r="L618">
        <v>340</v>
      </c>
      <c r="M618">
        <v>340</v>
      </c>
      <c r="N618" t="s">
        <v>710</v>
      </c>
      <c r="O618" t="s">
        <v>1036</v>
      </c>
      <c r="P618" t="s">
        <v>4784</v>
      </c>
      <c r="Q618" t="s">
        <v>4901</v>
      </c>
    </row>
    <row r="619" spans="1:18" x14ac:dyDescent="0.3">
      <c r="A619">
        <v>6668</v>
      </c>
      <c r="B619" t="s">
        <v>1034</v>
      </c>
      <c r="C619" t="s">
        <v>208</v>
      </c>
      <c r="D619" t="s">
        <v>164</v>
      </c>
      <c r="E619" s="1">
        <v>46142</v>
      </c>
      <c r="F619" t="s">
        <v>4342</v>
      </c>
      <c r="G619" t="s">
        <v>4231</v>
      </c>
      <c r="H619" t="s">
        <v>604</v>
      </c>
      <c r="I619" t="s">
        <v>204</v>
      </c>
      <c r="J619" s="1">
        <v>46256</v>
      </c>
      <c r="K619" t="s">
        <v>711</v>
      </c>
      <c r="L619">
        <v>340</v>
      </c>
      <c r="M619">
        <v>340</v>
      </c>
      <c r="N619" t="s">
        <v>710</v>
      </c>
      <c r="O619" t="s">
        <v>1036</v>
      </c>
      <c r="P619" t="s">
        <v>4784</v>
      </c>
      <c r="Q619" t="s">
        <v>4901</v>
      </c>
    </row>
    <row r="620" spans="1:18" x14ac:dyDescent="0.3">
      <c r="A620">
        <v>53538</v>
      </c>
      <c r="B620" t="s">
        <v>1034</v>
      </c>
      <c r="C620" t="s">
        <v>232</v>
      </c>
      <c r="D620" t="s">
        <v>87</v>
      </c>
      <c r="E620" s="1">
        <v>46142</v>
      </c>
      <c r="F620" t="s">
        <v>4304</v>
      </c>
      <c r="G620" t="s">
        <v>4214</v>
      </c>
      <c r="H620" t="s">
        <v>231</v>
      </c>
      <c r="I620" t="s">
        <v>204</v>
      </c>
      <c r="J620" s="1">
        <v>47208</v>
      </c>
      <c r="K620" t="s">
        <v>711</v>
      </c>
      <c r="L620">
        <v>7175</v>
      </c>
      <c r="M620">
        <v>7175</v>
      </c>
      <c r="N620" t="s">
        <v>710</v>
      </c>
      <c r="O620" t="s">
        <v>4834</v>
      </c>
      <c r="P620" t="s">
        <v>4776</v>
      </c>
      <c r="Q620" t="s">
        <v>4901</v>
      </c>
      <c r="R620" t="s">
        <v>4773</v>
      </c>
    </row>
    <row r="621" spans="1:18" x14ac:dyDescent="0.3">
      <c r="A621">
        <v>187709</v>
      </c>
      <c r="B621" t="s">
        <v>4875</v>
      </c>
      <c r="C621" t="s">
        <v>415</v>
      </c>
      <c r="D621" t="s">
        <v>60</v>
      </c>
      <c r="E621" s="1">
        <v>46142</v>
      </c>
      <c r="F621" t="s">
        <v>4333</v>
      </c>
      <c r="G621" t="s">
        <v>4262</v>
      </c>
      <c r="H621" t="s">
        <v>414</v>
      </c>
      <c r="I621" t="s">
        <v>204</v>
      </c>
      <c r="J621" s="1">
        <v>46386</v>
      </c>
      <c r="K621" t="s">
        <v>768</v>
      </c>
      <c r="L621">
        <v>2280.8000000000002</v>
      </c>
      <c r="M621">
        <v>2280.8000000000002</v>
      </c>
      <c r="N621" t="s">
        <v>814</v>
      </c>
      <c r="O621" t="s">
        <v>1037</v>
      </c>
      <c r="P621" t="s">
        <v>4807</v>
      </c>
      <c r="Q621" t="s">
        <v>4852</v>
      </c>
      <c r="R621" t="s">
        <v>4771</v>
      </c>
    </row>
    <row r="622" spans="1:18" x14ac:dyDescent="0.3">
      <c r="A622">
        <v>7531</v>
      </c>
      <c r="B622" t="s">
        <v>1035</v>
      </c>
      <c r="C622" t="s">
        <v>230</v>
      </c>
      <c r="D622" t="s">
        <v>85</v>
      </c>
      <c r="E622" s="1">
        <v>46142</v>
      </c>
      <c r="F622" t="s">
        <v>4299</v>
      </c>
      <c r="G622" t="s">
        <v>4211</v>
      </c>
      <c r="H622" t="s">
        <v>229</v>
      </c>
      <c r="I622" t="s">
        <v>204</v>
      </c>
      <c r="J622" s="1">
        <v>46203</v>
      </c>
      <c r="K622" t="s">
        <v>744</v>
      </c>
      <c r="L622">
        <v>895</v>
      </c>
      <c r="M622">
        <v>894.57</v>
      </c>
      <c r="N622" t="s">
        <v>710</v>
      </c>
      <c r="O622" t="s">
        <v>1033</v>
      </c>
      <c r="P622" t="s">
        <v>4781</v>
      </c>
      <c r="Q622" t="s">
        <v>4852</v>
      </c>
      <c r="R622" t="s">
        <v>4771</v>
      </c>
    </row>
    <row r="623" spans="1:18" x14ac:dyDescent="0.3">
      <c r="A623">
        <v>42896</v>
      </c>
      <c r="B623" t="s">
        <v>4874</v>
      </c>
      <c r="C623" t="s">
        <v>294</v>
      </c>
      <c r="D623" t="s">
        <v>101</v>
      </c>
      <c r="E623" s="1">
        <v>46142</v>
      </c>
      <c r="F623" t="s">
        <v>4304</v>
      </c>
      <c r="G623" t="s">
        <v>4115</v>
      </c>
      <c r="H623" t="s">
        <v>293</v>
      </c>
      <c r="I623" t="s">
        <v>204</v>
      </c>
      <c r="J623" s="1">
        <v>46191</v>
      </c>
      <c r="K623" t="s">
        <v>720</v>
      </c>
      <c r="L623">
        <v>200</v>
      </c>
      <c r="M623">
        <v>200</v>
      </c>
      <c r="N623" t="s">
        <v>710</v>
      </c>
      <c r="O623" t="s">
        <v>4834</v>
      </c>
      <c r="P623" t="s">
        <v>4776</v>
      </c>
      <c r="Q623" t="s">
        <v>4858</v>
      </c>
      <c r="R623" t="s">
        <v>4773</v>
      </c>
    </row>
    <row r="624" spans="1:18" x14ac:dyDescent="0.3">
      <c r="A624">
        <v>40768</v>
      </c>
      <c r="B624" t="s">
        <v>4874</v>
      </c>
      <c r="C624" t="s">
        <v>447</v>
      </c>
      <c r="D624" t="s">
        <v>57</v>
      </c>
      <c r="E624" s="1">
        <v>46142</v>
      </c>
      <c r="F624" t="s">
        <v>4345</v>
      </c>
      <c r="G624" t="s">
        <v>4121</v>
      </c>
      <c r="H624" t="s">
        <v>446</v>
      </c>
      <c r="I624" t="s">
        <v>204</v>
      </c>
      <c r="J624" s="1">
        <v>46203</v>
      </c>
      <c r="K624" t="s">
        <v>762</v>
      </c>
      <c r="L624">
        <v>1</v>
      </c>
      <c r="M624">
        <v>793.23</v>
      </c>
      <c r="N624" t="s">
        <v>710</v>
      </c>
      <c r="O624" t="s">
        <v>1038</v>
      </c>
      <c r="P624" t="s">
        <v>4776</v>
      </c>
      <c r="Q624" t="s">
        <v>4858</v>
      </c>
      <c r="R624" t="s">
        <v>4774</v>
      </c>
    </row>
    <row r="625" spans="1:18" x14ac:dyDescent="0.3">
      <c r="A625">
        <v>5387</v>
      </c>
      <c r="B625" t="s">
        <v>1034</v>
      </c>
      <c r="C625" t="s">
        <v>319</v>
      </c>
      <c r="D625" t="s">
        <v>36</v>
      </c>
      <c r="E625" s="1">
        <v>46141</v>
      </c>
      <c r="F625" t="s">
        <v>4298</v>
      </c>
      <c r="G625" t="s">
        <v>4247</v>
      </c>
      <c r="H625" t="s">
        <v>318</v>
      </c>
      <c r="I625" t="s">
        <v>204</v>
      </c>
      <c r="J625" s="1">
        <v>46214</v>
      </c>
      <c r="K625" t="s">
        <v>711</v>
      </c>
      <c r="L625">
        <v>2191</v>
      </c>
      <c r="M625">
        <v>2190.54</v>
      </c>
      <c r="N625" t="s">
        <v>710</v>
      </c>
      <c r="O625" t="s">
        <v>1036</v>
      </c>
      <c r="P625" t="s">
        <v>4784</v>
      </c>
      <c r="Q625" t="s">
        <v>4901</v>
      </c>
      <c r="R625" t="s">
        <v>4771</v>
      </c>
    </row>
    <row r="626" spans="1:18" x14ac:dyDescent="0.3">
      <c r="A626">
        <v>42680</v>
      </c>
      <c r="B626" t="s">
        <v>4874</v>
      </c>
      <c r="C626" t="s">
        <v>294</v>
      </c>
      <c r="D626" t="s">
        <v>101</v>
      </c>
      <c r="E626" s="1">
        <v>46141</v>
      </c>
      <c r="F626" t="s">
        <v>4304</v>
      </c>
      <c r="G626" t="s">
        <v>4001</v>
      </c>
      <c r="H626" t="s">
        <v>293</v>
      </c>
      <c r="I626" t="s">
        <v>204</v>
      </c>
      <c r="J626" s="1">
        <v>46191</v>
      </c>
      <c r="K626" t="s">
        <v>720</v>
      </c>
      <c r="L626">
        <v>1</v>
      </c>
      <c r="M626">
        <v>640</v>
      </c>
      <c r="N626" t="s">
        <v>710</v>
      </c>
      <c r="O626" t="s">
        <v>4834</v>
      </c>
      <c r="P626" t="s">
        <v>4776</v>
      </c>
      <c r="Q626" t="s">
        <v>4858</v>
      </c>
      <c r="R626" t="s">
        <v>4773</v>
      </c>
    </row>
    <row r="627" spans="1:18" x14ac:dyDescent="0.3">
      <c r="A627">
        <v>2146601</v>
      </c>
      <c r="B627" t="s">
        <v>1034</v>
      </c>
      <c r="C627" t="s">
        <v>668</v>
      </c>
      <c r="D627" t="s">
        <v>84</v>
      </c>
      <c r="E627" s="1">
        <v>46141</v>
      </c>
      <c r="F627" t="s">
        <v>4324</v>
      </c>
      <c r="G627" t="s">
        <v>4218</v>
      </c>
      <c r="H627" t="s">
        <v>671</v>
      </c>
      <c r="I627" t="s">
        <v>204</v>
      </c>
      <c r="J627" s="1">
        <v>46324</v>
      </c>
      <c r="K627" t="s">
        <v>717</v>
      </c>
      <c r="L627">
        <v>6762</v>
      </c>
      <c r="M627">
        <v>6762</v>
      </c>
      <c r="N627" t="s">
        <v>710</v>
      </c>
      <c r="O627" t="s">
        <v>1037</v>
      </c>
      <c r="P627" t="s">
        <v>4799</v>
      </c>
      <c r="Q627" t="s">
        <v>4852</v>
      </c>
      <c r="R627" t="s">
        <v>807</v>
      </c>
    </row>
    <row r="628" spans="1:18" x14ac:dyDescent="0.3">
      <c r="A628">
        <v>107674</v>
      </c>
      <c r="B628" t="s">
        <v>4874</v>
      </c>
      <c r="C628" t="s">
        <v>405</v>
      </c>
      <c r="D628" t="s">
        <v>107</v>
      </c>
      <c r="E628" s="1">
        <v>46141</v>
      </c>
      <c r="F628" t="s">
        <v>4362</v>
      </c>
      <c r="G628" t="s">
        <v>4179</v>
      </c>
      <c r="H628" t="s">
        <v>404</v>
      </c>
      <c r="I628" t="s">
        <v>204</v>
      </c>
      <c r="J628" s="1">
        <v>46477</v>
      </c>
      <c r="K628" t="s">
        <v>762</v>
      </c>
      <c r="L628">
        <v>4659.09</v>
      </c>
      <c r="M628">
        <v>4659.09</v>
      </c>
      <c r="N628" t="s">
        <v>710</v>
      </c>
      <c r="O628" t="s">
        <v>1037</v>
      </c>
      <c r="P628" t="s">
        <v>4806</v>
      </c>
      <c r="Q628" t="s">
        <v>4852</v>
      </c>
      <c r="R628" t="s">
        <v>4772</v>
      </c>
    </row>
    <row r="629" spans="1:18" x14ac:dyDescent="0.3">
      <c r="A629">
        <v>13742</v>
      </c>
      <c r="B629" t="s">
        <v>4874</v>
      </c>
      <c r="C629" t="s">
        <v>594</v>
      </c>
      <c r="D629" t="s">
        <v>27</v>
      </c>
      <c r="E629" s="1">
        <v>46141</v>
      </c>
      <c r="F629" t="s">
        <v>4323</v>
      </c>
      <c r="G629" t="s">
        <v>4241</v>
      </c>
      <c r="H629" t="s">
        <v>593</v>
      </c>
      <c r="I629" t="s">
        <v>204</v>
      </c>
      <c r="J629" s="1">
        <v>46204</v>
      </c>
      <c r="K629" t="s">
        <v>762</v>
      </c>
      <c r="L629">
        <v>443426.37</v>
      </c>
      <c r="M629">
        <v>443426.37</v>
      </c>
      <c r="N629" t="s">
        <v>814</v>
      </c>
      <c r="O629" t="s">
        <v>1037</v>
      </c>
      <c r="P629" t="s">
        <v>4794</v>
      </c>
      <c r="Q629" t="s">
        <v>4852</v>
      </c>
      <c r="R629" t="s">
        <v>4772</v>
      </c>
    </row>
    <row r="630" spans="1:18" x14ac:dyDescent="0.3">
      <c r="A630">
        <v>602297</v>
      </c>
      <c r="B630" t="s">
        <v>1034</v>
      </c>
      <c r="C630" t="s">
        <v>463</v>
      </c>
      <c r="D630" t="s">
        <v>147</v>
      </c>
      <c r="E630" s="1">
        <v>46141</v>
      </c>
      <c r="F630" t="s">
        <v>4334</v>
      </c>
      <c r="G630" t="s">
        <v>4256</v>
      </c>
      <c r="H630" t="s">
        <v>462</v>
      </c>
      <c r="I630" t="s">
        <v>204</v>
      </c>
      <c r="J630" s="1">
        <v>46752</v>
      </c>
      <c r="K630" t="s">
        <v>717</v>
      </c>
      <c r="L630">
        <v>1212.44</v>
      </c>
      <c r="M630">
        <v>1212.44</v>
      </c>
      <c r="N630" t="s">
        <v>719</v>
      </c>
      <c r="O630" t="s">
        <v>1033</v>
      </c>
      <c r="P630" t="s">
        <v>4776</v>
      </c>
      <c r="Q630" t="s">
        <v>4852</v>
      </c>
      <c r="R630" t="s">
        <v>4771</v>
      </c>
    </row>
    <row r="631" spans="1:18" x14ac:dyDescent="0.3">
      <c r="A631">
        <v>1153</v>
      </c>
      <c r="B631" t="s">
        <v>1034</v>
      </c>
      <c r="C631" t="s">
        <v>319</v>
      </c>
      <c r="D631" t="s">
        <v>36</v>
      </c>
      <c r="E631" s="1">
        <v>46141</v>
      </c>
      <c r="F631" t="s">
        <v>4298</v>
      </c>
      <c r="G631" t="s">
        <v>4244</v>
      </c>
      <c r="H631" t="s">
        <v>318</v>
      </c>
      <c r="I631" t="s">
        <v>204</v>
      </c>
      <c r="J631" s="1">
        <v>46214</v>
      </c>
      <c r="K631" t="s">
        <v>711</v>
      </c>
      <c r="L631">
        <v>550</v>
      </c>
      <c r="M631">
        <v>549.97</v>
      </c>
      <c r="N631" t="s">
        <v>710</v>
      </c>
      <c r="O631" t="s">
        <v>1036</v>
      </c>
      <c r="P631" t="s">
        <v>4784</v>
      </c>
      <c r="Q631" t="s">
        <v>4901</v>
      </c>
      <c r="R631" t="s">
        <v>4771</v>
      </c>
    </row>
    <row r="632" spans="1:18" x14ac:dyDescent="0.3">
      <c r="A632">
        <v>13760</v>
      </c>
      <c r="B632" t="s">
        <v>4875</v>
      </c>
      <c r="C632" t="s">
        <v>594</v>
      </c>
      <c r="D632" t="s">
        <v>27</v>
      </c>
      <c r="E632" s="1">
        <v>46141</v>
      </c>
      <c r="F632" t="s">
        <v>4323</v>
      </c>
      <c r="G632" t="s">
        <v>4243</v>
      </c>
      <c r="H632" t="s">
        <v>596</v>
      </c>
      <c r="I632" t="s">
        <v>204</v>
      </c>
      <c r="J632" s="1">
        <v>46204</v>
      </c>
      <c r="K632" t="s">
        <v>768</v>
      </c>
      <c r="L632">
        <v>14872.7</v>
      </c>
      <c r="M632">
        <v>14872.7</v>
      </c>
      <c r="N632" t="s">
        <v>814</v>
      </c>
      <c r="O632" t="s">
        <v>1037</v>
      </c>
      <c r="P632" t="s">
        <v>4794</v>
      </c>
      <c r="Q632" t="s">
        <v>4852</v>
      </c>
      <c r="R632" t="s">
        <v>4772</v>
      </c>
    </row>
    <row r="633" spans="1:18" x14ac:dyDescent="0.3">
      <c r="A633">
        <v>1084</v>
      </c>
      <c r="B633" t="s">
        <v>1034</v>
      </c>
      <c r="C633" t="s">
        <v>319</v>
      </c>
      <c r="D633" t="s">
        <v>36</v>
      </c>
      <c r="E633" s="1">
        <v>46141</v>
      </c>
      <c r="F633" t="s">
        <v>4298</v>
      </c>
      <c r="G633" t="s">
        <v>4245</v>
      </c>
      <c r="H633" t="s">
        <v>318</v>
      </c>
      <c r="I633" t="s">
        <v>204</v>
      </c>
      <c r="J633" s="1">
        <v>46214</v>
      </c>
      <c r="K633" t="s">
        <v>711</v>
      </c>
      <c r="L633">
        <v>653</v>
      </c>
      <c r="M633">
        <v>653.25</v>
      </c>
      <c r="N633" t="s">
        <v>710</v>
      </c>
      <c r="O633" t="s">
        <v>1036</v>
      </c>
      <c r="P633" t="s">
        <v>4784</v>
      </c>
      <c r="Q633" t="s">
        <v>4901</v>
      </c>
      <c r="R633" t="s">
        <v>4771</v>
      </c>
    </row>
    <row r="634" spans="1:18" x14ac:dyDescent="0.3">
      <c r="A634">
        <v>13751</v>
      </c>
      <c r="B634" t="s">
        <v>1034</v>
      </c>
      <c r="C634" t="s">
        <v>594</v>
      </c>
      <c r="D634" t="s">
        <v>27</v>
      </c>
      <c r="E634" s="1">
        <v>46141</v>
      </c>
      <c r="F634" t="s">
        <v>4323</v>
      </c>
      <c r="G634" t="s">
        <v>4242</v>
      </c>
      <c r="H634" t="s">
        <v>595</v>
      </c>
      <c r="I634" t="s">
        <v>204</v>
      </c>
      <c r="J634" s="1">
        <v>46204</v>
      </c>
      <c r="K634" t="s">
        <v>717</v>
      </c>
      <c r="L634">
        <v>3500.93</v>
      </c>
      <c r="M634">
        <v>3500.93</v>
      </c>
      <c r="N634" t="s">
        <v>814</v>
      </c>
      <c r="O634" t="s">
        <v>1037</v>
      </c>
      <c r="P634" t="s">
        <v>4794</v>
      </c>
      <c r="Q634" t="s">
        <v>4852</v>
      </c>
      <c r="R634" t="s">
        <v>4772</v>
      </c>
    </row>
    <row r="635" spans="1:18" x14ac:dyDescent="0.3">
      <c r="A635">
        <v>34</v>
      </c>
      <c r="B635" t="s">
        <v>1034</v>
      </c>
      <c r="C635" t="s">
        <v>658</v>
      </c>
      <c r="D635" t="s">
        <v>192</v>
      </c>
      <c r="E635" s="1">
        <v>46141</v>
      </c>
      <c r="F635" t="s">
        <v>4377</v>
      </c>
      <c r="G635" t="s">
        <v>4183</v>
      </c>
      <c r="H635" t="s">
        <v>657</v>
      </c>
      <c r="I635" t="s">
        <v>204</v>
      </c>
      <c r="J635" s="1">
        <v>46218</v>
      </c>
      <c r="K635" t="s">
        <v>711</v>
      </c>
      <c r="L635">
        <v>1</v>
      </c>
      <c r="M635">
        <v>2150</v>
      </c>
      <c r="N635" t="s">
        <v>710</v>
      </c>
      <c r="O635" t="s">
        <v>4834</v>
      </c>
      <c r="P635" t="s">
        <v>4776</v>
      </c>
      <c r="Q635" t="s">
        <v>4901</v>
      </c>
      <c r="R635" t="s">
        <v>807</v>
      </c>
    </row>
    <row r="636" spans="1:18" x14ac:dyDescent="0.3">
      <c r="A636">
        <v>18245</v>
      </c>
      <c r="B636" t="s">
        <v>1034</v>
      </c>
      <c r="C636" t="s">
        <v>632</v>
      </c>
      <c r="D636" t="s">
        <v>41</v>
      </c>
      <c r="E636" s="1">
        <v>46141</v>
      </c>
      <c r="F636" t="s">
        <v>4352</v>
      </c>
      <c r="G636" t="s">
        <v>3580</v>
      </c>
      <c r="H636" t="s">
        <v>631</v>
      </c>
      <c r="I636" t="s">
        <v>204</v>
      </c>
      <c r="J636" s="1">
        <v>50860</v>
      </c>
      <c r="K636" t="s">
        <v>717</v>
      </c>
      <c r="L636">
        <v>1</v>
      </c>
      <c r="M636">
        <v>6708</v>
      </c>
      <c r="N636" t="s">
        <v>710</v>
      </c>
      <c r="O636" t="s">
        <v>4833</v>
      </c>
      <c r="P636" t="s">
        <v>4776</v>
      </c>
      <c r="Q636" t="s">
        <v>4852</v>
      </c>
      <c r="R636" t="s">
        <v>4771</v>
      </c>
    </row>
    <row r="637" spans="1:18" x14ac:dyDescent="0.3">
      <c r="A637">
        <v>187707</v>
      </c>
      <c r="B637" t="s">
        <v>1034</v>
      </c>
      <c r="C637" t="s">
        <v>415</v>
      </c>
      <c r="D637" t="s">
        <v>60</v>
      </c>
      <c r="E637" s="1">
        <v>46141</v>
      </c>
      <c r="F637" t="s">
        <v>4333</v>
      </c>
      <c r="G637" t="s">
        <v>4260</v>
      </c>
      <c r="H637" t="s">
        <v>431</v>
      </c>
      <c r="I637" t="s">
        <v>204</v>
      </c>
      <c r="J637" s="1">
        <v>46386</v>
      </c>
      <c r="K637" t="s">
        <v>717</v>
      </c>
      <c r="L637">
        <v>13541.57</v>
      </c>
      <c r="M637">
        <v>13541.57</v>
      </c>
      <c r="N637" t="s">
        <v>814</v>
      </c>
      <c r="O637" t="s">
        <v>1037</v>
      </c>
      <c r="P637" t="s">
        <v>4807</v>
      </c>
      <c r="Q637" t="s">
        <v>4852</v>
      </c>
      <c r="R637" t="s">
        <v>4771</v>
      </c>
    </row>
    <row r="638" spans="1:18" x14ac:dyDescent="0.3">
      <c r="A638">
        <v>15111</v>
      </c>
      <c r="B638" t="s">
        <v>1034</v>
      </c>
      <c r="C638" t="s">
        <v>598</v>
      </c>
      <c r="D638" t="s">
        <v>128</v>
      </c>
      <c r="E638" s="1">
        <v>46141</v>
      </c>
      <c r="F638" t="s">
        <v>4336</v>
      </c>
      <c r="G638" t="s">
        <v>4195</v>
      </c>
      <c r="H638" t="s">
        <v>597</v>
      </c>
      <c r="I638" t="s">
        <v>204</v>
      </c>
      <c r="J638" s="1">
        <v>45839</v>
      </c>
      <c r="K638" t="s">
        <v>717</v>
      </c>
      <c r="L638">
        <v>5721.69</v>
      </c>
      <c r="M638">
        <v>5721.69</v>
      </c>
      <c r="N638" t="s">
        <v>710</v>
      </c>
      <c r="O638" t="s">
        <v>1037</v>
      </c>
      <c r="P638" t="s">
        <v>4794</v>
      </c>
      <c r="Q638" t="s">
        <v>4852</v>
      </c>
      <c r="R638" t="s">
        <v>4772</v>
      </c>
    </row>
    <row r="639" spans="1:18" x14ac:dyDescent="0.3">
      <c r="A639">
        <v>186757</v>
      </c>
      <c r="B639" t="s">
        <v>4874</v>
      </c>
      <c r="C639" t="s">
        <v>415</v>
      </c>
      <c r="D639" t="s">
        <v>60</v>
      </c>
      <c r="E639" s="1">
        <v>46141</v>
      </c>
      <c r="F639" t="s">
        <v>4333</v>
      </c>
      <c r="G639" t="s">
        <v>4261</v>
      </c>
      <c r="H639" t="s">
        <v>457</v>
      </c>
      <c r="I639" t="s">
        <v>204</v>
      </c>
      <c r="J639" s="1">
        <v>46387</v>
      </c>
      <c r="K639" t="s">
        <v>762</v>
      </c>
      <c r="L639">
        <v>3156.65</v>
      </c>
      <c r="M639">
        <v>3156.65</v>
      </c>
      <c r="N639" t="s">
        <v>814</v>
      </c>
      <c r="O639" t="s">
        <v>1037</v>
      </c>
      <c r="P639" t="s">
        <v>4807</v>
      </c>
      <c r="Q639" t="s">
        <v>4852</v>
      </c>
      <c r="R639" t="s">
        <v>4771</v>
      </c>
    </row>
    <row r="640" spans="1:18" x14ac:dyDescent="0.3">
      <c r="A640">
        <v>68550188</v>
      </c>
      <c r="B640" t="s">
        <v>4874</v>
      </c>
      <c r="C640" t="s">
        <v>653</v>
      </c>
      <c r="D640" t="s">
        <v>14</v>
      </c>
      <c r="E640" s="1">
        <v>46141</v>
      </c>
      <c r="F640" t="s">
        <v>4336</v>
      </c>
      <c r="G640" t="s">
        <v>4193</v>
      </c>
      <c r="H640" t="s">
        <v>652</v>
      </c>
      <c r="I640" t="s">
        <v>204</v>
      </c>
      <c r="J640" s="1">
        <v>46583</v>
      </c>
      <c r="K640" t="s">
        <v>762</v>
      </c>
      <c r="L640">
        <v>92841.83</v>
      </c>
      <c r="M640">
        <v>92841.83</v>
      </c>
      <c r="N640" t="s">
        <v>710</v>
      </c>
      <c r="O640" t="s">
        <v>1037</v>
      </c>
      <c r="P640" t="s">
        <v>4794</v>
      </c>
      <c r="Q640" t="s">
        <v>4852</v>
      </c>
      <c r="R640" t="s">
        <v>807</v>
      </c>
    </row>
    <row r="641" spans="1:18" x14ac:dyDescent="0.3">
      <c r="A641">
        <v>774864</v>
      </c>
      <c r="B641" t="s">
        <v>4874</v>
      </c>
      <c r="C641" t="s">
        <v>696</v>
      </c>
      <c r="D641" t="s">
        <v>108</v>
      </c>
      <c r="E641" s="1">
        <v>46140</v>
      </c>
      <c r="F641" t="s">
        <v>4362</v>
      </c>
      <c r="G641" t="s">
        <v>4180</v>
      </c>
      <c r="H641" t="s">
        <v>695</v>
      </c>
      <c r="I641" t="s">
        <v>204</v>
      </c>
      <c r="J641" s="1">
        <v>46535</v>
      </c>
      <c r="K641" t="s">
        <v>762</v>
      </c>
      <c r="L641">
        <v>6330.42</v>
      </c>
      <c r="M641">
        <v>6330.42</v>
      </c>
      <c r="N641" t="s">
        <v>710</v>
      </c>
      <c r="O641" t="s">
        <v>1037</v>
      </c>
      <c r="P641" t="s">
        <v>4806</v>
      </c>
      <c r="Q641" t="s">
        <v>4852</v>
      </c>
      <c r="R641" t="s">
        <v>4772</v>
      </c>
    </row>
    <row r="642" spans="1:18" x14ac:dyDescent="0.3">
      <c r="A642">
        <v>7459</v>
      </c>
      <c r="B642" t="s">
        <v>1035</v>
      </c>
      <c r="C642" t="s">
        <v>230</v>
      </c>
      <c r="D642" t="s">
        <v>85</v>
      </c>
      <c r="E642" s="1">
        <v>46140</v>
      </c>
      <c r="F642" t="s">
        <v>4421</v>
      </c>
      <c r="G642" t="s">
        <v>4212</v>
      </c>
      <c r="H642" t="s">
        <v>229</v>
      </c>
      <c r="I642" t="s">
        <v>204</v>
      </c>
      <c r="J642" s="1">
        <v>46203</v>
      </c>
      <c r="K642" t="s">
        <v>744</v>
      </c>
      <c r="L642">
        <v>5456.94</v>
      </c>
      <c r="M642">
        <v>5456.94</v>
      </c>
      <c r="N642" t="s">
        <v>710</v>
      </c>
      <c r="O642" t="s">
        <v>1033</v>
      </c>
      <c r="P642" t="s">
        <v>4781</v>
      </c>
      <c r="Q642" t="s">
        <v>4852</v>
      </c>
      <c r="R642" t="s">
        <v>4771</v>
      </c>
    </row>
    <row r="643" spans="1:18" x14ac:dyDescent="0.3">
      <c r="A643">
        <v>80375</v>
      </c>
      <c r="B643" t="s">
        <v>4874</v>
      </c>
      <c r="C643" t="s">
        <v>634</v>
      </c>
      <c r="D643" t="s">
        <v>99</v>
      </c>
      <c r="E643" s="1">
        <v>46140</v>
      </c>
      <c r="F643" t="s">
        <v>4398</v>
      </c>
      <c r="G643" t="s">
        <v>4238</v>
      </c>
      <c r="H643" t="s">
        <v>633</v>
      </c>
      <c r="I643" t="s">
        <v>204</v>
      </c>
      <c r="J643" s="1">
        <v>46204</v>
      </c>
      <c r="K643" t="s">
        <v>762</v>
      </c>
      <c r="L643">
        <v>200</v>
      </c>
      <c r="M643">
        <v>20</v>
      </c>
      <c r="N643" t="s">
        <v>719</v>
      </c>
      <c r="O643" t="s">
        <v>1037</v>
      </c>
      <c r="P643" t="s">
        <v>4790</v>
      </c>
      <c r="Q643" t="s">
        <v>4852</v>
      </c>
    </row>
    <row r="644" spans="1:18" x14ac:dyDescent="0.3">
      <c r="A644">
        <v>80375</v>
      </c>
      <c r="B644" t="s">
        <v>4874</v>
      </c>
      <c r="C644" t="s">
        <v>634</v>
      </c>
      <c r="D644" t="s">
        <v>99</v>
      </c>
      <c r="E644" s="1">
        <v>46140</v>
      </c>
      <c r="F644" t="s">
        <v>4329</v>
      </c>
      <c r="G644" t="s">
        <v>4238</v>
      </c>
      <c r="H644" t="s">
        <v>633</v>
      </c>
      <c r="I644" t="s">
        <v>204</v>
      </c>
      <c r="J644" s="1">
        <v>46204</v>
      </c>
      <c r="K644" t="s">
        <v>762</v>
      </c>
      <c r="L644">
        <v>84</v>
      </c>
      <c r="M644">
        <v>1116.3599999999999</v>
      </c>
      <c r="N644" t="s">
        <v>719</v>
      </c>
      <c r="O644" t="s">
        <v>1037</v>
      </c>
      <c r="P644" t="s">
        <v>4790</v>
      </c>
      <c r="Q644" t="s">
        <v>4852</v>
      </c>
    </row>
    <row r="645" spans="1:18" x14ac:dyDescent="0.3">
      <c r="A645">
        <v>80375</v>
      </c>
      <c r="B645" t="s">
        <v>4874</v>
      </c>
      <c r="C645" t="s">
        <v>634</v>
      </c>
      <c r="D645" t="s">
        <v>99</v>
      </c>
      <c r="E645" s="1">
        <v>46140</v>
      </c>
      <c r="F645" t="s">
        <v>4394</v>
      </c>
      <c r="G645" t="s">
        <v>4238</v>
      </c>
      <c r="H645" t="s">
        <v>633</v>
      </c>
      <c r="I645" t="s">
        <v>204</v>
      </c>
      <c r="J645" s="1">
        <v>46204</v>
      </c>
      <c r="K645" t="s">
        <v>762</v>
      </c>
      <c r="L645">
        <v>2360</v>
      </c>
      <c r="M645">
        <v>2360</v>
      </c>
      <c r="N645" t="s">
        <v>719</v>
      </c>
      <c r="O645" t="s">
        <v>1037</v>
      </c>
      <c r="P645" t="s">
        <v>4790</v>
      </c>
      <c r="Q645" t="s">
        <v>4852</v>
      </c>
    </row>
    <row r="646" spans="1:18" x14ac:dyDescent="0.3">
      <c r="A646">
        <v>80375</v>
      </c>
      <c r="B646" t="s">
        <v>4874</v>
      </c>
      <c r="C646" t="s">
        <v>634</v>
      </c>
      <c r="D646" t="s">
        <v>99</v>
      </c>
      <c r="E646" s="1">
        <v>46140</v>
      </c>
      <c r="F646" t="s">
        <v>4310</v>
      </c>
      <c r="G646" t="s">
        <v>4238</v>
      </c>
      <c r="H646" t="s">
        <v>633</v>
      </c>
      <c r="I646" t="s">
        <v>204</v>
      </c>
      <c r="J646" s="1">
        <v>46204</v>
      </c>
      <c r="K646" t="s">
        <v>762</v>
      </c>
      <c r="L646">
        <v>80</v>
      </c>
      <c r="M646">
        <v>292.8</v>
      </c>
      <c r="N646" t="s">
        <v>719</v>
      </c>
      <c r="O646" t="s">
        <v>1037</v>
      </c>
      <c r="P646" t="s">
        <v>4790</v>
      </c>
      <c r="Q646" t="s">
        <v>4852</v>
      </c>
    </row>
    <row r="647" spans="1:18" x14ac:dyDescent="0.3">
      <c r="A647">
        <v>80375</v>
      </c>
      <c r="B647" t="s">
        <v>4874</v>
      </c>
      <c r="C647" t="s">
        <v>634</v>
      </c>
      <c r="D647" t="s">
        <v>99</v>
      </c>
      <c r="E647" s="1">
        <v>46140</v>
      </c>
      <c r="F647" t="s">
        <v>4308</v>
      </c>
      <c r="G647" t="s">
        <v>4238</v>
      </c>
      <c r="H647" t="s">
        <v>633</v>
      </c>
      <c r="I647" t="s">
        <v>204</v>
      </c>
      <c r="J647" s="1">
        <v>46204</v>
      </c>
      <c r="K647" t="s">
        <v>762</v>
      </c>
      <c r="L647">
        <v>100</v>
      </c>
      <c r="M647">
        <v>487</v>
      </c>
      <c r="N647" t="s">
        <v>719</v>
      </c>
      <c r="O647" t="s">
        <v>1037</v>
      </c>
      <c r="P647" t="s">
        <v>4790</v>
      </c>
      <c r="Q647" t="s">
        <v>4852</v>
      </c>
    </row>
    <row r="648" spans="1:18" x14ac:dyDescent="0.3">
      <c r="A648">
        <v>771934</v>
      </c>
      <c r="B648" t="s">
        <v>4874</v>
      </c>
      <c r="C648" t="s">
        <v>409</v>
      </c>
      <c r="D648" t="s">
        <v>28</v>
      </c>
      <c r="E648" s="1">
        <v>46140</v>
      </c>
      <c r="F648" t="s">
        <v>4388</v>
      </c>
      <c r="G648" t="s">
        <v>4246</v>
      </c>
      <c r="H648" t="s">
        <v>408</v>
      </c>
      <c r="I648" t="s">
        <v>204</v>
      </c>
      <c r="J648" s="1">
        <v>54878</v>
      </c>
      <c r="K648" t="s">
        <v>762</v>
      </c>
      <c r="L648">
        <v>24452</v>
      </c>
      <c r="M648">
        <v>24452.27</v>
      </c>
      <c r="N648" t="s">
        <v>710</v>
      </c>
      <c r="O648" t="s">
        <v>4833</v>
      </c>
      <c r="P648" t="s">
        <v>4776</v>
      </c>
      <c r="Q648" t="s">
        <v>4852</v>
      </c>
      <c r="R648" t="s">
        <v>4773</v>
      </c>
    </row>
    <row r="649" spans="1:18" x14ac:dyDescent="0.3">
      <c r="A649">
        <v>9532250</v>
      </c>
      <c r="B649" t="s">
        <v>4874</v>
      </c>
      <c r="C649" t="s">
        <v>433</v>
      </c>
      <c r="D649" t="s">
        <v>168</v>
      </c>
      <c r="E649" s="1">
        <v>46140</v>
      </c>
      <c r="F649" t="s">
        <v>4319</v>
      </c>
      <c r="G649" t="s">
        <v>4240</v>
      </c>
      <c r="H649" t="s">
        <v>432</v>
      </c>
      <c r="I649" t="s">
        <v>204</v>
      </c>
      <c r="J649" s="1">
        <v>46473</v>
      </c>
      <c r="K649" t="s">
        <v>762</v>
      </c>
      <c r="L649">
        <v>1364</v>
      </c>
      <c r="M649">
        <v>1363.94</v>
      </c>
      <c r="N649" t="s">
        <v>710</v>
      </c>
      <c r="O649" t="s">
        <v>4833</v>
      </c>
      <c r="P649" t="s">
        <v>4802</v>
      </c>
      <c r="Q649" t="s">
        <v>4852</v>
      </c>
      <c r="R649" t="s">
        <v>4771</v>
      </c>
    </row>
    <row r="650" spans="1:18" x14ac:dyDescent="0.3">
      <c r="A650">
        <v>7438</v>
      </c>
      <c r="B650" t="s">
        <v>1035</v>
      </c>
      <c r="C650" t="s">
        <v>230</v>
      </c>
      <c r="D650" t="s">
        <v>85</v>
      </c>
      <c r="E650" s="1">
        <v>46140</v>
      </c>
      <c r="F650" t="s">
        <v>4348</v>
      </c>
      <c r="G650" t="s">
        <v>4215</v>
      </c>
      <c r="H650" t="s">
        <v>229</v>
      </c>
      <c r="I650" t="s">
        <v>204</v>
      </c>
      <c r="J650" s="1">
        <v>46203</v>
      </c>
      <c r="K650" t="s">
        <v>744</v>
      </c>
      <c r="L650">
        <v>3934.97</v>
      </c>
      <c r="M650">
        <v>3934.97</v>
      </c>
      <c r="N650" t="s">
        <v>710</v>
      </c>
      <c r="O650" t="s">
        <v>1033</v>
      </c>
      <c r="P650" t="s">
        <v>4781</v>
      </c>
      <c r="Q650" t="s">
        <v>4852</v>
      </c>
      <c r="R650" t="s">
        <v>4771</v>
      </c>
    </row>
    <row r="651" spans="1:18" x14ac:dyDescent="0.3">
      <c r="A651">
        <v>33027</v>
      </c>
      <c r="B651" t="s">
        <v>4874</v>
      </c>
      <c r="C651" t="s">
        <v>592</v>
      </c>
      <c r="D651" t="s">
        <v>8</v>
      </c>
      <c r="E651" s="1">
        <v>46140</v>
      </c>
      <c r="F651" t="s">
        <v>4352</v>
      </c>
      <c r="G651" t="s">
        <v>4222</v>
      </c>
      <c r="H651" t="s">
        <v>683</v>
      </c>
      <c r="I651" t="s">
        <v>204</v>
      </c>
      <c r="J651" s="1">
        <v>46387</v>
      </c>
      <c r="K651" t="s">
        <v>762</v>
      </c>
      <c r="L651">
        <v>1260.04</v>
      </c>
      <c r="M651">
        <v>1260.04</v>
      </c>
      <c r="N651" t="s">
        <v>890</v>
      </c>
      <c r="O651" t="s">
        <v>4833</v>
      </c>
      <c r="P651" t="s">
        <v>950</v>
      </c>
      <c r="Q651" t="s">
        <v>4852</v>
      </c>
      <c r="R651" t="s">
        <v>807</v>
      </c>
    </row>
    <row r="652" spans="1:18" x14ac:dyDescent="0.3">
      <c r="A652">
        <v>80375</v>
      </c>
      <c r="B652" t="s">
        <v>4874</v>
      </c>
      <c r="C652" t="s">
        <v>634</v>
      </c>
      <c r="D652" t="s">
        <v>99</v>
      </c>
      <c r="E652" s="1">
        <v>46140</v>
      </c>
      <c r="F652" t="s">
        <v>4307</v>
      </c>
      <c r="G652" t="s">
        <v>4238</v>
      </c>
      <c r="H652" t="s">
        <v>633</v>
      </c>
      <c r="I652" t="s">
        <v>204</v>
      </c>
      <c r="J652" s="1">
        <v>46204</v>
      </c>
      <c r="K652" t="s">
        <v>762</v>
      </c>
      <c r="L652">
        <v>2360</v>
      </c>
      <c r="M652">
        <v>36792.400000000001</v>
      </c>
      <c r="N652" t="s">
        <v>719</v>
      </c>
      <c r="O652" t="s">
        <v>1037</v>
      </c>
      <c r="P652" t="s">
        <v>4790</v>
      </c>
      <c r="Q652" t="s">
        <v>4852</v>
      </c>
    </row>
    <row r="653" spans="1:18" x14ac:dyDescent="0.3">
      <c r="A653">
        <v>22110</v>
      </c>
      <c r="B653" t="s">
        <v>1034</v>
      </c>
      <c r="C653" t="s">
        <v>243</v>
      </c>
      <c r="D653" t="s">
        <v>61</v>
      </c>
      <c r="E653" s="1">
        <v>46140</v>
      </c>
      <c r="F653" t="s">
        <v>4304</v>
      </c>
      <c r="G653" t="s">
        <v>3917</v>
      </c>
      <c r="H653" t="s">
        <v>246</v>
      </c>
      <c r="I653" t="s">
        <v>204</v>
      </c>
      <c r="J653" s="1">
        <v>46203</v>
      </c>
      <c r="K653" t="s">
        <v>711</v>
      </c>
      <c r="L653">
        <v>1535.62</v>
      </c>
      <c r="M653">
        <v>1535.62</v>
      </c>
      <c r="N653" t="s">
        <v>710</v>
      </c>
      <c r="O653" t="s">
        <v>4834</v>
      </c>
      <c r="P653" t="s">
        <v>4776</v>
      </c>
      <c r="Q653" t="s">
        <v>4901</v>
      </c>
      <c r="R653" t="s">
        <v>4771</v>
      </c>
    </row>
    <row r="654" spans="1:18" x14ac:dyDescent="0.3">
      <c r="A654">
        <v>9</v>
      </c>
      <c r="B654" t="s">
        <v>4875</v>
      </c>
      <c r="C654" t="s">
        <v>651</v>
      </c>
      <c r="D654" t="s">
        <v>46</v>
      </c>
      <c r="E654" s="1">
        <v>46140</v>
      </c>
      <c r="F654" t="s">
        <v>4435</v>
      </c>
      <c r="G654" t="s">
        <v>4143</v>
      </c>
      <c r="H654" t="s">
        <v>650</v>
      </c>
      <c r="I654" t="s">
        <v>204</v>
      </c>
      <c r="J654" s="1">
        <v>46173</v>
      </c>
      <c r="K654" t="s">
        <v>748</v>
      </c>
      <c r="L654">
        <v>3730</v>
      </c>
      <c r="M654">
        <v>3730</v>
      </c>
      <c r="N654" t="s">
        <v>710</v>
      </c>
      <c r="O654" t="s">
        <v>1040</v>
      </c>
      <c r="P654" t="s">
        <v>4779</v>
      </c>
      <c r="Q654" t="s">
        <v>4856</v>
      </c>
    </row>
    <row r="655" spans="1:18" x14ac:dyDescent="0.3">
      <c r="A655">
        <v>156</v>
      </c>
      <c r="B655" t="s">
        <v>1034</v>
      </c>
      <c r="C655" t="s">
        <v>618</v>
      </c>
      <c r="D655" t="s">
        <v>112</v>
      </c>
      <c r="E655" s="1">
        <v>46140</v>
      </c>
      <c r="F655" t="s">
        <v>4361</v>
      </c>
      <c r="G655" t="s">
        <v>4235</v>
      </c>
      <c r="H655" t="s">
        <v>617</v>
      </c>
      <c r="I655" t="s">
        <v>204</v>
      </c>
      <c r="J655" s="1">
        <v>46347</v>
      </c>
      <c r="K655" t="s">
        <v>711</v>
      </c>
      <c r="L655">
        <v>890</v>
      </c>
      <c r="M655">
        <v>890</v>
      </c>
      <c r="N655" t="s">
        <v>818</v>
      </c>
      <c r="O655" t="s">
        <v>1036</v>
      </c>
      <c r="P655" t="s">
        <v>4776</v>
      </c>
      <c r="Q655" t="s">
        <v>4901</v>
      </c>
      <c r="R655" t="s">
        <v>4771</v>
      </c>
    </row>
    <row r="656" spans="1:18" x14ac:dyDescent="0.3">
      <c r="A656">
        <v>202666601</v>
      </c>
      <c r="B656" t="s">
        <v>1034</v>
      </c>
      <c r="C656" t="s">
        <v>522</v>
      </c>
      <c r="D656" t="s">
        <v>50</v>
      </c>
      <c r="E656" s="1">
        <v>46140</v>
      </c>
      <c r="F656" t="s">
        <v>4352</v>
      </c>
      <c r="G656" t="s">
        <v>4250</v>
      </c>
      <c r="H656" t="s">
        <v>521</v>
      </c>
      <c r="I656" t="s">
        <v>204</v>
      </c>
      <c r="J656" s="1">
        <v>46387</v>
      </c>
      <c r="K656" t="s">
        <v>717</v>
      </c>
      <c r="L656">
        <v>562.80999999999995</v>
      </c>
      <c r="M656">
        <v>562.80999999999995</v>
      </c>
      <c r="N656" t="s">
        <v>884</v>
      </c>
      <c r="O656" t="s">
        <v>1037</v>
      </c>
      <c r="P656" t="s">
        <v>4776</v>
      </c>
      <c r="Q656" t="s">
        <v>4852</v>
      </c>
      <c r="R656" t="s">
        <v>4773</v>
      </c>
    </row>
    <row r="657" spans="1:18" x14ac:dyDescent="0.3">
      <c r="A657">
        <v>439930</v>
      </c>
      <c r="B657" t="s">
        <v>1034</v>
      </c>
      <c r="C657" t="s">
        <v>235</v>
      </c>
      <c r="D657" t="s">
        <v>129</v>
      </c>
      <c r="E657" s="1">
        <v>46140</v>
      </c>
      <c r="F657" t="s">
        <v>4319</v>
      </c>
      <c r="G657" t="s">
        <v>4254</v>
      </c>
      <c r="H657" t="s">
        <v>234</v>
      </c>
      <c r="I657" t="s">
        <v>204</v>
      </c>
      <c r="J657" s="1">
        <v>46627</v>
      </c>
      <c r="K657" t="s">
        <v>717</v>
      </c>
      <c r="L657">
        <v>244</v>
      </c>
      <c r="M657">
        <v>244.1</v>
      </c>
      <c r="N657" t="s">
        <v>719</v>
      </c>
      <c r="O657" t="s">
        <v>4833</v>
      </c>
      <c r="P657" t="s">
        <v>4802</v>
      </c>
      <c r="Q657" t="s">
        <v>4852</v>
      </c>
      <c r="R657" t="s">
        <v>4771</v>
      </c>
    </row>
    <row r="658" spans="1:18" x14ac:dyDescent="0.3">
      <c r="A658">
        <v>7444</v>
      </c>
      <c r="B658" t="s">
        <v>1035</v>
      </c>
      <c r="C658" t="s">
        <v>230</v>
      </c>
      <c r="D658" t="s">
        <v>85</v>
      </c>
      <c r="E658" s="1">
        <v>46140</v>
      </c>
      <c r="F658" t="s">
        <v>4421</v>
      </c>
      <c r="G658" t="s">
        <v>4212</v>
      </c>
      <c r="H658" t="s">
        <v>229</v>
      </c>
      <c r="I658" t="s">
        <v>204</v>
      </c>
      <c r="J658" s="1">
        <v>46203</v>
      </c>
      <c r="K658" t="s">
        <v>744</v>
      </c>
      <c r="L658">
        <v>7.78</v>
      </c>
      <c r="M658">
        <v>7.78</v>
      </c>
      <c r="N658" t="s">
        <v>710</v>
      </c>
      <c r="O658" t="s">
        <v>1033</v>
      </c>
      <c r="P658" t="s">
        <v>4781</v>
      </c>
      <c r="Q658" t="s">
        <v>4852</v>
      </c>
      <c r="R658" t="s">
        <v>4771</v>
      </c>
    </row>
    <row r="659" spans="1:18" x14ac:dyDescent="0.3">
      <c r="A659">
        <v>7470</v>
      </c>
      <c r="B659" t="s">
        <v>1035</v>
      </c>
      <c r="C659" t="s">
        <v>230</v>
      </c>
      <c r="D659" t="s">
        <v>85</v>
      </c>
      <c r="E659" s="1">
        <v>46140</v>
      </c>
      <c r="F659" t="s">
        <v>4421</v>
      </c>
      <c r="G659" t="s">
        <v>4212</v>
      </c>
      <c r="H659" t="s">
        <v>229</v>
      </c>
      <c r="I659" t="s">
        <v>204</v>
      </c>
      <c r="J659" s="1">
        <v>46203</v>
      </c>
      <c r="K659" t="s">
        <v>744</v>
      </c>
      <c r="L659">
        <v>4089.16</v>
      </c>
      <c r="M659">
        <v>4089.16</v>
      </c>
      <c r="N659" t="s">
        <v>710</v>
      </c>
      <c r="O659" t="s">
        <v>1033</v>
      </c>
      <c r="P659" t="s">
        <v>4781</v>
      </c>
      <c r="Q659" t="s">
        <v>4852</v>
      </c>
      <c r="R659" t="s">
        <v>4771</v>
      </c>
    </row>
    <row r="660" spans="1:18" x14ac:dyDescent="0.3">
      <c r="A660">
        <v>7442</v>
      </c>
      <c r="B660" t="s">
        <v>1035</v>
      </c>
      <c r="C660" t="s">
        <v>230</v>
      </c>
      <c r="D660" t="s">
        <v>85</v>
      </c>
      <c r="E660" s="1">
        <v>46140</v>
      </c>
      <c r="F660" t="s">
        <v>4421</v>
      </c>
      <c r="G660" t="s">
        <v>4212</v>
      </c>
      <c r="H660" t="s">
        <v>229</v>
      </c>
      <c r="I660" t="s">
        <v>204</v>
      </c>
      <c r="J660" s="1">
        <v>46203</v>
      </c>
      <c r="K660" t="s">
        <v>744</v>
      </c>
      <c r="L660">
        <v>7.78</v>
      </c>
      <c r="M660">
        <v>7.78</v>
      </c>
      <c r="N660" t="s">
        <v>710</v>
      </c>
      <c r="O660" t="s">
        <v>1033</v>
      </c>
      <c r="P660" t="s">
        <v>4781</v>
      </c>
      <c r="Q660" t="s">
        <v>4852</v>
      </c>
      <c r="R660" t="s">
        <v>4771</v>
      </c>
    </row>
    <row r="661" spans="1:18" x14ac:dyDescent="0.3">
      <c r="A661">
        <v>7535</v>
      </c>
      <c r="B661" t="s">
        <v>4874</v>
      </c>
      <c r="C661" t="s">
        <v>628</v>
      </c>
      <c r="D661" t="s">
        <v>25</v>
      </c>
      <c r="E661" s="1">
        <v>46139</v>
      </c>
      <c r="F661" t="s">
        <v>4415</v>
      </c>
      <c r="G661" t="s">
        <v>4062</v>
      </c>
      <c r="H661" t="s">
        <v>627</v>
      </c>
      <c r="I661" t="s">
        <v>209</v>
      </c>
      <c r="J661" s="1">
        <v>46476</v>
      </c>
      <c r="K661" t="s">
        <v>720</v>
      </c>
      <c r="L661">
        <v>380</v>
      </c>
      <c r="M661">
        <v>380</v>
      </c>
      <c r="N661" t="s">
        <v>710</v>
      </c>
      <c r="O661" t="s">
        <v>1038</v>
      </c>
      <c r="P661" t="s">
        <v>4776</v>
      </c>
      <c r="Q661" t="s">
        <v>4858</v>
      </c>
      <c r="R661" t="s">
        <v>4771</v>
      </c>
    </row>
    <row r="662" spans="1:18" x14ac:dyDescent="0.3">
      <c r="A662">
        <v>15103</v>
      </c>
      <c r="B662" t="s">
        <v>4874</v>
      </c>
      <c r="C662" t="s">
        <v>598</v>
      </c>
      <c r="D662" t="s">
        <v>128</v>
      </c>
      <c r="E662" s="1">
        <v>46139</v>
      </c>
      <c r="F662" t="s">
        <v>4336</v>
      </c>
      <c r="G662" t="s">
        <v>4194</v>
      </c>
      <c r="H662" t="s">
        <v>599</v>
      </c>
      <c r="I662" t="s">
        <v>204</v>
      </c>
      <c r="J662" s="1">
        <v>45869</v>
      </c>
      <c r="K662" t="s">
        <v>762</v>
      </c>
      <c r="L662">
        <v>4496.03</v>
      </c>
      <c r="M662">
        <v>4496.03</v>
      </c>
      <c r="N662" t="s">
        <v>710</v>
      </c>
      <c r="O662" t="s">
        <v>1037</v>
      </c>
      <c r="P662" t="s">
        <v>4794</v>
      </c>
      <c r="Q662" t="s">
        <v>4852</v>
      </c>
      <c r="R662" t="s">
        <v>4772</v>
      </c>
    </row>
    <row r="663" spans="1:18" x14ac:dyDescent="0.3">
      <c r="A663">
        <v>44997</v>
      </c>
      <c r="B663" t="s">
        <v>4874</v>
      </c>
      <c r="C663" t="s">
        <v>614</v>
      </c>
      <c r="D663" t="s">
        <v>74</v>
      </c>
      <c r="E663" s="1">
        <v>46139</v>
      </c>
      <c r="F663" t="s">
        <v>4362</v>
      </c>
      <c r="G663" t="s">
        <v>4006</v>
      </c>
      <c r="H663" t="s">
        <v>613</v>
      </c>
      <c r="I663" t="s">
        <v>204</v>
      </c>
      <c r="J663" s="1">
        <v>46993</v>
      </c>
      <c r="K663" t="s">
        <v>720</v>
      </c>
      <c r="L663">
        <v>1515</v>
      </c>
      <c r="M663">
        <v>1515</v>
      </c>
      <c r="N663" t="s">
        <v>710</v>
      </c>
      <c r="O663" t="s">
        <v>1038</v>
      </c>
      <c r="P663" t="s">
        <v>4779</v>
      </c>
      <c r="Q663" t="s">
        <v>4858</v>
      </c>
      <c r="R663" t="s">
        <v>4771</v>
      </c>
    </row>
    <row r="664" spans="1:18" x14ac:dyDescent="0.3">
      <c r="A664">
        <v>7535</v>
      </c>
      <c r="B664" t="s">
        <v>4874</v>
      </c>
      <c r="C664" t="s">
        <v>628</v>
      </c>
      <c r="D664" t="s">
        <v>25</v>
      </c>
      <c r="E664" s="1">
        <v>46139</v>
      </c>
      <c r="F664" t="s">
        <v>4415</v>
      </c>
      <c r="G664" t="s">
        <v>4062</v>
      </c>
      <c r="H664" t="s">
        <v>627</v>
      </c>
      <c r="I664" t="s">
        <v>209</v>
      </c>
      <c r="J664" s="1">
        <v>46476</v>
      </c>
      <c r="K664" t="s">
        <v>720</v>
      </c>
      <c r="L664">
        <v>380</v>
      </c>
      <c r="M664">
        <v>380</v>
      </c>
      <c r="N664" t="s">
        <v>710</v>
      </c>
      <c r="O664" t="s">
        <v>1038</v>
      </c>
      <c r="P664" t="s">
        <v>4776</v>
      </c>
      <c r="Q664" t="s">
        <v>4858</v>
      </c>
      <c r="R664" t="s">
        <v>4771</v>
      </c>
    </row>
    <row r="665" spans="1:18" x14ac:dyDescent="0.3">
      <c r="A665">
        <v>158</v>
      </c>
      <c r="B665" t="s">
        <v>1034</v>
      </c>
      <c r="C665" t="s">
        <v>636</v>
      </c>
      <c r="D665" t="s">
        <v>51</v>
      </c>
      <c r="E665" s="1">
        <v>46139</v>
      </c>
      <c r="F665" t="s">
        <v>4297</v>
      </c>
      <c r="G665" t="s">
        <v>2293</v>
      </c>
      <c r="H665" t="s">
        <v>635</v>
      </c>
      <c r="I665" t="s">
        <v>204</v>
      </c>
      <c r="J665" s="1">
        <v>46193</v>
      </c>
      <c r="K665" t="s">
        <v>711</v>
      </c>
      <c r="L665">
        <v>1</v>
      </c>
      <c r="M665">
        <v>7933</v>
      </c>
      <c r="N665" t="s">
        <v>710</v>
      </c>
      <c r="O665" t="s">
        <v>4844</v>
      </c>
      <c r="P665" t="s">
        <v>4779</v>
      </c>
      <c r="Q665" t="s">
        <v>4845</v>
      </c>
      <c r="R665" t="s">
        <v>4771</v>
      </c>
    </row>
    <row r="666" spans="1:18" x14ac:dyDescent="0.3">
      <c r="A666">
        <v>3956</v>
      </c>
      <c r="B666" t="s">
        <v>1034</v>
      </c>
      <c r="C666" t="s">
        <v>590</v>
      </c>
      <c r="D666" t="s">
        <v>79</v>
      </c>
      <c r="E666" s="1">
        <v>46139</v>
      </c>
      <c r="F666" t="s">
        <v>4365</v>
      </c>
      <c r="G666" t="s">
        <v>4164</v>
      </c>
      <c r="H666" t="s">
        <v>589</v>
      </c>
      <c r="I666" t="s">
        <v>204</v>
      </c>
      <c r="J666" s="1">
        <v>46387</v>
      </c>
      <c r="K666" t="s">
        <v>717</v>
      </c>
      <c r="L666">
        <v>1976</v>
      </c>
      <c r="M666">
        <v>1976</v>
      </c>
      <c r="N666" t="s">
        <v>814</v>
      </c>
      <c r="O666" t="s">
        <v>4845</v>
      </c>
      <c r="P666" t="s">
        <v>4793</v>
      </c>
      <c r="Q666" t="s">
        <v>4845</v>
      </c>
      <c r="R666" t="s">
        <v>4773</v>
      </c>
    </row>
    <row r="667" spans="1:18" x14ac:dyDescent="0.3">
      <c r="A667">
        <v>2160764</v>
      </c>
      <c r="B667" t="s">
        <v>4874</v>
      </c>
      <c r="C667" t="s">
        <v>668</v>
      </c>
      <c r="D667" t="s">
        <v>84</v>
      </c>
      <c r="E667" s="1">
        <v>46139</v>
      </c>
      <c r="F667" t="s">
        <v>4324</v>
      </c>
      <c r="G667" t="s">
        <v>4173</v>
      </c>
      <c r="H667" t="s">
        <v>667</v>
      </c>
      <c r="I667" t="s">
        <v>204</v>
      </c>
      <c r="J667" s="1">
        <v>46676</v>
      </c>
      <c r="K667" t="s">
        <v>762</v>
      </c>
      <c r="L667">
        <v>117607</v>
      </c>
      <c r="M667">
        <v>117607</v>
      </c>
      <c r="N667" t="s">
        <v>1000</v>
      </c>
      <c r="O667" t="s">
        <v>1037</v>
      </c>
      <c r="P667" t="s">
        <v>4799</v>
      </c>
      <c r="Q667" t="s">
        <v>4852</v>
      </c>
      <c r="R667" t="s">
        <v>807</v>
      </c>
    </row>
    <row r="668" spans="1:18" x14ac:dyDescent="0.3">
      <c r="A668">
        <v>2160766</v>
      </c>
      <c r="B668" t="s">
        <v>4874</v>
      </c>
      <c r="C668" t="s">
        <v>668</v>
      </c>
      <c r="D668" t="s">
        <v>84</v>
      </c>
      <c r="E668" s="1">
        <v>46139</v>
      </c>
      <c r="F668" t="s">
        <v>4324</v>
      </c>
      <c r="G668" t="s">
        <v>4174</v>
      </c>
      <c r="H668" t="s">
        <v>667</v>
      </c>
      <c r="I668" t="s">
        <v>204</v>
      </c>
      <c r="J668" s="1">
        <v>46676</v>
      </c>
      <c r="K668" t="s">
        <v>762</v>
      </c>
      <c r="L668">
        <v>8400</v>
      </c>
      <c r="M668">
        <v>8400</v>
      </c>
      <c r="N668" t="s">
        <v>1000</v>
      </c>
      <c r="O668" t="s">
        <v>1037</v>
      </c>
      <c r="P668" t="s">
        <v>4799</v>
      </c>
      <c r="Q668" t="s">
        <v>4852</v>
      </c>
      <c r="R668" t="s">
        <v>807</v>
      </c>
    </row>
    <row r="669" spans="1:18" x14ac:dyDescent="0.3">
      <c r="A669">
        <v>2146605</v>
      </c>
      <c r="B669" t="s">
        <v>4874</v>
      </c>
      <c r="C669" t="s">
        <v>668</v>
      </c>
      <c r="D669" t="s">
        <v>84</v>
      </c>
      <c r="E669" s="1">
        <v>46139</v>
      </c>
      <c r="F669" t="s">
        <v>4324</v>
      </c>
      <c r="G669" t="s">
        <v>4219</v>
      </c>
      <c r="H669" t="s">
        <v>667</v>
      </c>
      <c r="I669" t="s">
        <v>204</v>
      </c>
      <c r="J669" s="1">
        <v>46676</v>
      </c>
      <c r="K669" t="s">
        <v>762</v>
      </c>
      <c r="L669">
        <v>5346</v>
      </c>
      <c r="M669">
        <v>5346</v>
      </c>
      <c r="N669" t="s">
        <v>1000</v>
      </c>
      <c r="O669" t="s">
        <v>1037</v>
      </c>
      <c r="P669" t="s">
        <v>4799</v>
      </c>
      <c r="Q669" t="s">
        <v>4852</v>
      </c>
      <c r="R669" t="s">
        <v>807</v>
      </c>
    </row>
    <row r="670" spans="1:18" x14ac:dyDescent="0.3">
      <c r="A670">
        <v>2146623</v>
      </c>
      <c r="B670" t="s">
        <v>4875</v>
      </c>
      <c r="C670" t="s">
        <v>668</v>
      </c>
      <c r="D670" t="s">
        <v>84</v>
      </c>
      <c r="E670" s="1">
        <v>46139</v>
      </c>
      <c r="F670" t="s">
        <v>4324</v>
      </c>
      <c r="G670" t="s">
        <v>4220</v>
      </c>
      <c r="H670" t="s">
        <v>670</v>
      </c>
      <c r="I670" t="s">
        <v>204</v>
      </c>
      <c r="J670" s="1">
        <v>46677</v>
      </c>
      <c r="K670" t="s">
        <v>768</v>
      </c>
      <c r="L670">
        <v>9336</v>
      </c>
      <c r="M670">
        <v>9336</v>
      </c>
      <c r="N670" t="s">
        <v>1000</v>
      </c>
      <c r="O670" t="s">
        <v>1037</v>
      </c>
      <c r="P670" t="s">
        <v>4799</v>
      </c>
      <c r="Q670" t="s">
        <v>4852</v>
      </c>
      <c r="R670" t="s">
        <v>807</v>
      </c>
    </row>
    <row r="671" spans="1:18" x14ac:dyDescent="0.3">
      <c r="A671">
        <v>15119</v>
      </c>
      <c r="B671" t="s">
        <v>4875</v>
      </c>
      <c r="C671" t="s">
        <v>598</v>
      </c>
      <c r="D671" t="s">
        <v>128</v>
      </c>
      <c r="E671" s="1">
        <v>46139</v>
      </c>
      <c r="F671" t="s">
        <v>4336</v>
      </c>
      <c r="G671" t="s">
        <v>4196</v>
      </c>
      <c r="H671" t="s">
        <v>600</v>
      </c>
      <c r="I671" t="s">
        <v>204</v>
      </c>
      <c r="J671" s="1">
        <v>45869</v>
      </c>
      <c r="K671" t="s">
        <v>768</v>
      </c>
      <c r="L671">
        <v>1206.6600000000001</v>
      </c>
      <c r="M671">
        <v>1206.6600000000001</v>
      </c>
      <c r="N671" t="s">
        <v>710</v>
      </c>
      <c r="O671" t="s">
        <v>1037</v>
      </c>
      <c r="P671" t="s">
        <v>4794</v>
      </c>
      <c r="Q671" t="s">
        <v>4852</v>
      </c>
      <c r="R671" t="s">
        <v>4772</v>
      </c>
    </row>
    <row r="672" spans="1:18" x14ac:dyDescent="0.3">
      <c r="A672">
        <v>7535</v>
      </c>
      <c r="B672" t="s">
        <v>4874</v>
      </c>
      <c r="C672" t="s">
        <v>628</v>
      </c>
      <c r="D672" t="s">
        <v>25</v>
      </c>
      <c r="E672" s="1">
        <v>46139</v>
      </c>
      <c r="F672" t="s">
        <v>4415</v>
      </c>
      <c r="G672" t="s">
        <v>4062</v>
      </c>
      <c r="H672" t="s">
        <v>627</v>
      </c>
      <c r="I672" t="s">
        <v>209</v>
      </c>
      <c r="J672" s="1">
        <v>46476</v>
      </c>
      <c r="K672" t="s">
        <v>720</v>
      </c>
      <c r="L672">
        <v>380</v>
      </c>
      <c r="M672">
        <v>380</v>
      </c>
      <c r="N672" t="s">
        <v>710</v>
      </c>
      <c r="O672" t="s">
        <v>1038</v>
      </c>
      <c r="P672" t="s">
        <v>4776</v>
      </c>
      <c r="Q672" t="s">
        <v>4858</v>
      </c>
      <c r="R672" t="s">
        <v>4771</v>
      </c>
    </row>
    <row r="673" spans="1:18" x14ac:dyDescent="0.3">
      <c r="A673">
        <v>7535</v>
      </c>
      <c r="B673" t="s">
        <v>4874</v>
      </c>
      <c r="C673" t="s">
        <v>628</v>
      </c>
      <c r="D673" t="s">
        <v>25</v>
      </c>
      <c r="E673" s="1">
        <v>46139</v>
      </c>
      <c r="F673" t="s">
        <v>4415</v>
      </c>
      <c r="G673" t="s">
        <v>4062</v>
      </c>
      <c r="H673" t="s">
        <v>627</v>
      </c>
      <c r="I673" t="s">
        <v>209</v>
      </c>
      <c r="J673" s="1">
        <v>46476</v>
      </c>
      <c r="K673" t="s">
        <v>720</v>
      </c>
      <c r="L673">
        <v>380</v>
      </c>
      <c r="M673">
        <v>380</v>
      </c>
      <c r="N673" t="s">
        <v>710</v>
      </c>
      <c r="O673" t="s">
        <v>1038</v>
      </c>
      <c r="P673" t="s">
        <v>4776</v>
      </c>
      <c r="Q673" t="s">
        <v>4858</v>
      </c>
      <c r="R673" t="s">
        <v>4771</v>
      </c>
    </row>
    <row r="674" spans="1:18" x14ac:dyDescent="0.3">
      <c r="A674">
        <v>7535</v>
      </c>
      <c r="B674" t="s">
        <v>4874</v>
      </c>
      <c r="C674" t="s">
        <v>628</v>
      </c>
      <c r="D674" t="s">
        <v>25</v>
      </c>
      <c r="E674" s="1">
        <v>46139</v>
      </c>
      <c r="F674" t="s">
        <v>4415</v>
      </c>
      <c r="G674" t="s">
        <v>4062</v>
      </c>
      <c r="H674" t="s">
        <v>627</v>
      </c>
      <c r="I674" t="s">
        <v>209</v>
      </c>
      <c r="J674" s="1">
        <v>46476</v>
      </c>
      <c r="K674" t="s">
        <v>720</v>
      </c>
      <c r="L674">
        <v>380</v>
      </c>
      <c r="M674">
        <v>380</v>
      </c>
      <c r="N674" t="s">
        <v>710</v>
      </c>
      <c r="O674" t="s">
        <v>1038</v>
      </c>
      <c r="P674" t="s">
        <v>4776</v>
      </c>
      <c r="Q674" t="s">
        <v>4858</v>
      </c>
      <c r="R674" t="s">
        <v>4771</v>
      </c>
    </row>
    <row r="675" spans="1:18" x14ac:dyDescent="0.3">
      <c r="A675">
        <v>7535</v>
      </c>
      <c r="B675" t="s">
        <v>4874</v>
      </c>
      <c r="C675" t="s">
        <v>628</v>
      </c>
      <c r="D675" t="s">
        <v>25</v>
      </c>
      <c r="E675" s="1">
        <v>46139</v>
      </c>
      <c r="F675" t="s">
        <v>4415</v>
      </c>
      <c r="G675" t="s">
        <v>4062</v>
      </c>
      <c r="H675" t="s">
        <v>627</v>
      </c>
      <c r="I675" t="s">
        <v>209</v>
      </c>
      <c r="J675" s="1">
        <v>46476</v>
      </c>
      <c r="K675" t="s">
        <v>720</v>
      </c>
      <c r="L675">
        <v>380</v>
      </c>
      <c r="M675">
        <v>380</v>
      </c>
      <c r="N675" t="s">
        <v>710</v>
      </c>
      <c r="O675" t="s">
        <v>1038</v>
      </c>
      <c r="P675" t="s">
        <v>4776</v>
      </c>
      <c r="Q675" t="s">
        <v>4858</v>
      </c>
      <c r="R675" t="s">
        <v>4771</v>
      </c>
    </row>
    <row r="676" spans="1:18" x14ac:dyDescent="0.3">
      <c r="A676">
        <v>7535</v>
      </c>
      <c r="B676" t="s">
        <v>4874</v>
      </c>
      <c r="C676" t="s">
        <v>628</v>
      </c>
      <c r="D676" t="s">
        <v>25</v>
      </c>
      <c r="E676" s="1">
        <v>46139</v>
      </c>
      <c r="F676" t="s">
        <v>4415</v>
      </c>
      <c r="G676" t="s">
        <v>4062</v>
      </c>
      <c r="H676" t="s">
        <v>627</v>
      </c>
      <c r="I676" t="s">
        <v>209</v>
      </c>
      <c r="J676" s="1">
        <v>46476</v>
      </c>
      <c r="K676" t="s">
        <v>720</v>
      </c>
      <c r="L676">
        <v>380</v>
      </c>
      <c r="M676">
        <v>380</v>
      </c>
      <c r="N676" t="s">
        <v>710</v>
      </c>
      <c r="O676" t="s">
        <v>1038</v>
      </c>
      <c r="P676" t="s">
        <v>4776</v>
      </c>
      <c r="Q676" t="s">
        <v>4858</v>
      </c>
      <c r="R676" t="s">
        <v>4771</v>
      </c>
    </row>
    <row r="677" spans="1:18" x14ac:dyDescent="0.3">
      <c r="A677">
        <v>178349</v>
      </c>
      <c r="B677" t="s">
        <v>1034</v>
      </c>
      <c r="C677" t="s">
        <v>488</v>
      </c>
      <c r="D677" t="s">
        <v>178</v>
      </c>
      <c r="E677" s="1">
        <v>46136</v>
      </c>
      <c r="F677" t="s">
        <v>4345</v>
      </c>
      <c r="G677" t="s">
        <v>4207</v>
      </c>
      <c r="H677" t="s">
        <v>487</v>
      </c>
      <c r="I677" t="s">
        <v>204</v>
      </c>
      <c r="J677" s="1">
        <v>54878</v>
      </c>
      <c r="K677" t="s">
        <v>717</v>
      </c>
      <c r="L677">
        <v>28178.78</v>
      </c>
      <c r="M677">
        <v>28178.78</v>
      </c>
      <c r="N677" t="s">
        <v>710</v>
      </c>
      <c r="O677" t="s">
        <v>4833</v>
      </c>
      <c r="P677" t="s">
        <v>4776</v>
      </c>
      <c r="Q677" t="s">
        <v>4852</v>
      </c>
      <c r="R677" t="s">
        <v>4773</v>
      </c>
    </row>
    <row r="678" spans="1:18" x14ac:dyDescent="0.3">
      <c r="A678">
        <v>357</v>
      </c>
      <c r="B678" t="s">
        <v>1034</v>
      </c>
      <c r="C678" t="s">
        <v>479</v>
      </c>
      <c r="D678" t="s">
        <v>99</v>
      </c>
      <c r="E678" s="1">
        <v>46136</v>
      </c>
      <c r="F678" t="s">
        <v>4312</v>
      </c>
      <c r="G678" t="s">
        <v>4236</v>
      </c>
      <c r="H678" t="s">
        <v>478</v>
      </c>
      <c r="I678" t="s">
        <v>204</v>
      </c>
      <c r="J678" s="1">
        <v>46239</v>
      </c>
      <c r="K678" t="s">
        <v>717</v>
      </c>
      <c r="L678">
        <v>55</v>
      </c>
      <c r="M678">
        <v>261.25</v>
      </c>
      <c r="N678" t="s">
        <v>710</v>
      </c>
      <c r="O678" t="s">
        <v>1037</v>
      </c>
      <c r="P678" t="s">
        <v>4790</v>
      </c>
      <c r="Q678" t="s">
        <v>4852</v>
      </c>
      <c r="R678" t="s">
        <v>4772</v>
      </c>
    </row>
    <row r="679" spans="1:18" x14ac:dyDescent="0.3">
      <c r="A679">
        <v>7446</v>
      </c>
      <c r="B679" t="s">
        <v>1035</v>
      </c>
      <c r="C679" t="s">
        <v>230</v>
      </c>
      <c r="D679" t="s">
        <v>85</v>
      </c>
      <c r="E679" s="1">
        <v>46136</v>
      </c>
      <c r="F679" t="s">
        <v>4348</v>
      </c>
      <c r="G679" t="s">
        <v>4248</v>
      </c>
      <c r="H679" t="s">
        <v>229</v>
      </c>
      <c r="I679" t="s">
        <v>204</v>
      </c>
      <c r="J679" s="1">
        <v>46203</v>
      </c>
      <c r="K679" t="s">
        <v>744</v>
      </c>
      <c r="L679">
        <v>20119.8</v>
      </c>
      <c r="M679">
        <v>20119.8</v>
      </c>
      <c r="N679" t="s">
        <v>710</v>
      </c>
      <c r="O679" t="s">
        <v>1033</v>
      </c>
      <c r="P679" t="s">
        <v>4781</v>
      </c>
      <c r="Q679" t="s">
        <v>4852</v>
      </c>
      <c r="R679" t="s">
        <v>4771</v>
      </c>
    </row>
    <row r="680" spans="1:18" x14ac:dyDescent="0.3">
      <c r="A680">
        <v>7445</v>
      </c>
      <c r="B680" t="s">
        <v>1035</v>
      </c>
      <c r="C680" t="s">
        <v>230</v>
      </c>
      <c r="D680" t="s">
        <v>85</v>
      </c>
      <c r="E680" s="1">
        <v>46136</v>
      </c>
      <c r="F680" t="s">
        <v>4348</v>
      </c>
      <c r="G680" t="s">
        <v>4248</v>
      </c>
      <c r="H680" t="s">
        <v>229</v>
      </c>
      <c r="I680" t="s">
        <v>204</v>
      </c>
      <c r="J680" s="1">
        <v>46203</v>
      </c>
      <c r="K680" t="s">
        <v>744</v>
      </c>
      <c r="L680">
        <v>48517.85</v>
      </c>
      <c r="M680">
        <v>48517.85</v>
      </c>
      <c r="N680" t="s">
        <v>710</v>
      </c>
      <c r="O680" t="s">
        <v>1033</v>
      </c>
      <c r="P680" t="s">
        <v>4781</v>
      </c>
      <c r="Q680" t="s">
        <v>4852</v>
      </c>
      <c r="R680" t="s">
        <v>4771</v>
      </c>
    </row>
    <row r="681" spans="1:18" x14ac:dyDescent="0.3">
      <c r="A681">
        <v>357</v>
      </c>
      <c r="B681" t="s">
        <v>1034</v>
      </c>
      <c r="C681" t="s">
        <v>479</v>
      </c>
      <c r="D681" t="s">
        <v>99</v>
      </c>
      <c r="E681" s="1">
        <v>46136</v>
      </c>
      <c r="F681" t="s">
        <v>4372</v>
      </c>
      <c r="G681" t="s">
        <v>4236</v>
      </c>
      <c r="H681" t="s">
        <v>478</v>
      </c>
      <c r="I681" t="s">
        <v>204</v>
      </c>
      <c r="J681" s="1">
        <v>46239</v>
      </c>
      <c r="K681" t="s">
        <v>717</v>
      </c>
      <c r="L681">
        <v>222</v>
      </c>
      <c r="M681">
        <v>1891.44</v>
      </c>
      <c r="N681" t="s">
        <v>710</v>
      </c>
      <c r="O681" t="s">
        <v>1037</v>
      </c>
      <c r="P681" t="s">
        <v>4790</v>
      </c>
      <c r="Q681" t="s">
        <v>4852</v>
      </c>
      <c r="R681" t="s">
        <v>4772</v>
      </c>
    </row>
    <row r="682" spans="1:18" x14ac:dyDescent="0.3">
      <c r="A682">
        <v>357</v>
      </c>
      <c r="B682" t="s">
        <v>1034</v>
      </c>
      <c r="C682" t="s">
        <v>479</v>
      </c>
      <c r="D682" t="s">
        <v>99</v>
      </c>
      <c r="E682" s="1">
        <v>46136</v>
      </c>
      <c r="F682" t="s">
        <v>4329</v>
      </c>
      <c r="G682" t="s">
        <v>4236</v>
      </c>
      <c r="H682" t="s">
        <v>478</v>
      </c>
      <c r="I682" t="s">
        <v>204</v>
      </c>
      <c r="J682" s="1">
        <v>46239</v>
      </c>
      <c r="K682" t="s">
        <v>717</v>
      </c>
      <c r="L682">
        <v>35</v>
      </c>
      <c r="M682">
        <v>395.15</v>
      </c>
      <c r="N682" t="s">
        <v>710</v>
      </c>
      <c r="O682" t="s">
        <v>1037</v>
      </c>
      <c r="P682" t="s">
        <v>4790</v>
      </c>
      <c r="Q682" t="s">
        <v>4852</v>
      </c>
      <c r="R682" t="s">
        <v>4772</v>
      </c>
    </row>
    <row r="683" spans="1:18" x14ac:dyDescent="0.3">
      <c r="A683">
        <v>357</v>
      </c>
      <c r="B683" t="s">
        <v>1034</v>
      </c>
      <c r="C683" t="s">
        <v>479</v>
      </c>
      <c r="D683" t="s">
        <v>99</v>
      </c>
      <c r="E683" s="1">
        <v>46136</v>
      </c>
      <c r="F683" t="s">
        <v>4310</v>
      </c>
      <c r="G683" t="s">
        <v>4236</v>
      </c>
      <c r="H683" t="s">
        <v>478</v>
      </c>
      <c r="I683" t="s">
        <v>204</v>
      </c>
      <c r="J683" s="1">
        <v>46239</v>
      </c>
      <c r="K683" t="s">
        <v>717</v>
      </c>
      <c r="L683">
        <v>23</v>
      </c>
      <c r="M683">
        <v>81.650000000000006</v>
      </c>
      <c r="N683" t="s">
        <v>710</v>
      </c>
      <c r="O683" t="s">
        <v>1037</v>
      </c>
      <c r="P683" t="s">
        <v>4790</v>
      </c>
      <c r="Q683" t="s">
        <v>4852</v>
      </c>
      <c r="R683" t="s">
        <v>4772</v>
      </c>
    </row>
    <row r="684" spans="1:18" x14ac:dyDescent="0.3">
      <c r="A684">
        <v>546166</v>
      </c>
      <c r="B684" t="s">
        <v>1034</v>
      </c>
      <c r="C684" t="s">
        <v>338</v>
      </c>
      <c r="D684" t="s">
        <v>31</v>
      </c>
      <c r="E684" s="1">
        <v>46136</v>
      </c>
      <c r="F684" t="s">
        <v>4299</v>
      </c>
      <c r="G684" t="s">
        <v>4160</v>
      </c>
      <c r="H684" t="s">
        <v>337</v>
      </c>
      <c r="I684" t="s">
        <v>204</v>
      </c>
      <c r="J684" s="1">
        <v>54878</v>
      </c>
      <c r="K684" t="s">
        <v>711</v>
      </c>
      <c r="L684">
        <v>20342</v>
      </c>
      <c r="M684">
        <v>20342.45</v>
      </c>
      <c r="N684" t="s">
        <v>710</v>
      </c>
      <c r="O684" t="s">
        <v>1036</v>
      </c>
      <c r="P684" t="s">
        <v>4785</v>
      </c>
      <c r="Q684" t="s">
        <v>4901</v>
      </c>
      <c r="R684" t="s">
        <v>4773</v>
      </c>
    </row>
    <row r="685" spans="1:18" x14ac:dyDescent="0.3">
      <c r="A685">
        <v>118</v>
      </c>
      <c r="B685" t="s">
        <v>1034</v>
      </c>
      <c r="C685" t="s">
        <v>449</v>
      </c>
      <c r="D685" t="s">
        <v>20</v>
      </c>
      <c r="E685" s="1">
        <v>46136</v>
      </c>
      <c r="F685" t="s">
        <v>4331</v>
      </c>
      <c r="G685" t="s">
        <v>4239</v>
      </c>
      <c r="H685" t="s">
        <v>448</v>
      </c>
      <c r="I685" t="s">
        <v>204</v>
      </c>
      <c r="J685" s="1">
        <v>46219</v>
      </c>
      <c r="K685" t="s">
        <v>717</v>
      </c>
      <c r="L685">
        <v>8008.55</v>
      </c>
      <c r="M685">
        <v>8008.55</v>
      </c>
      <c r="N685" t="s">
        <v>710</v>
      </c>
      <c r="O685" t="s">
        <v>4902</v>
      </c>
      <c r="P685" t="s">
        <v>4776</v>
      </c>
      <c r="Q685" t="s">
        <v>4852</v>
      </c>
      <c r="R685" t="s">
        <v>4771</v>
      </c>
    </row>
    <row r="686" spans="1:18" x14ac:dyDescent="0.3">
      <c r="A686">
        <v>358</v>
      </c>
      <c r="B686" t="s">
        <v>1034</v>
      </c>
      <c r="C686" t="s">
        <v>479</v>
      </c>
      <c r="D686" t="s">
        <v>99</v>
      </c>
      <c r="E686" s="1">
        <v>46136</v>
      </c>
      <c r="F686" t="s">
        <v>4375</v>
      </c>
      <c r="G686" t="s">
        <v>4237</v>
      </c>
      <c r="H686" t="s">
        <v>478</v>
      </c>
      <c r="I686" t="s">
        <v>204</v>
      </c>
      <c r="J686" s="1">
        <v>46239</v>
      </c>
      <c r="K686" t="s">
        <v>717</v>
      </c>
      <c r="L686">
        <v>25</v>
      </c>
      <c r="M686">
        <v>299.5</v>
      </c>
      <c r="N686" t="s">
        <v>710</v>
      </c>
      <c r="O686" t="s">
        <v>1037</v>
      </c>
      <c r="P686" t="s">
        <v>4790</v>
      </c>
      <c r="Q686" t="s">
        <v>4852</v>
      </c>
      <c r="R686" t="s">
        <v>4772</v>
      </c>
    </row>
    <row r="687" spans="1:18" x14ac:dyDescent="0.3">
      <c r="A687">
        <v>357</v>
      </c>
      <c r="B687" t="s">
        <v>1034</v>
      </c>
      <c r="C687" t="s">
        <v>479</v>
      </c>
      <c r="D687" t="s">
        <v>99</v>
      </c>
      <c r="E687" s="1">
        <v>46136</v>
      </c>
      <c r="F687" t="s">
        <v>4308</v>
      </c>
      <c r="G687" t="s">
        <v>4236</v>
      </c>
      <c r="H687" t="s">
        <v>478</v>
      </c>
      <c r="I687" t="s">
        <v>204</v>
      </c>
      <c r="J687" s="1">
        <v>46239</v>
      </c>
      <c r="K687" t="s">
        <v>717</v>
      </c>
      <c r="L687">
        <v>3146</v>
      </c>
      <c r="M687">
        <v>12458.16</v>
      </c>
      <c r="N687" t="s">
        <v>710</v>
      </c>
      <c r="O687" t="s">
        <v>1037</v>
      </c>
      <c r="P687" t="s">
        <v>4790</v>
      </c>
      <c r="Q687" t="s">
        <v>4852</v>
      </c>
      <c r="R687" t="s">
        <v>4772</v>
      </c>
    </row>
    <row r="688" spans="1:18" x14ac:dyDescent="0.3">
      <c r="A688">
        <v>358</v>
      </c>
      <c r="B688" t="s">
        <v>1034</v>
      </c>
      <c r="C688" t="s">
        <v>479</v>
      </c>
      <c r="D688" t="s">
        <v>99</v>
      </c>
      <c r="E688" s="1">
        <v>46136</v>
      </c>
      <c r="F688" t="s">
        <v>4373</v>
      </c>
      <c r="G688" t="s">
        <v>4237</v>
      </c>
      <c r="H688" t="s">
        <v>478</v>
      </c>
      <c r="I688" t="s">
        <v>204</v>
      </c>
      <c r="J688" s="1">
        <v>46239</v>
      </c>
      <c r="K688" t="s">
        <v>717</v>
      </c>
      <c r="L688">
        <v>11</v>
      </c>
      <c r="M688">
        <v>169.62</v>
      </c>
      <c r="N688" t="s">
        <v>710</v>
      </c>
      <c r="O688" t="s">
        <v>1037</v>
      </c>
      <c r="P688" t="s">
        <v>4790</v>
      </c>
      <c r="Q688" t="s">
        <v>4852</v>
      </c>
      <c r="R688" t="s">
        <v>4772</v>
      </c>
    </row>
    <row r="689" spans="1:18" x14ac:dyDescent="0.3">
      <c r="A689">
        <v>2160838</v>
      </c>
      <c r="B689" t="s">
        <v>1034</v>
      </c>
      <c r="C689" t="s">
        <v>668</v>
      </c>
      <c r="D689" t="s">
        <v>84</v>
      </c>
      <c r="E689" s="1">
        <v>46136</v>
      </c>
      <c r="F689" t="s">
        <v>4324</v>
      </c>
      <c r="G689" t="s">
        <v>4175</v>
      </c>
      <c r="H689" t="s">
        <v>671</v>
      </c>
      <c r="I689" t="s">
        <v>204</v>
      </c>
      <c r="J689" s="1">
        <v>46324</v>
      </c>
      <c r="K689" t="s">
        <v>717</v>
      </c>
      <c r="L689">
        <v>166897</v>
      </c>
      <c r="M689">
        <v>166897</v>
      </c>
      <c r="N689" t="s">
        <v>710</v>
      </c>
      <c r="O689" t="s">
        <v>1037</v>
      </c>
      <c r="P689" t="s">
        <v>4799</v>
      </c>
      <c r="Q689" t="s">
        <v>4852</v>
      </c>
      <c r="R689" t="s">
        <v>807</v>
      </c>
    </row>
    <row r="690" spans="1:18" x14ac:dyDescent="0.3">
      <c r="A690">
        <v>2160841</v>
      </c>
      <c r="B690" t="s">
        <v>1034</v>
      </c>
      <c r="C690" t="s">
        <v>668</v>
      </c>
      <c r="D690" t="s">
        <v>84</v>
      </c>
      <c r="E690" s="1">
        <v>46136</v>
      </c>
      <c r="F690" t="s">
        <v>4324</v>
      </c>
      <c r="G690" t="s">
        <v>4177</v>
      </c>
      <c r="H690" t="s">
        <v>671</v>
      </c>
      <c r="I690" t="s">
        <v>204</v>
      </c>
      <c r="J690" s="1">
        <v>46324</v>
      </c>
      <c r="K690" t="s">
        <v>717</v>
      </c>
      <c r="L690">
        <v>7400</v>
      </c>
      <c r="M690">
        <v>7400</v>
      </c>
      <c r="N690" t="s">
        <v>710</v>
      </c>
      <c r="O690" t="s">
        <v>1037</v>
      </c>
      <c r="P690" t="s">
        <v>4799</v>
      </c>
      <c r="Q690" t="s">
        <v>4852</v>
      </c>
      <c r="R690" t="s">
        <v>807</v>
      </c>
    </row>
    <row r="691" spans="1:18" x14ac:dyDescent="0.3">
      <c r="A691">
        <v>357</v>
      </c>
      <c r="B691" t="s">
        <v>1034</v>
      </c>
      <c r="C691" t="s">
        <v>479</v>
      </c>
      <c r="D691" t="s">
        <v>99</v>
      </c>
      <c r="E691" s="1">
        <v>46136</v>
      </c>
      <c r="F691" t="s">
        <v>4307</v>
      </c>
      <c r="G691" t="s">
        <v>4236</v>
      </c>
      <c r="H691" t="s">
        <v>478</v>
      </c>
      <c r="I691" t="s">
        <v>204</v>
      </c>
      <c r="J691" s="1">
        <v>46239</v>
      </c>
      <c r="K691" t="s">
        <v>717</v>
      </c>
      <c r="L691">
        <v>4789</v>
      </c>
      <c r="M691">
        <v>58473.69</v>
      </c>
      <c r="N691" t="s">
        <v>710</v>
      </c>
      <c r="O691" t="s">
        <v>1037</v>
      </c>
      <c r="P691" t="s">
        <v>4790</v>
      </c>
      <c r="Q691" t="s">
        <v>4852</v>
      </c>
      <c r="R691" t="s">
        <v>4772</v>
      </c>
    </row>
    <row r="692" spans="1:18" x14ac:dyDescent="0.3">
      <c r="A692">
        <v>358</v>
      </c>
      <c r="B692" t="s">
        <v>1034</v>
      </c>
      <c r="C692" t="s">
        <v>479</v>
      </c>
      <c r="D692" t="s">
        <v>99</v>
      </c>
      <c r="E692" s="1">
        <v>46136</v>
      </c>
      <c r="F692" t="s">
        <v>4376</v>
      </c>
      <c r="G692" t="s">
        <v>4237</v>
      </c>
      <c r="H692" t="s">
        <v>478</v>
      </c>
      <c r="I692" t="s">
        <v>204</v>
      </c>
      <c r="J692" s="1">
        <v>46239</v>
      </c>
      <c r="K692" t="s">
        <v>717</v>
      </c>
      <c r="L692">
        <v>8</v>
      </c>
      <c r="M692">
        <v>95.84</v>
      </c>
      <c r="N692" t="s">
        <v>710</v>
      </c>
      <c r="O692" t="s">
        <v>1037</v>
      </c>
      <c r="P692" t="s">
        <v>4790</v>
      </c>
      <c r="Q692" t="s">
        <v>4852</v>
      </c>
      <c r="R692" t="s">
        <v>4772</v>
      </c>
    </row>
    <row r="693" spans="1:18" x14ac:dyDescent="0.3">
      <c r="A693">
        <v>2160761</v>
      </c>
      <c r="B693" t="s">
        <v>4875</v>
      </c>
      <c r="C693" t="s">
        <v>668</v>
      </c>
      <c r="D693" t="s">
        <v>84</v>
      </c>
      <c r="E693" s="1">
        <v>46136</v>
      </c>
      <c r="F693" t="s">
        <v>4324</v>
      </c>
      <c r="G693" t="s">
        <v>4172</v>
      </c>
      <c r="H693" t="s">
        <v>670</v>
      </c>
      <c r="I693" t="s">
        <v>204</v>
      </c>
      <c r="J693" s="1">
        <v>46677</v>
      </c>
      <c r="K693" t="s">
        <v>768</v>
      </c>
      <c r="L693">
        <v>48530</v>
      </c>
      <c r="M693">
        <v>48530</v>
      </c>
      <c r="N693" t="s">
        <v>1000</v>
      </c>
      <c r="O693" t="s">
        <v>1037</v>
      </c>
      <c r="P693" t="s">
        <v>4799</v>
      </c>
      <c r="Q693" t="s">
        <v>4852</v>
      </c>
      <c r="R693" t="s">
        <v>807</v>
      </c>
    </row>
    <row r="694" spans="1:18" x14ac:dyDescent="0.3">
      <c r="A694">
        <v>32848</v>
      </c>
      <c r="B694" t="s">
        <v>4874</v>
      </c>
      <c r="C694" t="s">
        <v>592</v>
      </c>
      <c r="D694" t="s">
        <v>8</v>
      </c>
      <c r="E694" s="1">
        <v>46136</v>
      </c>
      <c r="F694" t="s">
        <v>4363</v>
      </c>
      <c r="G694" t="s">
        <v>4221</v>
      </c>
      <c r="H694" t="s">
        <v>683</v>
      </c>
      <c r="I694" t="s">
        <v>204</v>
      </c>
      <c r="J694" s="1">
        <v>46387</v>
      </c>
      <c r="K694" t="s">
        <v>762</v>
      </c>
      <c r="L694">
        <v>3.22</v>
      </c>
      <c r="M694">
        <v>3.22</v>
      </c>
      <c r="N694" t="s">
        <v>890</v>
      </c>
      <c r="O694" t="s">
        <v>4833</v>
      </c>
      <c r="P694" t="s">
        <v>950</v>
      </c>
      <c r="Q694" t="s">
        <v>4852</v>
      </c>
      <c r="R694" t="s">
        <v>807</v>
      </c>
    </row>
    <row r="695" spans="1:18" x14ac:dyDescent="0.3">
      <c r="A695">
        <v>32846</v>
      </c>
      <c r="B695" t="s">
        <v>4874</v>
      </c>
      <c r="C695" t="s">
        <v>592</v>
      </c>
      <c r="D695" t="s">
        <v>8</v>
      </c>
      <c r="E695" s="1">
        <v>46136</v>
      </c>
      <c r="F695" t="s">
        <v>4363</v>
      </c>
      <c r="G695" t="s">
        <v>4221</v>
      </c>
      <c r="H695" t="s">
        <v>683</v>
      </c>
      <c r="I695" t="s">
        <v>204</v>
      </c>
      <c r="J695" s="1">
        <v>46387</v>
      </c>
      <c r="K695" t="s">
        <v>762</v>
      </c>
      <c r="L695">
        <v>750.24</v>
      </c>
      <c r="M695">
        <v>750.24</v>
      </c>
      <c r="N695" t="s">
        <v>890</v>
      </c>
      <c r="O695" t="s">
        <v>4833</v>
      </c>
      <c r="P695" t="s">
        <v>950</v>
      </c>
      <c r="Q695" t="s">
        <v>4852</v>
      </c>
      <c r="R695" t="s">
        <v>807</v>
      </c>
    </row>
    <row r="696" spans="1:18" x14ac:dyDescent="0.3">
      <c r="A696">
        <v>156</v>
      </c>
      <c r="B696" t="s">
        <v>4874</v>
      </c>
      <c r="C696" t="s">
        <v>607</v>
      </c>
      <c r="D696" t="s">
        <v>81</v>
      </c>
      <c r="E696" s="1">
        <v>46136</v>
      </c>
      <c r="F696" t="s">
        <v>4357</v>
      </c>
      <c r="G696" t="s">
        <v>4099</v>
      </c>
      <c r="H696" t="s">
        <v>606</v>
      </c>
      <c r="I696" t="s">
        <v>204</v>
      </c>
      <c r="J696" s="1">
        <v>46387</v>
      </c>
      <c r="K696" t="s">
        <v>720</v>
      </c>
      <c r="L696">
        <v>32299.11</v>
      </c>
      <c r="M696">
        <v>32299.11</v>
      </c>
      <c r="N696" t="s">
        <v>710</v>
      </c>
      <c r="O696" t="s">
        <v>1038</v>
      </c>
      <c r="P696" t="s">
        <v>4777</v>
      </c>
      <c r="Q696" t="s">
        <v>4858</v>
      </c>
      <c r="R696" t="s">
        <v>4773</v>
      </c>
    </row>
    <row r="697" spans="1:18" x14ac:dyDescent="0.3">
      <c r="A697">
        <v>398</v>
      </c>
      <c r="B697" t="s">
        <v>4874</v>
      </c>
      <c r="C697" t="s">
        <v>575</v>
      </c>
      <c r="D697" t="s">
        <v>174</v>
      </c>
      <c r="E697" s="1">
        <v>46136</v>
      </c>
      <c r="F697" t="s">
        <v>4428</v>
      </c>
      <c r="G697" t="s">
        <v>4223</v>
      </c>
      <c r="H697" t="s">
        <v>574</v>
      </c>
      <c r="I697" t="s">
        <v>204</v>
      </c>
      <c r="J697" s="1">
        <v>46203</v>
      </c>
      <c r="K697" t="s">
        <v>720</v>
      </c>
      <c r="L697">
        <v>26428.33</v>
      </c>
      <c r="M697">
        <v>26428.33</v>
      </c>
      <c r="N697" t="s">
        <v>890</v>
      </c>
      <c r="O697" t="s">
        <v>1039</v>
      </c>
      <c r="P697" t="s">
        <v>4776</v>
      </c>
      <c r="Q697" t="s">
        <v>4858</v>
      </c>
      <c r="R697" t="s">
        <v>4771</v>
      </c>
    </row>
    <row r="698" spans="1:18" x14ac:dyDescent="0.3">
      <c r="A698">
        <v>171746</v>
      </c>
      <c r="B698" t="s">
        <v>4874</v>
      </c>
      <c r="C698" t="s">
        <v>301</v>
      </c>
      <c r="D698" t="s">
        <v>23</v>
      </c>
      <c r="E698" s="1">
        <v>46135</v>
      </c>
      <c r="F698" t="s">
        <v>4321</v>
      </c>
      <c r="G698" t="s">
        <v>4125</v>
      </c>
      <c r="H698" t="s">
        <v>300</v>
      </c>
      <c r="I698" t="s">
        <v>204</v>
      </c>
      <c r="J698" s="1">
        <v>46418</v>
      </c>
      <c r="K698" t="s">
        <v>720</v>
      </c>
      <c r="L698">
        <v>1</v>
      </c>
      <c r="M698">
        <v>5208.8900000000003</v>
      </c>
      <c r="N698" t="s">
        <v>710</v>
      </c>
      <c r="O698" t="s">
        <v>1038</v>
      </c>
      <c r="P698" t="s">
        <v>4782</v>
      </c>
      <c r="Q698" t="s">
        <v>4858</v>
      </c>
      <c r="R698" t="s">
        <v>4773</v>
      </c>
    </row>
    <row r="699" spans="1:18" x14ac:dyDescent="0.3">
      <c r="A699">
        <v>10985</v>
      </c>
      <c r="B699" t="s">
        <v>4874</v>
      </c>
      <c r="C699" t="s">
        <v>546</v>
      </c>
      <c r="D699" t="s">
        <v>75</v>
      </c>
      <c r="E699" s="1">
        <v>46135</v>
      </c>
      <c r="F699" t="s">
        <v>4355</v>
      </c>
      <c r="G699" t="s">
        <v>4123</v>
      </c>
      <c r="H699" t="s">
        <v>581</v>
      </c>
      <c r="I699" t="s">
        <v>204</v>
      </c>
      <c r="J699" s="1">
        <v>46233</v>
      </c>
      <c r="K699" t="s">
        <v>720</v>
      </c>
      <c r="L699">
        <v>3650</v>
      </c>
      <c r="M699">
        <v>3650</v>
      </c>
      <c r="N699" t="s">
        <v>814</v>
      </c>
      <c r="O699" t="s">
        <v>1038</v>
      </c>
      <c r="P699" t="s">
        <v>4779</v>
      </c>
      <c r="Q699" t="s">
        <v>4858</v>
      </c>
      <c r="R699" t="s">
        <v>4773</v>
      </c>
    </row>
    <row r="700" spans="1:18" x14ac:dyDescent="0.3">
      <c r="A700">
        <v>7525</v>
      </c>
      <c r="B700" t="s">
        <v>1035</v>
      </c>
      <c r="C700" t="s">
        <v>230</v>
      </c>
      <c r="D700" t="s">
        <v>85</v>
      </c>
      <c r="E700" s="1">
        <v>46135</v>
      </c>
      <c r="F700" t="s">
        <v>4348</v>
      </c>
      <c r="G700" t="s">
        <v>4176</v>
      </c>
      <c r="H700" t="s">
        <v>229</v>
      </c>
      <c r="I700" t="s">
        <v>204</v>
      </c>
      <c r="J700" s="1">
        <v>46203</v>
      </c>
      <c r="K700" t="s">
        <v>744</v>
      </c>
      <c r="L700">
        <v>7582.02</v>
      </c>
      <c r="M700">
        <v>7582.02</v>
      </c>
      <c r="N700" t="s">
        <v>710</v>
      </c>
      <c r="O700" t="s">
        <v>1033</v>
      </c>
      <c r="P700" t="s">
        <v>4781</v>
      </c>
      <c r="Q700" t="s">
        <v>4852</v>
      </c>
      <c r="R700" t="s">
        <v>4771</v>
      </c>
    </row>
    <row r="701" spans="1:18" x14ac:dyDescent="0.3">
      <c r="A701">
        <v>7516</v>
      </c>
      <c r="B701" t="s">
        <v>1035</v>
      </c>
      <c r="C701" t="s">
        <v>230</v>
      </c>
      <c r="D701" t="s">
        <v>85</v>
      </c>
      <c r="E701" s="1">
        <v>46135</v>
      </c>
      <c r="F701" t="s">
        <v>4421</v>
      </c>
      <c r="G701" t="s">
        <v>4202</v>
      </c>
      <c r="H701" t="s">
        <v>229</v>
      </c>
      <c r="I701" t="s">
        <v>204</v>
      </c>
      <c r="J701" s="1">
        <v>46203</v>
      </c>
      <c r="K701" t="s">
        <v>744</v>
      </c>
      <c r="L701">
        <v>4089.16</v>
      </c>
      <c r="M701">
        <v>4089.16</v>
      </c>
      <c r="N701" t="s">
        <v>710</v>
      </c>
      <c r="O701" t="s">
        <v>1033</v>
      </c>
      <c r="P701" t="s">
        <v>4781</v>
      </c>
      <c r="Q701" t="s">
        <v>4852</v>
      </c>
      <c r="R701" t="s">
        <v>4771</v>
      </c>
    </row>
    <row r="702" spans="1:18" x14ac:dyDescent="0.3">
      <c r="A702">
        <v>7505</v>
      </c>
      <c r="B702" t="s">
        <v>1035</v>
      </c>
      <c r="C702" t="s">
        <v>230</v>
      </c>
      <c r="D702" t="s">
        <v>85</v>
      </c>
      <c r="E702" s="1">
        <v>46135</v>
      </c>
      <c r="F702" t="s">
        <v>4421</v>
      </c>
      <c r="G702" t="s">
        <v>4202</v>
      </c>
      <c r="H702" t="s">
        <v>229</v>
      </c>
      <c r="I702" t="s">
        <v>204</v>
      </c>
      <c r="J702" s="1">
        <v>46203</v>
      </c>
      <c r="K702" t="s">
        <v>744</v>
      </c>
      <c r="L702">
        <v>5456.94</v>
      </c>
      <c r="M702">
        <v>5456.94</v>
      </c>
      <c r="N702" t="s">
        <v>710</v>
      </c>
      <c r="O702" t="s">
        <v>1033</v>
      </c>
      <c r="P702" t="s">
        <v>4781</v>
      </c>
      <c r="Q702" t="s">
        <v>4852</v>
      </c>
      <c r="R702" t="s">
        <v>4771</v>
      </c>
    </row>
    <row r="703" spans="1:18" x14ac:dyDescent="0.3">
      <c r="A703">
        <v>7515</v>
      </c>
      <c r="B703" t="s">
        <v>1035</v>
      </c>
      <c r="C703" t="s">
        <v>230</v>
      </c>
      <c r="D703" t="s">
        <v>85</v>
      </c>
      <c r="E703" s="1">
        <v>46135</v>
      </c>
      <c r="F703" t="s">
        <v>4348</v>
      </c>
      <c r="G703" t="s">
        <v>4202</v>
      </c>
      <c r="H703" t="s">
        <v>229</v>
      </c>
      <c r="I703" t="s">
        <v>204</v>
      </c>
      <c r="J703" s="1">
        <v>46203</v>
      </c>
      <c r="K703" t="s">
        <v>744</v>
      </c>
      <c r="L703">
        <v>9503.19</v>
      </c>
      <c r="M703">
        <v>9503.19</v>
      </c>
      <c r="N703" t="s">
        <v>710</v>
      </c>
      <c r="O703" t="s">
        <v>1033</v>
      </c>
      <c r="P703" t="s">
        <v>4781</v>
      </c>
      <c r="Q703" t="s">
        <v>4852</v>
      </c>
      <c r="R703" t="s">
        <v>4771</v>
      </c>
    </row>
    <row r="704" spans="1:18" x14ac:dyDescent="0.3">
      <c r="A704">
        <v>7504</v>
      </c>
      <c r="B704" t="s">
        <v>1035</v>
      </c>
      <c r="C704" t="s">
        <v>230</v>
      </c>
      <c r="D704" t="s">
        <v>85</v>
      </c>
      <c r="E704" s="1">
        <v>46135</v>
      </c>
      <c r="F704" t="s">
        <v>4348</v>
      </c>
      <c r="G704" t="s">
        <v>4202</v>
      </c>
      <c r="H704" t="s">
        <v>229</v>
      </c>
      <c r="I704" t="s">
        <v>204</v>
      </c>
      <c r="J704" s="1">
        <v>46203</v>
      </c>
      <c r="K704" t="s">
        <v>744</v>
      </c>
      <c r="L704">
        <v>12110.4</v>
      </c>
      <c r="M704">
        <v>12110.4</v>
      </c>
      <c r="N704" t="s">
        <v>710</v>
      </c>
      <c r="O704" t="s">
        <v>1033</v>
      </c>
      <c r="P704" t="s">
        <v>4781</v>
      </c>
      <c r="Q704" t="s">
        <v>4852</v>
      </c>
      <c r="R704" t="s">
        <v>4771</v>
      </c>
    </row>
    <row r="705" spans="1:18" x14ac:dyDescent="0.3">
      <c r="A705">
        <v>7469</v>
      </c>
      <c r="B705" t="s">
        <v>1035</v>
      </c>
      <c r="C705" t="s">
        <v>230</v>
      </c>
      <c r="D705" t="s">
        <v>85</v>
      </c>
      <c r="E705" s="1">
        <v>46135</v>
      </c>
      <c r="F705" t="s">
        <v>4348</v>
      </c>
      <c r="G705" t="s">
        <v>4212</v>
      </c>
      <c r="H705" t="s">
        <v>229</v>
      </c>
      <c r="I705" t="s">
        <v>204</v>
      </c>
      <c r="J705" s="1">
        <v>46203</v>
      </c>
      <c r="K705" t="s">
        <v>744</v>
      </c>
      <c r="L705">
        <v>9503.19</v>
      </c>
      <c r="M705">
        <v>9503.19</v>
      </c>
      <c r="N705" t="s">
        <v>710</v>
      </c>
      <c r="O705" t="s">
        <v>1033</v>
      </c>
      <c r="P705" t="s">
        <v>4781</v>
      </c>
      <c r="Q705" t="s">
        <v>4852</v>
      </c>
      <c r="R705" t="s">
        <v>4771</v>
      </c>
    </row>
    <row r="706" spans="1:18" x14ac:dyDescent="0.3">
      <c r="A706">
        <v>7458</v>
      </c>
      <c r="B706" t="s">
        <v>1035</v>
      </c>
      <c r="C706" t="s">
        <v>230</v>
      </c>
      <c r="D706" t="s">
        <v>85</v>
      </c>
      <c r="E706" s="1">
        <v>46135</v>
      </c>
      <c r="F706" t="s">
        <v>4348</v>
      </c>
      <c r="G706" t="s">
        <v>4212</v>
      </c>
      <c r="H706" t="s">
        <v>229</v>
      </c>
      <c r="I706" t="s">
        <v>204</v>
      </c>
      <c r="J706" s="1">
        <v>46203</v>
      </c>
      <c r="K706" t="s">
        <v>744</v>
      </c>
      <c r="L706">
        <v>12110.4</v>
      </c>
      <c r="M706">
        <v>12110.4</v>
      </c>
      <c r="N706" t="s">
        <v>710</v>
      </c>
      <c r="O706" t="s">
        <v>1033</v>
      </c>
      <c r="P706" t="s">
        <v>4781</v>
      </c>
      <c r="Q706" t="s">
        <v>4852</v>
      </c>
      <c r="R706" t="s">
        <v>4771</v>
      </c>
    </row>
    <row r="707" spans="1:18" x14ac:dyDescent="0.3">
      <c r="A707">
        <v>169</v>
      </c>
      <c r="B707" t="s">
        <v>1034</v>
      </c>
      <c r="C707" t="s">
        <v>552</v>
      </c>
      <c r="D707" t="s">
        <v>190</v>
      </c>
      <c r="E707" s="1">
        <v>46135</v>
      </c>
      <c r="F707" t="s">
        <v>4339</v>
      </c>
      <c r="G707" t="s">
        <v>4229</v>
      </c>
      <c r="H707" t="s">
        <v>583</v>
      </c>
      <c r="I707" t="s">
        <v>204</v>
      </c>
      <c r="J707" s="1">
        <v>46441</v>
      </c>
      <c r="K707" t="s">
        <v>717</v>
      </c>
      <c r="L707">
        <v>14109.75</v>
      </c>
      <c r="M707">
        <v>14109.75</v>
      </c>
      <c r="N707" t="s">
        <v>710</v>
      </c>
      <c r="O707" t="s">
        <v>4904</v>
      </c>
      <c r="P707" t="s">
        <v>4792</v>
      </c>
      <c r="Q707" t="s">
        <v>4904</v>
      </c>
      <c r="R707" t="s">
        <v>4772</v>
      </c>
    </row>
    <row r="708" spans="1:18" x14ac:dyDescent="0.3">
      <c r="A708">
        <v>220</v>
      </c>
      <c r="B708" t="s">
        <v>4874</v>
      </c>
      <c r="C708" t="s">
        <v>565</v>
      </c>
      <c r="D708" t="s">
        <v>113</v>
      </c>
      <c r="E708" s="1">
        <v>46135</v>
      </c>
      <c r="F708" t="s">
        <v>4390</v>
      </c>
      <c r="G708" t="s">
        <v>4206</v>
      </c>
      <c r="H708" t="s">
        <v>564</v>
      </c>
      <c r="I708" t="s">
        <v>204</v>
      </c>
      <c r="J708" s="1">
        <v>46386</v>
      </c>
      <c r="K708" t="s">
        <v>720</v>
      </c>
      <c r="L708">
        <v>5200</v>
      </c>
      <c r="M708">
        <v>5200</v>
      </c>
      <c r="N708" t="s">
        <v>710</v>
      </c>
      <c r="O708" t="s">
        <v>1038</v>
      </c>
      <c r="P708" t="s">
        <v>4777</v>
      </c>
      <c r="Q708" t="s">
        <v>4858</v>
      </c>
      <c r="R708" t="s">
        <v>4771</v>
      </c>
    </row>
    <row r="709" spans="1:18" x14ac:dyDescent="0.3">
      <c r="A709">
        <v>168</v>
      </c>
      <c r="B709" t="s">
        <v>1034</v>
      </c>
      <c r="C709" t="s">
        <v>552</v>
      </c>
      <c r="D709" t="s">
        <v>190</v>
      </c>
      <c r="E709" s="1">
        <v>46135</v>
      </c>
      <c r="F709" t="s">
        <v>4339</v>
      </c>
      <c r="G709" t="s">
        <v>4148</v>
      </c>
      <c r="H709" t="s">
        <v>583</v>
      </c>
      <c r="I709" t="s">
        <v>204</v>
      </c>
      <c r="J709" s="1">
        <v>46441</v>
      </c>
      <c r="K709" t="s">
        <v>717</v>
      </c>
      <c r="L709">
        <v>68955.289999999994</v>
      </c>
      <c r="M709">
        <v>68955.289999999994</v>
      </c>
      <c r="N709" t="s">
        <v>710</v>
      </c>
      <c r="O709" t="s">
        <v>4904</v>
      </c>
      <c r="P709" t="s">
        <v>4792</v>
      </c>
      <c r="Q709" t="s">
        <v>4904</v>
      </c>
      <c r="R709" t="s">
        <v>4772</v>
      </c>
    </row>
    <row r="710" spans="1:18" x14ac:dyDescent="0.3">
      <c r="A710">
        <v>735</v>
      </c>
      <c r="B710" t="s">
        <v>1034</v>
      </c>
      <c r="C710" t="s">
        <v>550</v>
      </c>
      <c r="D710" t="s">
        <v>189</v>
      </c>
      <c r="E710" s="1">
        <v>46135</v>
      </c>
      <c r="F710" t="s">
        <v>4338</v>
      </c>
      <c r="G710" t="s">
        <v>4116</v>
      </c>
      <c r="H710" t="s">
        <v>582</v>
      </c>
      <c r="I710" t="s">
        <v>204</v>
      </c>
      <c r="J710" s="1">
        <v>46599</v>
      </c>
      <c r="K710" t="s">
        <v>717</v>
      </c>
      <c r="L710">
        <v>27301.11</v>
      </c>
      <c r="M710">
        <v>27301.11</v>
      </c>
      <c r="N710" t="s">
        <v>710</v>
      </c>
      <c r="O710" t="s">
        <v>4904</v>
      </c>
      <c r="P710" t="s">
        <v>4792</v>
      </c>
      <c r="Q710" t="s">
        <v>4904</v>
      </c>
      <c r="R710" t="s">
        <v>4772</v>
      </c>
    </row>
    <row r="711" spans="1:18" x14ac:dyDescent="0.3">
      <c r="A711">
        <v>6</v>
      </c>
      <c r="B711" t="s">
        <v>1034</v>
      </c>
      <c r="C711" t="s">
        <v>686</v>
      </c>
      <c r="D711" t="s">
        <v>116</v>
      </c>
      <c r="E711" s="1">
        <v>46135</v>
      </c>
      <c r="F711" t="s">
        <v>4385</v>
      </c>
      <c r="G711" t="s">
        <v>4226</v>
      </c>
      <c r="H711" t="s">
        <v>685</v>
      </c>
      <c r="I711" t="s">
        <v>204</v>
      </c>
      <c r="J711" s="1">
        <v>46418</v>
      </c>
      <c r="K711" t="s">
        <v>717</v>
      </c>
      <c r="L711">
        <v>58</v>
      </c>
      <c r="M711">
        <v>1450</v>
      </c>
      <c r="N711" t="s">
        <v>818</v>
      </c>
      <c r="O711" t="s">
        <v>1037</v>
      </c>
      <c r="P711" t="s">
        <v>4801</v>
      </c>
      <c r="Q711" t="s">
        <v>4852</v>
      </c>
      <c r="R711" t="s">
        <v>807</v>
      </c>
    </row>
    <row r="712" spans="1:18" x14ac:dyDescent="0.3">
      <c r="A712">
        <v>868</v>
      </c>
      <c r="B712" t="s">
        <v>1034</v>
      </c>
      <c r="C712" t="s">
        <v>550</v>
      </c>
      <c r="D712" t="s">
        <v>189</v>
      </c>
      <c r="E712" s="1">
        <v>46135</v>
      </c>
      <c r="F712" t="s">
        <v>4338</v>
      </c>
      <c r="G712" t="s">
        <v>4147</v>
      </c>
      <c r="H712" t="s">
        <v>582</v>
      </c>
      <c r="I712" t="s">
        <v>204</v>
      </c>
      <c r="J712" s="1">
        <v>46599</v>
      </c>
      <c r="K712" t="s">
        <v>717</v>
      </c>
      <c r="L712">
        <v>9337</v>
      </c>
      <c r="M712">
        <v>9337</v>
      </c>
      <c r="N712" t="s">
        <v>710</v>
      </c>
      <c r="O712" t="s">
        <v>4904</v>
      </c>
      <c r="P712" t="s">
        <v>4792</v>
      </c>
      <c r="Q712" t="s">
        <v>4904</v>
      </c>
      <c r="R712" t="s">
        <v>4772</v>
      </c>
    </row>
    <row r="713" spans="1:18" x14ac:dyDescent="0.3">
      <c r="A713">
        <v>2481</v>
      </c>
      <c r="B713" t="s">
        <v>1034</v>
      </c>
      <c r="C713" t="s">
        <v>616</v>
      </c>
      <c r="D713" t="s">
        <v>152</v>
      </c>
      <c r="E713" s="1">
        <v>46135</v>
      </c>
      <c r="F713" t="s">
        <v>4338</v>
      </c>
      <c r="G713" t="s">
        <v>4165</v>
      </c>
      <c r="H713" t="s">
        <v>621</v>
      </c>
      <c r="I713" t="s">
        <v>204</v>
      </c>
      <c r="J713" s="1">
        <v>46349</v>
      </c>
      <c r="K713" t="s">
        <v>711</v>
      </c>
      <c r="L713">
        <v>67259.55</v>
      </c>
      <c r="M713">
        <v>67259.55</v>
      </c>
      <c r="N713" t="s">
        <v>710</v>
      </c>
      <c r="O713" t="s">
        <v>4904</v>
      </c>
      <c r="P713" t="s">
        <v>4796</v>
      </c>
      <c r="Q713" t="s">
        <v>4901</v>
      </c>
      <c r="R713" t="s">
        <v>4772</v>
      </c>
    </row>
    <row r="714" spans="1:18" x14ac:dyDescent="0.3">
      <c r="A714">
        <v>879</v>
      </c>
      <c r="B714" t="s">
        <v>1034</v>
      </c>
      <c r="C714" t="s">
        <v>550</v>
      </c>
      <c r="D714" t="s">
        <v>189</v>
      </c>
      <c r="E714" s="1">
        <v>46135</v>
      </c>
      <c r="F714" t="s">
        <v>4338</v>
      </c>
      <c r="G714" t="s">
        <v>4144</v>
      </c>
      <c r="H714" t="s">
        <v>582</v>
      </c>
      <c r="I714" t="s">
        <v>204</v>
      </c>
      <c r="J714" s="1">
        <v>46599</v>
      </c>
      <c r="K714" t="s">
        <v>717</v>
      </c>
      <c r="L714">
        <v>30413.439999999999</v>
      </c>
      <c r="M714">
        <v>30413.439999999999</v>
      </c>
      <c r="N714" t="s">
        <v>710</v>
      </c>
      <c r="O714" t="s">
        <v>4904</v>
      </c>
      <c r="P714" t="s">
        <v>4792</v>
      </c>
      <c r="Q714" t="s">
        <v>4904</v>
      </c>
      <c r="R714" t="s">
        <v>4772</v>
      </c>
    </row>
    <row r="715" spans="1:18" x14ac:dyDescent="0.3">
      <c r="A715">
        <v>170527</v>
      </c>
      <c r="B715" t="s">
        <v>1034</v>
      </c>
      <c r="C715" t="s">
        <v>376</v>
      </c>
      <c r="D715" t="s">
        <v>35</v>
      </c>
      <c r="E715" s="1">
        <v>46135</v>
      </c>
      <c r="F715" t="s">
        <v>4324</v>
      </c>
      <c r="G715" t="s">
        <v>3055</v>
      </c>
      <c r="H715" t="s">
        <v>375</v>
      </c>
      <c r="I715" t="s">
        <v>209</v>
      </c>
      <c r="J715" s="1">
        <v>54878</v>
      </c>
      <c r="K715" t="s">
        <v>717</v>
      </c>
      <c r="L715">
        <v>137.66</v>
      </c>
      <c r="M715">
        <v>137.66</v>
      </c>
      <c r="N715" t="s">
        <v>710</v>
      </c>
      <c r="O715" t="s">
        <v>1037</v>
      </c>
      <c r="P715" t="s">
        <v>4807</v>
      </c>
      <c r="Q715" t="s">
        <v>4852</v>
      </c>
      <c r="R715" t="s">
        <v>4771</v>
      </c>
    </row>
    <row r="716" spans="1:18" x14ac:dyDescent="0.3">
      <c r="A716">
        <v>2118</v>
      </c>
      <c r="B716" t="s">
        <v>1034</v>
      </c>
      <c r="C716" t="s">
        <v>203</v>
      </c>
      <c r="D716" t="s">
        <v>118</v>
      </c>
      <c r="E716" s="1">
        <v>46135</v>
      </c>
      <c r="F716" t="s">
        <v>4353</v>
      </c>
      <c r="G716" t="s">
        <v>4106</v>
      </c>
      <c r="H716" t="s">
        <v>202</v>
      </c>
      <c r="I716" t="s">
        <v>204</v>
      </c>
      <c r="J716" s="1">
        <v>46387</v>
      </c>
      <c r="K716" t="s">
        <v>717</v>
      </c>
      <c r="L716">
        <v>45.96</v>
      </c>
      <c r="M716">
        <v>45.96</v>
      </c>
      <c r="N716" t="s">
        <v>710</v>
      </c>
      <c r="O716" t="s">
        <v>1037</v>
      </c>
      <c r="P716" t="s">
        <v>4776</v>
      </c>
      <c r="Q716" t="s">
        <v>4852</v>
      </c>
      <c r="R716" t="s">
        <v>4772</v>
      </c>
    </row>
    <row r="717" spans="1:18" x14ac:dyDescent="0.3">
      <c r="A717">
        <v>2433</v>
      </c>
      <c r="B717" t="s">
        <v>4874</v>
      </c>
      <c r="C717" t="s">
        <v>616</v>
      </c>
      <c r="D717" t="s">
        <v>152</v>
      </c>
      <c r="E717" s="1">
        <v>46135</v>
      </c>
      <c r="F717" t="s">
        <v>4338</v>
      </c>
      <c r="G717" t="s">
        <v>4063</v>
      </c>
      <c r="H717" t="s">
        <v>615</v>
      </c>
      <c r="I717" t="s">
        <v>204</v>
      </c>
      <c r="J717" s="1">
        <v>46327</v>
      </c>
      <c r="K717" t="s">
        <v>720</v>
      </c>
      <c r="L717">
        <v>92282.94</v>
      </c>
      <c r="M717">
        <v>92282.94</v>
      </c>
      <c r="N717" t="s">
        <v>710</v>
      </c>
      <c r="O717" t="s">
        <v>4834</v>
      </c>
      <c r="P717" t="s">
        <v>4776</v>
      </c>
      <c r="Q717" t="s">
        <v>4858</v>
      </c>
      <c r="R717" t="s">
        <v>4772</v>
      </c>
    </row>
    <row r="718" spans="1:18" x14ac:dyDescent="0.3">
      <c r="A718">
        <v>10983</v>
      </c>
      <c r="B718" t="s">
        <v>4874</v>
      </c>
      <c r="C718" t="s">
        <v>546</v>
      </c>
      <c r="D718" t="s">
        <v>75</v>
      </c>
      <c r="E718" s="1">
        <v>46135</v>
      </c>
      <c r="F718" t="s">
        <v>4355</v>
      </c>
      <c r="G718" t="s">
        <v>4123</v>
      </c>
      <c r="H718" t="s">
        <v>581</v>
      </c>
      <c r="I718" t="s">
        <v>204</v>
      </c>
      <c r="J718" s="1">
        <v>46233</v>
      </c>
      <c r="K718" t="s">
        <v>720</v>
      </c>
      <c r="L718">
        <v>3090.55</v>
      </c>
      <c r="M718">
        <v>3090.55</v>
      </c>
      <c r="N718" t="s">
        <v>814</v>
      </c>
      <c r="O718" t="s">
        <v>1038</v>
      </c>
      <c r="P718" t="s">
        <v>4779</v>
      </c>
      <c r="Q718" t="s">
        <v>4858</v>
      </c>
      <c r="R718" t="s">
        <v>4773</v>
      </c>
    </row>
    <row r="719" spans="1:18" x14ac:dyDescent="0.3">
      <c r="A719">
        <v>167230</v>
      </c>
      <c r="B719" t="s">
        <v>4874</v>
      </c>
      <c r="C719" t="s">
        <v>214</v>
      </c>
      <c r="D719" t="s">
        <v>94</v>
      </c>
      <c r="E719" s="1">
        <v>46135</v>
      </c>
      <c r="F719" t="s">
        <v>4295</v>
      </c>
      <c r="G719" t="s">
        <v>4225</v>
      </c>
      <c r="H719" t="s">
        <v>213</v>
      </c>
      <c r="I719" t="s">
        <v>204</v>
      </c>
      <c r="J719" s="1">
        <v>46309</v>
      </c>
      <c r="K719" t="s">
        <v>720</v>
      </c>
      <c r="L719">
        <v>17028.240000000002</v>
      </c>
      <c r="M719">
        <v>17028.240000000002</v>
      </c>
      <c r="N719" t="s">
        <v>710</v>
      </c>
      <c r="O719" t="s">
        <v>4834</v>
      </c>
      <c r="P719" t="s">
        <v>4776</v>
      </c>
      <c r="Q719" t="s">
        <v>4858</v>
      </c>
      <c r="R719" t="s">
        <v>4772</v>
      </c>
    </row>
    <row r="720" spans="1:18" x14ac:dyDescent="0.3">
      <c r="A720">
        <v>875</v>
      </c>
      <c r="B720" t="s">
        <v>4875</v>
      </c>
      <c r="C720" t="s">
        <v>550</v>
      </c>
      <c r="D720" t="s">
        <v>189</v>
      </c>
      <c r="E720" s="1">
        <v>46135</v>
      </c>
      <c r="F720" t="s">
        <v>4338</v>
      </c>
      <c r="G720" t="s">
        <v>4145</v>
      </c>
      <c r="H720" t="s">
        <v>569</v>
      </c>
      <c r="I720" t="s">
        <v>204</v>
      </c>
      <c r="J720" s="1">
        <v>46599</v>
      </c>
      <c r="K720" t="s">
        <v>768</v>
      </c>
      <c r="L720">
        <v>26109.26</v>
      </c>
      <c r="M720">
        <v>26109.26</v>
      </c>
      <c r="N720" t="s">
        <v>710</v>
      </c>
      <c r="O720" t="s">
        <v>4904</v>
      </c>
      <c r="P720" t="s">
        <v>4792</v>
      </c>
      <c r="Q720" t="s">
        <v>4904</v>
      </c>
      <c r="R720" t="s">
        <v>4772</v>
      </c>
    </row>
    <row r="721" spans="1:18" x14ac:dyDescent="0.3">
      <c r="A721">
        <v>2480</v>
      </c>
      <c r="B721" t="s">
        <v>4874</v>
      </c>
      <c r="C721" t="s">
        <v>616</v>
      </c>
      <c r="D721" t="s">
        <v>152</v>
      </c>
      <c r="E721" s="1">
        <v>46135</v>
      </c>
      <c r="F721" t="s">
        <v>4338</v>
      </c>
      <c r="G721" t="s">
        <v>4227</v>
      </c>
      <c r="H721" t="s">
        <v>615</v>
      </c>
      <c r="I721" t="s">
        <v>204</v>
      </c>
      <c r="J721" s="1">
        <v>46327</v>
      </c>
      <c r="K721" t="s">
        <v>720</v>
      </c>
      <c r="L721">
        <v>92282.94</v>
      </c>
      <c r="M721">
        <v>92282.94</v>
      </c>
      <c r="N721" t="s">
        <v>710</v>
      </c>
      <c r="O721" t="s">
        <v>4834</v>
      </c>
      <c r="P721" t="s">
        <v>4776</v>
      </c>
      <c r="Q721" t="s">
        <v>4858</v>
      </c>
      <c r="R721" t="s">
        <v>4772</v>
      </c>
    </row>
    <row r="722" spans="1:18" x14ac:dyDescent="0.3">
      <c r="A722">
        <v>117615</v>
      </c>
      <c r="B722" t="s">
        <v>4874</v>
      </c>
      <c r="C722" t="s">
        <v>227</v>
      </c>
      <c r="D722" t="s">
        <v>191</v>
      </c>
      <c r="E722" s="1">
        <v>46135</v>
      </c>
      <c r="F722" t="s">
        <v>4387</v>
      </c>
      <c r="G722" t="s">
        <v>4230</v>
      </c>
      <c r="H722" t="s">
        <v>577</v>
      </c>
      <c r="I722" t="s">
        <v>204</v>
      </c>
      <c r="J722" s="1">
        <v>46493</v>
      </c>
      <c r="K722" t="s">
        <v>762</v>
      </c>
      <c r="L722">
        <v>35318.379999999997</v>
      </c>
      <c r="M722">
        <v>35318.379999999997</v>
      </c>
      <c r="N722" t="s">
        <v>809</v>
      </c>
      <c r="O722" t="s">
        <v>4904</v>
      </c>
      <c r="P722" t="s">
        <v>4792</v>
      </c>
      <c r="Q722" t="s">
        <v>4904</v>
      </c>
      <c r="R722" t="s">
        <v>4772</v>
      </c>
    </row>
    <row r="723" spans="1:18" x14ac:dyDescent="0.3">
      <c r="A723">
        <v>53</v>
      </c>
      <c r="B723" t="s">
        <v>4876</v>
      </c>
      <c r="C723" t="s">
        <v>476</v>
      </c>
      <c r="D723" t="s">
        <v>195</v>
      </c>
      <c r="E723" s="1">
        <v>46135</v>
      </c>
      <c r="F723" t="s">
        <v>4401</v>
      </c>
      <c r="G723" t="s">
        <v>4224</v>
      </c>
      <c r="H723" t="s">
        <v>475</v>
      </c>
      <c r="I723" t="s">
        <v>204</v>
      </c>
      <c r="J723" s="1">
        <v>54878</v>
      </c>
      <c r="K723" t="s">
        <v>839</v>
      </c>
      <c r="L723">
        <v>39330</v>
      </c>
      <c r="M723">
        <v>39330</v>
      </c>
      <c r="N723" t="s">
        <v>710</v>
      </c>
      <c r="O723" t="s">
        <v>1042</v>
      </c>
      <c r="P723" t="s">
        <v>1006</v>
      </c>
      <c r="Q723" t="s">
        <v>4852</v>
      </c>
      <c r="R723" t="s">
        <v>4771</v>
      </c>
    </row>
    <row r="724" spans="1:18" x14ac:dyDescent="0.3">
      <c r="A724">
        <v>52</v>
      </c>
      <c r="B724" t="s">
        <v>4876</v>
      </c>
      <c r="C724" t="s">
        <v>476</v>
      </c>
      <c r="D724" t="s">
        <v>195</v>
      </c>
      <c r="E724" s="1">
        <v>46135</v>
      </c>
      <c r="F724" t="s">
        <v>4401</v>
      </c>
      <c r="G724" t="s">
        <v>3896</v>
      </c>
      <c r="H724" t="s">
        <v>475</v>
      </c>
      <c r="I724" t="s">
        <v>204</v>
      </c>
      <c r="J724" s="1">
        <v>54878</v>
      </c>
      <c r="K724" t="s">
        <v>839</v>
      </c>
      <c r="L724">
        <v>39330</v>
      </c>
      <c r="M724">
        <v>-39330</v>
      </c>
      <c r="N724" t="s">
        <v>710</v>
      </c>
      <c r="O724" t="s">
        <v>1042</v>
      </c>
      <c r="P724" t="s">
        <v>1006</v>
      </c>
      <c r="Q724" t="s">
        <v>4852</v>
      </c>
      <c r="R724" t="s">
        <v>4771</v>
      </c>
    </row>
    <row r="725" spans="1:18" x14ac:dyDescent="0.3">
      <c r="A725">
        <v>20063</v>
      </c>
      <c r="B725" t="s">
        <v>4874</v>
      </c>
      <c r="C725" t="s">
        <v>212</v>
      </c>
      <c r="D725" t="s">
        <v>62</v>
      </c>
      <c r="E725" s="1">
        <v>46135</v>
      </c>
      <c r="F725" t="s">
        <v>4318</v>
      </c>
      <c r="G725" t="s">
        <v>4228</v>
      </c>
      <c r="H725" t="s">
        <v>211</v>
      </c>
      <c r="I725" t="s">
        <v>204</v>
      </c>
      <c r="J725" s="1">
        <v>54878</v>
      </c>
      <c r="K725" t="s">
        <v>720</v>
      </c>
      <c r="L725">
        <v>1000</v>
      </c>
      <c r="M725">
        <v>1000</v>
      </c>
      <c r="N725" t="s">
        <v>719</v>
      </c>
      <c r="O725" t="s">
        <v>4834</v>
      </c>
      <c r="P725" t="s">
        <v>4776</v>
      </c>
      <c r="Q725" t="s">
        <v>4858</v>
      </c>
      <c r="R725" t="s">
        <v>4771</v>
      </c>
    </row>
    <row r="726" spans="1:18" x14ac:dyDescent="0.3">
      <c r="A726">
        <v>870</v>
      </c>
      <c r="B726" t="s">
        <v>4875</v>
      </c>
      <c r="C726" t="s">
        <v>550</v>
      </c>
      <c r="D726" t="s">
        <v>189</v>
      </c>
      <c r="E726" s="1">
        <v>46135</v>
      </c>
      <c r="F726" t="s">
        <v>4338</v>
      </c>
      <c r="G726" t="s">
        <v>4146</v>
      </c>
      <c r="H726" t="s">
        <v>569</v>
      </c>
      <c r="I726" t="s">
        <v>204</v>
      </c>
      <c r="J726" s="1">
        <v>46599</v>
      </c>
      <c r="K726" t="s">
        <v>768</v>
      </c>
      <c r="L726">
        <v>8015.57</v>
      </c>
      <c r="M726">
        <v>8015.57</v>
      </c>
      <c r="N726" t="s">
        <v>710</v>
      </c>
      <c r="O726" t="s">
        <v>4904</v>
      </c>
      <c r="P726" t="s">
        <v>4792</v>
      </c>
      <c r="Q726" t="s">
        <v>4904</v>
      </c>
      <c r="R726" t="s">
        <v>4772</v>
      </c>
    </row>
    <row r="727" spans="1:18" x14ac:dyDescent="0.3">
      <c r="A727">
        <v>156</v>
      </c>
      <c r="B727" t="s">
        <v>1034</v>
      </c>
      <c r="C727" t="s">
        <v>618</v>
      </c>
      <c r="D727" t="s">
        <v>112</v>
      </c>
      <c r="E727" s="1">
        <v>46134</v>
      </c>
      <c r="F727" t="s">
        <v>4361</v>
      </c>
      <c r="G727" t="s">
        <v>3918</v>
      </c>
      <c r="H727" t="s">
        <v>617</v>
      </c>
      <c r="I727" t="s">
        <v>204</v>
      </c>
      <c r="J727" s="1">
        <v>46347</v>
      </c>
      <c r="K727" t="s">
        <v>711</v>
      </c>
      <c r="L727">
        <v>790</v>
      </c>
      <c r="M727">
        <v>-790</v>
      </c>
      <c r="N727" t="s">
        <v>818</v>
      </c>
      <c r="O727" t="s">
        <v>1036</v>
      </c>
      <c r="P727" t="s">
        <v>4776</v>
      </c>
      <c r="Q727" t="s">
        <v>4901</v>
      </c>
      <c r="R727" t="s">
        <v>4771</v>
      </c>
    </row>
    <row r="728" spans="1:18" x14ac:dyDescent="0.3">
      <c r="A728">
        <v>1012</v>
      </c>
      <c r="B728" t="s">
        <v>4875</v>
      </c>
      <c r="C728" t="s">
        <v>355</v>
      </c>
      <c r="D728" t="s">
        <v>143</v>
      </c>
      <c r="E728" s="1">
        <v>46134</v>
      </c>
      <c r="F728" t="s">
        <v>4318</v>
      </c>
      <c r="G728" t="s">
        <v>4198</v>
      </c>
      <c r="H728" t="s">
        <v>354</v>
      </c>
      <c r="I728" t="s">
        <v>204</v>
      </c>
      <c r="J728" s="1">
        <v>54878</v>
      </c>
      <c r="K728" t="s">
        <v>748</v>
      </c>
      <c r="L728">
        <v>668.78</v>
      </c>
      <c r="M728">
        <v>668.78</v>
      </c>
      <c r="N728" t="s">
        <v>710</v>
      </c>
      <c r="O728" t="s">
        <v>4834</v>
      </c>
      <c r="P728" t="s">
        <v>4776</v>
      </c>
      <c r="Q728" t="s">
        <v>4856</v>
      </c>
      <c r="R728" t="s">
        <v>4771</v>
      </c>
    </row>
    <row r="729" spans="1:18" x14ac:dyDescent="0.3">
      <c r="A729">
        <v>635</v>
      </c>
      <c r="B729" t="s">
        <v>4874</v>
      </c>
      <c r="C729" t="s">
        <v>259</v>
      </c>
      <c r="D729" t="s">
        <v>122</v>
      </c>
      <c r="E729" s="1">
        <v>46134</v>
      </c>
      <c r="F729" t="s">
        <v>4390</v>
      </c>
      <c r="G729" t="s">
        <v>4124</v>
      </c>
      <c r="H729" t="s">
        <v>258</v>
      </c>
      <c r="I729" t="s">
        <v>204</v>
      </c>
      <c r="J729" s="1">
        <v>46337</v>
      </c>
      <c r="K729" t="s">
        <v>720</v>
      </c>
      <c r="L729">
        <v>23127.89</v>
      </c>
      <c r="M729">
        <v>23127.89</v>
      </c>
      <c r="N729" t="s">
        <v>710</v>
      </c>
      <c r="O729" t="s">
        <v>1038</v>
      </c>
      <c r="P729" t="s">
        <v>4777</v>
      </c>
      <c r="Q729" t="s">
        <v>4858</v>
      </c>
      <c r="R729" t="s">
        <v>4771</v>
      </c>
    </row>
    <row r="730" spans="1:18" x14ac:dyDescent="0.3">
      <c r="A730">
        <v>11800</v>
      </c>
      <c r="B730" t="s">
        <v>1034</v>
      </c>
      <c r="C730" t="s">
        <v>594</v>
      </c>
      <c r="D730" t="s">
        <v>27</v>
      </c>
      <c r="E730" s="1">
        <v>46133</v>
      </c>
      <c r="F730" t="s">
        <v>4323</v>
      </c>
      <c r="G730" t="s">
        <v>4192</v>
      </c>
      <c r="H730" t="s">
        <v>595</v>
      </c>
      <c r="I730" t="s">
        <v>204</v>
      </c>
      <c r="J730" s="1">
        <v>46204</v>
      </c>
      <c r="K730" t="s">
        <v>717</v>
      </c>
      <c r="L730">
        <v>9665.11</v>
      </c>
      <c r="M730">
        <v>9665.11</v>
      </c>
      <c r="N730" t="s">
        <v>814</v>
      </c>
      <c r="O730" t="s">
        <v>1037</v>
      </c>
      <c r="P730" t="s">
        <v>4794</v>
      </c>
      <c r="Q730" t="s">
        <v>4852</v>
      </c>
      <c r="R730" t="s">
        <v>4772</v>
      </c>
    </row>
    <row r="731" spans="1:18" x14ac:dyDescent="0.3">
      <c r="A731">
        <v>2646</v>
      </c>
      <c r="B731" t="s">
        <v>1034</v>
      </c>
      <c r="C731" t="s">
        <v>643</v>
      </c>
      <c r="D731" t="s">
        <v>52</v>
      </c>
      <c r="E731" s="1">
        <v>46133</v>
      </c>
      <c r="F731" t="s">
        <v>4318</v>
      </c>
      <c r="G731" t="s">
        <v>4182</v>
      </c>
      <c r="H731" t="s">
        <v>642</v>
      </c>
      <c r="I731" t="s">
        <v>204</v>
      </c>
      <c r="J731" s="1">
        <v>46548</v>
      </c>
      <c r="K731" t="s">
        <v>711</v>
      </c>
      <c r="L731">
        <v>1</v>
      </c>
      <c r="M731">
        <v>2300</v>
      </c>
      <c r="N731" t="s">
        <v>710</v>
      </c>
      <c r="O731" t="s">
        <v>4834</v>
      </c>
      <c r="P731" t="s">
        <v>4776</v>
      </c>
      <c r="Q731" t="s">
        <v>4901</v>
      </c>
    </row>
    <row r="732" spans="1:18" x14ac:dyDescent="0.3">
      <c r="A732">
        <v>81077</v>
      </c>
      <c r="B732" t="s">
        <v>1034</v>
      </c>
      <c r="C732" t="s">
        <v>609</v>
      </c>
      <c r="D732" t="s">
        <v>182</v>
      </c>
      <c r="E732" s="1">
        <v>46133</v>
      </c>
      <c r="F732" t="s">
        <v>4336</v>
      </c>
      <c r="G732" t="s">
        <v>4189</v>
      </c>
      <c r="H732" t="s">
        <v>608</v>
      </c>
      <c r="I732" t="s">
        <v>204</v>
      </c>
      <c r="J732" s="1">
        <v>46281</v>
      </c>
      <c r="K732" t="s">
        <v>717</v>
      </c>
      <c r="L732">
        <v>27210.44</v>
      </c>
      <c r="M732">
        <v>27210.44</v>
      </c>
      <c r="N732" t="s">
        <v>719</v>
      </c>
      <c r="O732" t="s">
        <v>1037</v>
      </c>
      <c r="P732" t="s">
        <v>4794</v>
      </c>
      <c r="Q732" t="s">
        <v>4852</v>
      </c>
      <c r="R732" t="s">
        <v>4772</v>
      </c>
    </row>
    <row r="733" spans="1:18" x14ac:dyDescent="0.3">
      <c r="A733">
        <v>169063</v>
      </c>
      <c r="B733" t="s">
        <v>1034</v>
      </c>
      <c r="C733" t="s">
        <v>301</v>
      </c>
      <c r="D733" t="s">
        <v>23</v>
      </c>
      <c r="E733" s="1">
        <v>46133</v>
      </c>
      <c r="F733" t="s">
        <v>4321</v>
      </c>
      <c r="G733" t="s">
        <v>2514</v>
      </c>
      <c r="H733" t="s">
        <v>323</v>
      </c>
      <c r="I733" t="s">
        <v>204</v>
      </c>
      <c r="J733" s="1">
        <v>46538</v>
      </c>
      <c r="K733" t="s">
        <v>711</v>
      </c>
      <c r="L733">
        <v>42021.41</v>
      </c>
      <c r="M733">
        <v>39258.239999999998</v>
      </c>
      <c r="N733" t="s">
        <v>710</v>
      </c>
      <c r="O733" t="s">
        <v>1036</v>
      </c>
      <c r="P733" t="s">
        <v>4782</v>
      </c>
      <c r="Q733" t="s">
        <v>4901</v>
      </c>
      <c r="R733" t="s">
        <v>4773</v>
      </c>
    </row>
    <row r="734" spans="1:18" x14ac:dyDescent="0.3">
      <c r="A734">
        <v>180833</v>
      </c>
      <c r="B734" t="s">
        <v>1034</v>
      </c>
      <c r="C734" t="s">
        <v>415</v>
      </c>
      <c r="D734" t="s">
        <v>60</v>
      </c>
      <c r="E734" s="1">
        <v>46133</v>
      </c>
      <c r="F734" t="s">
        <v>4333</v>
      </c>
      <c r="G734" t="s">
        <v>4200</v>
      </c>
      <c r="H734" t="s">
        <v>431</v>
      </c>
      <c r="I734" t="s">
        <v>204</v>
      </c>
      <c r="J734" s="1">
        <v>46386</v>
      </c>
      <c r="K734" t="s">
        <v>717</v>
      </c>
      <c r="L734">
        <v>12034.05</v>
      </c>
      <c r="M734">
        <v>12034.05</v>
      </c>
      <c r="N734" t="s">
        <v>814</v>
      </c>
      <c r="O734" t="s">
        <v>1037</v>
      </c>
      <c r="P734" t="s">
        <v>4807</v>
      </c>
      <c r="Q734" t="s">
        <v>4852</v>
      </c>
      <c r="R734" t="s">
        <v>4771</v>
      </c>
    </row>
    <row r="735" spans="1:18" x14ac:dyDescent="0.3">
      <c r="A735">
        <v>3906</v>
      </c>
      <c r="B735" t="s">
        <v>1034</v>
      </c>
      <c r="C735" t="s">
        <v>319</v>
      </c>
      <c r="D735" t="s">
        <v>36</v>
      </c>
      <c r="E735" s="1">
        <v>46133</v>
      </c>
      <c r="F735" t="s">
        <v>4298</v>
      </c>
      <c r="G735" t="s">
        <v>4210</v>
      </c>
      <c r="H735" t="s">
        <v>318</v>
      </c>
      <c r="I735" t="s">
        <v>204</v>
      </c>
      <c r="J735" s="1">
        <v>46214</v>
      </c>
      <c r="K735" t="s">
        <v>711</v>
      </c>
      <c r="L735">
        <v>1394</v>
      </c>
      <c r="M735">
        <v>1393.98</v>
      </c>
      <c r="N735" t="s">
        <v>710</v>
      </c>
      <c r="O735" t="s">
        <v>1036</v>
      </c>
      <c r="P735" t="s">
        <v>4784</v>
      </c>
      <c r="Q735" t="s">
        <v>4901</v>
      </c>
      <c r="R735" t="s">
        <v>4771</v>
      </c>
    </row>
    <row r="736" spans="1:18" x14ac:dyDescent="0.3">
      <c r="A736">
        <v>122605</v>
      </c>
      <c r="B736" t="s">
        <v>1034</v>
      </c>
      <c r="C736" t="s">
        <v>497</v>
      </c>
      <c r="D736" t="s">
        <v>58</v>
      </c>
      <c r="E736" s="1">
        <v>46133</v>
      </c>
      <c r="F736" t="s">
        <v>4354</v>
      </c>
      <c r="G736" t="s">
        <v>4169</v>
      </c>
      <c r="H736" t="s">
        <v>496</v>
      </c>
      <c r="I736" t="s">
        <v>204</v>
      </c>
      <c r="J736" s="1">
        <v>46265</v>
      </c>
      <c r="K736" t="s">
        <v>717</v>
      </c>
      <c r="L736">
        <v>1</v>
      </c>
      <c r="M736">
        <v>4397.3900000000003</v>
      </c>
      <c r="N736" t="s">
        <v>710</v>
      </c>
      <c r="O736" t="s">
        <v>4833</v>
      </c>
      <c r="P736" t="s">
        <v>4776</v>
      </c>
      <c r="Q736" t="s">
        <v>4852</v>
      </c>
      <c r="R736" t="s">
        <v>4773</v>
      </c>
    </row>
    <row r="737" spans="1:18" x14ac:dyDescent="0.3">
      <c r="A737">
        <v>78785</v>
      </c>
      <c r="B737" t="s">
        <v>1034</v>
      </c>
      <c r="C737" t="s">
        <v>609</v>
      </c>
      <c r="D737" t="s">
        <v>182</v>
      </c>
      <c r="E737" s="1">
        <v>46133</v>
      </c>
      <c r="F737" t="s">
        <v>4336</v>
      </c>
      <c r="G737" t="s">
        <v>4190</v>
      </c>
      <c r="H737" t="s">
        <v>608</v>
      </c>
      <c r="I737" t="s">
        <v>204</v>
      </c>
      <c r="J737" s="1">
        <v>46281</v>
      </c>
      <c r="K737" t="s">
        <v>717</v>
      </c>
      <c r="L737">
        <v>252933.03</v>
      </c>
      <c r="M737">
        <v>252933.03</v>
      </c>
      <c r="N737" t="s">
        <v>719</v>
      </c>
      <c r="O737" t="s">
        <v>1037</v>
      </c>
      <c r="P737" t="s">
        <v>4794</v>
      </c>
      <c r="Q737" t="s">
        <v>4852</v>
      </c>
      <c r="R737" t="s">
        <v>4772</v>
      </c>
    </row>
    <row r="738" spans="1:18" x14ac:dyDescent="0.3">
      <c r="A738">
        <v>3070</v>
      </c>
      <c r="B738" t="s">
        <v>4874</v>
      </c>
      <c r="C738" t="s">
        <v>469</v>
      </c>
      <c r="D738" t="s">
        <v>124</v>
      </c>
      <c r="E738" s="1">
        <v>46133</v>
      </c>
      <c r="F738" t="s">
        <v>4361</v>
      </c>
      <c r="G738" t="s">
        <v>4162</v>
      </c>
      <c r="H738" t="s">
        <v>468</v>
      </c>
      <c r="I738" t="s">
        <v>204</v>
      </c>
      <c r="J738" s="1">
        <v>54878</v>
      </c>
      <c r="K738" t="s">
        <v>762</v>
      </c>
      <c r="L738">
        <v>1751</v>
      </c>
      <c r="M738">
        <v>1751</v>
      </c>
      <c r="N738" t="s">
        <v>719</v>
      </c>
      <c r="O738" t="s">
        <v>4845</v>
      </c>
      <c r="P738" t="s">
        <v>4776</v>
      </c>
      <c r="Q738" t="s">
        <v>4845</v>
      </c>
      <c r="R738" t="s">
        <v>4771</v>
      </c>
    </row>
    <row r="739" spans="1:18" x14ac:dyDescent="0.3">
      <c r="A739">
        <v>78784</v>
      </c>
      <c r="B739" t="s">
        <v>4875</v>
      </c>
      <c r="C739" t="s">
        <v>609</v>
      </c>
      <c r="D739" t="s">
        <v>182</v>
      </c>
      <c r="E739" s="1">
        <v>46133</v>
      </c>
      <c r="F739" t="s">
        <v>4336</v>
      </c>
      <c r="G739" t="s">
        <v>4188</v>
      </c>
      <c r="H739" t="s">
        <v>610</v>
      </c>
      <c r="I739" t="s">
        <v>204</v>
      </c>
      <c r="J739" s="1">
        <v>46282</v>
      </c>
      <c r="K739" t="s">
        <v>768</v>
      </c>
      <c r="L739">
        <v>64376</v>
      </c>
      <c r="M739">
        <v>64376</v>
      </c>
      <c r="N739" t="s">
        <v>710</v>
      </c>
      <c r="O739" t="s">
        <v>1037</v>
      </c>
      <c r="P739" t="s">
        <v>4794</v>
      </c>
      <c r="Q739" t="s">
        <v>4852</v>
      </c>
      <c r="R739" t="s">
        <v>4772</v>
      </c>
    </row>
    <row r="740" spans="1:18" x14ac:dyDescent="0.3">
      <c r="A740">
        <v>3551</v>
      </c>
      <c r="B740" t="s">
        <v>4874</v>
      </c>
      <c r="C740" t="s">
        <v>572</v>
      </c>
      <c r="D740" t="s">
        <v>43</v>
      </c>
      <c r="E740" s="1">
        <v>46133</v>
      </c>
      <c r="F740" t="s">
        <v>4321</v>
      </c>
      <c r="G740" t="s">
        <v>4097</v>
      </c>
      <c r="H740" t="s">
        <v>571</v>
      </c>
      <c r="I740" t="s">
        <v>204</v>
      </c>
      <c r="J740" s="1">
        <v>46387</v>
      </c>
      <c r="K740" t="s">
        <v>720</v>
      </c>
      <c r="L740">
        <v>13000</v>
      </c>
      <c r="M740">
        <v>13000</v>
      </c>
      <c r="N740" t="s">
        <v>814</v>
      </c>
      <c r="O740" t="s">
        <v>1038</v>
      </c>
      <c r="P740" t="s">
        <v>4782</v>
      </c>
      <c r="Q740" t="s">
        <v>4858</v>
      </c>
      <c r="R740" t="s">
        <v>4771</v>
      </c>
    </row>
    <row r="741" spans="1:18" x14ac:dyDescent="0.3">
      <c r="A741">
        <v>11809</v>
      </c>
      <c r="B741" t="s">
        <v>4875</v>
      </c>
      <c r="C741" t="s">
        <v>594</v>
      </c>
      <c r="D741" t="s">
        <v>27</v>
      </c>
      <c r="E741" s="1">
        <v>46133</v>
      </c>
      <c r="F741" t="s">
        <v>4323</v>
      </c>
      <c r="G741" t="s">
        <v>4090</v>
      </c>
      <c r="H741" t="s">
        <v>596</v>
      </c>
      <c r="I741" t="s">
        <v>204</v>
      </c>
      <c r="J741" s="1">
        <v>46204</v>
      </c>
      <c r="K741" t="s">
        <v>768</v>
      </c>
      <c r="L741">
        <v>14243.77</v>
      </c>
      <c r="M741">
        <v>14243.77</v>
      </c>
      <c r="N741" t="s">
        <v>814</v>
      </c>
      <c r="O741" t="s">
        <v>1037</v>
      </c>
      <c r="P741" t="s">
        <v>4794</v>
      </c>
      <c r="Q741" t="s">
        <v>4852</v>
      </c>
      <c r="R741" t="s">
        <v>4772</v>
      </c>
    </row>
    <row r="742" spans="1:18" x14ac:dyDescent="0.3">
      <c r="A742">
        <v>713108</v>
      </c>
      <c r="B742" t="s">
        <v>4875</v>
      </c>
      <c r="C742" t="s">
        <v>333</v>
      </c>
      <c r="D742" t="s">
        <v>29</v>
      </c>
      <c r="E742" s="1">
        <v>46133</v>
      </c>
      <c r="F742" t="s">
        <v>4317</v>
      </c>
      <c r="G742" t="s">
        <v>4203</v>
      </c>
      <c r="H742" t="s">
        <v>335</v>
      </c>
      <c r="I742" t="s">
        <v>204</v>
      </c>
      <c r="J742" s="1">
        <v>54878</v>
      </c>
      <c r="K742" t="s">
        <v>748</v>
      </c>
      <c r="L742">
        <v>686</v>
      </c>
      <c r="M742">
        <v>685.58</v>
      </c>
      <c r="N742" t="s">
        <v>710</v>
      </c>
      <c r="O742" t="s">
        <v>1040</v>
      </c>
      <c r="P742" t="s">
        <v>4776</v>
      </c>
      <c r="Q742" t="s">
        <v>4856</v>
      </c>
      <c r="R742" t="s">
        <v>4771</v>
      </c>
    </row>
    <row r="743" spans="1:18" x14ac:dyDescent="0.3">
      <c r="A743">
        <v>71759</v>
      </c>
      <c r="B743" t="s">
        <v>4874</v>
      </c>
      <c r="C743" t="s">
        <v>514</v>
      </c>
      <c r="D743" t="s">
        <v>47</v>
      </c>
      <c r="E743" s="1">
        <v>46133</v>
      </c>
      <c r="F743" t="s">
        <v>4362</v>
      </c>
      <c r="G743" t="s">
        <v>4170</v>
      </c>
      <c r="H743" t="s">
        <v>513</v>
      </c>
      <c r="I743" t="s">
        <v>204</v>
      </c>
      <c r="J743" s="1">
        <v>46386</v>
      </c>
      <c r="K743" t="s">
        <v>762</v>
      </c>
      <c r="L743">
        <v>7405.11</v>
      </c>
      <c r="M743">
        <v>7405.11</v>
      </c>
      <c r="N743" t="s">
        <v>710</v>
      </c>
      <c r="O743" t="s">
        <v>4833</v>
      </c>
      <c r="P743" t="s">
        <v>4779</v>
      </c>
      <c r="Q743" t="s">
        <v>4852</v>
      </c>
    </row>
    <row r="744" spans="1:18" x14ac:dyDescent="0.3">
      <c r="A744">
        <v>7483</v>
      </c>
      <c r="B744" t="s">
        <v>1035</v>
      </c>
      <c r="C744" t="s">
        <v>230</v>
      </c>
      <c r="D744" t="s">
        <v>85</v>
      </c>
      <c r="E744" s="1">
        <v>46133</v>
      </c>
      <c r="F744" t="s">
        <v>4348</v>
      </c>
      <c r="G744" t="s">
        <v>4176</v>
      </c>
      <c r="H744" t="s">
        <v>229</v>
      </c>
      <c r="I744" t="s">
        <v>204</v>
      </c>
      <c r="J744" s="1">
        <v>46203</v>
      </c>
      <c r="K744" t="s">
        <v>744</v>
      </c>
      <c r="L744">
        <v>3465.02</v>
      </c>
      <c r="M744">
        <v>3465.02</v>
      </c>
      <c r="N744" t="s">
        <v>710</v>
      </c>
      <c r="O744" t="s">
        <v>1033</v>
      </c>
      <c r="P744" t="s">
        <v>4781</v>
      </c>
      <c r="Q744" t="s">
        <v>4852</v>
      </c>
      <c r="R744" t="s">
        <v>4771</v>
      </c>
    </row>
    <row r="745" spans="1:18" x14ac:dyDescent="0.3">
      <c r="A745">
        <v>67</v>
      </c>
      <c r="B745" t="s">
        <v>4875</v>
      </c>
      <c r="C745" t="s">
        <v>322</v>
      </c>
      <c r="D745" t="s">
        <v>158</v>
      </c>
      <c r="E745" s="1">
        <v>46133</v>
      </c>
      <c r="F745" t="s">
        <v>4433</v>
      </c>
      <c r="G745" t="s">
        <v>4084</v>
      </c>
      <c r="H745" t="s">
        <v>346</v>
      </c>
      <c r="I745" t="s">
        <v>204</v>
      </c>
      <c r="J745" s="1">
        <v>46310</v>
      </c>
      <c r="K745" t="s">
        <v>748</v>
      </c>
      <c r="L745">
        <v>696</v>
      </c>
      <c r="M745">
        <v>9041.0400000000009</v>
      </c>
      <c r="N745" t="s">
        <v>710</v>
      </c>
      <c r="O745" t="s">
        <v>1040</v>
      </c>
      <c r="P745" t="s">
        <v>4782</v>
      </c>
      <c r="Q745" t="s">
        <v>4856</v>
      </c>
      <c r="R745" t="s">
        <v>4773</v>
      </c>
    </row>
    <row r="746" spans="1:18" x14ac:dyDescent="0.3">
      <c r="A746">
        <v>61377</v>
      </c>
      <c r="B746" t="s">
        <v>4874</v>
      </c>
      <c r="C746" t="s">
        <v>664</v>
      </c>
      <c r="D746" t="s">
        <v>83</v>
      </c>
      <c r="E746" s="1">
        <v>46133</v>
      </c>
      <c r="F746" t="s">
        <v>4399</v>
      </c>
      <c r="G746" t="s">
        <v>4171</v>
      </c>
      <c r="H746" t="s">
        <v>663</v>
      </c>
      <c r="I746" t="s">
        <v>204</v>
      </c>
      <c r="J746" s="1">
        <v>46660</v>
      </c>
      <c r="K746" t="s">
        <v>762</v>
      </c>
      <c r="L746">
        <v>62434.62</v>
      </c>
      <c r="M746">
        <v>62434.62</v>
      </c>
      <c r="N746" t="s">
        <v>710</v>
      </c>
      <c r="O746" t="s">
        <v>1037</v>
      </c>
      <c r="P746" t="s">
        <v>850</v>
      </c>
      <c r="Q746" t="s">
        <v>4852</v>
      </c>
      <c r="R746" t="s">
        <v>807</v>
      </c>
    </row>
    <row r="747" spans="1:18" x14ac:dyDescent="0.3">
      <c r="A747">
        <v>712251</v>
      </c>
      <c r="B747" t="s">
        <v>4874</v>
      </c>
      <c r="C747" t="s">
        <v>333</v>
      </c>
      <c r="D747" t="s">
        <v>29</v>
      </c>
      <c r="E747" s="1">
        <v>46133</v>
      </c>
      <c r="F747" t="s">
        <v>4317</v>
      </c>
      <c r="G747" t="s">
        <v>4205</v>
      </c>
      <c r="H747" t="s">
        <v>460</v>
      </c>
      <c r="I747" t="s">
        <v>204</v>
      </c>
      <c r="J747" s="1">
        <v>54878</v>
      </c>
      <c r="K747" t="s">
        <v>785</v>
      </c>
      <c r="L747">
        <v>1</v>
      </c>
      <c r="M747">
        <v>709.89</v>
      </c>
      <c r="N747" t="s">
        <v>710</v>
      </c>
      <c r="O747" t="s">
        <v>1038</v>
      </c>
      <c r="P747" t="s">
        <v>4776</v>
      </c>
      <c r="Q747" t="s">
        <v>4858</v>
      </c>
      <c r="R747" t="s">
        <v>4771</v>
      </c>
    </row>
    <row r="748" spans="1:18" x14ac:dyDescent="0.3">
      <c r="A748">
        <v>711101</v>
      </c>
      <c r="B748" t="s">
        <v>1034</v>
      </c>
      <c r="C748" t="s">
        <v>333</v>
      </c>
      <c r="D748" t="s">
        <v>29</v>
      </c>
      <c r="E748" s="1">
        <v>46133</v>
      </c>
      <c r="F748" t="s">
        <v>4317</v>
      </c>
      <c r="G748" t="s">
        <v>4204</v>
      </c>
      <c r="H748" t="s">
        <v>332</v>
      </c>
      <c r="I748" t="s">
        <v>204</v>
      </c>
      <c r="J748" s="1">
        <v>54878</v>
      </c>
      <c r="K748" t="s">
        <v>711</v>
      </c>
      <c r="L748">
        <v>708</v>
      </c>
      <c r="M748">
        <v>707.92</v>
      </c>
      <c r="N748" t="s">
        <v>710</v>
      </c>
      <c r="O748" t="s">
        <v>1036</v>
      </c>
      <c r="P748" t="s">
        <v>4776</v>
      </c>
      <c r="Q748" t="s">
        <v>4901</v>
      </c>
      <c r="R748" t="s">
        <v>4771</v>
      </c>
    </row>
    <row r="749" spans="1:18" x14ac:dyDescent="0.3">
      <c r="A749">
        <v>81076</v>
      </c>
      <c r="B749" t="s">
        <v>4875</v>
      </c>
      <c r="C749" t="s">
        <v>609</v>
      </c>
      <c r="D749" t="s">
        <v>182</v>
      </c>
      <c r="E749" s="1">
        <v>46133</v>
      </c>
      <c r="F749" t="s">
        <v>4336</v>
      </c>
      <c r="G749" t="s">
        <v>4187</v>
      </c>
      <c r="H749" t="s">
        <v>610</v>
      </c>
      <c r="I749" t="s">
        <v>204</v>
      </c>
      <c r="J749" s="1">
        <v>46282</v>
      </c>
      <c r="K749" t="s">
        <v>768</v>
      </c>
      <c r="L749">
        <v>9316.18</v>
      </c>
      <c r="M749">
        <v>9316.18</v>
      </c>
      <c r="N749" t="s">
        <v>710</v>
      </c>
      <c r="O749" t="s">
        <v>1037</v>
      </c>
      <c r="P749" t="s">
        <v>4794</v>
      </c>
      <c r="Q749" t="s">
        <v>4852</v>
      </c>
      <c r="R749" t="s">
        <v>4772</v>
      </c>
    </row>
    <row r="750" spans="1:18" x14ac:dyDescent="0.3">
      <c r="A750">
        <v>1116</v>
      </c>
      <c r="B750" t="s">
        <v>1034</v>
      </c>
      <c r="C750" t="s">
        <v>319</v>
      </c>
      <c r="D750" t="s">
        <v>36</v>
      </c>
      <c r="E750" s="1">
        <v>46133</v>
      </c>
      <c r="F750" t="s">
        <v>4298</v>
      </c>
      <c r="G750" t="s">
        <v>4209</v>
      </c>
      <c r="H750" t="s">
        <v>318</v>
      </c>
      <c r="I750" t="s">
        <v>204</v>
      </c>
      <c r="J750" s="1">
        <v>46214</v>
      </c>
      <c r="K750" t="s">
        <v>711</v>
      </c>
      <c r="L750">
        <v>1015</v>
      </c>
      <c r="M750">
        <v>1015.32</v>
      </c>
      <c r="N750" t="s">
        <v>710</v>
      </c>
      <c r="O750" t="s">
        <v>1036</v>
      </c>
      <c r="P750" t="s">
        <v>4784</v>
      </c>
      <c r="Q750" t="s">
        <v>4901</v>
      </c>
      <c r="R750" t="s">
        <v>4771</v>
      </c>
    </row>
    <row r="751" spans="1:18" x14ac:dyDescent="0.3">
      <c r="A751">
        <v>296354</v>
      </c>
      <c r="B751" t="s">
        <v>4874</v>
      </c>
      <c r="C751" t="s">
        <v>405</v>
      </c>
      <c r="D751" t="s">
        <v>107</v>
      </c>
      <c r="E751" s="1">
        <v>46129</v>
      </c>
      <c r="F751" t="s">
        <v>4362</v>
      </c>
      <c r="G751" t="s">
        <v>4178</v>
      </c>
      <c r="H751" t="s">
        <v>404</v>
      </c>
      <c r="I751" t="s">
        <v>204</v>
      </c>
      <c r="J751" s="1">
        <v>46477</v>
      </c>
      <c r="K751" t="s">
        <v>762</v>
      </c>
      <c r="L751">
        <v>27.1</v>
      </c>
      <c r="M751">
        <v>27.1</v>
      </c>
      <c r="N751" t="s">
        <v>710</v>
      </c>
      <c r="O751" t="s">
        <v>1037</v>
      </c>
      <c r="P751" t="s">
        <v>4806</v>
      </c>
      <c r="Q751" t="s">
        <v>4852</v>
      </c>
      <c r="R751" t="s">
        <v>4772</v>
      </c>
    </row>
    <row r="752" spans="1:18" x14ac:dyDescent="0.3">
      <c r="A752">
        <v>12774</v>
      </c>
      <c r="B752" t="s">
        <v>4874</v>
      </c>
      <c r="C752" t="s">
        <v>237</v>
      </c>
      <c r="D752" t="s">
        <v>4</v>
      </c>
      <c r="E752" s="1">
        <v>46129</v>
      </c>
      <c r="F752" t="s">
        <v>4368</v>
      </c>
      <c r="G752" t="s">
        <v>4154</v>
      </c>
      <c r="H752" t="s">
        <v>236</v>
      </c>
      <c r="I752" t="s">
        <v>204</v>
      </c>
      <c r="J752" s="1">
        <v>54878</v>
      </c>
      <c r="K752" t="s">
        <v>720</v>
      </c>
      <c r="L752">
        <v>5271</v>
      </c>
      <c r="M752">
        <v>5271</v>
      </c>
      <c r="N752" t="s">
        <v>710</v>
      </c>
      <c r="O752" t="s">
        <v>1038</v>
      </c>
      <c r="P752" t="s">
        <v>4776</v>
      </c>
      <c r="Q752" t="s">
        <v>4858</v>
      </c>
      <c r="R752" t="s">
        <v>4771</v>
      </c>
    </row>
    <row r="753" spans="1:18" x14ac:dyDescent="0.3">
      <c r="A753">
        <v>9251081</v>
      </c>
      <c r="B753" t="s">
        <v>4874</v>
      </c>
      <c r="C753" t="s">
        <v>433</v>
      </c>
      <c r="D753" t="s">
        <v>168</v>
      </c>
      <c r="E753" s="1">
        <v>46129</v>
      </c>
      <c r="F753" t="s">
        <v>4319</v>
      </c>
      <c r="G753" t="s">
        <v>4184</v>
      </c>
      <c r="H753" t="s">
        <v>432</v>
      </c>
      <c r="I753" t="s">
        <v>204</v>
      </c>
      <c r="J753" s="1">
        <v>46473</v>
      </c>
      <c r="K753" t="s">
        <v>762</v>
      </c>
      <c r="L753">
        <v>81</v>
      </c>
      <c r="M753">
        <v>81</v>
      </c>
      <c r="N753" t="s">
        <v>710</v>
      </c>
      <c r="O753" t="s">
        <v>4833</v>
      </c>
      <c r="P753" t="s">
        <v>4802</v>
      </c>
      <c r="Q753" t="s">
        <v>4852</v>
      </c>
      <c r="R753" t="s">
        <v>4771</v>
      </c>
    </row>
    <row r="754" spans="1:18" x14ac:dyDescent="0.3">
      <c r="A754">
        <v>9238437</v>
      </c>
      <c r="B754" t="s">
        <v>4874</v>
      </c>
      <c r="C754" t="s">
        <v>433</v>
      </c>
      <c r="D754" t="s">
        <v>168</v>
      </c>
      <c r="E754" s="1">
        <v>46129</v>
      </c>
      <c r="F754" t="s">
        <v>4319</v>
      </c>
      <c r="G754" t="s">
        <v>4186</v>
      </c>
      <c r="H754" t="s">
        <v>432</v>
      </c>
      <c r="I754" t="s">
        <v>204</v>
      </c>
      <c r="J754" s="1">
        <v>46473</v>
      </c>
      <c r="K754" t="s">
        <v>762</v>
      </c>
      <c r="L754">
        <v>118</v>
      </c>
      <c r="M754">
        <v>117.94</v>
      </c>
      <c r="N754" t="s">
        <v>710</v>
      </c>
      <c r="O754" t="s">
        <v>4833</v>
      </c>
      <c r="P754" t="s">
        <v>4802</v>
      </c>
      <c r="Q754" t="s">
        <v>4852</v>
      </c>
      <c r="R754" t="s">
        <v>4771</v>
      </c>
    </row>
    <row r="755" spans="1:18" x14ac:dyDescent="0.3">
      <c r="A755">
        <v>18</v>
      </c>
      <c r="B755" t="s">
        <v>4874</v>
      </c>
      <c r="C755" t="s">
        <v>626</v>
      </c>
      <c r="D755" t="s">
        <v>184</v>
      </c>
      <c r="E755" s="1">
        <v>46129</v>
      </c>
      <c r="F755" t="s">
        <v>4414</v>
      </c>
      <c r="G755" t="s">
        <v>4199</v>
      </c>
      <c r="H755" t="s">
        <v>625</v>
      </c>
      <c r="I755" t="s">
        <v>204</v>
      </c>
      <c r="J755" s="1">
        <v>46440</v>
      </c>
      <c r="K755" t="s">
        <v>720</v>
      </c>
      <c r="L755">
        <v>243.01050000000001</v>
      </c>
      <c r="M755">
        <v>23086</v>
      </c>
      <c r="N755" t="s">
        <v>710</v>
      </c>
      <c r="O755" t="s">
        <v>1039</v>
      </c>
      <c r="P755" t="s">
        <v>4777</v>
      </c>
      <c r="Q755" t="s">
        <v>4858</v>
      </c>
      <c r="R755" t="s">
        <v>4773</v>
      </c>
    </row>
    <row r="756" spans="1:18" x14ac:dyDescent="0.3">
      <c r="A756">
        <v>180839</v>
      </c>
      <c r="B756" t="s">
        <v>4875</v>
      </c>
      <c r="C756" t="s">
        <v>415</v>
      </c>
      <c r="D756" t="s">
        <v>60</v>
      </c>
      <c r="E756" s="1">
        <v>46129</v>
      </c>
      <c r="F756" t="s">
        <v>4333</v>
      </c>
      <c r="G756" t="s">
        <v>4201</v>
      </c>
      <c r="H756" t="s">
        <v>414</v>
      </c>
      <c r="I756" t="s">
        <v>204</v>
      </c>
      <c r="J756" s="1">
        <v>46386</v>
      </c>
      <c r="K756" t="s">
        <v>768</v>
      </c>
      <c r="L756">
        <v>1769.77</v>
      </c>
      <c r="M756">
        <v>1769.77</v>
      </c>
      <c r="N756" t="s">
        <v>814</v>
      </c>
      <c r="O756" t="s">
        <v>1037</v>
      </c>
      <c r="P756" t="s">
        <v>4807</v>
      </c>
      <c r="Q756" t="s">
        <v>4852</v>
      </c>
      <c r="R756" t="s">
        <v>4771</v>
      </c>
    </row>
    <row r="757" spans="1:18" x14ac:dyDescent="0.3">
      <c r="A757">
        <v>64568</v>
      </c>
      <c r="B757" t="s">
        <v>1034</v>
      </c>
      <c r="C757" t="s">
        <v>666</v>
      </c>
      <c r="D757" t="s">
        <v>66</v>
      </c>
      <c r="E757" s="1">
        <v>46129</v>
      </c>
      <c r="F757" t="s">
        <v>4315</v>
      </c>
      <c r="G757" t="s">
        <v>4208</v>
      </c>
      <c r="H757" t="s">
        <v>665</v>
      </c>
      <c r="I757" t="s">
        <v>204</v>
      </c>
      <c r="J757" s="1">
        <v>46296</v>
      </c>
      <c r="K757" t="s">
        <v>717</v>
      </c>
      <c r="L757">
        <v>1</v>
      </c>
      <c r="M757">
        <v>799.95</v>
      </c>
      <c r="N757" t="s">
        <v>998</v>
      </c>
      <c r="O757" t="s">
        <v>1033</v>
      </c>
      <c r="P757" t="s">
        <v>4776</v>
      </c>
      <c r="Q757" t="s">
        <v>4852</v>
      </c>
      <c r="R757" t="s">
        <v>807</v>
      </c>
    </row>
    <row r="758" spans="1:18" x14ac:dyDescent="0.3">
      <c r="A758">
        <v>202649908</v>
      </c>
      <c r="B758" t="s">
        <v>1034</v>
      </c>
      <c r="C758" t="s">
        <v>522</v>
      </c>
      <c r="D758" t="s">
        <v>50</v>
      </c>
      <c r="E758" s="1">
        <v>46129</v>
      </c>
      <c r="F758" t="s">
        <v>4352</v>
      </c>
      <c r="G758" t="s">
        <v>4070</v>
      </c>
      <c r="H758" t="s">
        <v>521</v>
      </c>
      <c r="I758" t="s">
        <v>204</v>
      </c>
      <c r="J758" s="1">
        <v>46387</v>
      </c>
      <c r="K758" t="s">
        <v>717</v>
      </c>
      <c r="L758">
        <v>562.80999999999995</v>
      </c>
      <c r="M758">
        <v>562.80999999999995</v>
      </c>
      <c r="N758" t="s">
        <v>884</v>
      </c>
      <c r="O758" t="s">
        <v>1037</v>
      </c>
      <c r="P758" t="s">
        <v>4776</v>
      </c>
      <c r="Q758" t="s">
        <v>4852</v>
      </c>
      <c r="R758" t="s">
        <v>4773</v>
      </c>
    </row>
    <row r="759" spans="1:18" x14ac:dyDescent="0.3">
      <c r="A759">
        <v>9244516</v>
      </c>
      <c r="B759" t="s">
        <v>1034</v>
      </c>
      <c r="C759" t="s">
        <v>433</v>
      </c>
      <c r="D759" t="s">
        <v>168</v>
      </c>
      <c r="E759" s="1">
        <v>46129</v>
      </c>
      <c r="F759" t="s">
        <v>4319</v>
      </c>
      <c r="G759" t="s">
        <v>4185</v>
      </c>
      <c r="H759" t="s">
        <v>699</v>
      </c>
      <c r="I759" t="s">
        <v>204</v>
      </c>
      <c r="J759" s="1">
        <v>46477</v>
      </c>
      <c r="K759" t="s">
        <v>717</v>
      </c>
      <c r="L759">
        <v>327</v>
      </c>
      <c r="M759">
        <v>327.02</v>
      </c>
      <c r="N759" t="s">
        <v>719</v>
      </c>
      <c r="O759" t="s">
        <v>4833</v>
      </c>
      <c r="P759" t="s">
        <v>4802</v>
      </c>
      <c r="Q759" t="s">
        <v>4852</v>
      </c>
      <c r="R759" t="s">
        <v>807</v>
      </c>
    </row>
    <row r="760" spans="1:18" x14ac:dyDescent="0.3">
      <c r="A760">
        <v>1579</v>
      </c>
      <c r="B760" t="s">
        <v>1034</v>
      </c>
      <c r="C760" t="s">
        <v>638</v>
      </c>
      <c r="D760" t="s">
        <v>134</v>
      </c>
      <c r="E760" s="1">
        <v>46129</v>
      </c>
      <c r="F760" t="s">
        <v>4296</v>
      </c>
      <c r="G760" t="s">
        <v>3582</v>
      </c>
      <c r="H760" t="s">
        <v>637</v>
      </c>
      <c r="I760" t="s">
        <v>204</v>
      </c>
      <c r="J760" s="1">
        <v>46537</v>
      </c>
      <c r="K760" t="s">
        <v>711</v>
      </c>
      <c r="L760">
        <v>1941</v>
      </c>
      <c r="M760">
        <v>1941</v>
      </c>
      <c r="N760" t="s">
        <v>710</v>
      </c>
      <c r="O760" t="s">
        <v>1036</v>
      </c>
      <c r="P760" t="s">
        <v>4776</v>
      </c>
      <c r="Q760" t="s">
        <v>4901</v>
      </c>
    </row>
    <row r="761" spans="1:18" x14ac:dyDescent="0.3">
      <c r="A761">
        <v>66</v>
      </c>
      <c r="B761" t="s">
        <v>4875</v>
      </c>
      <c r="C761" t="s">
        <v>322</v>
      </c>
      <c r="D761" t="s">
        <v>158</v>
      </c>
      <c r="E761" s="1">
        <v>46129</v>
      </c>
      <c r="F761" t="s">
        <v>4432</v>
      </c>
      <c r="G761" t="s">
        <v>4085</v>
      </c>
      <c r="H761" t="s">
        <v>352</v>
      </c>
      <c r="I761" t="s">
        <v>204</v>
      </c>
      <c r="J761" s="1">
        <v>46310</v>
      </c>
      <c r="K761" t="s">
        <v>748</v>
      </c>
      <c r="L761">
        <v>110</v>
      </c>
      <c r="M761">
        <v>2198.9</v>
      </c>
      <c r="N761" t="s">
        <v>710</v>
      </c>
      <c r="O761" t="s">
        <v>1040</v>
      </c>
      <c r="P761" t="s">
        <v>4782</v>
      </c>
      <c r="Q761" t="s">
        <v>4856</v>
      </c>
      <c r="R761" t="s">
        <v>4773</v>
      </c>
    </row>
    <row r="762" spans="1:18" x14ac:dyDescent="0.3">
      <c r="A762">
        <v>65</v>
      </c>
      <c r="B762" t="s">
        <v>4875</v>
      </c>
      <c r="C762" t="s">
        <v>322</v>
      </c>
      <c r="D762" t="s">
        <v>158</v>
      </c>
      <c r="E762" s="1">
        <v>46129</v>
      </c>
      <c r="F762" t="s">
        <v>4433</v>
      </c>
      <c r="G762" t="s">
        <v>4083</v>
      </c>
      <c r="H762" t="s">
        <v>321</v>
      </c>
      <c r="I762" t="s">
        <v>204</v>
      </c>
      <c r="J762" s="1">
        <v>46310</v>
      </c>
      <c r="K762" t="s">
        <v>748</v>
      </c>
      <c r="L762">
        <v>1963.8181999999999</v>
      </c>
      <c r="M762">
        <v>25510</v>
      </c>
      <c r="N762" t="s">
        <v>710</v>
      </c>
      <c r="O762" t="s">
        <v>1040</v>
      </c>
      <c r="P762" t="s">
        <v>4782</v>
      </c>
      <c r="Q762" t="s">
        <v>4856</v>
      </c>
      <c r="R762" t="s">
        <v>4773</v>
      </c>
    </row>
    <row r="763" spans="1:18" x14ac:dyDescent="0.3">
      <c r="A763">
        <v>546085</v>
      </c>
      <c r="B763" t="s">
        <v>4875</v>
      </c>
      <c r="C763" t="s">
        <v>338</v>
      </c>
      <c r="D763" t="s">
        <v>31</v>
      </c>
      <c r="E763" s="1">
        <v>46129</v>
      </c>
      <c r="F763" t="s">
        <v>4299</v>
      </c>
      <c r="G763" t="s">
        <v>4141</v>
      </c>
      <c r="H763" t="s">
        <v>353</v>
      </c>
      <c r="I763" t="s">
        <v>204</v>
      </c>
      <c r="J763" s="1">
        <v>54878</v>
      </c>
      <c r="K763" t="s">
        <v>748</v>
      </c>
      <c r="L763">
        <v>6617</v>
      </c>
      <c r="M763">
        <v>6617.4</v>
      </c>
      <c r="N763" t="s">
        <v>710</v>
      </c>
      <c r="O763" t="s">
        <v>1040</v>
      </c>
      <c r="P763" t="s">
        <v>4785</v>
      </c>
      <c r="Q763" t="s">
        <v>4856</v>
      </c>
      <c r="R763" t="s">
        <v>4773</v>
      </c>
    </row>
    <row r="764" spans="1:18" x14ac:dyDescent="0.3">
      <c r="A764">
        <v>58314</v>
      </c>
      <c r="B764" t="s">
        <v>1034</v>
      </c>
      <c r="C764" t="s">
        <v>698</v>
      </c>
      <c r="D764" t="s">
        <v>67</v>
      </c>
      <c r="E764" s="1">
        <v>46129</v>
      </c>
      <c r="F764" t="s">
        <v>4386</v>
      </c>
      <c r="G764" t="s">
        <v>4213</v>
      </c>
      <c r="H764" t="s">
        <v>697</v>
      </c>
      <c r="I764" t="s">
        <v>204</v>
      </c>
      <c r="J764" s="1">
        <v>46477</v>
      </c>
      <c r="K764" t="s">
        <v>717</v>
      </c>
      <c r="L764">
        <v>18961.830000000002</v>
      </c>
      <c r="M764">
        <v>18961.830000000002</v>
      </c>
      <c r="N764" t="s">
        <v>814</v>
      </c>
      <c r="O764" t="s">
        <v>1042</v>
      </c>
      <c r="P764" t="s">
        <v>1006</v>
      </c>
      <c r="Q764" t="s">
        <v>4852</v>
      </c>
      <c r="R764" t="s">
        <v>807</v>
      </c>
    </row>
    <row r="765" spans="1:18" x14ac:dyDescent="0.3">
      <c r="A765">
        <v>601254</v>
      </c>
      <c r="B765" t="s">
        <v>4874</v>
      </c>
      <c r="C765" t="s">
        <v>248</v>
      </c>
      <c r="D765" t="s">
        <v>13</v>
      </c>
      <c r="E765" s="1">
        <v>46128</v>
      </c>
      <c r="F765" t="s">
        <v>4297</v>
      </c>
      <c r="G765" t="s">
        <v>4159</v>
      </c>
      <c r="H765" t="s">
        <v>247</v>
      </c>
      <c r="I765" t="s">
        <v>204</v>
      </c>
      <c r="J765" s="1">
        <v>54878</v>
      </c>
      <c r="K765" t="s">
        <v>720</v>
      </c>
      <c r="L765">
        <v>573.72</v>
      </c>
      <c r="M765">
        <v>573.72</v>
      </c>
      <c r="N765" t="s">
        <v>710</v>
      </c>
      <c r="O765" t="s">
        <v>1038</v>
      </c>
      <c r="P765" t="s">
        <v>4779</v>
      </c>
      <c r="Q765" t="s">
        <v>4858</v>
      </c>
      <c r="R765" t="s">
        <v>4773</v>
      </c>
    </row>
    <row r="766" spans="1:18" x14ac:dyDescent="0.3">
      <c r="A766">
        <v>66788</v>
      </c>
      <c r="B766" t="s">
        <v>4874</v>
      </c>
      <c r="C766" t="s">
        <v>437</v>
      </c>
      <c r="D766" t="s">
        <v>150</v>
      </c>
      <c r="E766" s="1">
        <v>46128</v>
      </c>
      <c r="F766" t="s">
        <v>4395</v>
      </c>
      <c r="G766" t="s">
        <v>4181</v>
      </c>
      <c r="H766" t="s">
        <v>436</v>
      </c>
      <c r="I766" t="s">
        <v>204</v>
      </c>
      <c r="J766" s="1">
        <v>54878</v>
      </c>
      <c r="K766" t="s">
        <v>762</v>
      </c>
      <c r="L766">
        <v>818</v>
      </c>
      <c r="M766">
        <v>818</v>
      </c>
      <c r="N766" t="s">
        <v>719</v>
      </c>
      <c r="O766" t="s">
        <v>1037</v>
      </c>
      <c r="P766" t="s">
        <v>4788</v>
      </c>
      <c r="Q766" t="s">
        <v>4852</v>
      </c>
      <c r="R766" t="s">
        <v>4771</v>
      </c>
    </row>
    <row r="767" spans="1:18" x14ac:dyDescent="0.3">
      <c r="A767">
        <v>1321</v>
      </c>
      <c r="B767" t="s">
        <v>4874</v>
      </c>
      <c r="C767" t="s">
        <v>305</v>
      </c>
      <c r="D767" t="s">
        <v>59</v>
      </c>
      <c r="E767" s="1">
        <v>46128</v>
      </c>
      <c r="F767" t="s">
        <v>4359</v>
      </c>
      <c r="G767" t="s">
        <v>4073</v>
      </c>
      <c r="H767" t="s">
        <v>304</v>
      </c>
      <c r="I767" t="s">
        <v>204</v>
      </c>
      <c r="J767" s="1">
        <v>46481</v>
      </c>
      <c r="K767" t="s">
        <v>720</v>
      </c>
      <c r="L767">
        <v>4168.1400000000003</v>
      </c>
      <c r="M767">
        <v>4168.1400000000003</v>
      </c>
      <c r="N767" t="s">
        <v>809</v>
      </c>
      <c r="O767" t="s">
        <v>1038</v>
      </c>
      <c r="P767" t="s">
        <v>4783</v>
      </c>
      <c r="Q767" t="s">
        <v>4858</v>
      </c>
      <c r="R767" t="s">
        <v>4771</v>
      </c>
    </row>
    <row r="768" spans="1:18" x14ac:dyDescent="0.3">
      <c r="A768">
        <v>1417070</v>
      </c>
      <c r="B768" t="s">
        <v>4874</v>
      </c>
      <c r="C768" t="s">
        <v>472</v>
      </c>
      <c r="D768" t="s">
        <v>48</v>
      </c>
      <c r="E768" s="1">
        <v>46128</v>
      </c>
      <c r="F768" t="s">
        <v>4315</v>
      </c>
      <c r="G768" t="s">
        <v>4197</v>
      </c>
      <c r="H768" t="s">
        <v>471</v>
      </c>
      <c r="I768" t="s">
        <v>204</v>
      </c>
      <c r="J768" s="1">
        <v>46270</v>
      </c>
      <c r="K768" t="s">
        <v>762</v>
      </c>
      <c r="L768">
        <v>537.80999999999995</v>
      </c>
      <c r="M768">
        <v>537.80999999999995</v>
      </c>
      <c r="N768" t="s">
        <v>710</v>
      </c>
      <c r="O768" t="s">
        <v>4845</v>
      </c>
      <c r="P768" t="s">
        <v>4776</v>
      </c>
      <c r="Q768" t="s">
        <v>4845</v>
      </c>
      <c r="R768" t="s">
        <v>4773</v>
      </c>
    </row>
    <row r="769" spans="1:18" x14ac:dyDescent="0.3">
      <c r="A769">
        <v>1417073</v>
      </c>
      <c r="B769" t="s">
        <v>4874</v>
      </c>
      <c r="C769" t="s">
        <v>472</v>
      </c>
      <c r="D769" t="s">
        <v>48</v>
      </c>
      <c r="E769" s="1">
        <v>46128</v>
      </c>
      <c r="F769" t="s">
        <v>4345</v>
      </c>
      <c r="G769" t="s">
        <v>4197</v>
      </c>
      <c r="H769" t="s">
        <v>471</v>
      </c>
      <c r="I769" t="s">
        <v>204</v>
      </c>
      <c r="J769" s="1">
        <v>46270</v>
      </c>
      <c r="K769" t="s">
        <v>762</v>
      </c>
      <c r="L769">
        <v>53.78</v>
      </c>
      <c r="M769">
        <v>53.78</v>
      </c>
      <c r="N769" t="s">
        <v>710</v>
      </c>
      <c r="O769" t="s">
        <v>4845</v>
      </c>
      <c r="P769" t="s">
        <v>4776</v>
      </c>
      <c r="Q769" t="s">
        <v>4845</v>
      </c>
      <c r="R769" t="s">
        <v>4773</v>
      </c>
    </row>
    <row r="770" spans="1:18" x14ac:dyDescent="0.3">
      <c r="A770">
        <v>3067</v>
      </c>
      <c r="B770" t="s">
        <v>4875</v>
      </c>
      <c r="C770" t="s">
        <v>314</v>
      </c>
      <c r="D770" t="s">
        <v>39</v>
      </c>
      <c r="E770" s="1">
        <v>46128</v>
      </c>
      <c r="F770" t="s">
        <v>4347</v>
      </c>
      <c r="G770" t="s">
        <v>4139</v>
      </c>
      <c r="H770" t="s">
        <v>341</v>
      </c>
      <c r="I770" t="s">
        <v>204</v>
      </c>
      <c r="J770" s="1">
        <v>46266</v>
      </c>
      <c r="K770" t="s">
        <v>748</v>
      </c>
      <c r="L770">
        <v>1</v>
      </c>
      <c r="M770">
        <v>1100</v>
      </c>
      <c r="N770" t="s">
        <v>710</v>
      </c>
      <c r="O770" t="s">
        <v>4834</v>
      </c>
      <c r="P770" t="s">
        <v>4776</v>
      </c>
      <c r="Q770" t="s">
        <v>4856</v>
      </c>
      <c r="R770" t="s">
        <v>4773</v>
      </c>
    </row>
    <row r="771" spans="1:18" x14ac:dyDescent="0.3">
      <c r="A771">
        <v>43317</v>
      </c>
      <c r="B771" t="s">
        <v>4875</v>
      </c>
      <c r="C771" t="s">
        <v>327</v>
      </c>
      <c r="D771" t="s">
        <v>159</v>
      </c>
      <c r="E771" s="1">
        <v>46128</v>
      </c>
      <c r="F771" t="s">
        <v>4295</v>
      </c>
      <c r="G771" t="s">
        <v>4060</v>
      </c>
      <c r="H771" t="s">
        <v>326</v>
      </c>
      <c r="I771" t="s">
        <v>204</v>
      </c>
      <c r="J771" s="1">
        <v>54878</v>
      </c>
      <c r="K771" t="s">
        <v>748</v>
      </c>
      <c r="L771">
        <v>2150</v>
      </c>
      <c r="M771">
        <v>2150</v>
      </c>
      <c r="N771" t="s">
        <v>719</v>
      </c>
      <c r="O771" t="s">
        <v>4834</v>
      </c>
      <c r="P771" t="s">
        <v>4776</v>
      </c>
      <c r="Q771" t="s">
        <v>4856</v>
      </c>
      <c r="R771" t="s">
        <v>4773</v>
      </c>
    </row>
    <row r="772" spans="1:18" x14ac:dyDescent="0.3">
      <c r="A772">
        <v>3914</v>
      </c>
      <c r="B772" t="s">
        <v>4875</v>
      </c>
      <c r="C772" t="s">
        <v>319</v>
      </c>
      <c r="D772" t="s">
        <v>36</v>
      </c>
      <c r="E772" s="1">
        <v>46128</v>
      </c>
      <c r="F772" t="s">
        <v>4298</v>
      </c>
      <c r="G772" t="s">
        <v>4167</v>
      </c>
      <c r="H772" t="s">
        <v>336</v>
      </c>
      <c r="I772" t="s">
        <v>204</v>
      </c>
      <c r="J772" s="1">
        <v>46075</v>
      </c>
      <c r="K772" t="s">
        <v>748</v>
      </c>
      <c r="L772">
        <v>2</v>
      </c>
      <c r="M772">
        <v>398.28</v>
      </c>
      <c r="N772" t="s">
        <v>710</v>
      </c>
      <c r="O772" t="s">
        <v>1040</v>
      </c>
      <c r="P772" t="s">
        <v>4784</v>
      </c>
      <c r="Q772" t="s">
        <v>4856</v>
      </c>
      <c r="R772" t="s">
        <v>4771</v>
      </c>
    </row>
    <row r="773" spans="1:18" x14ac:dyDescent="0.3">
      <c r="A773">
        <v>43318</v>
      </c>
      <c r="B773" t="s">
        <v>4875</v>
      </c>
      <c r="C773" t="s">
        <v>327</v>
      </c>
      <c r="D773" t="s">
        <v>159</v>
      </c>
      <c r="E773" s="1">
        <v>46128</v>
      </c>
      <c r="F773" t="s">
        <v>4295</v>
      </c>
      <c r="G773" t="s">
        <v>4060</v>
      </c>
      <c r="H773" t="s">
        <v>326</v>
      </c>
      <c r="I773" t="s">
        <v>204</v>
      </c>
      <c r="J773" s="1">
        <v>54878</v>
      </c>
      <c r="K773" t="s">
        <v>748</v>
      </c>
      <c r="L773">
        <v>56.63</v>
      </c>
      <c r="M773">
        <v>56.63</v>
      </c>
      <c r="N773" t="s">
        <v>719</v>
      </c>
      <c r="O773" t="s">
        <v>4834</v>
      </c>
      <c r="P773" t="s">
        <v>4776</v>
      </c>
      <c r="Q773" t="s">
        <v>4856</v>
      </c>
      <c r="R773" t="s">
        <v>4773</v>
      </c>
    </row>
    <row r="774" spans="1:18" x14ac:dyDescent="0.3">
      <c r="A774">
        <v>3066</v>
      </c>
      <c r="B774" t="s">
        <v>1034</v>
      </c>
      <c r="C774" t="s">
        <v>314</v>
      </c>
      <c r="D774" t="s">
        <v>39</v>
      </c>
      <c r="E774" s="1">
        <v>46128</v>
      </c>
      <c r="F774" t="s">
        <v>4347</v>
      </c>
      <c r="G774" t="s">
        <v>3762</v>
      </c>
      <c r="H774" t="s">
        <v>313</v>
      </c>
      <c r="I774" t="s">
        <v>204</v>
      </c>
      <c r="J774" s="1">
        <v>46237</v>
      </c>
      <c r="K774" t="s">
        <v>711</v>
      </c>
      <c r="L774">
        <v>1</v>
      </c>
      <c r="M774">
        <v>1150</v>
      </c>
      <c r="N774" t="s">
        <v>710</v>
      </c>
      <c r="O774" t="s">
        <v>4834</v>
      </c>
      <c r="P774" t="s">
        <v>4779</v>
      </c>
      <c r="Q774" t="s">
        <v>4901</v>
      </c>
      <c r="R774" t="s">
        <v>4773</v>
      </c>
    </row>
    <row r="775" spans="1:18" x14ac:dyDescent="0.3">
      <c r="A775">
        <v>871865</v>
      </c>
      <c r="B775" t="s">
        <v>1034</v>
      </c>
      <c r="C775" t="s">
        <v>276</v>
      </c>
      <c r="D775" t="s">
        <v>5</v>
      </c>
      <c r="E775" s="1">
        <v>46127</v>
      </c>
      <c r="F775" t="s">
        <v>4315</v>
      </c>
      <c r="G775" t="s">
        <v>4168</v>
      </c>
      <c r="H775" t="s">
        <v>275</v>
      </c>
      <c r="I775" t="s">
        <v>204</v>
      </c>
      <c r="J775" s="1">
        <v>46904</v>
      </c>
      <c r="K775" t="s">
        <v>717</v>
      </c>
      <c r="L775">
        <v>38232.449999999997</v>
      </c>
      <c r="M775">
        <v>38232.449999999997</v>
      </c>
      <c r="N775" t="s">
        <v>710</v>
      </c>
      <c r="O775" t="s">
        <v>1037</v>
      </c>
      <c r="P775" t="s">
        <v>4776</v>
      </c>
      <c r="Q775" t="s">
        <v>4852</v>
      </c>
      <c r="R775" t="s">
        <v>4773</v>
      </c>
    </row>
    <row r="776" spans="1:18" x14ac:dyDescent="0.3">
      <c r="A776">
        <v>2393</v>
      </c>
      <c r="B776" t="s">
        <v>4874</v>
      </c>
      <c r="C776" t="s">
        <v>424</v>
      </c>
      <c r="D776" t="s">
        <v>132</v>
      </c>
      <c r="E776" s="1">
        <v>46127</v>
      </c>
      <c r="F776" t="s">
        <v>4401</v>
      </c>
      <c r="G776" t="s">
        <v>4156</v>
      </c>
      <c r="H776" t="s">
        <v>423</v>
      </c>
      <c r="I776" t="s">
        <v>204</v>
      </c>
      <c r="J776" s="1">
        <v>54878</v>
      </c>
      <c r="K776" t="s">
        <v>845</v>
      </c>
      <c r="L776">
        <v>4010</v>
      </c>
      <c r="M776">
        <v>4010</v>
      </c>
      <c r="N776" t="s">
        <v>710</v>
      </c>
      <c r="O776" t="s">
        <v>1042</v>
      </c>
      <c r="P776" t="s">
        <v>1006</v>
      </c>
      <c r="Q776" t="s">
        <v>4852</v>
      </c>
      <c r="R776" t="s">
        <v>4771</v>
      </c>
    </row>
    <row r="777" spans="1:18" x14ac:dyDescent="0.3">
      <c r="A777">
        <v>1517</v>
      </c>
      <c r="B777" t="s">
        <v>4875</v>
      </c>
      <c r="C777" t="s">
        <v>638</v>
      </c>
      <c r="D777" t="s">
        <v>134</v>
      </c>
      <c r="E777" s="1">
        <v>46127</v>
      </c>
      <c r="F777" t="s">
        <v>4296</v>
      </c>
      <c r="G777" t="s">
        <v>4043</v>
      </c>
      <c r="H777" t="s">
        <v>639</v>
      </c>
      <c r="I777" t="s">
        <v>204</v>
      </c>
      <c r="J777" s="1">
        <v>46537</v>
      </c>
      <c r="K777" t="s">
        <v>748</v>
      </c>
      <c r="L777">
        <v>1301</v>
      </c>
      <c r="M777">
        <v>1301</v>
      </c>
      <c r="N777" t="s">
        <v>710</v>
      </c>
      <c r="O777" t="s">
        <v>1040</v>
      </c>
      <c r="P777" t="s">
        <v>4776</v>
      </c>
      <c r="Q777" t="s">
        <v>4856</v>
      </c>
    </row>
    <row r="778" spans="1:18" x14ac:dyDescent="0.3">
      <c r="A778">
        <v>406131</v>
      </c>
      <c r="B778" t="s">
        <v>4874</v>
      </c>
      <c r="C778" t="s">
        <v>250</v>
      </c>
      <c r="D778" t="s">
        <v>55</v>
      </c>
      <c r="E778" s="1">
        <v>46127</v>
      </c>
      <c r="F778" t="s">
        <v>4391</v>
      </c>
      <c r="G778" t="s">
        <v>4158</v>
      </c>
      <c r="H778" t="s">
        <v>249</v>
      </c>
      <c r="I778" t="s">
        <v>204</v>
      </c>
      <c r="J778" s="1">
        <v>54878</v>
      </c>
      <c r="K778" t="s">
        <v>720</v>
      </c>
      <c r="L778">
        <v>643.59</v>
      </c>
      <c r="M778">
        <v>643.59</v>
      </c>
      <c r="N778" t="s">
        <v>719</v>
      </c>
      <c r="O778" t="s">
        <v>1038</v>
      </c>
      <c r="P778" t="s">
        <v>4778</v>
      </c>
      <c r="Q778" t="s">
        <v>4858</v>
      </c>
      <c r="R778" t="s">
        <v>4771</v>
      </c>
    </row>
    <row r="779" spans="1:18" x14ac:dyDescent="0.3">
      <c r="A779">
        <v>406134</v>
      </c>
      <c r="B779" t="s">
        <v>4874</v>
      </c>
      <c r="C779" t="s">
        <v>250</v>
      </c>
      <c r="D779" t="s">
        <v>55</v>
      </c>
      <c r="E779" s="1">
        <v>46127</v>
      </c>
      <c r="F779" t="s">
        <v>4391</v>
      </c>
      <c r="G779" t="s">
        <v>4158</v>
      </c>
      <c r="H779" t="s">
        <v>249</v>
      </c>
      <c r="I779" t="s">
        <v>204</v>
      </c>
      <c r="J779" s="1">
        <v>54878</v>
      </c>
      <c r="K779" t="s">
        <v>720</v>
      </c>
      <c r="L779">
        <v>643.59</v>
      </c>
      <c r="M779">
        <v>643.59</v>
      </c>
      <c r="N779" t="s">
        <v>719</v>
      </c>
      <c r="O779" t="s">
        <v>1038</v>
      </c>
      <c r="P779" t="s">
        <v>4778</v>
      </c>
      <c r="Q779" t="s">
        <v>4858</v>
      </c>
      <c r="R779" t="s">
        <v>4771</v>
      </c>
    </row>
    <row r="780" spans="1:18" x14ac:dyDescent="0.3">
      <c r="A780">
        <v>2186</v>
      </c>
      <c r="B780" t="s">
        <v>4875</v>
      </c>
      <c r="C780" t="s">
        <v>585</v>
      </c>
      <c r="D780" t="s">
        <v>179</v>
      </c>
      <c r="E780" s="1">
        <v>46127</v>
      </c>
      <c r="F780" t="s">
        <v>4306</v>
      </c>
      <c r="G780" t="s">
        <v>4089</v>
      </c>
      <c r="H780" t="s">
        <v>586</v>
      </c>
      <c r="I780" t="s">
        <v>204</v>
      </c>
      <c r="J780" s="1">
        <v>46477</v>
      </c>
      <c r="K780" t="s">
        <v>768</v>
      </c>
      <c r="L780">
        <v>1139.9000000000001</v>
      </c>
      <c r="M780">
        <v>1139.9000000000001</v>
      </c>
      <c r="N780" t="s">
        <v>719</v>
      </c>
      <c r="O780" t="s">
        <v>4833</v>
      </c>
      <c r="P780" t="s">
        <v>4786</v>
      </c>
      <c r="Q780" t="s">
        <v>4852</v>
      </c>
      <c r="R780" t="s">
        <v>4771</v>
      </c>
    </row>
    <row r="781" spans="1:18" x14ac:dyDescent="0.3">
      <c r="A781">
        <v>118</v>
      </c>
      <c r="B781" t="s">
        <v>1034</v>
      </c>
      <c r="C781" t="s">
        <v>641</v>
      </c>
      <c r="D781" t="s">
        <v>26</v>
      </c>
      <c r="E781" s="1">
        <v>46126</v>
      </c>
      <c r="F781" t="s">
        <v>4370</v>
      </c>
      <c r="G781" t="s">
        <v>4163</v>
      </c>
      <c r="H781" t="s">
        <v>640</v>
      </c>
      <c r="I781" t="s">
        <v>204</v>
      </c>
      <c r="J781" s="1">
        <v>46142</v>
      </c>
      <c r="K781" t="s">
        <v>717</v>
      </c>
      <c r="L781">
        <v>8627.6200000000008</v>
      </c>
      <c r="M781">
        <v>8627.6200000000008</v>
      </c>
      <c r="N781" t="s">
        <v>710</v>
      </c>
      <c r="O781" t="s">
        <v>1042</v>
      </c>
      <c r="P781" t="s">
        <v>1006</v>
      </c>
      <c r="Q781" t="s">
        <v>4852</v>
      </c>
    </row>
    <row r="782" spans="1:18" x14ac:dyDescent="0.3">
      <c r="A782">
        <v>7376</v>
      </c>
      <c r="B782" t="s">
        <v>4874</v>
      </c>
      <c r="C782" t="s">
        <v>387</v>
      </c>
      <c r="D782" t="s">
        <v>42</v>
      </c>
      <c r="E782" s="1">
        <v>46126</v>
      </c>
      <c r="F782" t="s">
        <v>4345</v>
      </c>
      <c r="G782" t="s">
        <v>4098</v>
      </c>
      <c r="H782" t="s">
        <v>386</v>
      </c>
      <c r="I782" t="s">
        <v>204</v>
      </c>
      <c r="J782" s="1">
        <v>54878</v>
      </c>
      <c r="K782" t="s">
        <v>762</v>
      </c>
      <c r="L782">
        <v>1887</v>
      </c>
      <c r="M782">
        <v>1887</v>
      </c>
      <c r="N782" t="s">
        <v>719</v>
      </c>
      <c r="O782" t="s">
        <v>4833</v>
      </c>
      <c r="P782" t="s">
        <v>4776</v>
      </c>
      <c r="Q782" t="s">
        <v>4852</v>
      </c>
      <c r="R782" t="s">
        <v>4773</v>
      </c>
    </row>
    <row r="783" spans="1:18" x14ac:dyDescent="0.3">
      <c r="A783">
        <v>3944</v>
      </c>
      <c r="B783" t="s">
        <v>4874</v>
      </c>
      <c r="C783" t="s">
        <v>225</v>
      </c>
      <c r="D783" t="s">
        <v>166</v>
      </c>
      <c r="E783" s="1">
        <v>46126</v>
      </c>
      <c r="F783" t="s">
        <v>4383</v>
      </c>
      <c r="G783" t="s">
        <v>4126</v>
      </c>
      <c r="H783" t="s">
        <v>224</v>
      </c>
      <c r="I783" t="s">
        <v>204</v>
      </c>
      <c r="J783" s="1">
        <v>54878</v>
      </c>
      <c r="K783" t="s">
        <v>720</v>
      </c>
      <c r="L783">
        <v>476.36</v>
      </c>
      <c r="M783">
        <v>476.36</v>
      </c>
      <c r="N783" t="s">
        <v>710</v>
      </c>
      <c r="O783" t="s">
        <v>4849</v>
      </c>
      <c r="P783" t="s">
        <v>4776</v>
      </c>
      <c r="Q783" t="s">
        <v>4855</v>
      </c>
      <c r="R783" t="s">
        <v>4773</v>
      </c>
    </row>
    <row r="784" spans="1:18" x14ac:dyDescent="0.3">
      <c r="A784">
        <v>60984</v>
      </c>
      <c r="B784" t="s">
        <v>4874</v>
      </c>
      <c r="C784" t="s">
        <v>630</v>
      </c>
      <c r="D784" t="s">
        <v>145</v>
      </c>
      <c r="E784" s="1">
        <v>46126</v>
      </c>
      <c r="F784" t="s">
        <v>4297</v>
      </c>
      <c r="G784" t="s">
        <v>4096</v>
      </c>
      <c r="H784" t="s">
        <v>629</v>
      </c>
      <c r="I784" t="s">
        <v>204</v>
      </c>
      <c r="J784" s="1">
        <v>46264</v>
      </c>
      <c r="K784" t="s">
        <v>720</v>
      </c>
      <c r="L784">
        <v>1</v>
      </c>
      <c r="M784">
        <v>6250</v>
      </c>
      <c r="N784" t="s">
        <v>710</v>
      </c>
      <c r="O784" t="s">
        <v>4849</v>
      </c>
      <c r="P784" t="s">
        <v>4777</v>
      </c>
      <c r="Q784" t="s">
        <v>4855</v>
      </c>
      <c r="R784" t="s">
        <v>4771</v>
      </c>
    </row>
    <row r="785" spans="1:18" x14ac:dyDescent="0.3">
      <c r="A785">
        <v>5559</v>
      </c>
      <c r="B785" t="s">
        <v>4874</v>
      </c>
      <c r="C785" t="s">
        <v>444</v>
      </c>
      <c r="D785" t="s">
        <v>21</v>
      </c>
      <c r="E785" s="1">
        <v>46126</v>
      </c>
      <c r="F785" t="s">
        <v>4380</v>
      </c>
      <c r="G785" t="s">
        <v>4161</v>
      </c>
      <c r="H785" t="s">
        <v>443</v>
      </c>
      <c r="I785" t="s">
        <v>209</v>
      </c>
      <c r="J785" s="1">
        <v>54878</v>
      </c>
      <c r="K785" t="s">
        <v>762</v>
      </c>
      <c r="L785">
        <v>1</v>
      </c>
      <c r="M785">
        <v>400</v>
      </c>
      <c r="N785" t="s">
        <v>710</v>
      </c>
      <c r="O785" t="s">
        <v>1037</v>
      </c>
      <c r="P785" t="s">
        <v>4808</v>
      </c>
      <c r="Q785" t="s">
        <v>4852</v>
      </c>
      <c r="R785" t="s">
        <v>4772</v>
      </c>
    </row>
    <row r="786" spans="1:18" x14ac:dyDescent="0.3">
      <c r="A786">
        <v>54563</v>
      </c>
      <c r="B786" t="s">
        <v>1034</v>
      </c>
      <c r="C786" t="s">
        <v>451</v>
      </c>
      <c r="D786" t="s">
        <v>129</v>
      </c>
      <c r="E786" s="1">
        <v>46126</v>
      </c>
      <c r="F786" t="s">
        <v>4319</v>
      </c>
      <c r="G786" t="s">
        <v>4136</v>
      </c>
      <c r="H786" t="s">
        <v>662</v>
      </c>
      <c r="I786" t="s">
        <v>204</v>
      </c>
      <c r="J786" s="1">
        <v>46655</v>
      </c>
      <c r="K786" t="s">
        <v>717</v>
      </c>
      <c r="L786">
        <v>1692</v>
      </c>
      <c r="M786">
        <v>1692.42</v>
      </c>
      <c r="N786" t="s">
        <v>719</v>
      </c>
      <c r="O786" t="s">
        <v>4833</v>
      </c>
      <c r="P786" t="s">
        <v>4802</v>
      </c>
      <c r="Q786" t="s">
        <v>4852</v>
      </c>
      <c r="R786" t="s">
        <v>807</v>
      </c>
    </row>
    <row r="787" spans="1:18" x14ac:dyDescent="0.3">
      <c r="A787">
        <v>54648</v>
      </c>
      <c r="B787" t="s">
        <v>1034</v>
      </c>
      <c r="C787" t="s">
        <v>451</v>
      </c>
      <c r="D787" t="s">
        <v>129</v>
      </c>
      <c r="E787" s="1">
        <v>46126</v>
      </c>
      <c r="F787" t="s">
        <v>4319</v>
      </c>
      <c r="G787" t="s">
        <v>4136</v>
      </c>
      <c r="H787" t="s">
        <v>662</v>
      </c>
      <c r="I787" t="s">
        <v>204</v>
      </c>
      <c r="J787" s="1">
        <v>46655</v>
      </c>
      <c r="K787" t="s">
        <v>717</v>
      </c>
      <c r="L787">
        <v>188</v>
      </c>
      <c r="M787">
        <v>188.01</v>
      </c>
      <c r="N787" t="s">
        <v>719</v>
      </c>
      <c r="O787" t="s">
        <v>4833</v>
      </c>
      <c r="P787" t="s">
        <v>4802</v>
      </c>
      <c r="Q787" t="s">
        <v>4852</v>
      </c>
      <c r="R787" t="s">
        <v>807</v>
      </c>
    </row>
    <row r="788" spans="1:18" x14ac:dyDescent="0.3">
      <c r="A788">
        <v>54598</v>
      </c>
      <c r="B788" t="s">
        <v>1034</v>
      </c>
      <c r="C788" t="s">
        <v>451</v>
      </c>
      <c r="D788" t="s">
        <v>129</v>
      </c>
      <c r="E788" s="1">
        <v>46126</v>
      </c>
      <c r="F788" t="s">
        <v>4319</v>
      </c>
      <c r="G788" t="s">
        <v>4136</v>
      </c>
      <c r="H788" t="s">
        <v>662</v>
      </c>
      <c r="I788" t="s">
        <v>204</v>
      </c>
      <c r="J788" s="1">
        <v>46655</v>
      </c>
      <c r="K788" t="s">
        <v>717</v>
      </c>
      <c r="L788">
        <v>2618</v>
      </c>
      <c r="M788">
        <v>2618.17</v>
      </c>
      <c r="N788" t="s">
        <v>719</v>
      </c>
      <c r="O788" t="s">
        <v>4833</v>
      </c>
      <c r="P788" t="s">
        <v>4802</v>
      </c>
      <c r="Q788" t="s">
        <v>4852</v>
      </c>
      <c r="R788" t="s">
        <v>807</v>
      </c>
    </row>
    <row r="789" spans="1:18" x14ac:dyDescent="0.3">
      <c r="A789">
        <v>3606</v>
      </c>
      <c r="B789" t="s">
        <v>1034</v>
      </c>
      <c r="C789" t="s">
        <v>329</v>
      </c>
      <c r="D789" t="s">
        <v>125</v>
      </c>
      <c r="E789" s="1">
        <v>46125</v>
      </c>
      <c r="F789" t="s">
        <v>4320</v>
      </c>
      <c r="G789" t="s">
        <v>4134</v>
      </c>
      <c r="H789" t="s">
        <v>328</v>
      </c>
      <c r="I789" t="s">
        <v>204</v>
      </c>
      <c r="J789" s="1">
        <v>54878</v>
      </c>
      <c r="K789" t="s">
        <v>711</v>
      </c>
      <c r="L789">
        <v>430</v>
      </c>
      <c r="M789">
        <v>429.84</v>
      </c>
      <c r="N789" t="s">
        <v>710</v>
      </c>
      <c r="O789" t="s">
        <v>4834</v>
      </c>
      <c r="P789" t="s">
        <v>4784</v>
      </c>
      <c r="Q789" t="s">
        <v>4901</v>
      </c>
      <c r="R789" t="s">
        <v>4771</v>
      </c>
    </row>
    <row r="790" spans="1:18" x14ac:dyDescent="0.3">
      <c r="A790">
        <v>3889</v>
      </c>
      <c r="B790" t="s">
        <v>1034</v>
      </c>
      <c r="C790" t="s">
        <v>319</v>
      </c>
      <c r="D790" t="s">
        <v>36</v>
      </c>
      <c r="E790" s="1">
        <v>46125</v>
      </c>
      <c r="F790" t="s">
        <v>4298</v>
      </c>
      <c r="G790" t="s">
        <v>4132</v>
      </c>
      <c r="H790" t="s">
        <v>318</v>
      </c>
      <c r="I790" t="s">
        <v>204</v>
      </c>
      <c r="J790" s="1">
        <v>46214</v>
      </c>
      <c r="K790" t="s">
        <v>711</v>
      </c>
      <c r="L790">
        <v>1409</v>
      </c>
      <c r="M790">
        <v>1409.38</v>
      </c>
      <c r="N790" t="s">
        <v>710</v>
      </c>
      <c r="O790" t="s">
        <v>1036</v>
      </c>
      <c r="P790" t="s">
        <v>4784</v>
      </c>
      <c r="Q790" t="s">
        <v>4901</v>
      </c>
      <c r="R790" t="s">
        <v>4771</v>
      </c>
    </row>
    <row r="791" spans="1:18" x14ac:dyDescent="0.3">
      <c r="A791">
        <v>2443</v>
      </c>
      <c r="B791" t="s">
        <v>1034</v>
      </c>
      <c r="C791" t="s">
        <v>616</v>
      </c>
      <c r="D791" t="s">
        <v>152</v>
      </c>
      <c r="E791" s="1">
        <v>46125</v>
      </c>
      <c r="F791" t="s">
        <v>4338</v>
      </c>
      <c r="G791" t="s">
        <v>4040</v>
      </c>
      <c r="H791" t="s">
        <v>621</v>
      </c>
      <c r="I791" t="s">
        <v>204</v>
      </c>
      <c r="J791" s="1">
        <v>46349</v>
      </c>
      <c r="K791" t="s">
        <v>711</v>
      </c>
      <c r="L791">
        <v>62791.35</v>
      </c>
      <c r="M791">
        <v>62791.35</v>
      </c>
      <c r="N791" t="s">
        <v>710</v>
      </c>
      <c r="O791" t="s">
        <v>4904</v>
      </c>
      <c r="P791" t="s">
        <v>4796</v>
      </c>
      <c r="Q791" t="s">
        <v>4901</v>
      </c>
      <c r="R791" t="s">
        <v>4772</v>
      </c>
    </row>
    <row r="792" spans="1:18" x14ac:dyDescent="0.3">
      <c r="A792">
        <v>11806</v>
      </c>
      <c r="B792" t="s">
        <v>4874</v>
      </c>
      <c r="C792" t="s">
        <v>690</v>
      </c>
      <c r="D792" t="s">
        <v>65</v>
      </c>
      <c r="E792" s="1">
        <v>46125</v>
      </c>
      <c r="F792" t="s">
        <v>4386</v>
      </c>
      <c r="G792" t="s">
        <v>4075</v>
      </c>
      <c r="H792" t="s">
        <v>689</v>
      </c>
      <c r="I792" t="s">
        <v>204</v>
      </c>
      <c r="J792" s="1">
        <v>46423</v>
      </c>
      <c r="K792" t="s">
        <v>762</v>
      </c>
      <c r="L792">
        <v>1470</v>
      </c>
      <c r="M792">
        <v>1470</v>
      </c>
      <c r="N792" t="s">
        <v>710</v>
      </c>
      <c r="O792" t="s">
        <v>1042</v>
      </c>
      <c r="P792" t="s">
        <v>1006</v>
      </c>
      <c r="Q792" t="s">
        <v>4852</v>
      </c>
      <c r="R792" t="s">
        <v>807</v>
      </c>
    </row>
    <row r="793" spans="1:18" x14ac:dyDescent="0.3">
      <c r="A793">
        <v>223829</v>
      </c>
      <c r="B793" t="s">
        <v>4874</v>
      </c>
      <c r="C793" t="s">
        <v>441</v>
      </c>
      <c r="D793" t="s">
        <v>38</v>
      </c>
      <c r="E793" s="1">
        <v>46125</v>
      </c>
      <c r="F793" t="s">
        <v>4393</v>
      </c>
      <c r="G793" t="s">
        <v>4137</v>
      </c>
      <c r="H793" t="s">
        <v>440</v>
      </c>
      <c r="I793" t="s">
        <v>204</v>
      </c>
      <c r="J793" s="1">
        <v>46191</v>
      </c>
      <c r="K793" t="s">
        <v>762</v>
      </c>
      <c r="L793">
        <v>11315</v>
      </c>
      <c r="M793">
        <v>11315</v>
      </c>
      <c r="N793" t="s">
        <v>710</v>
      </c>
      <c r="O793" t="s">
        <v>4833</v>
      </c>
      <c r="P793" t="s">
        <v>4786</v>
      </c>
      <c r="Q793" t="s">
        <v>4852</v>
      </c>
      <c r="R793" t="s">
        <v>4773</v>
      </c>
    </row>
    <row r="794" spans="1:18" x14ac:dyDescent="0.3">
      <c r="A794">
        <v>17</v>
      </c>
      <c r="B794" t="s">
        <v>1034</v>
      </c>
      <c r="C794" t="s">
        <v>656</v>
      </c>
      <c r="D794" t="s">
        <v>56</v>
      </c>
      <c r="E794" s="1">
        <v>46125</v>
      </c>
      <c r="F794" t="s">
        <v>4383</v>
      </c>
      <c r="G794" t="s">
        <v>4080</v>
      </c>
      <c r="H794" t="s">
        <v>655</v>
      </c>
      <c r="I794" t="s">
        <v>204</v>
      </c>
      <c r="J794" s="1">
        <v>46600</v>
      </c>
      <c r="K794" t="s">
        <v>711</v>
      </c>
      <c r="L794">
        <v>6000</v>
      </c>
      <c r="M794">
        <v>6000</v>
      </c>
      <c r="N794" t="s">
        <v>814</v>
      </c>
      <c r="O794" t="s">
        <v>1036</v>
      </c>
      <c r="P794" t="s">
        <v>4776</v>
      </c>
      <c r="Q794" t="s">
        <v>4901</v>
      </c>
      <c r="R794" t="s">
        <v>807</v>
      </c>
    </row>
    <row r="795" spans="1:18" x14ac:dyDescent="0.3">
      <c r="A795">
        <v>1078</v>
      </c>
      <c r="B795" t="s">
        <v>1034</v>
      </c>
      <c r="C795" t="s">
        <v>319</v>
      </c>
      <c r="D795" t="s">
        <v>36</v>
      </c>
      <c r="E795" s="1">
        <v>46125</v>
      </c>
      <c r="F795" t="s">
        <v>4298</v>
      </c>
      <c r="G795" t="s">
        <v>4131</v>
      </c>
      <c r="H795" t="s">
        <v>318</v>
      </c>
      <c r="I795" t="s">
        <v>204</v>
      </c>
      <c r="J795" s="1">
        <v>46214</v>
      </c>
      <c r="K795" t="s">
        <v>711</v>
      </c>
      <c r="L795">
        <v>680</v>
      </c>
      <c r="M795">
        <v>680.36</v>
      </c>
      <c r="N795" t="s">
        <v>710</v>
      </c>
      <c r="O795" t="s">
        <v>1036</v>
      </c>
      <c r="P795" t="s">
        <v>4784</v>
      </c>
      <c r="Q795" t="s">
        <v>4901</v>
      </c>
      <c r="R795" t="s">
        <v>4771</v>
      </c>
    </row>
    <row r="796" spans="1:18" x14ac:dyDescent="0.3">
      <c r="A796">
        <v>6066245</v>
      </c>
      <c r="B796" t="s">
        <v>4874</v>
      </c>
      <c r="C796" t="s">
        <v>433</v>
      </c>
      <c r="D796" t="s">
        <v>168</v>
      </c>
      <c r="E796" s="1">
        <v>46125</v>
      </c>
      <c r="F796" t="s">
        <v>4319</v>
      </c>
      <c r="G796" t="s">
        <v>4155</v>
      </c>
      <c r="H796" t="s">
        <v>432</v>
      </c>
      <c r="I796" t="s">
        <v>204</v>
      </c>
      <c r="J796" s="1">
        <v>46473</v>
      </c>
      <c r="K796" t="s">
        <v>762</v>
      </c>
      <c r="L796">
        <v>116</v>
      </c>
      <c r="M796">
        <v>116.03</v>
      </c>
      <c r="N796" t="s">
        <v>710</v>
      </c>
      <c r="O796" t="s">
        <v>4833</v>
      </c>
      <c r="P796" t="s">
        <v>4802</v>
      </c>
      <c r="Q796" t="s">
        <v>4852</v>
      </c>
      <c r="R796" t="s">
        <v>4771</v>
      </c>
    </row>
    <row r="797" spans="1:18" x14ac:dyDescent="0.3">
      <c r="A797">
        <v>117</v>
      </c>
      <c r="B797" t="s">
        <v>1034</v>
      </c>
      <c r="C797" t="s">
        <v>641</v>
      </c>
      <c r="D797" t="s">
        <v>26</v>
      </c>
      <c r="E797" s="1">
        <v>46125</v>
      </c>
      <c r="F797" t="s">
        <v>4370</v>
      </c>
      <c r="G797" t="s">
        <v>4140</v>
      </c>
      <c r="H797" t="s">
        <v>640</v>
      </c>
      <c r="I797" t="s">
        <v>204</v>
      </c>
      <c r="J797" s="1">
        <v>46142</v>
      </c>
      <c r="K797" t="s">
        <v>717</v>
      </c>
      <c r="L797">
        <v>8627.6200000000008</v>
      </c>
      <c r="M797">
        <v>-8627.6200000000008</v>
      </c>
      <c r="N797" t="s">
        <v>710</v>
      </c>
      <c r="O797" t="s">
        <v>1042</v>
      </c>
      <c r="P797" t="s">
        <v>1006</v>
      </c>
      <c r="Q797" t="s">
        <v>4852</v>
      </c>
    </row>
    <row r="798" spans="1:18" x14ac:dyDescent="0.3">
      <c r="A798">
        <v>109795</v>
      </c>
      <c r="B798" t="s">
        <v>1034</v>
      </c>
      <c r="C798" t="s">
        <v>495</v>
      </c>
      <c r="D798" t="s">
        <v>44</v>
      </c>
      <c r="E798" s="1">
        <v>46125</v>
      </c>
      <c r="F798" t="s">
        <v>4303</v>
      </c>
      <c r="G798" t="s">
        <v>4157</v>
      </c>
      <c r="H798" t="s">
        <v>494</v>
      </c>
      <c r="I798" t="s">
        <v>204</v>
      </c>
      <c r="J798" s="1">
        <v>54878</v>
      </c>
      <c r="K798" t="s">
        <v>717</v>
      </c>
      <c r="L798">
        <v>1604.96</v>
      </c>
      <c r="M798">
        <v>1604.96</v>
      </c>
      <c r="N798" t="s">
        <v>710</v>
      </c>
      <c r="O798" t="s">
        <v>4833</v>
      </c>
      <c r="P798" t="s">
        <v>4776</v>
      </c>
      <c r="Q798" t="s">
        <v>4852</v>
      </c>
      <c r="R798" t="s">
        <v>4773</v>
      </c>
    </row>
    <row r="799" spans="1:18" x14ac:dyDescent="0.3">
      <c r="A799">
        <v>16431</v>
      </c>
      <c r="B799" t="s">
        <v>4875</v>
      </c>
      <c r="C799" t="s">
        <v>493</v>
      </c>
      <c r="D799" t="s">
        <v>197</v>
      </c>
      <c r="E799" s="1">
        <v>46122</v>
      </c>
      <c r="F799" t="s">
        <v>4306</v>
      </c>
      <c r="G799" t="s">
        <v>4129</v>
      </c>
      <c r="H799" t="s">
        <v>492</v>
      </c>
      <c r="I799" t="s">
        <v>204</v>
      </c>
      <c r="J799" s="1">
        <v>54878</v>
      </c>
      <c r="K799" t="s">
        <v>768</v>
      </c>
      <c r="L799">
        <v>799</v>
      </c>
      <c r="M799">
        <v>799</v>
      </c>
      <c r="N799" t="s">
        <v>710</v>
      </c>
      <c r="O799" t="s">
        <v>4833</v>
      </c>
      <c r="P799" t="s">
        <v>4786</v>
      </c>
      <c r="Q799" t="s">
        <v>4852</v>
      </c>
      <c r="R799" t="s">
        <v>4773</v>
      </c>
    </row>
    <row r="800" spans="1:18" x14ac:dyDescent="0.3">
      <c r="A800">
        <v>421999</v>
      </c>
      <c r="B800" t="s">
        <v>1034</v>
      </c>
      <c r="C800" t="s">
        <v>435</v>
      </c>
      <c r="D800" t="s">
        <v>30</v>
      </c>
      <c r="E800" s="1">
        <v>46122</v>
      </c>
      <c r="F800" t="s">
        <v>4351</v>
      </c>
      <c r="G800" t="s">
        <v>4150</v>
      </c>
      <c r="H800" t="s">
        <v>434</v>
      </c>
      <c r="I800" t="s">
        <v>204</v>
      </c>
      <c r="J800" s="1">
        <v>46752</v>
      </c>
      <c r="K800" t="s">
        <v>785</v>
      </c>
      <c r="L800">
        <v>1</v>
      </c>
      <c r="M800">
        <v>245125.02</v>
      </c>
      <c r="N800" t="s">
        <v>998</v>
      </c>
      <c r="O800" t="s">
        <v>1038</v>
      </c>
      <c r="P800" t="s">
        <v>4787</v>
      </c>
      <c r="Q800" t="s">
        <v>4858</v>
      </c>
      <c r="R800" t="s">
        <v>4771</v>
      </c>
    </row>
    <row r="801" spans="1:18" x14ac:dyDescent="0.3">
      <c r="A801">
        <v>987569</v>
      </c>
      <c r="B801" t="s">
        <v>4874</v>
      </c>
      <c r="C801" t="s">
        <v>389</v>
      </c>
      <c r="D801" t="s">
        <v>32</v>
      </c>
      <c r="E801" s="1">
        <v>46122</v>
      </c>
      <c r="F801" t="s">
        <v>4299</v>
      </c>
      <c r="G801" t="s">
        <v>4152</v>
      </c>
      <c r="H801" t="s">
        <v>388</v>
      </c>
      <c r="I801" t="s">
        <v>204</v>
      </c>
      <c r="J801" s="1">
        <v>46752</v>
      </c>
      <c r="K801" t="s">
        <v>785</v>
      </c>
      <c r="L801">
        <v>1</v>
      </c>
      <c r="M801">
        <v>41281.949999999997</v>
      </c>
      <c r="N801" t="s">
        <v>710</v>
      </c>
      <c r="O801" t="s">
        <v>1038</v>
      </c>
      <c r="P801" t="s">
        <v>4785</v>
      </c>
      <c r="Q801" t="s">
        <v>4858</v>
      </c>
      <c r="R801" t="s">
        <v>4771</v>
      </c>
    </row>
    <row r="802" spans="1:18" x14ac:dyDescent="0.3">
      <c r="A802">
        <v>2181730</v>
      </c>
      <c r="B802" t="s">
        <v>4874</v>
      </c>
      <c r="C802" t="s">
        <v>417</v>
      </c>
      <c r="D802" t="s">
        <v>185</v>
      </c>
      <c r="E802" s="1">
        <v>46122</v>
      </c>
      <c r="F802" t="s">
        <v>4346</v>
      </c>
      <c r="G802" t="s">
        <v>4087</v>
      </c>
      <c r="H802" t="s">
        <v>461</v>
      </c>
      <c r="I802" t="s">
        <v>204</v>
      </c>
      <c r="J802" s="1">
        <v>54878</v>
      </c>
      <c r="K802" t="s">
        <v>762</v>
      </c>
      <c r="L802">
        <v>32734.55</v>
      </c>
      <c r="M802">
        <v>32734.55</v>
      </c>
      <c r="N802" t="s">
        <v>710</v>
      </c>
      <c r="O802" t="s">
        <v>1037</v>
      </c>
      <c r="P802" t="s">
        <v>4780</v>
      </c>
      <c r="Q802" t="s">
        <v>4852</v>
      </c>
      <c r="R802" t="s">
        <v>4771</v>
      </c>
    </row>
    <row r="803" spans="1:18" x14ac:dyDescent="0.3">
      <c r="A803">
        <v>8040</v>
      </c>
      <c r="B803" t="s">
        <v>4874</v>
      </c>
      <c r="C803" t="s">
        <v>422</v>
      </c>
      <c r="D803" t="s">
        <v>37</v>
      </c>
      <c r="E803" s="1">
        <v>46122</v>
      </c>
      <c r="F803" t="s">
        <v>4306</v>
      </c>
      <c r="G803" t="s">
        <v>4138</v>
      </c>
      <c r="H803" t="s">
        <v>421</v>
      </c>
      <c r="I803" t="s">
        <v>204</v>
      </c>
      <c r="J803" s="1">
        <v>46080</v>
      </c>
      <c r="K803" t="s">
        <v>762</v>
      </c>
      <c r="L803">
        <v>800</v>
      </c>
      <c r="M803">
        <v>800</v>
      </c>
      <c r="N803" t="s">
        <v>710</v>
      </c>
      <c r="O803" t="s">
        <v>4833</v>
      </c>
      <c r="P803" t="s">
        <v>4786</v>
      </c>
      <c r="Q803" t="s">
        <v>4852</v>
      </c>
      <c r="R803" t="s">
        <v>4773</v>
      </c>
    </row>
    <row r="804" spans="1:18" x14ac:dyDescent="0.3">
      <c r="A804">
        <v>3516</v>
      </c>
      <c r="B804" t="s">
        <v>4874</v>
      </c>
      <c r="C804" t="s">
        <v>541</v>
      </c>
      <c r="D804" t="s">
        <v>173</v>
      </c>
      <c r="E804" s="1">
        <v>46122</v>
      </c>
      <c r="F804" t="s">
        <v>4326</v>
      </c>
      <c r="G804" t="s">
        <v>4102</v>
      </c>
      <c r="H804" t="s">
        <v>548</v>
      </c>
      <c r="I804" t="s">
        <v>204</v>
      </c>
      <c r="J804" s="1">
        <v>46387</v>
      </c>
      <c r="K804" t="s">
        <v>720</v>
      </c>
      <c r="L804">
        <v>2300</v>
      </c>
      <c r="M804">
        <v>2300</v>
      </c>
      <c r="N804" t="s">
        <v>710</v>
      </c>
      <c r="O804" t="s">
        <v>1038</v>
      </c>
      <c r="P804" t="s">
        <v>4791</v>
      </c>
      <c r="Q804" t="s">
        <v>4858</v>
      </c>
      <c r="R804" t="s">
        <v>4773</v>
      </c>
    </row>
    <row r="805" spans="1:18" x14ac:dyDescent="0.3">
      <c r="A805">
        <v>6061820</v>
      </c>
      <c r="B805" t="s">
        <v>4874</v>
      </c>
      <c r="C805" t="s">
        <v>433</v>
      </c>
      <c r="D805" t="s">
        <v>168</v>
      </c>
      <c r="E805" s="1">
        <v>46122</v>
      </c>
      <c r="F805" t="s">
        <v>4319</v>
      </c>
      <c r="G805" t="s">
        <v>3817</v>
      </c>
      <c r="H805" t="s">
        <v>432</v>
      </c>
      <c r="I805" t="s">
        <v>204</v>
      </c>
      <c r="J805" s="1">
        <v>46473</v>
      </c>
      <c r="K805" t="s">
        <v>762</v>
      </c>
      <c r="L805">
        <v>170</v>
      </c>
      <c r="M805">
        <v>170.36</v>
      </c>
      <c r="N805" t="s">
        <v>710</v>
      </c>
      <c r="O805" t="s">
        <v>4833</v>
      </c>
      <c r="P805" t="s">
        <v>4802</v>
      </c>
      <c r="Q805" t="s">
        <v>4852</v>
      </c>
      <c r="R805" t="s">
        <v>4771</v>
      </c>
    </row>
    <row r="806" spans="1:18" x14ac:dyDescent="0.3">
      <c r="A806">
        <v>422010</v>
      </c>
      <c r="B806" t="s">
        <v>4875</v>
      </c>
      <c r="C806" t="s">
        <v>435</v>
      </c>
      <c r="D806" t="s">
        <v>30</v>
      </c>
      <c r="E806" s="1">
        <v>46122</v>
      </c>
      <c r="F806" t="s">
        <v>4351</v>
      </c>
      <c r="G806" t="s">
        <v>4151</v>
      </c>
      <c r="H806" t="s">
        <v>434</v>
      </c>
      <c r="I806" t="s">
        <v>204</v>
      </c>
      <c r="J806" s="1">
        <v>46752</v>
      </c>
      <c r="K806" t="s">
        <v>785</v>
      </c>
      <c r="L806">
        <v>1</v>
      </c>
      <c r="M806">
        <v>96883.78</v>
      </c>
      <c r="N806" t="s">
        <v>998</v>
      </c>
      <c r="O806" t="s">
        <v>1038</v>
      </c>
      <c r="P806" t="s">
        <v>4787</v>
      </c>
      <c r="Q806" t="s">
        <v>4858</v>
      </c>
      <c r="R806" t="s">
        <v>4771</v>
      </c>
    </row>
    <row r="807" spans="1:18" x14ac:dyDescent="0.3">
      <c r="A807">
        <v>2181534</v>
      </c>
      <c r="B807" t="s">
        <v>4875</v>
      </c>
      <c r="C807" t="s">
        <v>417</v>
      </c>
      <c r="D807" t="s">
        <v>185</v>
      </c>
      <c r="E807" s="1">
        <v>46122</v>
      </c>
      <c r="F807" t="s">
        <v>4346</v>
      </c>
      <c r="G807" t="s">
        <v>4086</v>
      </c>
      <c r="H807" t="s">
        <v>684</v>
      </c>
      <c r="I807" t="s">
        <v>204</v>
      </c>
      <c r="J807" s="1">
        <v>55243</v>
      </c>
      <c r="K807" t="s">
        <v>768</v>
      </c>
      <c r="L807">
        <v>1107.1199999999999</v>
      </c>
      <c r="M807">
        <v>1107.1199999999999</v>
      </c>
      <c r="N807" t="s">
        <v>710</v>
      </c>
      <c r="O807" t="s">
        <v>1037</v>
      </c>
      <c r="P807" t="s">
        <v>4810</v>
      </c>
      <c r="Q807" t="s">
        <v>4852</v>
      </c>
      <c r="R807" t="s">
        <v>807</v>
      </c>
    </row>
    <row r="808" spans="1:18" x14ac:dyDescent="0.3">
      <c r="A808">
        <v>421360</v>
      </c>
      <c r="B808" t="s">
        <v>4874</v>
      </c>
      <c r="C808" t="s">
        <v>435</v>
      </c>
      <c r="D808" t="s">
        <v>30</v>
      </c>
      <c r="E808" s="1">
        <v>46122</v>
      </c>
      <c r="F808" t="s">
        <v>4351</v>
      </c>
      <c r="G808" t="s">
        <v>4142</v>
      </c>
      <c r="H808" t="s">
        <v>434</v>
      </c>
      <c r="I808" t="s">
        <v>204</v>
      </c>
      <c r="J808" s="1">
        <v>46752</v>
      </c>
      <c r="K808" t="s">
        <v>785</v>
      </c>
      <c r="L808">
        <v>1</v>
      </c>
      <c r="M808">
        <v>126946.39</v>
      </c>
      <c r="N808" t="s">
        <v>998</v>
      </c>
      <c r="O808" t="s">
        <v>1038</v>
      </c>
      <c r="P808" t="s">
        <v>4787</v>
      </c>
      <c r="Q808" t="s">
        <v>4858</v>
      </c>
      <c r="R808" t="s">
        <v>4771</v>
      </c>
    </row>
    <row r="809" spans="1:18" x14ac:dyDescent="0.3">
      <c r="A809">
        <v>6070971</v>
      </c>
      <c r="B809" t="s">
        <v>1034</v>
      </c>
      <c r="C809" t="s">
        <v>433</v>
      </c>
      <c r="D809" t="s">
        <v>168</v>
      </c>
      <c r="E809" s="1">
        <v>46122</v>
      </c>
      <c r="F809" t="s">
        <v>4319</v>
      </c>
      <c r="G809" t="s">
        <v>3837</v>
      </c>
      <c r="H809" t="s">
        <v>432</v>
      </c>
      <c r="I809" t="s">
        <v>204</v>
      </c>
      <c r="J809" s="1">
        <v>46473</v>
      </c>
      <c r="K809" t="s">
        <v>762</v>
      </c>
      <c r="L809">
        <v>327</v>
      </c>
      <c r="M809">
        <v>327.02</v>
      </c>
      <c r="N809" t="s">
        <v>710</v>
      </c>
      <c r="O809" t="s">
        <v>4833</v>
      </c>
      <c r="P809" t="s">
        <v>4802</v>
      </c>
      <c r="Q809" t="s">
        <v>4852</v>
      </c>
      <c r="R809" t="s">
        <v>4771</v>
      </c>
    </row>
    <row r="810" spans="1:18" x14ac:dyDescent="0.3">
      <c r="A810">
        <v>60969</v>
      </c>
      <c r="B810" t="s">
        <v>1034</v>
      </c>
      <c r="C810" t="s">
        <v>790</v>
      </c>
      <c r="D810" t="s">
        <v>19</v>
      </c>
      <c r="E810" s="1">
        <v>46122</v>
      </c>
      <c r="F810" t="s">
        <v>4348</v>
      </c>
      <c r="G810" t="s">
        <v>4092</v>
      </c>
      <c r="H810" t="s">
        <v>287</v>
      </c>
      <c r="I810" t="s">
        <v>209</v>
      </c>
      <c r="J810" s="1">
        <v>54878</v>
      </c>
      <c r="K810" t="s">
        <v>711</v>
      </c>
      <c r="L810">
        <v>1</v>
      </c>
      <c r="M810">
        <v>2950</v>
      </c>
      <c r="N810" t="s">
        <v>710</v>
      </c>
      <c r="O810" t="s">
        <v>1037</v>
      </c>
      <c r="P810" t="s">
        <v>4781</v>
      </c>
      <c r="Q810" t="s">
        <v>4852</v>
      </c>
      <c r="R810" t="s">
        <v>4771</v>
      </c>
    </row>
    <row r="811" spans="1:18" x14ac:dyDescent="0.3">
      <c r="A811">
        <v>31</v>
      </c>
      <c r="B811" t="s">
        <v>1034</v>
      </c>
      <c r="C811" t="s">
        <v>658</v>
      </c>
      <c r="D811" t="s">
        <v>192</v>
      </c>
      <c r="E811" s="1">
        <v>46122</v>
      </c>
      <c r="F811" t="s">
        <v>4377</v>
      </c>
      <c r="G811" t="s">
        <v>4133</v>
      </c>
      <c r="H811" t="s">
        <v>657</v>
      </c>
      <c r="I811" t="s">
        <v>204</v>
      </c>
      <c r="J811" s="1">
        <v>46218</v>
      </c>
      <c r="K811" t="s">
        <v>711</v>
      </c>
      <c r="L811">
        <v>1</v>
      </c>
      <c r="M811">
        <v>2150</v>
      </c>
      <c r="N811" t="s">
        <v>710</v>
      </c>
      <c r="O811" t="s">
        <v>4834</v>
      </c>
      <c r="P811" t="s">
        <v>4776</v>
      </c>
      <c r="Q811" t="s">
        <v>4901</v>
      </c>
      <c r="R811" t="s">
        <v>807</v>
      </c>
    </row>
    <row r="812" spans="1:18" x14ac:dyDescent="0.3">
      <c r="A812">
        <v>4181500</v>
      </c>
      <c r="B812" t="s">
        <v>1034</v>
      </c>
      <c r="C812" t="s">
        <v>417</v>
      </c>
      <c r="D812" t="s">
        <v>185</v>
      </c>
      <c r="E812" s="1">
        <v>46122</v>
      </c>
      <c r="F812" t="s">
        <v>4335</v>
      </c>
      <c r="G812" t="s">
        <v>4117</v>
      </c>
      <c r="H812" t="s">
        <v>416</v>
      </c>
      <c r="I812" t="s">
        <v>204</v>
      </c>
      <c r="J812" s="1">
        <v>54878</v>
      </c>
      <c r="K812" t="s">
        <v>717</v>
      </c>
      <c r="L812">
        <v>1475.44</v>
      </c>
      <c r="M812">
        <v>1475.44</v>
      </c>
      <c r="N812" t="s">
        <v>710</v>
      </c>
      <c r="O812" t="s">
        <v>1037</v>
      </c>
      <c r="P812" t="s">
        <v>4780</v>
      </c>
      <c r="Q812" t="s">
        <v>4852</v>
      </c>
      <c r="R812" t="s">
        <v>4771</v>
      </c>
    </row>
    <row r="813" spans="1:18" x14ac:dyDescent="0.3">
      <c r="A813">
        <v>2189266</v>
      </c>
      <c r="B813" t="s">
        <v>1034</v>
      </c>
      <c r="C813" t="s">
        <v>417</v>
      </c>
      <c r="D813" t="s">
        <v>185</v>
      </c>
      <c r="E813" s="1">
        <v>46122</v>
      </c>
      <c r="F813" t="s">
        <v>4346</v>
      </c>
      <c r="G813" t="s">
        <v>4117</v>
      </c>
      <c r="H813" t="s">
        <v>416</v>
      </c>
      <c r="I813" t="s">
        <v>204</v>
      </c>
      <c r="J813" s="1">
        <v>54878</v>
      </c>
      <c r="K813" t="s">
        <v>717</v>
      </c>
      <c r="L813">
        <v>5809.23</v>
      </c>
      <c r="M813">
        <v>5809.23</v>
      </c>
      <c r="N813" t="s">
        <v>710</v>
      </c>
      <c r="O813" t="s">
        <v>1037</v>
      </c>
      <c r="P813" t="s">
        <v>4780</v>
      </c>
      <c r="Q813" t="s">
        <v>4852</v>
      </c>
      <c r="R813" t="s">
        <v>4771</v>
      </c>
    </row>
    <row r="814" spans="1:18" x14ac:dyDescent="0.3">
      <c r="A814">
        <v>51742</v>
      </c>
      <c r="B814" t="s">
        <v>4874</v>
      </c>
      <c r="C814" t="s">
        <v>426</v>
      </c>
      <c r="D814" t="s">
        <v>54</v>
      </c>
      <c r="E814" s="1">
        <v>46122</v>
      </c>
      <c r="F814" t="s">
        <v>4409</v>
      </c>
      <c r="G814" t="s">
        <v>4153</v>
      </c>
      <c r="H814" t="s">
        <v>425</v>
      </c>
      <c r="I814" t="s">
        <v>204</v>
      </c>
      <c r="J814" s="1">
        <v>46752</v>
      </c>
      <c r="K814" t="s">
        <v>785</v>
      </c>
      <c r="L814">
        <v>1</v>
      </c>
      <c r="M814">
        <v>90538.27</v>
      </c>
      <c r="N814" t="s">
        <v>710</v>
      </c>
      <c r="O814" t="s">
        <v>1038</v>
      </c>
      <c r="P814" t="s">
        <v>4787</v>
      </c>
      <c r="Q814" t="s">
        <v>4858</v>
      </c>
      <c r="R814" t="s">
        <v>4771</v>
      </c>
    </row>
    <row r="815" spans="1:18" x14ac:dyDescent="0.3">
      <c r="A815">
        <v>16421</v>
      </c>
      <c r="B815" t="s">
        <v>4876</v>
      </c>
      <c r="C815" t="s">
        <v>439</v>
      </c>
      <c r="D815" t="s">
        <v>156</v>
      </c>
      <c r="E815" s="1">
        <v>46121</v>
      </c>
      <c r="F815" t="s">
        <v>4396</v>
      </c>
      <c r="G815" t="s">
        <v>4107</v>
      </c>
      <c r="H815" t="s">
        <v>485</v>
      </c>
      <c r="I815" t="s">
        <v>204</v>
      </c>
      <c r="J815" s="1">
        <v>54878</v>
      </c>
      <c r="K815" t="s">
        <v>839</v>
      </c>
      <c r="L815">
        <v>5302.3</v>
      </c>
      <c r="M815">
        <v>5302.3</v>
      </c>
      <c r="N815" t="s">
        <v>710</v>
      </c>
      <c r="O815" t="s">
        <v>1037</v>
      </c>
      <c r="P815" t="s">
        <v>4776</v>
      </c>
      <c r="Q815" t="s">
        <v>4852</v>
      </c>
      <c r="R815" t="s">
        <v>4771</v>
      </c>
    </row>
    <row r="816" spans="1:18" x14ac:dyDescent="0.3">
      <c r="A816">
        <v>60515</v>
      </c>
      <c r="B816" t="s">
        <v>4875</v>
      </c>
      <c r="C816" t="s">
        <v>208</v>
      </c>
      <c r="D816" t="s">
        <v>164</v>
      </c>
      <c r="E816" s="1">
        <v>46121</v>
      </c>
      <c r="F816" t="s">
        <v>4297</v>
      </c>
      <c r="G816" t="s">
        <v>4044</v>
      </c>
      <c r="H816" t="s">
        <v>605</v>
      </c>
      <c r="I816" t="s">
        <v>204</v>
      </c>
      <c r="J816" s="1">
        <v>46256</v>
      </c>
      <c r="K816" t="s">
        <v>748</v>
      </c>
      <c r="L816">
        <v>120</v>
      </c>
      <c r="M816">
        <v>120</v>
      </c>
      <c r="N816" t="s">
        <v>710</v>
      </c>
      <c r="O816" t="s">
        <v>1040</v>
      </c>
      <c r="P816" t="s">
        <v>4795</v>
      </c>
      <c r="Q816" t="s">
        <v>4856</v>
      </c>
    </row>
    <row r="817" spans="1:18" x14ac:dyDescent="0.3">
      <c r="A817">
        <v>2478</v>
      </c>
      <c r="B817" t="s">
        <v>4875</v>
      </c>
      <c r="C817" t="s">
        <v>616</v>
      </c>
      <c r="D817" t="s">
        <v>152</v>
      </c>
      <c r="E817" s="1">
        <v>46121</v>
      </c>
      <c r="F817" t="s">
        <v>4338</v>
      </c>
      <c r="G817" t="s">
        <v>4037</v>
      </c>
      <c r="H817" t="s">
        <v>622</v>
      </c>
      <c r="I817" t="s">
        <v>204</v>
      </c>
      <c r="J817" s="1">
        <v>46351</v>
      </c>
      <c r="K817" t="s">
        <v>748</v>
      </c>
      <c r="L817">
        <v>28600.99</v>
      </c>
      <c r="M817">
        <v>28600.99</v>
      </c>
      <c r="N817" t="s">
        <v>710</v>
      </c>
      <c r="O817" t="s">
        <v>4904</v>
      </c>
      <c r="P817" t="s">
        <v>4796</v>
      </c>
      <c r="Q817" t="s">
        <v>4856</v>
      </c>
      <c r="R817" t="s">
        <v>4772</v>
      </c>
    </row>
    <row r="818" spans="1:18" x14ac:dyDescent="0.3">
      <c r="A818">
        <v>4175253</v>
      </c>
      <c r="B818" t="s">
        <v>4875</v>
      </c>
      <c r="C818" t="s">
        <v>417</v>
      </c>
      <c r="D818" t="s">
        <v>185</v>
      </c>
      <c r="E818" s="1">
        <v>46121</v>
      </c>
      <c r="F818" t="s">
        <v>4335</v>
      </c>
      <c r="G818" t="s">
        <v>4086</v>
      </c>
      <c r="H818" t="s">
        <v>684</v>
      </c>
      <c r="I818" t="s">
        <v>204</v>
      </c>
      <c r="J818" s="1">
        <v>55243</v>
      </c>
      <c r="K818" t="s">
        <v>768</v>
      </c>
      <c r="L818">
        <v>493.67</v>
      </c>
      <c r="M818">
        <v>493.67</v>
      </c>
      <c r="N818" t="s">
        <v>710</v>
      </c>
      <c r="O818" t="s">
        <v>1037</v>
      </c>
      <c r="P818" t="s">
        <v>4810</v>
      </c>
      <c r="Q818" t="s">
        <v>4852</v>
      </c>
      <c r="R818" t="s">
        <v>807</v>
      </c>
    </row>
    <row r="819" spans="1:18" x14ac:dyDescent="0.3">
      <c r="A819">
        <v>55269</v>
      </c>
      <c r="B819" t="s">
        <v>1034</v>
      </c>
      <c r="C819" t="s">
        <v>500</v>
      </c>
      <c r="D819" t="s">
        <v>16</v>
      </c>
      <c r="E819" s="1">
        <v>46121</v>
      </c>
      <c r="F819" t="s">
        <v>4306</v>
      </c>
      <c r="G819" t="s">
        <v>4130</v>
      </c>
      <c r="H819" t="s">
        <v>499</v>
      </c>
      <c r="I819" t="s">
        <v>204</v>
      </c>
      <c r="J819" s="1">
        <v>54878</v>
      </c>
      <c r="K819" t="s">
        <v>717</v>
      </c>
      <c r="L819">
        <v>1633.45</v>
      </c>
      <c r="M819">
        <v>1633.45</v>
      </c>
      <c r="N819" t="s">
        <v>710</v>
      </c>
      <c r="O819" t="s">
        <v>4833</v>
      </c>
      <c r="P819" t="s">
        <v>4786</v>
      </c>
      <c r="Q819" t="s">
        <v>4852</v>
      </c>
      <c r="R819" t="s">
        <v>4773</v>
      </c>
    </row>
    <row r="820" spans="1:18" x14ac:dyDescent="0.3">
      <c r="A820">
        <v>10981</v>
      </c>
      <c r="B820" t="s">
        <v>1035</v>
      </c>
      <c r="C820" t="s">
        <v>546</v>
      </c>
      <c r="D820" t="s">
        <v>75</v>
      </c>
      <c r="E820" s="1">
        <v>46121</v>
      </c>
      <c r="F820" t="s">
        <v>4355</v>
      </c>
      <c r="G820" t="s">
        <v>4111</v>
      </c>
      <c r="H820" t="s">
        <v>545</v>
      </c>
      <c r="I820" t="s">
        <v>204</v>
      </c>
      <c r="J820" s="1">
        <v>46325</v>
      </c>
      <c r="K820" t="s">
        <v>744</v>
      </c>
      <c r="L820">
        <v>5530.36</v>
      </c>
      <c r="M820">
        <v>5530.46</v>
      </c>
      <c r="N820" t="s">
        <v>710</v>
      </c>
      <c r="O820" t="s">
        <v>4903</v>
      </c>
      <c r="P820" t="s">
        <v>4781</v>
      </c>
      <c r="Q820" t="s">
        <v>4858</v>
      </c>
      <c r="R820" t="s">
        <v>4773</v>
      </c>
    </row>
    <row r="821" spans="1:18" x14ac:dyDescent="0.3">
      <c r="A821">
        <v>161</v>
      </c>
      <c r="B821" t="s">
        <v>1034</v>
      </c>
      <c r="C821" t="s">
        <v>552</v>
      </c>
      <c r="D821" t="s">
        <v>190</v>
      </c>
      <c r="E821" s="1">
        <v>46121</v>
      </c>
      <c r="F821" t="s">
        <v>4339</v>
      </c>
      <c r="G821" t="s">
        <v>4061</v>
      </c>
      <c r="H821" t="s">
        <v>583</v>
      </c>
      <c r="I821" t="s">
        <v>204</v>
      </c>
      <c r="J821" s="1">
        <v>46441</v>
      </c>
      <c r="K821" t="s">
        <v>717</v>
      </c>
      <c r="L821">
        <v>1</v>
      </c>
      <c r="M821">
        <v>64252.04</v>
      </c>
      <c r="N821" t="s">
        <v>710</v>
      </c>
      <c r="O821" t="s">
        <v>4904</v>
      </c>
      <c r="P821" t="s">
        <v>4792</v>
      </c>
      <c r="Q821" t="s">
        <v>4904</v>
      </c>
      <c r="R821" t="s">
        <v>4772</v>
      </c>
    </row>
    <row r="822" spans="1:18" x14ac:dyDescent="0.3">
      <c r="A822">
        <v>162</v>
      </c>
      <c r="B822" t="s">
        <v>1034</v>
      </c>
      <c r="C822" t="s">
        <v>618</v>
      </c>
      <c r="D822" t="s">
        <v>112</v>
      </c>
      <c r="E822" s="1">
        <v>46121</v>
      </c>
      <c r="F822" t="s">
        <v>4361</v>
      </c>
      <c r="G822" t="s">
        <v>4122</v>
      </c>
      <c r="H822" t="s">
        <v>617</v>
      </c>
      <c r="I822" t="s">
        <v>204</v>
      </c>
      <c r="J822" s="1">
        <v>46347</v>
      </c>
      <c r="K822" t="s">
        <v>711</v>
      </c>
      <c r="L822">
        <v>1350</v>
      </c>
      <c r="M822">
        <v>1350</v>
      </c>
      <c r="N822" t="s">
        <v>818</v>
      </c>
      <c r="O822" t="s">
        <v>1036</v>
      </c>
      <c r="P822" t="s">
        <v>4776</v>
      </c>
      <c r="Q822" t="s">
        <v>4901</v>
      </c>
      <c r="R822" t="s">
        <v>4771</v>
      </c>
    </row>
    <row r="823" spans="1:18" x14ac:dyDescent="0.3">
      <c r="A823">
        <v>2223890</v>
      </c>
      <c r="B823" t="s">
        <v>4874</v>
      </c>
      <c r="C823" t="s">
        <v>433</v>
      </c>
      <c r="D823" t="s">
        <v>168</v>
      </c>
      <c r="E823" s="1">
        <v>46121</v>
      </c>
      <c r="F823" t="s">
        <v>4319</v>
      </c>
      <c r="G823" t="s">
        <v>4118</v>
      </c>
      <c r="H823" t="s">
        <v>432</v>
      </c>
      <c r="I823" t="s">
        <v>204</v>
      </c>
      <c r="J823" s="1">
        <v>46473</v>
      </c>
      <c r="K823" t="s">
        <v>762</v>
      </c>
      <c r="L823">
        <v>4678</v>
      </c>
      <c r="M823">
        <v>4677.67</v>
      </c>
      <c r="N823" t="s">
        <v>710</v>
      </c>
      <c r="O823" t="s">
        <v>4833</v>
      </c>
      <c r="P823" t="s">
        <v>4802</v>
      </c>
      <c r="Q823" t="s">
        <v>4852</v>
      </c>
      <c r="R823" t="s">
        <v>4771</v>
      </c>
    </row>
    <row r="824" spans="1:18" x14ac:dyDescent="0.3">
      <c r="A824">
        <v>296721</v>
      </c>
      <c r="B824" t="s">
        <v>4874</v>
      </c>
      <c r="C824" t="s">
        <v>391</v>
      </c>
      <c r="D824" t="s">
        <v>104</v>
      </c>
      <c r="E824" s="1">
        <v>46121</v>
      </c>
      <c r="F824" t="s">
        <v>4423</v>
      </c>
      <c r="G824" t="s">
        <v>4119</v>
      </c>
      <c r="H824" t="s">
        <v>390</v>
      </c>
      <c r="I824" t="s">
        <v>204</v>
      </c>
      <c r="J824" s="1">
        <v>54878</v>
      </c>
      <c r="K824" t="s">
        <v>762</v>
      </c>
      <c r="L824">
        <v>312.67</v>
      </c>
      <c r="M824">
        <v>312.67</v>
      </c>
      <c r="N824" t="s">
        <v>710</v>
      </c>
      <c r="O824" t="s">
        <v>4833</v>
      </c>
      <c r="P824" t="s">
        <v>4776</v>
      </c>
      <c r="Q824" t="s">
        <v>4852</v>
      </c>
      <c r="R824" t="s">
        <v>4773</v>
      </c>
    </row>
    <row r="825" spans="1:18" x14ac:dyDescent="0.3">
      <c r="A825">
        <v>194153</v>
      </c>
      <c r="B825" t="s">
        <v>4874</v>
      </c>
      <c r="C825" t="s">
        <v>411</v>
      </c>
      <c r="D825" t="s">
        <v>154</v>
      </c>
      <c r="E825" s="1">
        <v>46121</v>
      </c>
      <c r="F825" t="s">
        <v>4345</v>
      </c>
      <c r="G825" t="s">
        <v>4110</v>
      </c>
      <c r="H825" t="s">
        <v>410</v>
      </c>
      <c r="I825" t="s">
        <v>204</v>
      </c>
      <c r="J825" s="1">
        <v>46344</v>
      </c>
      <c r="K825" t="s">
        <v>762</v>
      </c>
      <c r="L825">
        <v>16275.21</v>
      </c>
      <c r="M825">
        <v>16275.21</v>
      </c>
      <c r="N825" t="s">
        <v>710</v>
      </c>
      <c r="O825" t="s">
        <v>4833</v>
      </c>
      <c r="P825" t="s">
        <v>4776</v>
      </c>
      <c r="Q825" t="s">
        <v>4852</v>
      </c>
      <c r="R825" t="s">
        <v>4773</v>
      </c>
    </row>
    <row r="826" spans="1:18" x14ac:dyDescent="0.3">
      <c r="A826">
        <v>194890</v>
      </c>
      <c r="B826" t="s">
        <v>4874</v>
      </c>
      <c r="C826" t="s">
        <v>411</v>
      </c>
      <c r="D826" t="s">
        <v>154</v>
      </c>
      <c r="E826" s="1">
        <v>46121</v>
      </c>
      <c r="F826" t="s">
        <v>4315</v>
      </c>
      <c r="G826" t="s">
        <v>4127</v>
      </c>
      <c r="H826" t="s">
        <v>410</v>
      </c>
      <c r="I826" t="s">
        <v>204</v>
      </c>
      <c r="J826" s="1">
        <v>46344</v>
      </c>
      <c r="K826" t="s">
        <v>762</v>
      </c>
      <c r="L826">
        <v>4359.18</v>
      </c>
      <c r="M826">
        <v>4359.18</v>
      </c>
      <c r="N826" t="s">
        <v>710</v>
      </c>
      <c r="O826" t="s">
        <v>4833</v>
      </c>
      <c r="P826" t="s">
        <v>4776</v>
      </c>
      <c r="Q826" t="s">
        <v>4852</v>
      </c>
      <c r="R826" t="s">
        <v>4773</v>
      </c>
    </row>
    <row r="827" spans="1:18" x14ac:dyDescent="0.3">
      <c r="A827">
        <v>16422</v>
      </c>
      <c r="B827" t="s">
        <v>4874</v>
      </c>
      <c r="C827" t="s">
        <v>439</v>
      </c>
      <c r="D827" t="s">
        <v>156</v>
      </c>
      <c r="E827" s="1">
        <v>46121</v>
      </c>
      <c r="F827" t="s">
        <v>4396</v>
      </c>
      <c r="G827" t="s">
        <v>4108</v>
      </c>
      <c r="H827" t="s">
        <v>438</v>
      </c>
      <c r="I827" t="s">
        <v>204</v>
      </c>
      <c r="J827" s="1">
        <v>46265</v>
      </c>
      <c r="K827" t="s">
        <v>762</v>
      </c>
      <c r="L827">
        <v>13812.28</v>
      </c>
      <c r="M827">
        <v>13812.28</v>
      </c>
      <c r="N827" t="s">
        <v>710</v>
      </c>
      <c r="O827" t="s">
        <v>1037</v>
      </c>
      <c r="P827" t="s">
        <v>4789</v>
      </c>
      <c r="Q827" t="s">
        <v>4852</v>
      </c>
      <c r="R827" t="s">
        <v>4771</v>
      </c>
    </row>
    <row r="828" spans="1:18" x14ac:dyDescent="0.3">
      <c r="A828">
        <v>4175652</v>
      </c>
      <c r="B828" t="s">
        <v>4874</v>
      </c>
      <c r="C828" t="s">
        <v>417</v>
      </c>
      <c r="D828" t="s">
        <v>185</v>
      </c>
      <c r="E828" s="1">
        <v>46121</v>
      </c>
      <c r="F828" t="s">
        <v>4335</v>
      </c>
      <c r="G828" t="s">
        <v>4087</v>
      </c>
      <c r="H828" t="s">
        <v>461</v>
      </c>
      <c r="I828" t="s">
        <v>204</v>
      </c>
      <c r="J828" s="1">
        <v>54878</v>
      </c>
      <c r="K828" t="s">
        <v>762</v>
      </c>
      <c r="L828">
        <v>6230.72</v>
      </c>
      <c r="M828">
        <v>6230.72</v>
      </c>
      <c r="N828" t="s">
        <v>710</v>
      </c>
      <c r="O828" t="s">
        <v>1037</v>
      </c>
      <c r="P828" t="s">
        <v>4780</v>
      </c>
      <c r="Q828" t="s">
        <v>4852</v>
      </c>
      <c r="R828" t="s">
        <v>4771</v>
      </c>
    </row>
    <row r="829" spans="1:18" x14ac:dyDescent="0.3">
      <c r="A829">
        <v>10984</v>
      </c>
      <c r="B829" t="s">
        <v>1035</v>
      </c>
      <c r="C829" t="s">
        <v>546</v>
      </c>
      <c r="D829" t="s">
        <v>75</v>
      </c>
      <c r="E829" s="1">
        <v>46121</v>
      </c>
      <c r="F829" t="s">
        <v>4355</v>
      </c>
      <c r="G829" t="s">
        <v>4111</v>
      </c>
      <c r="H829" t="s">
        <v>545</v>
      </c>
      <c r="I829" t="s">
        <v>204</v>
      </c>
      <c r="J829" s="1">
        <v>46325</v>
      </c>
      <c r="K829" t="s">
        <v>744</v>
      </c>
      <c r="L829">
        <v>3307.43</v>
      </c>
      <c r="M829">
        <v>3307.43</v>
      </c>
      <c r="N829" t="s">
        <v>710</v>
      </c>
      <c r="O829" t="s">
        <v>4903</v>
      </c>
      <c r="P829" t="s">
        <v>4781</v>
      </c>
      <c r="Q829" t="s">
        <v>4858</v>
      </c>
      <c r="R829" t="s">
        <v>4773</v>
      </c>
    </row>
    <row r="830" spans="1:18" x14ac:dyDescent="0.3">
      <c r="A830">
        <v>103883</v>
      </c>
      <c r="B830" t="s">
        <v>1034</v>
      </c>
      <c r="C830" t="s">
        <v>502</v>
      </c>
      <c r="D830" t="s">
        <v>2</v>
      </c>
      <c r="E830" s="1">
        <v>46121</v>
      </c>
      <c r="F830" t="s">
        <v>4303</v>
      </c>
      <c r="G830" t="s">
        <v>4120</v>
      </c>
      <c r="H830" t="s">
        <v>501</v>
      </c>
      <c r="I830" t="s">
        <v>204</v>
      </c>
      <c r="J830" s="1">
        <v>54878</v>
      </c>
      <c r="K830" t="s">
        <v>717</v>
      </c>
      <c r="L830">
        <v>1901.56</v>
      </c>
      <c r="M830">
        <v>1901.56</v>
      </c>
      <c r="N830" t="s">
        <v>710</v>
      </c>
      <c r="O830" t="s">
        <v>4833</v>
      </c>
      <c r="P830" t="s">
        <v>4776</v>
      </c>
      <c r="Q830" t="s">
        <v>4852</v>
      </c>
      <c r="R830" t="s">
        <v>4774</v>
      </c>
    </row>
    <row r="831" spans="1:18" x14ac:dyDescent="0.3">
      <c r="A831">
        <v>554</v>
      </c>
      <c r="B831" t="s">
        <v>1034</v>
      </c>
      <c r="C831" t="s">
        <v>675</v>
      </c>
      <c r="D831" t="s">
        <v>177</v>
      </c>
      <c r="E831" s="1">
        <v>46121</v>
      </c>
      <c r="F831" t="s">
        <v>4380</v>
      </c>
      <c r="G831" t="s">
        <v>4071</v>
      </c>
      <c r="H831" t="s">
        <v>676</v>
      </c>
      <c r="I831" t="s">
        <v>204</v>
      </c>
      <c r="J831" s="1">
        <v>46356</v>
      </c>
      <c r="K831" t="s">
        <v>768</v>
      </c>
      <c r="L831">
        <v>165</v>
      </c>
      <c r="M831">
        <v>165</v>
      </c>
      <c r="N831" t="s">
        <v>818</v>
      </c>
      <c r="O831" t="s">
        <v>1037</v>
      </c>
      <c r="P831" t="s">
        <v>4776</v>
      </c>
      <c r="Q831" t="s">
        <v>4852</v>
      </c>
      <c r="R831" t="s">
        <v>807</v>
      </c>
    </row>
    <row r="832" spans="1:18" x14ac:dyDescent="0.3">
      <c r="A832">
        <v>117</v>
      </c>
      <c r="B832" t="s">
        <v>1034</v>
      </c>
      <c r="C832" t="s">
        <v>641</v>
      </c>
      <c r="D832" t="s">
        <v>26</v>
      </c>
      <c r="E832" s="1">
        <v>46121</v>
      </c>
      <c r="F832" t="s">
        <v>4370</v>
      </c>
      <c r="G832" t="s">
        <v>4140</v>
      </c>
      <c r="H832" t="s">
        <v>640</v>
      </c>
      <c r="I832" t="s">
        <v>204</v>
      </c>
      <c r="J832" s="1">
        <v>46142</v>
      </c>
      <c r="K832" t="s">
        <v>717</v>
      </c>
      <c r="L832">
        <v>8627.6200000000008</v>
      </c>
      <c r="M832">
        <v>8627.6200000000008</v>
      </c>
      <c r="N832" t="s">
        <v>710</v>
      </c>
      <c r="O832" t="s">
        <v>1042</v>
      </c>
      <c r="P832" t="s">
        <v>1006</v>
      </c>
      <c r="Q832" t="s">
        <v>4852</v>
      </c>
    </row>
    <row r="833" spans="1:18" x14ac:dyDescent="0.3">
      <c r="A833">
        <v>3061277</v>
      </c>
      <c r="B833" t="s">
        <v>4874</v>
      </c>
      <c r="C833" t="s">
        <v>405</v>
      </c>
      <c r="D833" t="s">
        <v>107</v>
      </c>
      <c r="E833" s="1">
        <v>46121</v>
      </c>
      <c r="F833" t="s">
        <v>4362</v>
      </c>
      <c r="G833" t="s">
        <v>4113</v>
      </c>
      <c r="H833" t="s">
        <v>404</v>
      </c>
      <c r="I833" t="s">
        <v>204</v>
      </c>
      <c r="J833" s="1">
        <v>46477</v>
      </c>
      <c r="K833" t="s">
        <v>762</v>
      </c>
      <c r="L833">
        <v>3421.47</v>
      </c>
      <c r="M833">
        <v>3421.47</v>
      </c>
      <c r="N833" t="s">
        <v>710</v>
      </c>
      <c r="O833" t="s">
        <v>1037</v>
      </c>
      <c r="P833" t="s">
        <v>4806</v>
      </c>
      <c r="Q833" t="s">
        <v>4852</v>
      </c>
      <c r="R833" t="s">
        <v>4772</v>
      </c>
    </row>
    <row r="834" spans="1:18" x14ac:dyDescent="0.3">
      <c r="A834">
        <v>3156832</v>
      </c>
      <c r="B834" t="s">
        <v>4874</v>
      </c>
      <c r="C834" t="s">
        <v>405</v>
      </c>
      <c r="D834" t="s">
        <v>107</v>
      </c>
      <c r="E834" s="1">
        <v>46121</v>
      </c>
      <c r="F834" t="s">
        <v>4362</v>
      </c>
      <c r="G834" t="s">
        <v>4114</v>
      </c>
      <c r="H834" t="s">
        <v>404</v>
      </c>
      <c r="I834" t="s">
        <v>204</v>
      </c>
      <c r="J834" s="1">
        <v>46477</v>
      </c>
      <c r="K834" t="s">
        <v>762</v>
      </c>
      <c r="L834">
        <v>140342.59</v>
      </c>
      <c r="M834">
        <v>140342.59</v>
      </c>
      <c r="N834" t="s">
        <v>710</v>
      </c>
      <c r="O834" t="s">
        <v>1037</v>
      </c>
      <c r="P834" t="s">
        <v>4806</v>
      </c>
      <c r="Q834" t="s">
        <v>4852</v>
      </c>
      <c r="R834" t="s">
        <v>4772</v>
      </c>
    </row>
    <row r="835" spans="1:18" x14ac:dyDescent="0.3">
      <c r="A835">
        <v>295497</v>
      </c>
      <c r="B835" t="s">
        <v>4874</v>
      </c>
      <c r="C835" t="s">
        <v>405</v>
      </c>
      <c r="D835" t="s">
        <v>107</v>
      </c>
      <c r="E835" s="1">
        <v>46121</v>
      </c>
      <c r="F835" t="s">
        <v>4362</v>
      </c>
      <c r="G835" t="s">
        <v>4109</v>
      </c>
      <c r="H835" t="s">
        <v>404</v>
      </c>
      <c r="I835" t="s">
        <v>204</v>
      </c>
      <c r="J835" s="1">
        <v>46477</v>
      </c>
      <c r="K835" t="s">
        <v>762</v>
      </c>
      <c r="L835">
        <v>2031.5</v>
      </c>
      <c r="M835">
        <v>2031.5</v>
      </c>
      <c r="N835" t="s">
        <v>710</v>
      </c>
      <c r="O835" t="s">
        <v>1037</v>
      </c>
      <c r="P835" t="s">
        <v>4806</v>
      </c>
      <c r="Q835" t="s">
        <v>4852</v>
      </c>
      <c r="R835" t="s">
        <v>4772</v>
      </c>
    </row>
    <row r="836" spans="1:18" x14ac:dyDescent="0.3">
      <c r="A836">
        <v>2042</v>
      </c>
      <c r="B836" t="s">
        <v>4874</v>
      </c>
      <c r="C836" t="s">
        <v>647</v>
      </c>
      <c r="D836" t="s">
        <v>130</v>
      </c>
      <c r="E836" s="1">
        <v>46121</v>
      </c>
      <c r="F836" t="s">
        <v>4363</v>
      </c>
      <c r="G836" t="s">
        <v>4149</v>
      </c>
      <c r="H836" t="s">
        <v>646</v>
      </c>
      <c r="I836" t="s">
        <v>204</v>
      </c>
      <c r="J836" s="1">
        <v>46522</v>
      </c>
      <c r="K836" t="s">
        <v>762</v>
      </c>
      <c r="L836">
        <v>18212</v>
      </c>
      <c r="M836">
        <v>18212</v>
      </c>
      <c r="N836" t="s">
        <v>890</v>
      </c>
      <c r="O836" t="s">
        <v>1044</v>
      </c>
      <c r="P836" t="s">
        <v>4776</v>
      </c>
      <c r="Q836" t="s">
        <v>4852</v>
      </c>
    </row>
    <row r="837" spans="1:18" x14ac:dyDescent="0.3">
      <c r="A837">
        <v>112395</v>
      </c>
      <c r="B837" t="s">
        <v>4874</v>
      </c>
      <c r="C837" t="s">
        <v>379</v>
      </c>
      <c r="D837" t="s">
        <v>131</v>
      </c>
      <c r="E837" s="1">
        <v>46121</v>
      </c>
      <c r="F837" t="s">
        <v>4315</v>
      </c>
      <c r="G837" t="s">
        <v>4135</v>
      </c>
      <c r="H837" t="s">
        <v>378</v>
      </c>
      <c r="I837" t="s">
        <v>204</v>
      </c>
      <c r="J837" s="1">
        <v>54878</v>
      </c>
      <c r="K837" t="s">
        <v>762</v>
      </c>
      <c r="L837">
        <v>68.510000000000005</v>
      </c>
      <c r="M837">
        <v>68.510000000000005</v>
      </c>
      <c r="N837" t="s">
        <v>710</v>
      </c>
      <c r="O837" t="s">
        <v>4833</v>
      </c>
      <c r="P837" t="s">
        <v>4776</v>
      </c>
      <c r="Q837" t="s">
        <v>4852</v>
      </c>
      <c r="R837" t="s">
        <v>4773</v>
      </c>
    </row>
    <row r="838" spans="1:18" x14ac:dyDescent="0.3">
      <c r="A838">
        <v>10982</v>
      </c>
      <c r="B838" t="s">
        <v>1035</v>
      </c>
      <c r="C838" t="s">
        <v>546</v>
      </c>
      <c r="D838" t="s">
        <v>75</v>
      </c>
      <c r="E838" s="1">
        <v>46121</v>
      </c>
      <c r="F838" t="s">
        <v>4355</v>
      </c>
      <c r="G838" t="s">
        <v>4111</v>
      </c>
      <c r="H838" t="s">
        <v>545</v>
      </c>
      <c r="I838" t="s">
        <v>204</v>
      </c>
      <c r="J838" s="1">
        <v>46325</v>
      </c>
      <c r="K838" t="s">
        <v>744</v>
      </c>
      <c r="L838">
        <v>3200</v>
      </c>
      <c r="M838">
        <v>3200</v>
      </c>
      <c r="N838" t="s">
        <v>710</v>
      </c>
      <c r="O838" t="s">
        <v>4903</v>
      </c>
      <c r="P838" t="s">
        <v>4781</v>
      </c>
      <c r="Q838" t="s">
        <v>4858</v>
      </c>
      <c r="R838" t="s">
        <v>4773</v>
      </c>
    </row>
    <row r="839" spans="1:18" x14ac:dyDescent="0.3">
      <c r="A839">
        <v>3590</v>
      </c>
      <c r="B839" t="s">
        <v>4874</v>
      </c>
      <c r="C839" t="s">
        <v>612</v>
      </c>
      <c r="D839" t="s">
        <v>102</v>
      </c>
      <c r="E839" s="1">
        <v>46120</v>
      </c>
      <c r="F839" t="s">
        <v>4429</v>
      </c>
      <c r="G839" t="s">
        <v>4094</v>
      </c>
      <c r="H839" t="s">
        <v>611</v>
      </c>
      <c r="I839" t="s">
        <v>209</v>
      </c>
      <c r="J839" s="1">
        <v>45961</v>
      </c>
      <c r="K839" t="s">
        <v>720</v>
      </c>
      <c r="L839">
        <v>1</v>
      </c>
      <c r="M839">
        <v>20748</v>
      </c>
      <c r="N839" t="s">
        <v>710</v>
      </c>
      <c r="O839" t="s">
        <v>1037</v>
      </c>
      <c r="P839" t="s">
        <v>4777</v>
      </c>
      <c r="Q839" t="s">
        <v>4852</v>
      </c>
      <c r="R839" t="s">
        <v>4773</v>
      </c>
    </row>
    <row r="840" spans="1:18" x14ac:dyDescent="0.3">
      <c r="A840">
        <v>600308</v>
      </c>
      <c r="B840" t="s">
        <v>1034</v>
      </c>
      <c r="C840" t="s">
        <v>248</v>
      </c>
      <c r="D840" t="s">
        <v>13</v>
      </c>
      <c r="E840" s="1">
        <v>46120</v>
      </c>
      <c r="F840" t="s">
        <v>4297</v>
      </c>
      <c r="G840" t="s">
        <v>3654</v>
      </c>
      <c r="H840" t="s">
        <v>315</v>
      </c>
      <c r="I840" t="s">
        <v>204</v>
      </c>
      <c r="J840" s="1">
        <v>46073</v>
      </c>
      <c r="K840" t="s">
        <v>711</v>
      </c>
      <c r="L840">
        <v>5391.91</v>
      </c>
      <c r="M840">
        <v>5391.91</v>
      </c>
      <c r="N840" t="s">
        <v>710</v>
      </c>
      <c r="O840" t="s">
        <v>1036</v>
      </c>
      <c r="P840" t="s">
        <v>4779</v>
      </c>
      <c r="Q840" t="s">
        <v>4901</v>
      </c>
      <c r="R840" t="s">
        <v>4773</v>
      </c>
    </row>
    <row r="841" spans="1:18" x14ac:dyDescent="0.3">
      <c r="A841">
        <v>600308</v>
      </c>
      <c r="B841" t="s">
        <v>1034</v>
      </c>
      <c r="C841" t="s">
        <v>248</v>
      </c>
      <c r="D841" t="s">
        <v>13</v>
      </c>
      <c r="E841" s="1">
        <v>46120</v>
      </c>
      <c r="F841" t="s">
        <v>4297</v>
      </c>
      <c r="G841" t="s">
        <v>3845</v>
      </c>
      <c r="H841" t="s">
        <v>315</v>
      </c>
      <c r="I841" t="s">
        <v>204</v>
      </c>
      <c r="J841" s="1">
        <v>46073</v>
      </c>
      <c r="K841" t="s">
        <v>711</v>
      </c>
      <c r="L841">
        <v>1</v>
      </c>
      <c r="M841">
        <v>404.45</v>
      </c>
      <c r="N841" t="s">
        <v>710</v>
      </c>
      <c r="O841" t="s">
        <v>1036</v>
      </c>
      <c r="P841" t="s">
        <v>4779</v>
      </c>
      <c r="Q841" t="s">
        <v>4901</v>
      </c>
      <c r="R841" t="s">
        <v>4773</v>
      </c>
    </row>
    <row r="842" spans="1:18" x14ac:dyDescent="0.3">
      <c r="A842">
        <v>24</v>
      </c>
      <c r="B842" t="s">
        <v>1034</v>
      </c>
      <c r="C842" t="s">
        <v>658</v>
      </c>
      <c r="D842" t="s">
        <v>192</v>
      </c>
      <c r="E842" s="1">
        <v>46120</v>
      </c>
      <c r="F842" t="s">
        <v>4377</v>
      </c>
      <c r="G842" t="s">
        <v>4022</v>
      </c>
      <c r="H842" t="s">
        <v>657</v>
      </c>
      <c r="I842" t="s">
        <v>204</v>
      </c>
      <c r="J842" s="1">
        <v>46218</v>
      </c>
      <c r="K842" t="s">
        <v>711</v>
      </c>
      <c r="L842">
        <v>1</v>
      </c>
      <c r="M842">
        <v>2150</v>
      </c>
      <c r="N842" t="s">
        <v>710</v>
      </c>
      <c r="O842" t="s">
        <v>4834</v>
      </c>
      <c r="P842" t="s">
        <v>4776</v>
      </c>
      <c r="Q842" t="s">
        <v>4901</v>
      </c>
      <c r="R842" t="s">
        <v>807</v>
      </c>
    </row>
    <row r="843" spans="1:18" x14ac:dyDescent="0.3">
      <c r="A843">
        <v>32818</v>
      </c>
      <c r="B843" t="s">
        <v>1034</v>
      </c>
      <c r="C843" t="s">
        <v>660</v>
      </c>
      <c r="D843" t="s">
        <v>96</v>
      </c>
      <c r="E843" s="1">
        <v>46120</v>
      </c>
      <c r="F843" t="s">
        <v>4379</v>
      </c>
      <c r="G843" t="s">
        <v>4112</v>
      </c>
      <c r="H843" t="s">
        <v>659</v>
      </c>
      <c r="I843" t="s">
        <v>204</v>
      </c>
      <c r="J843" s="1">
        <v>46276</v>
      </c>
      <c r="K843" t="s">
        <v>717</v>
      </c>
      <c r="L843">
        <v>1</v>
      </c>
      <c r="M843">
        <v>33527.699999999997</v>
      </c>
      <c r="N843" t="s">
        <v>710</v>
      </c>
      <c r="O843" t="s">
        <v>4902</v>
      </c>
      <c r="P843" t="s">
        <v>4776</v>
      </c>
      <c r="Q843" t="s">
        <v>4852</v>
      </c>
      <c r="R843" t="s">
        <v>807</v>
      </c>
    </row>
    <row r="844" spans="1:18" x14ac:dyDescent="0.3">
      <c r="A844">
        <v>43316</v>
      </c>
      <c r="B844" t="s">
        <v>4875</v>
      </c>
      <c r="C844" t="s">
        <v>327</v>
      </c>
      <c r="D844" t="s">
        <v>159</v>
      </c>
      <c r="E844" s="1">
        <v>46120</v>
      </c>
      <c r="F844" t="s">
        <v>4295</v>
      </c>
      <c r="G844" t="s">
        <v>4059</v>
      </c>
      <c r="H844" t="s">
        <v>326</v>
      </c>
      <c r="I844" t="s">
        <v>204</v>
      </c>
      <c r="J844" s="1">
        <v>54878</v>
      </c>
      <c r="K844" t="s">
        <v>748</v>
      </c>
      <c r="L844">
        <v>3490.26</v>
      </c>
      <c r="M844">
        <v>3490.26</v>
      </c>
      <c r="N844" t="s">
        <v>719</v>
      </c>
      <c r="O844" t="s">
        <v>4834</v>
      </c>
      <c r="P844" t="s">
        <v>4776</v>
      </c>
      <c r="Q844" t="s">
        <v>4856</v>
      </c>
      <c r="R844" t="s">
        <v>4773</v>
      </c>
    </row>
    <row r="845" spans="1:18" x14ac:dyDescent="0.3">
      <c r="A845">
        <v>110</v>
      </c>
      <c r="B845" t="s">
        <v>1034</v>
      </c>
      <c r="C845" t="s">
        <v>449</v>
      </c>
      <c r="D845" t="s">
        <v>20</v>
      </c>
      <c r="E845" s="1">
        <v>46120</v>
      </c>
      <c r="F845" t="s">
        <v>4331</v>
      </c>
      <c r="G845" t="s">
        <v>4128</v>
      </c>
      <c r="H845" t="s">
        <v>448</v>
      </c>
      <c r="I845" t="s">
        <v>204</v>
      </c>
      <c r="J845" s="1">
        <v>46219</v>
      </c>
      <c r="K845" t="s">
        <v>717</v>
      </c>
      <c r="L845">
        <v>8220.39</v>
      </c>
      <c r="M845">
        <v>8220.39</v>
      </c>
      <c r="N845" t="s">
        <v>710</v>
      </c>
      <c r="O845" t="s">
        <v>4902</v>
      </c>
      <c r="P845" t="s">
        <v>4776</v>
      </c>
      <c r="Q845" t="s">
        <v>4852</v>
      </c>
      <c r="R845" t="s">
        <v>4771</v>
      </c>
    </row>
    <row r="846" spans="1:18" x14ac:dyDescent="0.3">
      <c r="A846">
        <v>2071518</v>
      </c>
      <c r="B846" t="s">
        <v>1034</v>
      </c>
      <c r="C846" t="s">
        <v>668</v>
      </c>
      <c r="D846" t="s">
        <v>84</v>
      </c>
      <c r="E846" s="1">
        <v>46119</v>
      </c>
      <c r="F846" t="s">
        <v>4384</v>
      </c>
      <c r="G846" t="s">
        <v>4065</v>
      </c>
      <c r="H846" t="s">
        <v>669</v>
      </c>
      <c r="I846" t="s">
        <v>204</v>
      </c>
      <c r="J846" s="1">
        <v>46326</v>
      </c>
      <c r="K846" t="s">
        <v>717</v>
      </c>
      <c r="L846">
        <v>17770.87</v>
      </c>
      <c r="M846">
        <v>17770.87</v>
      </c>
      <c r="N846" t="s">
        <v>1000</v>
      </c>
      <c r="O846" t="s">
        <v>1037</v>
      </c>
      <c r="P846" t="s">
        <v>4799</v>
      </c>
      <c r="Q846" t="s">
        <v>4852</v>
      </c>
      <c r="R846" t="s">
        <v>807</v>
      </c>
    </row>
    <row r="847" spans="1:18" x14ac:dyDescent="0.3">
      <c r="A847">
        <v>3257</v>
      </c>
      <c r="B847" t="s">
        <v>4874</v>
      </c>
      <c r="C847" t="s">
        <v>630</v>
      </c>
      <c r="D847" t="s">
        <v>145</v>
      </c>
      <c r="E847" s="1">
        <v>46119</v>
      </c>
      <c r="F847" t="s">
        <v>4300</v>
      </c>
      <c r="G847" t="s">
        <v>4095</v>
      </c>
      <c r="H847" t="s">
        <v>629</v>
      </c>
      <c r="I847" t="s">
        <v>204</v>
      </c>
      <c r="J847" s="1">
        <v>46264</v>
      </c>
      <c r="K847" t="s">
        <v>720</v>
      </c>
      <c r="L847">
        <v>1</v>
      </c>
      <c r="M847">
        <v>24500</v>
      </c>
      <c r="N847" t="s">
        <v>710</v>
      </c>
      <c r="O847" t="s">
        <v>4849</v>
      </c>
      <c r="P847" t="s">
        <v>4777</v>
      </c>
      <c r="Q847" t="s">
        <v>4855</v>
      </c>
      <c r="R847" t="s">
        <v>4771</v>
      </c>
    </row>
    <row r="848" spans="1:18" x14ac:dyDescent="0.3">
      <c r="A848">
        <v>2071520</v>
      </c>
      <c r="B848" t="s">
        <v>4874</v>
      </c>
      <c r="C848" t="s">
        <v>668</v>
      </c>
      <c r="D848" t="s">
        <v>84</v>
      </c>
      <c r="E848" s="1">
        <v>46119</v>
      </c>
      <c r="F848" t="s">
        <v>4384</v>
      </c>
      <c r="G848" t="s">
        <v>4064</v>
      </c>
      <c r="H848" t="s">
        <v>667</v>
      </c>
      <c r="I848" t="s">
        <v>204</v>
      </c>
      <c r="J848" s="1">
        <v>46676</v>
      </c>
      <c r="K848" t="s">
        <v>762</v>
      </c>
      <c r="L848">
        <v>24350</v>
      </c>
      <c r="M848">
        <v>24350</v>
      </c>
      <c r="N848" t="s">
        <v>1000</v>
      </c>
      <c r="O848" t="s">
        <v>1037</v>
      </c>
      <c r="P848" t="s">
        <v>4799</v>
      </c>
      <c r="Q848" t="s">
        <v>4852</v>
      </c>
      <c r="R848" t="s">
        <v>807</v>
      </c>
    </row>
    <row r="849" spans="1:18" x14ac:dyDescent="0.3">
      <c r="A849">
        <v>2072900</v>
      </c>
      <c r="B849" t="s">
        <v>4875</v>
      </c>
      <c r="C849" t="s">
        <v>668</v>
      </c>
      <c r="D849" t="s">
        <v>84</v>
      </c>
      <c r="E849" s="1">
        <v>46119</v>
      </c>
      <c r="F849" t="s">
        <v>4384</v>
      </c>
      <c r="G849" t="s">
        <v>4066</v>
      </c>
      <c r="H849" t="s">
        <v>670</v>
      </c>
      <c r="I849" t="s">
        <v>204</v>
      </c>
      <c r="J849" s="1">
        <v>46677</v>
      </c>
      <c r="K849" t="s">
        <v>768</v>
      </c>
      <c r="L849">
        <v>2200</v>
      </c>
      <c r="M849">
        <v>2200</v>
      </c>
      <c r="N849" t="s">
        <v>1000</v>
      </c>
      <c r="O849" t="s">
        <v>1037</v>
      </c>
      <c r="P849" t="s">
        <v>4799</v>
      </c>
      <c r="Q849" t="s">
        <v>4852</v>
      </c>
      <c r="R849" t="s">
        <v>807</v>
      </c>
    </row>
    <row r="850" spans="1:18" x14ac:dyDescent="0.3">
      <c r="A850">
        <v>2185</v>
      </c>
      <c r="B850" t="s">
        <v>1034</v>
      </c>
      <c r="C850" t="s">
        <v>585</v>
      </c>
      <c r="D850" t="s">
        <v>179</v>
      </c>
      <c r="E850" s="1">
        <v>46119</v>
      </c>
      <c r="F850" t="s">
        <v>4306</v>
      </c>
      <c r="G850" t="s">
        <v>4088</v>
      </c>
      <c r="H850" t="s">
        <v>584</v>
      </c>
      <c r="I850" t="s">
        <v>204</v>
      </c>
      <c r="J850" s="1">
        <v>46477</v>
      </c>
      <c r="K850" t="s">
        <v>717</v>
      </c>
      <c r="L850">
        <v>1</v>
      </c>
      <c r="M850">
        <v>1139.9000000000001</v>
      </c>
      <c r="N850" t="s">
        <v>719</v>
      </c>
      <c r="O850" t="s">
        <v>4833</v>
      </c>
      <c r="P850" t="s">
        <v>4786</v>
      </c>
      <c r="Q850" t="s">
        <v>4852</v>
      </c>
      <c r="R850" t="s">
        <v>4771</v>
      </c>
    </row>
    <row r="851" spans="1:18" x14ac:dyDescent="0.3">
      <c r="A851">
        <v>132</v>
      </c>
      <c r="B851" t="s">
        <v>1034</v>
      </c>
      <c r="C851" t="s">
        <v>588</v>
      </c>
      <c r="D851" t="s">
        <v>136</v>
      </c>
      <c r="E851" s="1">
        <v>46119</v>
      </c>
      <c r="F851" t="s">
        <v>4364</v>
      </c>
      <c r="G851" t="s">
        <v>4048</v>
      </c>
      <c r="H851" t="s">
        <v>587</v>
      </c>
      <c r="I851" t="s">
        <v>204</v>
      </c>
      <c r="J851" s="1">
        <v>46142</v>
      </c>
      <c r="K851" t="s">
        <v>711</v>
      </c>
      <c r="L851">
        <v>10935.6</v>
      </c>
      <c r="M851">
        <v>10935.6</v>
      </c>
      <c r="N851" t="s">
        <v>710</v>
      </c>
      <c r="O851" t="s">
        <v>4834</v>
      </c>
      <c r="P851" t="s">
        <v>4809</v>
      </c>
      <c r="Q851" t="s">
        <v>4901</v>
      </c>
      <c r="R851" t="s">
        <v>4773</v>
      </c>
    </row>
    <row r="852" spans="1:18" x14ac:dyDescent="0.3">
      <c r="A852">
        <v>601003</v>
      </c>
      <c r="B852" t="s">
        <v>4875</v>
      </c>
      <c r="C852" t="s">
        <v>248</v>
      </c>
      <c r="D852" t="s">
        <v>13</v>
      </c>
      <c r="E852" s="1">
        <v>46119</v>
      </c>
      <c r="F852" t="s">
        <v>4430</v>
      </c>
      <c r="G852" t="s">
        <v>4042</v>
      </c>
      <c r="H852" t="s">
        <v>351</v>
      </c>
      <c r="I852" t="s">
        <v>204</v>
      </c>
      <c r="J852" s="1">
        <v>54878</v>
      </c>
      <c r="K852" t="s">
        <v>748</v>
      </c>
      <c r="L852">
        <v>1558.79</v>
      </c>
      <c r="M852">
        <v>1558.79</v>
      </c>
      <c r="N852" t="s">
        <v>710</v>
      </c>
      <c r="O852" t="s">
        <v>1040</v>
      </c>
      <c r="P852" t="s">
        <v>4779</v>
      </c>
      <c r="Q852" t="s">
        <v>4856</v>
      </c>
      <c r="R852" t="s">
        <v>4773</v>
      </c>
    </row>
    <row r="853" spans="1:18" x14ac:dyDescent="0.3">
      <c r="A853">
        <v>16</v>
      </c>
      <c r="B853" t="s">
        <v>1034</v>
      </c>
      <c r="C853" t="s">
        <v>658</v>
      </c>
      <c r="D853" t="s">
        <v>192</v>
      </c>
      <c r="E853" s="1">
        <v>46119</v>
      </c>
      <c r="F853" t="s">
        <v>4377</v>
      </c>
      <c r="G853" t="s">
        <v>3859</v>
      </c>
      <c r="H853" t="s">
        <v>657</v>
      </c>
      <c r="I853" t="s">
        <v>204</v>
      </c>
      <c r="J853" s="1">
        <v>46218</v>
      </c>
      <c r="K853" t="s">
        <v>711</v>
      </c>
      <c r="L853">
        <v>1</v>
      </c>
      <c r="M853">
        <v>2150</v>
      </c>
      <c r="N853" t="s">
        <v>710</v>
      </c>
      <c r="O853" t="s">
        <v>4834</v>
      </c>
      <c r="P853" t="s">
        <v>4776</v>
      </c>
      <c r="Q853" t="s">
        <v>4901</v>
      </c>
      <c r="R853" t="s">
        <v>807</v>
      </c>
    </row>
    <row r="854" spans="1:18" x14ac:dyDescent="0.3">
      <c r="A854">
        <v>18</v>
      </c>
      <c r="B854" t="s">
        <v>1034</v>
      </c>
      <c r="C854" t="s">
        <v>658</v>
      </c>
      <c r="D854" t="s">
        <v>192</v>
      </c>
      <c r="E854" s="1">
        <v>46119</v>
      </c>
      <c r="F854" t="s">
        <v>4377</v>
      </c>
      <c r="G854" t="s">
        <v>3911</v>
      </c>
      <c r="H854" t="s">
        <v>657</v>
      </c>
      <c r="I854" t="s">
        <v>204</v>
      </c>
      <c r="J854" s="1">
        <v>46218</v>
      </c>
      <c r="K854" t="s">
        <v>711</v>
      </c>
      <c r="L854">
        <v>1</v>
      </c>
      <c r="M854">
        <v>2150</v>
      </c>
      <c r="N854" t="s">
        <v>710</v>
      </c>
      <c r="O854" t="s">
        <v>4834</v>
      </c>
      <c r="P854" t="s">
        <v>4776</v>
      </c>
      <c r="Q854" t="s">
        <v>4901</v>
      </c>
      <c r="R854" t="s">
        <v>807</v>
      </c>
    </row>
    <row r="855" spans="1:18" x14ac:dyDescent="0.3">
      <c r="A855">
        <v>922640</v>
      </c>
      <c r="B855" t="s">
        <v>1034</v>
      </c>
      <c r="C855" t="s">
        <v>338</v>
      </c>
      <c r="D855" t="s">
        <v>31</v>
      </c>
      <c r="E855" s="1">
        <v>46119</v>
      </c>
      <c r="F855" t="s">
        <v>4299</v>
      </c>
      <c r="G855" t="s">
        <v>3984</v>
      </c>
      <c r="H855" t="s">
        <v>337</v>
      </c>
      <c r="I855" t="s">
        <v>204</v>
      </c>
      <c r="J855" s="1">
        <v>54878</v>
      </c>
      <c r="K855" t="s">
        <v>711</v>
      </c>
      <c r="L855">
        <v>16753</v>
      </c>
      <c r="M855">
        <v>16752.689999999999</v>
      </c>
      <c r="N855" t="s">
        <v>710</v>
      </c>
      <c r="O855" t="s">
        <v>1036</v>
      </c>
      <c r="P855" t="s">
        <v>4785</v>
      </c>
      <c r="Q855" t="s">
        <v>4901</v>
      </c>
      <c r="R855" t="s">
        <v>4773</v>
      </c>
    </row>
    <row r="856" spans="1:18" x14ac:dyDescent="0.3">
      <c r="A856">
        <v>3419</v>
      </c>
      <c r="B856" t="s">
        <v>4874</v>
      </c>
      <c r="C856" t="s">
        <v>541</v>
      </c>
      <c r="D856" t="s">
        <v>173</v>
      </c>
      <c r="E856" s="1">
        <v>46118</v>
      </c>
      <c r="F856" t="s">
        <v>4326</v>
      </c>
      <c r="G856" t="s">
        <v>4031</v>
      </c>
      <c r="H856" t="s">
        <v>548</v>
      </c>
      <c r="I856" t="s">
        <v>204</v>
      </c>
      <c r="J856" s="1">
        <v>46387</v>
      </c>
      <c r="K856" t="s">
        <v>720</v>
      </c>
      <c r="L856">
        <v>4600</v>
      </c>
      <c r="M856">
        <v>4600</v>
      </c>
      <c r="N856" t="s">
        <v>710</v>
      </c>
      <c r="O856" t="s">
        <v>1038</v>
      </c>
      <c r="P856" t="s">
        <v>4791</v>
      </c>
      <c r="Q856" t="s">
        <v>4858</v>
      </c>
      <c r="R856" t="s">
        <v>4773</v>
      </c>
    </row>
    <row r="857" spans="1:18" x14ac:dyDescent="0.3">
      <c r="A857">
        <v>15220</v>
      </c>
      <c r="B857" t="s">
        <v>4874</v>
      </c>
      <c r="C857" t="s">
        <v>391</v>
      </c>
      <c r="D857" t="s">
        <v>104</v>
      </c>
      <c r="E857" s="1">
        <v>46118</v>
      </c>
      <c r="F857" t="s">
        <v>4354</v>
      </c>
      <c r="G857" t="s">
        <v>4101</v>
      </c>
      <c r="H857" t="s">
        <v>390</v>
      </c>
      <c r="I857" t="s">
        <v>204</v>
      </c>
      <c r="J857" s="1">
        <v>54878</v>
      </c>
      <c r="K857" t="s">
        <v>762</v>
      </c>
      <c r="L857">
        <v>224.98</v>
      </c>
      <c r="M857">
        <v>224.98</v>
      </c>
      <c r="N857" t="s">
        <v>710</v>
      </c>
      <c r="O857" t="s">
        <v>4833</v>
      </c>
      <c r="P857" t="s">
        <v>4776</v>
      </c>
      <c r="Q857" t="s">
        <v>4852</v>
      </c>
      <c r="R857" t="s">
        <v>4773</v>
      </c>
    </row>
    <row r="858" spans="1:18" x14ac:dyDescent="0.3">
      <c r="A858">
        <v>15220</v>
      </c>
      <c r="B858" t="s">
        <v>4874</v>
      </c>
      <c r="C858" t="s">
        <v>391</v>
      </c>
      <c r="D858" t="s">
        <v>104</v>
      </c>
      <c r="E858" s="1">
        <v>46118</v>
      </c>
      <c r="F858" t="s">
        <v>4306</v>
      </c>
      <c r="G858" t="s">
        <v>4101</v>
      </c>
      <c r="H858" t="s">
        <v>390</v>
      </c>
      <c r="I858" t="s">
        <v>204</v>
      </c>
      <c r="J858" s="1">
        <v>54878</v>
      </c>
      <c r="K858" t="s">
        <v>762</v>
      </c>
      <c r="L858">
        <v>1435.1</v>
      </c>
      <c r="M858">
        <v>1435.1</v>
      </c>
      <c r="N858" t="s">
        <v>710</v>
      </c>
      <c r="O858" t="s">
        <v>4833</v>
      </c>
      <c r="P858" t="s">
        <v>4776</v>
      </c>
      <c r="Q858" t="s">
        <v>4852</v>
      </c>
      <c r="R858" t="s">
        <v>4773</v>
      </c>
    </row>
    <row r="859" spans="1:18" x14ac:dyDescent="0.3">
      <c r="A859">
        <v>5997</v>
      </c>
      <c r="B859" t="s">
        <v>4874</v>
      </c>
      <c r="C859" t="s">
        <v>401</v>
      </c>
      <c r="D859" t="s">
        <v>187</v>
      </c>
      <c r="E859" s="1">
        <v>46118</v>
      </c>
      <c r="F859" t="s">
        <v>4345</v>
      </c>
      <c r="G859" t="s">
        <v>4100</v>
      </c>
      <c r="H859" t="s">
        <v>400</v>
      </c>
      <c r="I859" t="s">
        <v>204</v>
      </c>
      <c r="J859" s="1">
        <v>54878</v>
      </c>
      <c r="K859" t="s">
        <v>762</v>
      </c>
      <c r="L859">
        <v>390</v>
      </c>
      <c r="M859">
        <v>390</v>
      </c>
      <c r="N859" t="s">
        <v>710</v>
      </c>
      <c r="O859" t="s">
        <v>4833</v>
      </c>
      <c r="P859" t="s">
        <v>4776</v>
      </c>
      <c r="Q859" t="s">
        <v>4852</v>
      </c>
      <c r="R859" t="s">
        <v>4773</v>
      </c>
    </row>
    <row r="860" spans="1:18" x14ac:dyDescent="0.3">
      <c r="A860">
        <v>80219</v>
      </c>
      <c r="B860" t="s">
        <v>4874</v>
      </c>
      <c r="C860" t="s">
        <v>634</v>
      </c>
      <c r="D860" t="s">
        <v>99</v>
      </c>
      <c r="E860" s="1">
        <v>46118</v>
      </c>
      <c r="F860" t="s">
        <v>4307</v>
      </c>
      <c r="G860" t="s">
        <v>4082</v>
      </c>
      <c r="H860" t="s">
        <v>633</v>
      </c>
      <c r="I860" t="s">
        <v>204</v>
      </c>
      <c r="J860" s="1">
        <v>46204</v>
      </c>
      <c r="K860" t="s">
        <v>762</v>
      </c>
      <c r="L860">
        <v>2459</v>
      </c>
      <c r="M860">
        <v>38335.81</v>
      </c>
      <c r="N860" t="s">
        <v>719</v>
      </c>
      <c r="O860" t="s">
        <v>1037</v>
      </c>
      <c r="P860" t="s">
        <v>4790</v>
      </c>
      <c r="Q860" t="s">
        <v>4852</v>
      </c>
    </row>
    <row r="861" spans="1:18" x14ac:dyDescent="0.3">
      <c r="A861">
        <v>80219</v>
      </c>
      <c r="B861" t="s">
        <v>4874</v>
      </c>
      <c r="C861" t="s">
        <v>634</v>
      </c>
      <c r="D861" t="s">
        <v>99</v>
      </c>
      <c r="E861" s="1">
        <v>46118</v>
      </c>
      <c r="F861" t="s">
        <v>4394</v>
      </c>
      <c r="G861" t="s">
        <v>4082</v>
      </c>
      <c r="H861" t="s">
        <v>633</v>
      </c>
      <c r="I861" t="s">
        <v>204</v>
      </c>
      <c r="J861" s="1">
        <v>46204</v>
      </c>
      <c r="K861" t="s">
        <v>762</v>
      </c>
      <c r="L861">
        <v>2459</v>
      </c>
      <c r="M861">
        <v>2459</v>
      </c>
      <c r="N861" t="s">
        <v>719</v>
      </c>
      <c r="O861" t="s">
        <v>1037</v>
      </c>
      <c r="P861" t="s">
        <v>4790</v>
      </c>
      <c r="Q861" t="s">
        <v>4852</v>
      </c>
    </row>
    <row r="862" spans="1:18" x14ac:dyDescent="0.3">
      <c r="A862">
        <v>80219</v>
      </c>
      <c r="B862" t="s">
        <v>4874</v>
      </c>
      <c r="C862" t="s">
        <v>634</v>
      </c>
      <c r="D862" t="s">
        <v>99</v>
      </c>
      <c r="E862" s="1">
        <v>46118</v>
      </c>
      <c r="F862" t="s">
        <v>4310</v>
      </c>
      <c r="G862" t="s">
        <v>4082</v>
      </c>
      <c r="H862" t="s">
        <v>633</v>
      </c>
      <c r="I862" t="s">
        <v>204</v>
      </c>
      <c r="J862" s="1">
        <v>46204</v>
      </c>
      <c r="K862" t="s">
        <v>762</v>
      </c>
      <c r="L862">
        <v>53</v>
      </c>
      <c r="M862">
        <v>193.98</v>
      </c>
      <c r="N862" t="s">
        <v>719</v>
      </c>
      <c r="O862" t="s">
        <v>1037</v>
      </c>
      <c r="P862" t="s">
        <v>4790</v>
      </c>
      <c r="Q862" t="s">
        <v>4852</v>
      </c>
    </row>
    <row r="863" spans="1:18" x14ac:dyDescent="0.3">
      <c r="A863">
        <v>80219</v>
      </c>
      <c r="B863" t="s">
        <v>4874</v>
      </c>
      <c r="C863" t="s">
        <v>634</v>
      </c>
      <c r="D863" t="s">
        <v>99</v>
      </c>
      <c r="E863" s="1">
        <v>46118</v>
      </c>
      <c r="F863" t="s">
        <v>4329</v>
      </c>
      <c r="G863" t="s">
        <v>4082</v>
      </c>
      <c r="H863" t="s">
        <v>633</v>
      </c>
      <c r="I863" t="s">
        <v>204</v>
      </c>
      <c r="J863" s="1">
        <v>46204</v>
      </c>
      <c r="K863" t="s">
        <v>762</v>
      </c>
      <c r="L863">
        <v>15</v>
      </c>
      <c r="M863">
        <v>199.35</v>
      </c>
      <c r="N863" t="s">
        <v>719</v>
      </c>
      <c r="O863" t="s">
        <v>1037</v>
      </c>
      <c r="P863" t="s">
        <v>4790</v>
      </c>
      <c r="Q863" t="s">
        <v>4852</v>
      </c>
    </row>
    <row r="864" spans="1:18" x14ac:dyDescent="0.3">
      <c r="A864">
        <v>80219</v>
      </c>
      <c r="B864" t="s">
        <v>4874</v>
      </c>
      <c r="C864" t="s">
        <v>634</v>
      </c>
      <c r="D864" t="s">
        <v>99</v>
      </c>
      <c r="E864" s="1">
        <v>46118</v>
      </c>
      <c r="F864" t="s">
        <v>4422</v>
      </c>
      <c r="G864" t="s">
        <v>4082</v>
      </c>
      <c r="H864" t="s">
        <v>633</v>
      </c>
      <c r="I864" t="s">
        <v>204</v>
      </c>
      <c r="J864" s="1">
        <v>46204</v>
      </c>
      <c r="K864" t="s">
        <v>762</v>
      </c>
      <c r="L864">
        <v>39</v>
      </c>
      <c r="M864">
        <v>228.54</v>
      </c>
      <c r="N864" t="s">
        <v>719</v>
      </c>
      <c r="O864" t="s">
        <v>1037</v>
      </c>
      <c r="P864" t="s">
        <v>4790</v>
      </c>
      <c r="Q864" t="s">
        <v>4852</v>
      </c>
    </row>
    <row r="865" spans="1:18" x14ac:dyDescent="0.3">
      <c r="A865">
        <v>80219</v>
      </c>
      <c r="B865" t="s">
        <v>4874</v>
      </c>
      <c r="C865" t="s">
        <v>634</v>
      </c>
      <c r="D865" t="s">
        <v>99</v>
      </c>
      <c r="E865" s="1">
        <v>46118</v>
      </c>
      <c r="F865" t="s">
        <v>4424</v>
      </c>
      <c r="G865" t="s">
        <v>4082</v>
      </c>
      <c r="H865" t="s">
        <v>633</v>
      </c>
      <c r="I865" t="s">
        <v>204</v>
      </c>
      <c r="J865" s="1">
        <v>46204</v>
      </c>
      <c r="K865" t="s">
        <v>762</v>
      </c>
      <c r="L865">
        <v>2</v>
      </c>
      <c r="M865">
        <v>22.5</v>
      </c>
      <c r="N865" t="s">
        <v>719</v>
      </c>
      <c r="O865" t="s">
        <v>1037</v>
      </c>
      <c r="P865" t="s">
        <v>4790</v>
      </c>
      <c r="Q865" t="s">
        <v>4852</v>
      </c>
    </row>
    <row r="866" spans="1:18" x14ac:dyDescent="0.3">
      <c r="A866">
        <v>80219</v>
      </c>
      <c r="B866" t="s">
        <v>4874</v>
      </c>
      <c r="C866" t="s">
        <v>634</v>
      </c>
      <c r="D866" t="s">
        <v>99</v>
      </c>
      <c r="E866" s="1">
        <v>46118</v>
      </c>
      <c r="F866" t="s">
        <v>4308</v>
      </c>
      <c r="G866" t="s">
        <v>4082</v>
      </c>
      <c r="H866" t="s">
        <v>633</v>
      </c>
      <c r="I866" t="s">
        <v>204</v>
      </c>
      <c r="J866" s="1">
        <v>46204</v>
      </c>
      <c r="K866" t="s">
        <v>762</v>
      </c>
      <c r="L866">
        <v>87</v>
      </c>
      <c r="M866">
        <v>423.69</v>
      </c>
      <c r="N866" t="s">
        <v>719</v>
      </c>
      <c r="O866" t="s">
        <v>1037</v>
      </c>
      <c r="P866" t="s">
        <v>4790</v>
      </c>
      <c r="Q866" t="s">
        <v>4852</v>
      </c>
    </row>
    <row r="867" spans="1:18" x14ac:dyDescent="0.3">
      <c r="A867">
        <v>7405</v>
      </c>
      <c r="B867" t="s">
        <v>4874</v>
      </c>
      <c r="C867" t="s">
        <v>484</v>
      </c>
      <c r="D867" t="s">
        <v>140</v>
      </c>
      <c r="E867" s="1">
        <v>46118</v>
      </c>
      <c r="F867" t="s">
        <v>4345</v>
      </c>
      <c r="G867" t="s">
        <v>4091</v>
      </c>
      <c r="H867" t="s">
        <v>483</v>
      </c>
      <c r="I867" t="s">
        <v>204</v>
      </c>
      <c r="J867" s="1">
        <v>46508</v>
      </c>
      <c r="K867" t="s">
        <v>762</v>
      </c>
      <c r="L867">
        <v>49120</v>
      </c>
      <c r="M867">
        <v>49120</v>
      </c>
      <c r="N867" t="s">
        <v>710</v>
      </c>
      <c r="O867" t="s">
        <v>4833</v>
      </c>
      <c r="P867" t="s">
        <v>4776</v>
      </c>
      <c r="Q867" t="s">
        <v>4852</v>
      </c>
      <c r="R867" t="s">
        <v>4773</v>
      </c>
    </row>
    <row r="868" spans="1:18" x14ac:dyDescent="0.3">
      <c r="A868">
        <v>67</v>
      </c>
      <c r="B868" t="s">
        <v>4875</v>
      </c>
      <c r="C868" t="s">
        <v>561</v>
      </c>
      <c r="D868" t="s">
        <v>121</v>
      </c>
      <c r="E868" s="1">
        <v>46118</v>
      </c>
      <c r="F868" t="s">
        <v>4390</v>
      </c>
      <c r="G868" t="s">
        <v>4038</v>
      </c>
      <c r="H868" t="s">
        <v>560</v>
      </c>
      <c r="I868" t="s">
        <v>204</v>
      </c>
      <c r="J868" s="1">
        <v>46732</v>
      </c>
      <c r="K868" t="s">
        <v>748</v>
      </c>
      <c r="L868">
        <v>14100</v>
      </c>
      <c r="M868">
        <v>14100</v>
      </c>
      <c r="N868" t="s">
        <v>818</v>
      </c>
      <c r="O868" t="s">
        <v>1040</v>
      </c>
      <c r="P868" t="s">
        <v>4777</v>
      </c>
      <c r="Q868" t="s">
        <v>4856</v>
      </c>
      <c r="R868" t="s">
        <v>4771</v>
      </c>
    </row>
    <row r="869" spans="1:18" x14ac:dyDescent="0.3">
      <c r="A869">
        <v>1013</v>
      </c>
      <c r="B869" t="s">
        <v>4875</v>
      </c>
      <c r="C869" t="s">
        <v>319</v>
      </c>
      <c r="D869" t="s">
        <v>36</v>
      </c>
      <c r="E869" s="1">
        <v>46118</v>
      </c>
      <c r="F869" t="s">
        <v>4434</v>
      </c>
      <c r="G869" t="s">
        <v>4035</v>
      </c>
      <c r="H869" t="s">
        <v>336</v>
      </c>
      <c r="I869" t="s">
        <v>204</v>
      </c>
      <c r="J869" s="1">
        <v>46075</v>
      </c>
      <c r="K869" t="s">
        <v>748</v>
      </c>
      <c r="L869">
        <v>2400.8000000000002</v>
      </c>
      <c r="M869">
        <v>20017.150000000001</v>
      </c>
      <c r="N869" t="s">
        <v>710</v>
      </c>
      <c r="O869" t="s">
        <v>1040</v>
      </c>
      <c r="P869" t="s">
        <v>4784</v>
      </c>
      <c r="Q869" t="s">
        <v>4856</v>
      </c>
      <c r="R869" t="s">
        <v>4771</v>
      </c>
    </row>
    <row r="870" spans="1:18" x14ac:dyDescent="0.3">
      <c r="A870">
        <v>54</v>
      </c>
      <c r="B870" t="s">
        <v>4876</v>
      </c>
      <c r="C870" t="s">
        <v>476</v>
      </c>
      <c r="D870" t="s">
        <v>195</v>
      </c>
      <c r="E870" s="1">
        <v>46118</v>
      </c>
      <c r="F870" t="s">
        <v>4401</v>
      </c>
      <c r="G870" t="s">
        <v>4093</v>
      </c>
      <c r="H870" t="s">
        <v>475</v>
      </c>
      <c r="I870" t="s">
        <v>204</v>
      </c>
      <c r="J870" s="1">
        <v>54878</v>
      </c>
      <c r="K870" t="s">
        <v>839</v>
      </c>
      <c r="L870">
        <v>39330</v>
      </c>
      <c r="M870">
        <v>39330</v>
      </c>
      <c r="N870" t="s">
        <v>710</v>
      </c>
      <c r="O870" t="s">
        <v>1042</v>
      </c>
      <c r="P870" t="s">
        <v>1006</v>
      </c>
      <c r="Q870" t="s">
        <v>4852</v>
      </c>
      <c r="R870" t="s">
        <v>4771</v>
      </c>
    </row>
    <row r="871" spans="1:18" x14ac:dyDescent="0.3">
      <c r="A871">
        <v>57</v>
      </c>
      <c r="B871" t="s">
        <v>4875</v>
      </c>
      <c r="C871" t="s">
        <v>322</v>
      </c>
      <c r="D871" t="s">
        <v>158</v>
      </c>
      <c r="E871" s="1">
        <v>46118</v>
      </c>
      <c r="F871" t="s">
        <v>4431</v>
      </c>
      <c r="G871" t="s">
        <v>3995</v>
      </c>
      <c r="H871" t="s">
        <v>321</v>
      </c>
      <c r="I871" t="s">
        <v>204</v>
      </c>
      <c r="J871" s="1">
        <v>46310</v>
      </c>
      <c r="K871" t="s">
        <v>748</v>
      </c>
      <c r="L871">
        <v>1</v>
      </c>
      <c r="M871">
        <v>9638.58</v>
      </c>
      <c r="N871" t="s">
        <v>710</v>
      </c>
      <c r="O871" t="s">
        <v>1040</v>
      </c>
      <c r="P871" t="s">
        <v>4782</v>
      </c>
      <c r="Q871" t="s">
        <v>4856</v>
      </c>
      <c r="R871" t="s">
        <v>4773</v>
      </c>
    </row>
    <row r="872" spans="1:18" x14ac:dyDescent="0.3">
      <c r="A872">
        <v>5959</v>
      </c>
      <c r="B872" t="s">
        <v>4875</v>
      </c>
      <c r="C872" t="s">
        <v>535</v>
      </c>
      <c r="D872" t="s">
        <v>148</v>
      </c>
      <c r="E872" s="1">
        <v>46118</v>
      </c>
      <c r="F872" t="s">
        <v>4355</v>
      </c>
      <c r="G872" t="s">
        <v>4039</v>
      </c>
      <c r="H872" t="s">
        <v>654</v>
      </c>
      <c r="I872" t="s">
        <v>204</v>
      </c>
      <c r="J872" s="1">
        <v>46227</v>
      </c>
      <c r="K872" t="s">
        <v>748</v>
      </c>
      <c r="L872">
        <v>1</v>
      </c>
      <c r="M872">
        <v>5500</v>
      </c>
      <c r="N872" t="s">
        <v>954</v>
      </c>
      <c r="O872" t="s">
        <v>1040</v>
      </c>
      <c r="P872" t="s">
        <v>4779</v>
      </c>
      <c r="Q872" t="s">
        <v>4856</v>
      </c>
      <c r="R872" t="s">
        <v>807</v>
      </c>
    </row>
    <row r="873" spans="1:18" x14ac:dyDescent="0.3">
      <c r="A873">
        <v>3515</v>
      </c>
      <c r="B873" t="s">
        <v>1034</v>
      </c>
      <c r="C873" t="s">
        <v>541</v>
      </c>
      <c r="D873" t="s">
        <v>173</v>
      </c>
      <c r="E873" s="1">
        <v>46114</v>
      </c>
      <c r="F873" t="s">
        <v>4326</v>
      </c>
      <c r="G873" t="s">
        <v>3653</v>
      </c>
      <c r="H873" t="s">
        <v>540</v>
      </c>
      <c r="I873" t="s">
        <v>204</v>
      </c>
      <c r="J873" s="1">
        <v>46386</v>
      </c>
      <c r="K873" t="s">
        <v>711</v>
      </c>
      <c r="L873">
        <v>1</v>
      </c>
      <c r="M873">
        <v>2337.9499999999998</v>
      </c>
      <c r="N873" t="s">
        <v>890</v>
      </c>
      <c r="O873" t="s">
        <v>1036</v>
      </c>
      <c r="P873" t="s">
        <v>4791</v>
      </c>
      <c r="Q873" t="s">
        <v>4901</v>
      </c>
      <c r="R873" t="s">
        <v>4773</v>
      </c>
    </row>
    <row r="874" spans="1:18" x14ac:dyDescent="0.3">
      <c r="A874">
        <v>43297</v>
      </c>
      <c r="B874" t="s">
        <v>1034</v>
      </c>
      <c r="C874" t="s">
        <v>327</v>
      </c>
      <c r="D874" t="s">
        <v>159</v>
      </c>
      <c r="E874" s="1">
        <v>46114</v>
      </c>
      <c r="F874" t="s">
        <v>4295</v>
      </c>
      <c r="G874" t="s">
        <v>4047</v>
      </c>
      <c r="H874" t="s">
        <v>357</v>
      </c>
      <c r="I874" t="s">
        <v>204</v>
      </c>
      <c r="J874" s="1">
        <v>46476</v>
      </c>
      <c r="K874" t="s">
        <v>711</v>
      </c>
      <c r="L874">
        <v>2150</v>
      </c>
      <c r="M874">
        <v>2150</v>
      </c>
      <c r="N874" t="s">
        <v>890</v>
      </c>
      <c r="O874" t="s">
        <v>4834</v>
      </c>
      <c r="P874" t="s">
        <v>4776</v>
      </c>
      <c r="Q874" t="s">
        <v>4901</v>
      </c>
      <c r="R874" t="s">
        <v>4773</v>
      </c>
    </row>
    <row r="875" spans="1:18" x14ac:dyDescent="0.3">
      <c r="A875">
        <v>43296</v>
      </c>
      <c r="B875" t="s">
        <v>1034</v>
      </c>
      <c r="C875" t="s">
        <v>327</v>
      </c>
      <c r="D875" t="s">
        <v>159</v>
      </c>
      <c r="E875" s="1">
        <v>46114</v>
      </c>
      <c r="F875" t="s">
        <v>4295</v>
      </c>
      <c r="G875" t="s">
        <v>4046</v>
      </c>
      <c r="H875" t="s">
        <v>357</v>
      </c>
      <c r="I875" t="s">
        <v>204</v>
      </c>
      <c r="J875" s="1">
        <v>46476</v>
      </c>
      <c r="K875" t="s">
        <v>711</v>
      </c>
      <c r="L875">
        <v>1592.33</v>
      </c>
      <c r="M875">
        <v>1592.33</v>
      </c>
      <c r="N875" t="s">
        <v>890</v>
      </c>
      <c r="O875" t="s">
        <v>4834</v>
      </c>
      <c r="P875" t="s">
        <v>4776</v>
      </c>
      <c r="Q875" t="s">
        <v>4901</v>
      </c>
      <c r="R875" t="s">
        <v>4773</v>
      </c>
    </row>
    <row r="876" spans="1:18" x14ac:dyDescent="0.3">
      <c r="A876">
        <v>163</v>
      </c>
      <c r="B876" t="s">
        <v>1034</v>
      </c>
      <c r="C876" t="s">
        <v>312</v>
      </c>
      <c r="D876" t="s">
        <v>73</v>
      </c>
      <c r="E876" s="1">
        <v>46114</v>
      </c>
      <c r="F876" t="s">
        <v>4300</v>
      </c>
      <c r="G876" t="s">
        <v>3744</v>
      </c>
      <c r="H876" t="s">
        <v>311</v>
      </c>
      <c r="I876" t="s">
        <v>204</v>
      </c>
      <c r="J876" s="1">
        <v>54878</v>
      </c>
      <c r="K876" t="s">
        <v>711</v>
      </c>
      <c r="L876">
        <v>2361</v>
      </c>
      <c r="M876">
        <v>2361</v>
      </c>
      <c r="N876" t="s">
        <v>719</v>
      </c>
      <c r="O876" t="s">
        <v>4834</v>
      </c>
      <c r="P876" t="s">
        <v>1006</v>
      </c>
      <c r="Q876" t="s">
        <v>4901</v>
      </c>
      <c r="R876" t="s">
        <v>4773</v>
      </c>
    </row>
    <row r="877" spans="1:18" x14ac:dyDescent="0.3">
      <c r="A877">
        <v>7672748</v>
      </c>
      <c r="B877" t="s">
        <v>1034</v>
      </c>
      <c r="C877" t="s">
        <v>433</v>
      </c>
      <c r="D877" t="s">
        <v>168</v>
      </c>
      <c r="E877" s="1">
        <v>46114</v>
      </c>
      <c r="F877" t="s">
        <v>4319</v>
      </c>
      <c r="G877" t="s">
        <v>4029</v>
      </c>
      <c r="H877" t="s">
        <v>699</v>
      </c>
      <c r="I877" t="s">
        <v>204</v>
      </c>
      <c r="J877" s="1">
        <v>46477</v>
      </c>
      <c r="K877" t="s">
        <v>717</v>
      </c>
      <c r="L877">
        <v>327</v>
      </c>
      <c r="M877">
        <v>327.02</v>
      </c>
      <c r="N877" t="s">
        <v>719</v>
      </c>
      <c r="O877" t="s">
        <v>4833</v>
      </c>
      <c r="P877" t="s">
        <v>4802</v>
      </c>
      <c r="Q877" t="s">
        <v>4852</v>
      </c>
      <c r="R877" t="s">
        <v>807</v>
      </c>
    </row>
    <row r="878" spans="1:18" x14ac:dyDescent="0.3">
      <c r="A878">
        <v>353</v>
      </c>
      <c r="B878" t="s">
        <v>1034</v>
      </c>
      <c r="C878" t="s">
        <v>479</v>
      </c>
      <c r="D878" t="s">
        <v>99</v>
      </c>
      <c r="E878" s="1">
        <v>46114</v>
      </c>
      <c r="F878" t="s">
        <v>4375</v>
      </c>
      <c r="G878" t="s">
        <v>4067</v>
      </c>
      <c r="H878" t="s">
        <v>478</v>
      </c>
      <c r="I878" t="s">
        <v>204</v>
      </c>
      <c r="J878" s="1">
        <v>46239</v>
      </c>
      <c r="K878" t="s">
        <v>717</v>
      </c>
      <c r="L878">
        <v>5</v>
      </c>
      <c r="M878">
        <v>59.9</v>
      </c>
      <c r="N878" t="s">
        <v>710</v>
      </c>
      <c r="O878" t="s">
        <v>1037</v>
      </c>
      <c r="P878" t="s">
        <v>4790</v>
      </c>
      <c r="Q878" t="s">
        <v>4852</v>
      </c>
      <c r="R878" t="s">
        <v>4772</v>
      </c>
    </row>
    <row r="879" spans="1:18" x14ac:dyDescent="0.3">
      <c r="A879">
        <v>437969</v>
      </c>
      <c r="B879" t="s">
        <v>1034</v>
      </c>
      <c r="C879" t="s">
        <v>235</v>
      </c>
      <c r="D879" t="s">
        <v>129</v>
      </c>
      <c r="E879" s="1">
        <v>46114</v>
      </c>
      <c r="F879" t="s">
        <v>4319</v>
      </c>
      <c r="G879" t="s">
        <v>4058</v>
      </c>
      <c r="H879" t="s">
        <v>234</v>
      </c>
      <c r="I879" t="s">
        <v>204</v>
      </c>
      <c r="J879" s="1">
        <v>46627</v>
      </c>
      <c r="K879" t="s">
        <v>717</v>
      </c>
      <c r="L879">
        <v>244</v>
      </c>
      <c r="M879">
        <v>244.1</v>
      </c>
      <c r="N879" t="s">
        <v>719</v>
      </c>
      <c r="O879" t="s">
        <v>4833</v>
      </c>
      <c r="P879" t="s">
        <v>4802</v>
      </c>
      <c r="Q879" t="s">
        <v>4852</v>
      </c>
      <c r="R879" t="s">
        <v>4771</v>
      </c>
    </row>
    <row r="880" spans="1:18" x14ac:dyDescent="0.3">
      <c r="A880">
        <v>3367</v>
      </c>
      <c r="B880" t="s">
        <v>4874</v>
      </c>
      <c r="C880" t="s">
        <v>533</v>
      </c>
      <c r="D880" t="s">
        <v>103</v>
      </c>
      <c r="E880" s="1">
        <v>46114</v>
      </c>
      <c r="F880" t="s">
        <v>4416</v>
      </c>
      <c r="G880" t="s">
        <v>3556</v>
      </c>
      <c r="H880" t="s">
        <v>532</v>
      </c>
      <c r="I880" t="s">
        <v>204</v>
      </c>
      <c r="J880" s="1">
        <v>46568</v>
      </c>
      <c r="K880" t="s">
        <v>892</v>
      </c>
      <c r="L880">
        <v>12367.55</v>
      </c>
      <c r="M880">
        <v>12367.55</v>
      </c>
      <c r="N880" t="s">
        <v>710</v>
      </c>
      <c r="O880" t="s">
        <v>4811</v>
      </c>
      <c r="P880" t="s">
        <v>4776</v>
      </c>
      <c r="Q880" t="s">
        <v>4859</v>
      </c>
      <c r="R880" t="s">
        <v>4771</v>
      </c>
    </row>
    <row r="881" spans="1:18" x14ac:dyDescent="0.3">
      <c r="A881">
        <v>13800</v>
      </c>
      <c r="B881" t="s">
        <v>4874</v>
      </c>
      <c r="C881" t="s">
        <v>239</v>
      </c>
      <c r="D881" t="s">
        <v>199</v>
      </c>
      <c r="E881" s="1">
        <v>46114</v>
      </c>
      <c r="F881" t="s">
        <v>4325</v>
      </c>
      <c r="G881" t="s">
        <v>4069</v>
      </c>
      <c r="H881" t="s">
        <v>268</v>
      </c>
      <c r="I881" t="s">
        <v>204</v>
      </c>
      <c r="J881" s="1">
        <v>46172</v>
      </c>
      <c r="K881" t="s">
        <v>720</v>
      </c>
      <c r="L881">
        <v>698.56</v>
      </c>
      <c r="M881">
        <v>698.56</v>
      </c>
      <c r="N881" t="s">
        <v>710</v>
      </c>
      <c r="O881" t="s">
        <v>1038</v>
      </c>
      <c r="P881" t="s">
        <v>4779</v>
      </c>
      <c r="Q881" t="s">
        <v>4858</v>
      </c>
      <c r="R881" t="s">
        <v>4771</v>
      </c>
    </row>
    <row r="882" spans="1:18" x14ac:dyDescent="0.3">
      <c r="A882">
        <v>138944</v>
      </c>
      <c r="B882" t="s">
        <v>4874</v>
      </c>
      <c r="C882" t="s">
        <v>239</v>
      </c>
      <c r="D882" t="s">
        <v>199</v>
      </c>
      <c r="E882" s="1">
        <v>46114</v>
      </c>
      <c r="F882" t="s">
        <v>4325</v>
      </c>
      <c r="G882" t="s">
        <v>4079</v>
      </c>
      <c r="H882" t="s">
        <v>268</v>
      </c>
      <c r="I882" t="s">
        <v>204</v>
      </c>
      <c r="J882" s="1">
        <v>46172</v>
      </c>
      <c r="K882" t="s">
        <v>720</v>
      </c>
      <c r="L882">
        <v>785.88</v>
      </c>
      <c r="M882">
        <v>785.88</v>
      </c>
      <c r="N882" t="s">
        <v>710</v>
      </c>
      <c r="O882" t="s">
        <v>1038</v>
      </c>
      <c r="P882" t="s">
        <v>4779</v>
      </c>
      <c r="Q882" t="s">
        <v>4858</v>
      </c>
      <c r="R882" t="s">
        <v>4771</v>
      </c>
    </row>
    <row r="883" spans="1:18" x14ac:dyDescent="0.3">
      <c r="A883">
        <v>7471</v>
      </c>
      <c r="B883" t="s">
        <v>4874</v>
      </c>
      <c r="C883" t="s">
        <v>230</v>
      </c>
      <c r="D883" t="s">
        <v>85</v>
      </c>
      <c r="E883" s="1">
        <v>46114</v>
      </c>
      <c r="F883" t="s">
        <v>4421</v>
      </c>
      <c r="G883" t="s">
        <v>4103</v>
      </c>
      <c r="H883" t="s">
        <v>299</v>
      </c>
      <c r="I883" t="s">
        <v>204</v>
      </c>
      <c r="J883" s="1">
        <v>46536</v>
      </c>
      <c r="K883" t="s">
        <v>762</v>
      </c>
      <c r="L883">
        <v>1</v>
      </c>
      <c r="M883">
        <v>12939.3</v>
      </c>
      <c r="N883" t="s">
        <v>710</v>
      </c>
      <c r="O883" t="s">
        <v>1033</v>
      </c>
      <c r="P883" t="s">
        <v>4781</v>
      </c>
      <c r="Q883" t="s">
        <v>4852</v>
      </c>
      <c r="R883" t="s">
        <v>4771</v>
      </c>
    </row>
    <row r="884" spans="1:18" x14ac:dyDescent="0.3">
      <c r="A884">
        <v>7451</v>
      </c>
      <c r="B884" t="s">
        <v>4874</v>
      </c>
      <c r="C884" t="s">
        <v>230</v>
      </c>
      <c r="D884" t="s">
        <v>85</v>
      </c>
      <c r="E884" s="1">
        <v>46114</v>
      </c>
      <c r="F884" t="s">
        <v>4348</v>
      </c>
      <c r="G884" t="s">
        <v>4104</v>
      </c>
      <c r="H884" t="s">
        <v>299</v>
      </c>
      <c r="I884" t="s">
        <v>204</v>
      </c>
      <c r="J884" s="1">
        <v>46536</v>
      </c>
      <c r="K884" t="s">
        <v>762</v>
      </c>
      <c r="L884">
        <v>1</v>
      </c>
      <c r="M884">
        <v>198518.11</v>
      </c>
      <c r="N884" t="s">
        <v>710</v>
      </c>
      <c r="O884" t="s">
        <v>1033</v>
      </c>
      <c r="P884" t="s">
        <v>4781</v>
      </c>
      <c r="Q884" t="s">
        <v>4852</v>
      </c>
      <c r="R884" t="s">
        <v>4771</v>
      </c>
    </row>
    <row r="885" spans="1:18" x14ac:dyDescent="0.3">
      <c r="A885">
        <v>212927</v>
      </c>
      <c r="B885" t="s">
        <v>4874</v>
      </c>
      <c r="C885" t="s">
        <v>467</v>
      </c>
      <c r="D885" t="s">
        <v>175</v>
      </c>
      <c r="E885" s="1">
        <v>46114</v>
      </c>
      <c r="F885" t="s">
        <v>4315</v>
      </c>
      <c r="G885" t="s">
        <v>3665</v>
      </c>
      <c r="H885" t="s">
        <v>466</v>
      </c>
      <c r="I885" t="s">
        <v>204</v>
      </c>
      <c r="J885" s="1">
        <v>46266</v>
      </c>
      <c r="K885" t="s">
        <v>762</v>
      </c>
      <c r="L885">
        <v>1</v>
      </c>
      <c r="M885">
        <v>16567.98</v>
      </c>
      <c r="N885" t="s">
        <v>710</v>
      </c>
      <c r="O885" t="s">
        <v>4845</v>
      </c>
      <c r="P885" t="s">
        <v>4776</v>
      </c>
      <c r="Q885" t="s">
        <v>4845</v>
      </c>
      <c r="R885" t="s">
        <v>4773</v>
      </c>
    </row>
    <row r="886" spans="1:18" x14ac:dyDescent="0.3">
      <c r="A886">
        <v>846</v>
      </c>
      <c r="B886" t="s">
        <v>1034</v>
      </c>
      <c r="C886" t="s">
        <v>603</v>
      </c>
      <c r="D886" t="s">
        <v>69</v>
      </c>
      <c r="E886" s="1">
        <v>46114</v>
      </c>
      <c r="F886" t="s">
        <v>4345</v>
      </c>
      <c r="G886" t="s">
        <v>3818</v>
      </c>
      <c r="H886" t="s">
        <v>682</v>
      </c>
      <c r="I886" t="s">
        <v>204</v>
      </c>
      <c r="J886" s="1">
        <v>46276</v>
      </c>
      <c r="K886" t="s">
        <v>711</v>
      </c>
      <c r="L886">
        <v>1</v>
      </c>
      <c r="M886">
        <v>2413.6799999999998</v>
      </c>
      <c r="N886" t="s">
        <v>954</v>
      </c>
      <c r="O886" t="s">
        <v>4834</v>
      </c>
      <c r="P886" t="s">
        <v>952</v>
      </c>
      <c r="Q886" t="s">
        <v>4901</v>
      </c>
      <c r="R886" t="s">
        <v>807</v>
      </c>
    </row>
    <row r="887" spans="1:18" x14ac:dyDescent="0.3">
      <c r="A887">
        <v>356</v>
      </c>
      <c r="B887" t="s">
        <v>1034</v>
      </c>
      <c r="C887" t="s">
        <v>479</v>
      </c>
      <c r="D887" t="s">
        <v>99</v>
      </c>
      <c r="E887" s="1">
        <v>46114</v>
      </c>
      <c r="F887" t="s">
        <v>4307</v>
      </c>
      <c r="G887" t="s">
        <v>4081</v>
      </c>
      <c r="H887" t="s">
        <v>478</v>
      </c>
      <c r="I887" t="s">
        <v>204</v>
      </c>
      <c r="J887" s="1">
        <v>46239</v>
      </c>
      <c r="K887" t="s">
        <v>717</v>
      </c>
      <c r="L887">
        <v>4536</v>
      </c>
      <c r="M887">
        <v>55384.56</v>
      </c>
      <c r="N887" t="s">
        <v>710</v>
      </c>
      <c r="O887" t="s">
        <v>1037</v>
      </c>
      <c r="P887" t="s">
        <v>4790</v>
      </c>
      <c r="Q887" t="s">
        <v>4852</v>
      </c>
      <c r="R887" t="s">
        <v>4772</v>
      </c>
    </row>
    <row r="888" spans="1:18" x14ac:dyDescent="0.3">
      <c r="A888">
        <v>356</v>
      </c>
      <c r="B888" t="s">
        <v>1034</v>
      </c>
      <c r="C888" t="s">
        <v>479</v>
      </c>
      <c r="D888" t="s">
        <v>99</v>
      </c>
      <c r="E888" s="1">
        <v>46114</v>
      </c>
      <c r="F888" t="s">
        <v>4310</v>
      </c>
      <c r="G888" t="s">
        <v>4081</v>
      </c>
      <c r="H888" t="s">
        <v>478</v>
      </c>
      <c r="I888" t="s">
        <v>204</v>
      </c>
      <c r="J888" s="1">
        <v>46239</v>
      </c>
      <c r="K888" t="s">
        <v>717</v>
      </c>
      <c r="L888">
        <v>39</v>
      </c>
      <c r="M888">
        <v>138.44999999999999</v>
      </c>
      <c r="N888" t="s">
        <v>710</v>
      </c>
      <c r="O888" t="s">
        <v>1037</v>
      </c>
      <c r="P888" t="s">
        <v>4790</v>
      </c>
      <c r="Q888" t="s">
        <v>4852</v>
      </c>
      <c r="R888" t="s">
        <v>4772</v>
      </c>
    </row>
    <row r="889" spans="1:18" x14ac:dyDescent="0.3">
      <c r="A889">
        <v>353</v>
      </c>
      <c r="B889" t="s">
        <v>1034</v>
      </c>
      <c r="C889" t="s">
        <v>479</v>
      </c>
      <c r="D889" t="s">
        <v>99</v>
      </c>
      <c r="E889" s="1">
        <v>46114</v>
      </c>
      <c r="F889" t="s">
        <v>4376</v>
      </c>
      <c r="G889" t="s">
        <v>4067</v>
      </c>
      <c r="H889" t="s">
        <v>478</v>
      </c>
      <c r="I889" t="s">
        <v>204</v>
      </c>
      <c r="J889" s="1">
        <v>46239</v>
      </c>
      <c r="K889" t="s">
        <v>717</v>
      </c>
      <c r="L889">
        <v>11</v>
      </c>
      <c r="M889">
        <v>131.78</v>
      </c>
      <c r="N889" t="s">
        <v>710</v>
      </c>
      <c r="O889" t="s">
        <v>1037</v>
      </c>
      <c r="P889" t="s">
        <v>4790</v>
      </c>
      <c r="Q889" t="s">
        <v>4852</v>
      </c>
      <c r="R889" t="s">
        <v>4772</v>
      </c>
    </row>
    <row r="890" spans="1:18" x14ac:dyDescent="0.3">
      <c r="A890">
        <v>356</v>
      </c>
      <c r="B890" t="s">
        <v>1034</v>
      </c>
      <c r="C890" t="s">
        <v>479</v>
      </c>
      <c r="D890" t="s">
        <v>99</v>
      </c>
      <c r="E890" s="1">
        <v>46114</v>
      </c>
      <c r="F890" t="s">
        <v>4329</v>
      </c>
      <c r="G890" t="s">
        <v>4081</v>
      </c>
      <c r="H890" t="s">
        <v>478</v>
      </c>
      <c r="I890" t="s">
        <v>204</v>
      </c>
      <c r="J890" s="1">
        <v>46239</v>
      </c>
      <c r="K890" t="s">
        <v>717</v>
      </c>
      <c r="L890">
        <v>86</v>
      </c>
      <c r="M890">
        <v>970.94</v>
      </c>
      <c r="N890" t="s">
        <v>710</v>
      </c>
      <c r="O890" t="s">
        <v>1037</v>
      </c>
      <c r="P890" t="s">
        <v>4790</v>
      </c>
      <c r="Q890" t="s">
        <v>4852</v>
      </c>
      <c r="R890" t="s">
        <v>4772</v>
      </c>
    </row>
    <row r="891" spans="1:18" x14ac:dyDescent="0.3">
      <c r="A891">
        <v>356</v>
      </c>
      <c r="B891" t="s">
        <v>1034</v>
      </c>
      <c r="C891" t="s">
        <v>479</v>
      </c>
      <c r="D891" t="s">
        <v>99</v>
      </c>
      <c r="E891" s="1">
        <v>46114</v>
      </c>
      <c r="F891" t="s">
        <v>4372</v>
      </c>
      <c r="G891" t="s">
        <v>4081</v>
      </c>
      <c r="H891" t="s">
        <v>478</v>
      </c>
      <c r="I891" t="s">
        <v>204</v>
      </c>
      <c r="J891" s="1">
        <v>46239</v>
      </c>
      <c r="K891" t="s">
        <v>717</v>
      </c>
      <c r="L891">
        <v>334</v>
      </c>
      <c r="M891">
        <v>2845.68</v>
      </c>
      <c r="N891" t="s">
        <v>710</v>
      </c>
      <c r="O891" t="s">
        <v>1037</v>
      </c>
      <c r="P891" t="s">
        <v>4790</v>
      </c>
      <c r="Q891" t="s">
        <v>4852</v>
      </c>
      <c r="R891" t="s">
        <v>4772</v>
      </c>
    </row>
    <row r="892" spans="1:18" x14ac:dyDescent="0.3">
      <c r="A892">
        <v>356</v>
      </c>
      <c r="B892" t="s">
        <v>1034</v>
      </c>
      <c r="C892" t="s">
        <v>479</v>
      </c>
      <c r="D892" t="s">
        <v>99</v>
      </c>
      <c r="E892" s="1">
        <v>46114</v>
      </c>
      <c r="F892" t="s">
        <v>4312</v>
      </c>
      <c r="G892" t="s">
        <v>4081</v>
      </c>
      <c r="H892" t="s">
        <v>478</v>
      </c>
      <c r="I892" t="s">
        <v>204</v>
      </c>
      <c r="J892" s="1">
        <v>46239</v>
      </c>
      <c r="K892" t="s">
        <v>717</v>
      </c>
      <c r="L892">
        <v>72</v>
      </c>
      <c r="M892">
        <v>342</v>
      </c>
      <c r="N892" t="s">
        <v>710</v>
      </c>
      <c r="O892" t="s">
        <v>1037</v>
      </c>
      <c r="P892" t="s">
        <v>4790</v>
      </c>
      <c r="Q892" t="s">
        <v>4852</v>
      </c>
      <c r="R892" t="s">
        <v>4772</v>
      </c>
    </row>
    <row r="893" spans="1:18" x14ac:dyDescent="0.3">
      <c r="A893">
        <v>7455</v>
      </c>
      <c r="B893" t="s">
        <v>1034</v>
      </c>
      <c r="C893" t="s">
        <v>230</v>
      </c>
      <c r="D893" t="s">
        <v>85</v>
      </c>
      <c r="E893" s="1">
        <v>46114</v>
      </c>
      <c r="F893" t="s">
        <v>4348</v>
      </c>
      <c r="G893" t="s">
        <v>4105</v>
      </c>
      <c r="H893" t="s">
        <v>570</v>
      </c>
      <c r="I893" t="s">
        <v>204</v>
      </c>
      <c r="J893" s="1">
        <v>46418</v>
      </c>
      <c r="K893" t="s">
        <v>717</v>
      </c>
      <c r="L893">
        <v>1</v>
      </c>
      <c r="M893">
        <v>508195.8</v>
      </c>
      <c r="N893" t="s">
        <v>719</v>
      </c>
      <c r="O893" t="s">
        <v>1033</v>
      </c>
      <c r="P893" t="s">
        <v>4781</v>
      </c>
      <c r="Q893" t="s">
        <v>4852</v>
      </c>
      <c r="R893" t="s">
        <v>4771</v>
      </c>
    </row>
    <row r="894" spans="1:18" x14ac:dyDescent="0.3">
      <c r="A894">
        <v>11881</v>
      </c>
      <c r="B894" t="s">
        <v>1034</v>
      </c>
      <c r="C894" t="s">
        <v>624</v>
      </c>
      <c r="D894" t="s">
        <v>68</v>
      </c>
      <c r="E894" s="1">
        <v>46114</v>
      </c>
      <c r="F894" t="s">
        <v>4367</v>
      </c>
      <c r="G894" t="s">
        <v>3784</v>
      </c>
      <c r="H894" t="s">
        <v>623</v>
      </c>
      <c r="I894" t="s">
        <v>204</v>
      </c>
      <c r="J894" s="1">
        <v>46017</v>
      </c>
      <c r="K894" t="s">
        <v>839</v>
      </c>
      <c r="L894">
        <v>1682</v>
      </c>
      <c r="M894">
        <v>1682.08</v>
      </c>
      <c r="N894" t="s">
        <v>710</v>
      </c>
      <c r="O894" t="s">
        <v>1041</v>
      </c>
      <c r="P894" t="s">
        <v>4776</v>
      </c>
      <c r="Q894" t="s">
        <v>4852</v>
      </c>
      <c r="R894" t="s">
        <v>4771</v>
      </c>
    </row>
    <row r="895" spans="1:18" x14ac:dyDescent="0.3">
      <c r="A895">
        <v>353</v>
      </c>
      <c r="B895" t="s">
        <v>1034</v>
      </c>
      <c r="C895" t="s">
        <v>479</v>
      </c>
      <c r="D895" t="s">
        <v>99</v>
      </c>
      <c r="E895" s="1">
        <v>46114</v>
      </c>
      <c r="F895" t="s">
        <v>4373</v>
      </c>
      <c r="G895" t="s">
        <v>4067</v>
      </c>
      <c r="H895" t="s">
        <v>478</v>
      </c>
      <c r="I895" t="s">
        <v>204</v>
      </c>
      <c r="J895" s="1">
        <v>46239</v>
      </c>
      <c r="K895" t="s">
        <v>717</v>
      </c>
      <c r="L895">
        <v>13</v>
      </c>
      <c r="M895">
        <v>200.46</v>
      </c>
      <c r="N895" t="s">
        <v>710</v>
      </c>
      <c r="O895" t="s">
        <v>1037</v>
      </c>
      <c r="P895" t="s">
        <v>4790</v>
      </c>
      <c r="Q895" t="s">
        <v>4852</v>
      </c>
      <c r="R895" t="s">
        <v>4772</v>
      </c>
    </row>
    <row r="896" spans="1:18" x14ac:dyDescent="0.3">
      <c r="A896">
        <v>3862</v>
      </c>
      <c r="B896" t="s">
        <v>4875</v>
      </c>
      <c r="C896" t="s">
        <v>319</v>
      </c>
      <c r="D896" t="s">
        <v>36</v>
      </c>
      <c r="E896" s="1">
        <v>46114</v>
      </c>
      <c r="F896" t="s">
        <v>4298</v>
      </c>
      <c r="G896" t="s">
        <v>4072</v>
      </c>
      <c r="H896" t="s">
        <v>336</v>
      </c>
      <c r="I896" t="s">
        <v>204</v>
      </c>
      <c r="J896" s="1">
        <v>46075</v>
      </c>
      <c r="K896" t="s">
        <v>748</v>
      </c>
      <c r="L896">
        <v>1</v>
      </c>
      <c r="M896">
        <v>189.34</v>
      </c>
      <c r="N896" t="s">
        <v>710</v>
      </c>
      <c r="O896" t="s">
        <v>1040</v>
      </c>
      <c r="P896" t="s">
        <v>4784</v>
      </c>
      <c r="Q896" t="s">
        <v>4856</v>
      </c>
      <c r="R896" t="s">
        <v>4771</v>
      </c>
    </row>
    <row r="897" spans="1:18" x14ac:dyDescent="0.3">
      <c r="A897">
        <v>2867</v>
      </c>
      <c r="B897" t="s">
        <v>4875</v>
      </c>
      <c r="C897" t="s">
        <v>314</v>
      </c>
      <c r="D897" t="s">
        <v>39</v>
      </c>
      <c r="E897" s="1">
        <v>46114</v>
      </c>
      <c r="F897" t="s">
        <v>4347</v>
      </c>
      <c r="G897" t="s">
        <v>4023</v>
      </c>
      <c r="H897" t="s">
        <v>341</v>
      </c>
      <c r="I897" t="s">
        <v>204</v>
      </c>
      <c r="J897" s="1">
        <v>46266</v>
      </c>
      <c r="K897" t="s">
        <v>748</v>
      </c>
      <c r="L897">
        <v>1</v>
      </c>
      <c r="M897">
        <v>1100</v>
      </c>
      <c r="N897" t="s">
        <v>710</v>
      </c>
      <c r="O897" t="s">
        <v>4834</v>
      </c>
      <c r="P897" t="s">
        <v>4776</v>
      </c>
      <c r="Q897" t="s">
        <v>4856</v>
      </c>
      <c r="R897" t="s">
        <v>4773</v>
      </c>
    </row>
    <row r="898" spans="1:18" x14ac:dyDescent="0.3">
      <c r="A898">
        <v>183</v>
      </c>
      <c r="B898" t="s">
        <v>4875</v>
      </c>
      <c r="C898" t="s">
        <v>312</v>
      </c>
      <c r="D898" t="s">
        <v>73</v>
      </c>
      <c r="E898" s="1">
        <v>46114</v>
      </c>
      <c r="F898" t="s">
        <v>4300</v>
      </c>
      <c r="G898" t="s">
        <v>4041</v>
      </c>
      <c r="H898" t="s">
        <v>365</v>
      </c>
      <c r="I898" t="s">
        <v>204</v>
      </c>
      <c r="J898" s="1">
        <v>46418</v>
      </c>
      <c r="K898" t="s">
        <v>748</v>
      </c>
      <c r="L898">
        <v>2361</v>
      </c>
      <c r="M898">
        <v>2361</v>
      </c>
      <c r="N898" t="s">
        <v>710</v>
      </c>
      <c r="O898" t="s">
        <v>4834</v>
      </c>
      <c r="P898" t="s">
        <v>1006</v>
      </c>
      <c r="Q898" t="s">
        <v>4856</v>
      </c>
      <c r="R898" t="s">
        <v>4773</v>
      </c>
    </row>
    <row r="899" spans="1:18" x14ac:dyDescent="0.3">
      <c r="A899">
        <v>1054</v>
      </c>
      <c r="B899" t="s">
        <v>1034</v>
      </c>
      <c r="C899" t="s">
        <v>319</v>
      </c>
      <c r="D899" t="s">
        <v>36</v>
      </c>
      <c r="E899" s="1">
        <v>46114</v>
      </c>
      <c r="F899" t="s">
        <v>4298</v>
      </c>
      <c r="G899" t="s">
        <v>4077</v>
      </c>
      <c r="H899" t="s">
        <v>318</v>
      </c>
      <c r="I899" t="s">
        <v>204</v>
      </c>
      <c r="J899" s="1">
        <v>46214</v>
      </c>
      <c r="K899" t="s">
        <v>711</v>
      </c>
      <c r="L899">
        <v>1021</v>
      </c>
      <c r="M899">
        <v>1020.53</v>
      </c>
      <c r="N899" t="s">
        <v>710</v>
      </c>
      <c r="O899" t="s">
        <v>1036</v>
      </c>
      <c r="P899" t="s">
        <v>4784</v>
      </c>
      <c r="Q899" t="s">
        <v>4901</v>
      </c>
      <c r="R899" t="s">
        <v>4771</v>
      </c>
    </row>
    <row r="900" spans="1:18" x14ac:dyDescent="0.3">
      <c r="A900">
        <v>3842</v>
      </c>
      <c r="B900" t="s">
        <v>1034</v>
      </c>
      <c r="C900" t="s">
        <v>319</v>
      </c>
      <c r="D900" t="s">
        <v>36</v>
      </c>
      <c r="E900" s="1">
        <v>46114</v>
      </c>
      <c r="F900" t="s">
        <v>4298</v>
      </c>
      <c r="G900" t="s">
        <v>4076</v>
      </c>
      <c r="H900" t="s">
        <v>318</v>
      </c>
      <c r="I900" t="s">
        <v>204</v>
      </c>
      <c r="J900" s="1">
        <v>46214</v>
      </c>
      <c r="K900" t="s">
        <v>711</v>
      </c>
      <c r="L900">
        <v>1515</v>
      </c>
      <c r="M900">
        <v>1514.72</v>
      </c>
      <c r="N900" t="s">
        <v>710</v>
      </c>
      <c r="O900" t="s">
        <v>1036</v>
      </c>
      <c r="P900" t="s">
        <v>4784</v>
      </c>
      <c r="Q900" t="s">
        <v>4901</v>
      </c>
      <c r="R900" t="s">
        <v>4771</v>
      </c>
    </row>
    <row r="901" spans="1:18" x14ac:dyDescent="0.3">
      <c r="A901">
        <v>3864</v>
      </c>
      <c r="B901" t="s">
        <v>1034</v>
      </c>
      <c r="C901" t="s">
        <v>319</v>
      </c>
      <c r="D901" t="s">
        <v>36</v>
      </c>
      <c r="E901" s="1">
        <v>46114</v>
      </c>
      <c r="F901" t="s">
        <v>4298</v>
      </c>
      <c r="G901" t="s">
        <v>4078</v>
      </c>
      <c r="H901" t="s">
        <v>318</v>
      </c>
      <c r="I901" t="s">
        <v>204</v>
      </c>
      <c r="J901" s="1">
        <v>46214</v>
      </c>
      <c r="K901" t="s">
        <v>711</v>
      </c>
      <c r="L901">
        <v>1515</v>
      </c>
      <c r="M901">
        <v>1514.72</v>
      </c>
      <c r="N901" t="s">
        <v>710</v>
      </c>
      <c r="O901" t="s">
        <v>1036</v>
      </c>
      <c r="P901" t="s">
        <v>4784</v>
      </c>
      <c r="Q901" t="s">
        <v>4901</v>
      </c>
      <c r="R901" t="s">
        <v>4771</v>
      </c>
    </row>
    <row r="902" spans="1:18" x14ac:dyDescent="0.3">
      <c r="A902">
        <v>356</v>
      </c>
      <c r="B902" t="s">
        <v>1034</v>
      </c>
      <c r="C902" t="s">
        <v>479</v>
      </c>
      <c r="D902" t="s">
        <v>99</v>
      </c>
      <c r="E902" s="1">
        <v>46114</v>
      </c>
      <c r="F902" t="s">
        <v>4308</v>
      </c>
      <c r="G902" t="s">
        <v>4081</v>
      </c>
      <c r="H902" t="s">
        <v>478</v>
      </c>
      <c r="I902" t="s">
        <v>204</v>
      </c>
      <c r="J902" s="1">
        <v>46239</v>
      </c>
      <c r="K902" t="s">
        <v>717</v>
      </c>
      <c r="L902">
        <v>3135</v>
      </c>
      <c r="M902">
        <v>12414.6</v>
      </c>
      <c r="N902" t="s">
        <v>710</v>
      </c>
      <c r="O902" t="s">
        <v>1037</v>
      </c>
      <c r="P902" t="s">
        <v>4790</v>
      </c>
      <c r="Q902" t="s">
        <v>4852</v>
      </c>
      <c r="R902" t="s">
        <v>4772</v>
      </c>
    </row>
    <row r="903" spans="1:18" x14ac:dyDescent="0.3">
      <c r="A903">
        <v>646334</v>
      </c>
      <c r="B903" t="s">
        <v>4874</v>
      </c>
      <c r="C903" t="s">
        <v>407</v>
      </c>
      <c r="D903" t="s">
        <v>170</v>
      </c>
      <c r="E903" s="1">
        <v>46114</v>
      </c>
      <c r="F903" t="s">
        <v>4388</v>
      </c>
      <c r="G903" t="s">
        <v>4074</v>
      </c>
      <c r="H903" t="s">
        <v>406</v>
      </c>
      <c r="I903" t="s">
        <v>204</v>
      </c>
      <c r="J903" s="1">
        <v>46387</v>
      </c>
      <c r="K903" t="s">
        <v>762</v>
      </c>
      <c r="L903">
        <v>42421</v>
      </c>
      <c r="M903">
        <v>42420.73</v>
      </c>
      <c r="N903" t="s">
        <v>710</v>
      </c>
      <c r="O903" t="s">
        <v>4833</v>
      </c>
      <c r="P903" t="s">
        <v>4776</v>
      </c>
      <c r="Q903" t="s">
        <v>4852</v>
      </c>
      <c r="R903" t="s">
        <v>4771</v>
      </c>
    </row>
    <row r="904" spans="1:18" x14ac:dyDescent="0.3">
      <c r="A904">
        <v>1313</v>
      </c>
      <c r="B904" t="s">
        <v>4874</v>
      </c>
      <c r="C904" t="s">
        <v>305</v>
      </c>
      <c r="D904" t="s">
        <v>59</v>
      </c>
      <c r="E904" s="1">
        <v>46113</v>
      </c>
      <c r="F904" t="s">
        <v>4359</v>
      </c>
      <c r="G904" t="s">
        <v>4034</v>
      </c>
      <c r="H904" t="s">
        <v>304</v>
      </c>
      <c r="I904" t="s">
        <v>204</v>
      </c>
      <c r="J904" s="1">
        <v>46481</v>
      </c>
      <c r="K904" t="s">
        <v>720</v>
      </c>
      <c r="L904">
        <v>1697.48</v>
      </c>
      <c r="M904">
        <v>1697.48</v>
      </c>
      <c r="N904" t="s">
        <v>809</v>
      </c>
      <c r="O904" t="s">
        <v>1038</v>
      </c>
      <c r="P904" t="s">
        <v>4783</v>
      </c>
      <c r="Q904" t="s">
        <v>4858</v>
      </c>
      <c r="R904" t="s">
        <v>4771</v>
      </c>
    </row>
    <row r="905" spans="1:18" x14ac:dyDescent="0.3">
      <c r="A905">
        <v>1315</v>
      </c>
      <c r="B905" t="s">
        <v>4874</v>
      </c>
      <c r="C905" t="s">
        <v>305</v>
      </c>
      <c r="D905" t="s">
        <v>59</v>
      </c>
      <c r="E905" s="1">
        <v>46113</v>
      </c>
      <c r="F905" t="s">
        <v>4359</v>
      </c>
      <c r="G905" t="s">
        <v>4033</v>
      </c>
      <c r="H905" t="s">
        <v>304</v>
      </c>
      <c r="I905" t="s">
        <v>204</v>
      </c>
      <c r="J905" s="1">
        <v>46481</v>
      </c>
      <c r="K905" t="s">
        <v>720</v>
      </c>
      <c r="L905">
        <v>748.6</v>
      </c>
      <c r="M905">
        <v>748.6</v>
      </c>
      <c r="N905" t="s">
        <v>809</v>
      </c>
      <c r="O905" t="s">
        <v>1038</v>
      </c>
      <c r="P905" t="s">
        <v>4783</v>
      </c>
      <c r="Q905" t="s">
        <v>4858</v>
      </c>
      <c r="R905" t="s">
        <v>4771</v>
      </c>
    </row>
    <row r="906" spans="1:18" x14ac:dyDescent="0.3">
      <c r="A906">
        <v>275</v>
      </c>
      <c r="B906" t="s">
        <v>1034</v>
      </c>
      <c r="C906" t="s">
        <v>325</v>
      </c>
      <c r="D906" t="s">
        <v>193</v>
      </c>
      <c r="E906" s="1">
        <v>46113</v>
      </c>
      <c r="F906" t="s">
        <v>4297</v>
      </c>
      <c r="G906" t="s">
        <v>3605</v>
      </c>
      <c r="H906" t="s">
        <v>324</v>
      </c>
      <c r="I906" t="s">
        <v>204</v>
      </c>
      <c r="J906" s="1">
        <v>54878</v>
      </c>
      <c r="K906" t="s">
        <v>711</v>
      </c>
      <c r="L906">
        <v>3900</v>
      </c>
      <c r="M906">
        <v>3900</v>
      </c>
      <c r="N906" t="s">
        <v>710</v>
      </c>
      <c r="O906" t="s">
        <v>4844</v>
      </c>
      <c r="P906" t="s">
        <v>4779</v>
      </c>
      <c r="Q906" t="s">
        <v>4901</v>
      </c>
      <c r="R906" t="s">
        <v>4773</v>
      </c>
    </row>
    <row r="907" spans="1:18" x14ac:dyDescent="0.3">
      <c r="A907">
        <v>3957</v>
      </c>
      <c r="B907" t="s">
        <v>1034</v>
      </c>
      <c r="C907" t="s">
        <v>535</v>
      </c>
      <c r="D907" t="s">
        <v>148</v>
      </c>
      <c r="E907" s="1">
        <v>46113</v>
      </c>
      <c r="F907" t="s">
        <v>4355</v>
      </c>
      <c r="G907" t="s">
        <v>3516</v>
      </c>
      <c r="H907" t="s">
        <v>681</v>
      </c>
      <c r="I907" t="s">
        <v>204</v>
      </c>
      <c r="J907" s="1">
        <v>46295</v>
      </c>
      <c r="K907" t="s">
        <v>711</v>
      </c>
      <c r="L907">
        <v>1</v>
      </c>
      <c r="M907">
        <v>3300</v>
      </c>
      <c r="N907" t="s">
        <v>890</v>
      </c>
      <c r="O907" t="s">
        <v>4844</v>
      </c>
      <c r="P907" t="s">
        <v>4779</v>
      </c>
      <c r="Q907" t="s">
        <v>4845</v>
      </c>
      <c r="R907" t="s">
        <v>807</v>
      </c>
    </row>
    <row r="908" spans="1:18" x14ac:dyDescent="0.3">
      <c r="A908">
        <v>3956</v>
      </c>
      <c r="B908" t="s">
        <v>1034</v>
      </c>
      <c r="C908" t="s">
        <v>535</v>
      </c>
      <c r="D908" t="s">
        <v>148</v>
      </c>
      <c r="E908" s="1">
        <v>46113</v>
      </c>
      <c r="F908" t="s">
        <v>4355</v>
      </c>
      <c r="G908" t="s">
        <v>3516</v>
      </c>
      <c r="H908" t="s">
        <v>681</v>
      </c>
      <c r="I908" t="s">
        <v>204</v>
      </c>
      <c r="J908" s="1">
        <v>46295</v>
      </c>
      <c r="K908" t="s">
        <v>711</v>
      </c>
      <c r="L908">
        <v>1</v>
      </c>
      <c r="M908">
        <v>4500</v>
      </c>
      <c r="N908" t="s">
        <v>890</v>
      </c>
      <c r="O908" t="s">
        <v>4844</v>
      </c>
      <c r="P908" t="s">
        <v>4779</v>
      </c>
      <c r="Q908" t="s">
        <v>4845</v>
      </c>
      <c r="R908" t="s">
        <v>807</v>
      </c>
    </row>
    <row r="909" spans="1:18" x14ac:dyDescent="0.3">
      <c r="A909">
        <v>243186</v>
      </c>
      <c r="B909" t="s">
        <v>1034</v>
      </c>
      <c r="C909" t="s">
        <v>694</v>
      </c>
      <c r="D909" t="s">
        <v>157</v>
      </c>
      <c r="E909" s="1">
        <v>46113</v>
      </c>
      <c r="F909" t="s">
        <v>4352</v>
      </c>
      <c r="G909" t="s">
        <v>3886</v>
      </c>
      <c r="H909" t="s">
        <v>693</v>
      </c>
      <c r="I909" t="s">
        <v>204</v>
      </c>
      <c r="J909" s="1">
        <v>46443</v>
      </c>
      <c r="K909" t="s">
        <v>717</v>
      </c>
      <c r="L909">
        <v>1</v>
      </c>
      <c r="M909">
        <v>4560</v>
      </c>
      <c r="N909" t="s">
        <v>809</v>
      </c>
      <c r="O909" t="s">
        <v>4845</v>
      </c>
      <c r="P909" t="s">
        <v>1009</v>
      </c>
      <c r="Q909" t="s">
        <v>4845</v>
      </c>
      <c r="R909" t="s">
        <v>807</v>
      </c>
    </row>
    <row r="910" spans="1:18" x14ac:dyDescent="0.3">
      <c r="A910">
        <v>169069</v>
      </c>
      <c r="B910" t="s">
        <v>1034</v>
      </c>
      <c r="C910" t="s">
        <v>301</v>
      </c>
      <c r="D910" t="s">
        <v>23</v>
      </c>
      <c r="E910" s="1">
        <v>46113</v>
      </c>
      <c r="F910" t="s">
        <v>4321</v>
      </c>
      <c r="G910" t="s">
        <v>1047</v>
      </c>
      <c r="H910" t="s">
        <v>323</v>
      </c>
      <c r="I910" t="s">
        <v>204</v>
      </c>
      <c r="J910" s="1">
        <v>46538</v>
      </c>
      <c r="K910" t="s">
        <v>711</v>
      </c>
      <c r="L910">
        <v>1542</v>
      </c>
      <c r="M910">
        <v>1542</v>
      </c>
      <c r="N910" t="s">
        <v>710</v>
      </c>
      <c r="O910" t="s">
        <v>1036</v>
      </c>
      <c r="P910" t="s">
        <v>4782</v>
      </c>
      <c r="Q910" t="s">
        <v>4901</v>
      </c>
      <c r="R910" t="s">
        <v>4773</v>
      </c>
    </row>
    <row r="911" spans="1:18" x14ac:dyDescent="0.3">
      <c r="A911">
        <v>18018</v>
      </c>
      <c r="B911" t="s">
        <v>1034</v>
      </c>
      <c r="C911" t="s">
        <v>359</v>
      </c>
      <c r="D911" t="s">
        <v>53</v>
      </c>
      <c r="E911" s="1">
        <v>46113</v>
      </c>
      <c r="F911" t="s">
        <v>4305</v>
      </c>
      <c r="G911" t="s">
        <v>3517</v>
      </c>
      <c r="H911" t="s">
        <v>358</v>
      </c>
      <c r="I911" t="s">
        <v>204</v>
      </c>
      <c r="J911" s="1">
        <v>54878</v>
      </c>
      <c r="K911" t="s">
        <v>711</v>
      </c>
      <c r="L911">
        <v>1</v>
      </c>
      <c r="M911">
        <v>1450</v>
      </c>
      <c r="N911" t="s">
        <v>710</v>
      </c>
      <c r="O911" t="s">
        <v>1036</v>
      </c>
      <c r="P911" t="s">
        <v>4776</v>
      </c>
      <c r="Q911" t="s">
        <v>4901</v>
      </c>
      <c r="R911" t="s">
        <v>4773</v>
      </c>
    </row>
    <row r="912" spans="1:18" x14ac:dyDescent="0.3">
      <c r="A912">
        <v>1314</v>
      </c>
      <c r="B912" t="s">
        <v>4874</v>
      </c>
      <c r="C912" t="s">
        <v>305</v>
      </c>
      <c r="D912" t="s">
        <v>59</v>
      </c>
      <c r="E912" s="1">
        <v>46113</v>
      </c>
      <c r="F912" t="s">
        <v>4359</v>
      </c>
      <c r="G912" t="s">
        <v>4032</v>
      </c>
      <c r="H912" t="s">
        <v>304</v>
      </c>
      <c r="I912" t="s">
        <v>204</v>
      </c>
      <c r="J912" s="1">
        <v>46481</v>
      </c>
      <c r="K912" t="s">
        <v>720</v>
      </c>
      <c r="L912">
        <v>1646.92</v>
      </c>
      <c r="M912">
        <v>1646.92</v>
      </c>
      <c r="N912" t="s">
        <v>809</v>
      </c>
      <c r="O912" t="s">
        <v>1038</v>
      </c>
      <c r="P912" t="s">
        <v>4783</v>
      </c>
      <c r="Q912" t="s">
        <v>4858</v>
      </c>
      <c r="R912" t="s">
        <v>4771</v>
      </c>
    </row>
    <row r="913" spans="1:18" x14ac:dyDescent="0.3">
      <c r="A913">
        <v>2626</v>
      </c>
      <c r="B913" t="s">
        <v>1034</v>
      </c>
      <c r="C913" t="s">
        <v>314</v>
      </c>
      <c r="D913" t="s">
        <v>39</v>
      </c>
      <c r="E913" s="1">
        <v>46113</v>
      </c>
      <c r="F913" t="s">
        <v>4347</v>
      </c>
      <c r="G913" t="s">
        <v>3762</v>
      </c>
      <c r="H913" t="s">
        <v>313</v>
      </c>
      <c r="I913" t="s">
        <v>204</v>
      </c>
      <c r="J913" s="1">
        <v>46237</v>
      </c>
      <c r="K913" t="s">
        <v>711</v>
      </c>
      <c r="L913">
        <v>1</v>
      </c>
      <c r="M913">
        <v>1150</v>
      </c>
      <c r="N913" t="s">
        <v>710</v>
      </c>
      <c r="O913" t="s">
        <v>4834</v>
      </c>
      <c r="P913" t="s">
        <v>4779</v>
      </c>
      <c r="Q913" t="s">
        <v>4901</v>
      </c>
      <c r="R913" t="s">
        <v>4773</v>
      </c>
    </row>
    <row r="914" spans="1:18" x14ac:dyDescent="0.3">
      <c r="A914">
        <v>1866</v>
      </c>
      <c r="B914" t="s">
        <v>4874</v>
      </c>
      <c r="C914" t="s">
        <v>252</v>
      </c>
      <c r="D914" t="s">
        <v>183</v>
      </c>
      <c r="E914" s="1">
        <v>46113</v>
      </c>
      <c r="F914" t="s">
        <v>4404</v>
      </c>
      <c r="G914" t="s">
        <v>3526</v>
      </c>
      <c r="H914" t="s">
        <v>251</v>
      </c>
      <c r="I914" t="s">
        <v>204</v>
      </c>
      <c r="J914" s="1">
        <v>46418</v>
      </c>
      <c r="K914" t="s">
        <v>762</v>
      </c>
      <c r="L914">
        <v>20790</v>
      </c>
      <c r="M914">
        <v>20790</v>
      </c>
      <c r="N914" t="s">
        <v>719</v>
      </c>
      <c r="O914" t="s">
        <v>4904</v>
      </c>
      <c r="P914" t="s">
        <v>4792</v>
      </c>
      <c r="Q914" t="s">
        <v>4904</v>
      </c>
      <c r="R914" t="s">
        <v>4773</v>
      </c>
    </row>
    <row r="915" spans="1:18" x14ac:dyDescent="0.3">
      <c r="A915">
        <v>453247</v>
      </c>
      <c r="B915" t="s">
        <v>1034</v>
      </c>
      <c r="C915" t="s">
        <v>463</v>
      </c>
      <c r="D915" t="s">
        <v>147</v>
      </c>
      <c r="E915" s="1">
        <v>46112</v>
      </c>
      <c r="F915" t="s">
        <v>4334</v>
      </c>
      <c r="G915" t="s">
        <v>4068</v>
      </c>
      <c r="H915" t="s">
        <v>462</v>
      </c>
      <c r="I915" t="s">
        <v>204</v>
      </c>
      <c r="J915" s="1">
        <v>46752</v>
      </c>
      <c r="K915" t="s">
        <v>717</v>
      </c>
      <c r="L915">
        <v>1212.44</v>
      </c>
      <c r="M915">
        <v>1212.44</v>
      </c>
      <c r="N915" t="s">
        <v>719</v>
      </c>
      <c r="O915" t="s">
        <v>1033</v>
      </c>
      <c r="P915" t="s">
        <v>4776</v>
      </c>
      <c r="Q915" t="s">
        <v>4852</v>
      </c>
      <c r="R915" t="s">
        <v>4771</v>
      </c>
    </row>
    <row r="916" spans="1:18" x14ac:dyDescent="0.3">
      <c r="A916">
        <v>1008</v>
      </c>
      <c r="B916" t="s">
        <v>1034</v>
      </c>
      <c r="C916" t="s">
        <v>319</v>
      </c>
      <c r="D916" t="s">
        <v>36</v>
      </c>
      <c r="E916" s="1">
        <v>46112</v>
      </c>
      <c r="F916" t="s">
        <v>4298</v>
      </c>
      <c r="G916" t="s">
        <v>4036</v>
      </c>
      <c r="H916" t="s">
        <v>318</v>
      </c>
      <c r="I916" t="s">
        <v>204</v>
      </c>
      <c r="J916" s="1">
        <v>46214</v>
      </c>
      <c r="K916" t="s">
        <v>711</v>
      </c>
      <c r="L916">
        <v>844</v>
      </c>
      <c r="M916">
        <v>843.78</v>
      </c>
      <c r="N916" t="s">
        <v>710</v>
      </c>
      <c r="O916" t="s">
        <v>1036</v>
      </c>
      <c r="P916" t="s">
        <v>4784</v>
      </c>
      <c r="Q916" t="s">
        <v>4901</v>
      </c>
      <c r="R916" t="s">
        <v>4771</v>
      </c>
    </row>
    <row r="917" spans="1:18" x14ac:dyDescent="0.3">
      <c r="A917">
        <v>12326</v>
      </c>
      <c r="B917" t="s">
        <v>4874</v>
      </c>
      <c r="C917" t="s">
        <v>391</v>
      </c>
      <c r="D917" t="s">
        <v>104</v>
      </c>
      <c r="E917" s="1">
        <v>46111</v>
      </c>
      <c r="F917" t="s">
        <v>4354</v>
      </c>
      <c r="G917" t="s">
        <v>3893</v>
      </c>
      <c r="H917" t="s">
        <v>390</v>
      </c>
      <c r="I917" t="s">
        <v>204</v>
      </c>
      <c r="J917" s="1">
        <v>54878</v>
      </c>
      <c r="K917" t="s">
        <v>762</v>
      </c>
      <c r="L917">
        <v>224.98</v>
      </c>
      <c r="M917">
        <v>224.98</v>
      </c>
      <c r="N917" t="s">
        <v>710</v>
      </c>
      <c r="O917" t="s">
        <v>4833</v>
      </c>
      <c r="P917" t="s">
        <v>4776</v>
      </c>
      <c r="Q917" t="s">
        <v>4852</v>
      </c>
      <c r="R917" t="s">
        <v>4773</v>
      </c>
    </row>
    <row r="918" spans="1:18" x14ac:dyDescent="0.3">
      <c r="A918">
        <v>80109</v>
      </c>
      <c r="B918" t="s">
        <v>4874</v>
      </c>
      <c r="C918" t="s">
        <v>634</v>
      </c>
      <c r="D918" t="s">
        <v>99</v>
      </c>
      <c r="E918" s="1">
        <v>46111</v>
      </c>
      <c r="F918" t="s">
        <v>4394</v>
      </c>
      <c r="G918" t="s">
        <v>4057</v>
      </c>
      <c r="H918" t="s">
        <v>633</v>
      </c>
      <c r="I918" t="s">
        <v>204</v>
      </c>
      <c r="J918" s="1">
        <v>46204</v>
      </c>
      <c r="K918" t="s">
        <v>762</v>
      </c>
      <c r="L918">
        <v>1924</v>
      </c>
      <c r="M918">
        <v>1924</v>
      </c>
      <c r="N918" t="s">
        <v>719</v>
      </c>
      <c r="O918" t="s">
        <v>1037</v>
      </c>
      <c r="P918" t="s">
        <v>4790</v>
      </c>
      <c r="Q918" t="s">
        <v>4852</v>
      </c>
    </row>
    <row r="919" spans="1:18" x14ac:dyDescent="0.3">
      <c r="A919">
        <v>80109</v>
      </c>
      <c r="B919" t="s">
        <v>4874</v>
      </c>
      <c r="C919" t="s">
        <v>634</v>
      </c>
      <c r="D919" t="s">
        <v>99</v>
      </c>
      <c r="E919" s="1">
        <v>46111</v>
      </c>
      <c r="F919" t="s">
        <v>4422</v>
      </c>
      <c r="G919" t="s">
        <v>4057</v>
      </c>
      <c r="H919" t="s">
        <v>633</v>
      </c>
      <c r="I919" t="s">
        <v>204</v>
      </c>
      <c r="J919" s="1">
        <v>46204</v>
      </c>
      <c r="K919" t="s">
        <v>762</v>
      </c>
      <c r="L919">
        <v>37</v>
      </c>
      <c r="M919">
        <v>216.82</v>
      </c>
      <c r="N919" t="s">
        <v>719</v>
      </c>
      <c r="O919" t="s">
        <v>1037</v>
      </c>
      <c r="P919" t="s">
        <v>4790</v>
      </c>
      <c r="Q919" t="s">
        <v>4852</v>
      </c>
    </row>
    <row r="920" spans="1:18" x14ac:dyDescent="0.3">
      <c r="A920">
        <v>80109</v>
      </c>
      <c r="B920" t="s">
        <v>4874</v>
      </c>
      <c r="C920" t="s">
        <v>634</v>
      </c>
      <c r="D920" t="s">
        <v>99</v>
      </c>
      <c r="E920" s="1">
        <v>46111</v>
      </c>
      <c r="F920" t="s">
        <v>4310</v>
      </c>
      <c r="G920" t="s">
        <v>4057</v>
      </c>
      <c r="H920" t="s">
        <v>633</v>
      </c>
      <c r="I920" t="s">
        <v>204</v>
      </c>
      <c r="J920" s="1">
        <v>46204</v>
      </c>
      <c r="K920" t="s">
        <v>762</v>
      </c>
      <c r="L920">
        <v>72</v>
      </c>
      <c r="M920">
        <v>263.52</v>
      </c>
      <c r="N920" t="s">
        <v>719</v>
      </c>
      <c r="O920" t="s">
        <v>1037</v>
      </c>
      <c r="P920" t="s">
        <v>4790</v>
      </c>
      <c r="Q920" t="s">
        <v>4852</v>
      </c>
    </row>
    <row r="921" spans="1:18" x14ac:dyDescent="0.3">
      <c r="A921">
        <v>80109</v>
      </c>
      <c r="B921" t="s">
        <v>4874</v>
      </c>
      <c r="C921" t="s">
        <v>634</v>
      </c>
      <c r="D921" t="s">
        <v>99</v>
      </c>
      <c r="E921" s="1">
        <v>46111</v>
      </c>
      <c r="F921" t="s">
        <v>4308</v>
      </c>
      <c r="G921" t="s">
        <v>4057</v>
      </c>
      <c r="H921" t="s">
        <v>633</v>
      </c>
      <c r="I921" t="s">
        <v>204</v>
      </c>
      <c r="J921" s="1">
        <v>46204</v>
      </c>
      <c r="K921" t="s">
        <v>762</v>
      </c>
      <c r="L921">
        <v>72</v>
      </c>
      <c r="M921">
        <v>350.64</v>
      </c>
      <c r="N921" t="s">
        <v>719</v>
      </c>
      <c r="O921" t="s">
        <v>1037</v>
      </c>
      <c r="P921" t="s">
        <v>4790</v>
      </c>
      <c r="Q921" t="s">
        <v>4852</v>
      </c>
    </row>
    <row r="922" spans="1:18" x14ac:dyDescent="0.3">
      <c r="A922">
        <v>12326</v>
      </c>
      <c r="B922" t="s">
        <v>4874</v>
      </c>
      <c r="C922" t="s">
        <v>391</v>
      </c>
      <c r="D922" t="s">
        <v>104</v>
      </c>
      <c r="E922" s="1">
        <v>46111</v>
      </c>
      <c r="F922" t="s">
        <v>4306</v>
      </c>
      <c r="G922" t="s">
        <v>3893</v>
      </c>
      <c r="H922" t="s">
        <v>390</v>
      </c>
      <c r="I922" t="s">
        <v>204</v>
      </c>
      <c r="J922" s="1">
        <v>54878</v>
      </c>
      <c r="K922" t="s">
        <v>762</v>
      </c>
      <c r="L922">
        <v>1435.1</v>
      </c>
      <c r="M922">
        <v>1435.1</v>
      </c>
      <c r="N922" t="s">
        <v>710</v>
      </c>
      <c r="O922" t="s">
        <v>4833</v>
      </c>
      <c r="P922" t="s">
        <v>4776</v>
      </c>
      <c r="Q922" t="s">
        <v>4852</v>
      </c>
      <c r="R922" t="s">
        <v>4773</v>
      </c>
    </row>
    <row r="923" spans="1:18" x14ac:dyDescent="0.3">
      <c r="A923">
        <v>80109</v>
      </c>
      <c r="B923" t="s">
        <v>4874</v>
      </c>
      <c r="C923" t="s">
        <v>634</v>
      </c>
      <c r="D923" t="s">
        <v>99</v>
      </c>
      <c r="E923" s="1">
        <v>46111</v>
      </c>
      <c r="F923" t="s">
        <v>4307</v>
      </c>
      <c r="G923" t="s">
        <v>4057</v>
      </c>
      <c r="H923" t="s">
        <v>633</v>
      </c>
      <c r="I923" t="s">
        <v>204</v>
      </c>
      <c r="J923" s="1">
        <v>46204</v>
      </c>
      <c r="K923" t="s">
        <v>762</v>
      </c>
      <c r="L923">
        <v>1924</v>
      </c>
      <c r="M923">
        <v>29995.16</v>
      </c>
      <c r="N923" t="s">
        <v>719</v>
      </c>
      <c r="O923" t="s">
        <v>1037</v>
      </c>
      <c r="P923" t="s">
        <v>4790</v>
      </c>
      <c r="Q923" t="s">
        <v>4852</v>
      </c>
    </row>
    <row r="924" spans="1:18" x14ac:dyDescent="0.3">
      <c r="A924">
        <v>7506</v>
      </c>
      <c r="B924" t="s">
        <v>4874</v>
      </c>
      <c r="C924" t="s">
        <v>628</v>
      </c>
      <c r="D924" t="s">
        <v>25</v>
      </c>
      <c r="E924" s="1">
        <v>46111</v>
      </c>
      <c r="F924" t="s">
        <v>4415</v>
      </c>
      <c r="G924" t="s">
        <v>4062</v>
      </c>
      <c r="H924" t="s">
        <v>627</v>
      </c>
      <c r="I924" t="s">
        <v>209</v>
      </c>
      <c r="J924" s="1">
        <v>46476</v>
      </c>
      <c r="K924" t="s">
        <v>720</v>
      </c>
      <c r="L924">
        <v>760</v>
      </c>
      <c r="M924">
        <v>760</v>
      </c>
      <c r="N924" t="s">
        <v>710</v>
      </c>
      <c r="O924" t="s">
        <v>1038</v>
      </c>
      <c r="P924" t="s">
        <v>4776</v>
      </c>
      <c r="Q924" t="s">
        <v>4858</v>
      </c>
      <c r="R924" t="s">
        <v>4771</v>
      </c>
    </row>
    <row r="925" spans="1:18" x14ac:dyDescent="0.3">
      <c r="A925">
        <v>202680</v>
      </c>
      <c r="B925" t="s">
        <v>1034</v>
      </c>
      <c r="C925" t="s">
        <v>364</v>
      </c>
      <c r="D925" t="s">
        <v>72</v>
      </c>
      <c r="E925" s="1">
        <v>46111</v>
      </c>
      <c r="F925" t="s">
        <v>4295</v>
      </c>
      <c r="G925" t="s">
        <v>3991</v>
      </c>
      <c r="H925" t="s">
        <v>363</v>
      </c>
      <c r="I925" t="s">
        <v>209</v>
      </c>
      <c r="J925" s="1">
        <v>46092</v>
      </c>
      <c r="K925" t="s">
        <v>711</v>
      </c>
      <c r="L925">
        <v>5526</v>
      </c>
      <c r="M925">
        <v>5526</v>
      </c>
      <c r="N925" t="s">
        <v>710</v>
      </c>
      <c r="O925" t="s">
        <v>4834</v>
      </c>
      <c r="P925" t="s">
        <v>4776</v>
      </c>
      <c r="Q925" t="s">
        <v>4901</v>
      </c>
      <c r="R925" t="s">
        <v>4773</v>
      </c>
    </row>
    <row r="926" spans="1:18" x14ac:dyDescent="0.3">
      <c r="A926">
        <v>350</v>
      </c>
      <c r="B926" t="s">
        <v>1034</v>
      </c>
      <c r="C926" t="s">
        <v>479</v>
      </c>
      <c r="D926" t="s">
        <v>99</v>
      </c>
      <c r="E926" s="1">
        <v>46108</v>
      </c>
      <c r="F926" t="s">
        <v>4372</v>
      </c>
      <c r="G926" t="s">
        <v>4054</v>
      </c>
      <c r="H926" t="s">
        <v>478</v>
      </c>
      <c r="I926" t="s">
        <v>204</v>
      </c>
      <c r="J926" s="1">
        <v>46239</v>
      </c>
      <c r="K926" t="s">
        <v>717</v>
      </c>
      <c r="L926">
        <v>198</v>
      </c>
      <c r="M926">
        <v>1686.96</v>
      </c>
      <c r="N926" t="s">
        <v>710</v>
      </c>
      <c r="O926" t="s">
        <v>1037</v>
      </c>
      <c r="P926" t="s">
        <v>4790</v>
      </c>
      <c r="Q926" t="s">
        <v>4852</v>
      </c>
      <c r="R926" t="s">
        <v>4772</v>
      </c>
    </row>
    <row r="927" spans="1:18" x14ac:dyDescent="0.3">
      <c r="A927">
        <v>350</v>
      </c>
      <c r="B927" t="s">
        <v>1034</v>
      </c>
      <c r="C927" t="s">
        <v>479</v>
      </c>
      <c r="D927" t="s">
        <v>99</v>
      </c>
      <c r="E927" s="1">
        <v>46108</v>
      </c>
      <c r="F927" t="s">
        <v>4312</v>
      </c>
      <c r="G927" t="s">
        <v>4054</v>
      </c>
      <c r="H927" t="s">
        <v>478</v>
      </c>
      <c r="I927" t="s">
        <v>204</v>
      </c>
      <c r="J927" s="1">
        <v>46239</v>
      </c>
      <c r="K927" t="s">
        <v>717</v>
      </c>
      <c r="L927">
        <v>70</v>
      </c>
      <c r="M927">
        <v>332.5</v>
      </c>
      <c r="N927" t="s">
        <v>710</v>
      </c>
      <c r="O927" t="s">
        <v>1037</v>
      </c>
      <c r="P927" t="s">
        <v>4790</v>
      </c>
      <c r="Q927" t="s">
        <v>4852</v>
      </c>
      <c r="R927" t="s">
        <v>4772</v>
      </c>
    </row>
    <row r="928" spans="1:18" x14ac:dyDescent="0.3">
      <c r="A928">
        <v>350</v>
      </c>
      <c r="B928" t="s">
        <v>1034</v>
      </c>
      <c r="C928" t="s">
        <v>479</v>
      </c>
      <c r="D928" t="s">
        <v>99</v>
      </c>
      <c r="E928" s="1">
        <v>46108</v>
      </c>
      <c r="F928" t="s">
        <v>4310</v>
      </c>
      <c r="G928" t="s">
        <v>4054</v>
      </c>
      <c r="H928" t="s">
        <v>478</v>
      </c>
      <c r="I928" t="s">
        <v>204</v>
      </c>
      <c r="J928" s="1">
        <v>46239</v>
      </c>
      <c r="K928" t="s">
        <v>717</v>
      </c>
      <c r="L928">
        <v>39</v>
      </c>
      <c r="M928">
        <v>138.44999999999999</v>
      </c>
      <c r="N928" t="s">
        <v>710</v>
      </c>
      <c r="O928" t="s">
        <v>1037</v>
      </c>
      <c r="P928" t="s">
        <v>4790</v>
      </c>
      <c r="Q928" t="s">
        <v>4852</v>
      </c>
      <c r="R928" t="s">
        <v>4772</v>
      </c>
    </row>
    <row r="929" spans="1:18" x14ac:dyDescent="0.3">
      <c r="A929">
        <v>350</v>
      </c>
      <c r="B929" t="s">
        <v>1034</v>
      </c>
      <c r="C929" t="s">
        <v>479</v>
      </c>
      <c r="D929" t="s">
        <v>99</v>
      </c>
      <c r="E929" s="1">
        <v>46108</v>
      </c>
      <c r="F929" t="s">
        <v>4308</v>
      </c>
      <c r="G929" t="s">
        <v>4054</v>
      </c>
      <c r="H929" t="s">
        <v>478</v>
      </c>
      <c r="I929" t="s">
        <v>204</v>
      </c>
      <c r="J929" s="1">
        <v>46239</v>
      </c>
      <c r="K929" t="s">
        <v>717</v>
      </c>
      <c r="L929">
        <v>2582</v>
      </c>
      <c r="M929">
        <v>10224.719999999999</v>
      </c>
      <c r="N929" t="s">
        <v>710</v>
      </c>
      <c r="O929" t="s">
        <v>1037</v>
      </c>
      <c r="P929" t="s">
        <v>4790</v>
      </c>
      <c r="Q929" t="s">
        <v>4852</v>
      </c>
      <c r="R929" t="s">
        <v>4772</v>
      </c>
    </row>
    <row r="930" spans="1:18" x14ac:dyDescent="0.3">
      <c r="A930">
        <v>13190</v>
      </c>
      <c r="B930" t="s">
        <v>4875</v>
      </c>
      <c r="C930" t="s">
        <v>598</v>
      </c>
      <c r="D930" t="s">
        <v>128</v>
      </c>
      <c r="E930" s="1">
        <v>46108</v>
      </c>
      <c r="F930" t="s">
        <v>4336</v>
      </c>
      <c r="G930" t="s">
        <v>4050</v>
      </c>
      <c r="H930" t="s">
        <v>600</v>
      </c>
      <c r="I930" t="s">
        <v>204</v>
      </c>
      <c r="J930" s="1">
        <v>45869</v>
      </c>
      <c r="K930" t="s">
        <v>768</v>
      </c>
      <c r="L930">
        <v>1</v>
      </c>
      <c r="M930">
        <v>931.29</v>
      </c>
      <c r="N930" t="s">
        <v>710</v>
      </c>
      <c r="O930" t="s">
        <v>1037</v>
      </c>
      <c r="P930" t="s">
        <v>4794</v>
      </c>
      <c r="Q930" t="s">
        <v>4852</v>
      </c>
      <c r="R930" t="s">
        <v>4772</v>
      </c>
    </row>
    <row r="931" spans="1:18" x14ac:dyDescent="0.3">
      <c r="A931">
        <v>10962</v>
      </c>
      <c r="B931" t="s">
        <v>1035</v>
      </c>
      <c r="C931" t="s">
        <v>546</v>
      </c>
      <c r="D931" t="s">
        <v>75</v>
      </c>
      <c r="E931" s="1">
        <v>46108</v>
      </c>
      <c r="F931" t="s">
        <v>4355</v>
      </c>
      <c r="G931" t="s">
        <v>3976</v>
      </c>
      <c r="H931" t="s">
        <v>545</v>
      </c>
      <c r="I931" t="s">
        <v>204</v>
      </c>
      <c r="J931" s="1">
        <v>46325</v>
      </c>
      <c r="K931" t="s">
        <v>744</v>
      </c>
      <c r="L931">
        <v>5530.46</v>
      </c>
      <c r="M931">
        <v>5530.46</v>
      </c>
      <c r="N931" t="s">
        <v>710</v>
      </c>
      <c r="O931" t="s">
        <v>4903</v>
      </c>
      <c r="P931" t="s">
        <v>4781</v>
      </c>
      <c r="Q931" t="s">
        <v>4858</v>
      </c>
      <c r="R931" t="s">
        <v>4773</v>
      </c>
    </row>
    <row r="932" spans="1:18" x14ac:dyDescent="0.3">
      <c r="A932">
        <v>10963</v>
      </c>
      <c r="B932" t="s">
        <v>1035</v>
      </c>
      <c r="C932" t="s">
        <v>546</v>
      </c>
      <c r="D932" t="s">
        <v>75</v>
      </c>
      <c r="E932" s="1">
        <v>46108</v>
      </c>
      <c r="F932" t="s">
        <v>4355</v>
      </c>
      <c r="G932" t="s">
        <v>3976</v>
      </c>
      <c r="H932" t="s">
        <v>545</v>
      </c>
      <c r="I932" t="s">
        <v>204</v>
      </c>
      <c r="J932" s="1">
        <v>46325</v>
      </c>
      <c r="K932" t="s">
        <v>744</v>
      </c>
      <c r="L932">
        <v>3200</v>
      </c>
      <c r="M932">
        <v>3200</v>
      </c>
      <c r="N932" t="s">
        <v>710</v>
      </c>
      <c r="O932" t="s">
        <v>4903</v>
      </c>
      <c r="P932" t="s">
        <v>4781</v>
      </c>
      <c r="Q932" t="s">
        <v>4858</v>
      </c>
      <c r="R932" t="s">
        <v>4773</v>
      </c>
    </row>
    <row r="933" spans="1:18" x14ac:dyDescent="0.3">
      <c r="A933">
        <v>10965</v>
      </c>
      <c r="B933" t="s">
        <v>1035</v>
      </c>
      <c r="C933" t="s">
        <v>546</v>
      </c>
      <c r="D933" t="s">
        <v>75</v>
      </c>
      <c r="E933" s="1">
        <v>46108</v>
      </c>
      <c r="F933" t="s">
        <v>4355</v>
      </c>
      <c r="G933" t="s">
        <v>3976</v>
      </c>
      <c r="H933" t="s">
        <v>545</v>
      </c>
      <c r="I933" t="s">
        <v>204</v>
      </c>
      <c r="J933" s="1">
        <v>46325</v>
      </c>
      <c r="K933" t="s">
        <v>744</v>
      </c>
      <c r="L933">
        <v>3307.43</v>
      </c>
      <c r="M933">
        <v>3307.43</v>
      </c>
      <c r="N933" t="s">
        <v>710</v>
      </c>
      <c r="O933" t="s">
        <v>4903</v>
      </c>
      <c r="P933" t="s">
        <v>4781</v>
      </c>
      <c r="Q933" t="s">
        <v>4858</v>
      </c>
      <c r="R933" t="s">
        <v>4773</v>
      </c>
    </row>
    <row r="934" spans="1:18" x14ac:dyDescent="0.3">
      <c r="A934">
        <v>350</v>
      </c>
      <c r="B934" t="s">
        <v>1034</v>
      </c>
      <c r="C934" t="s">
        <v>479</v>
      </c>
      <c r="D934" t="s">
        <v>99</v>
      </c>
      <c r="E934" s="1">
        <v>46108</v>
      </c>
      <c r="F934" t="s">
        <v>4307</v>
      </c>
      <c r="G934" t="s">
        <v>4054</v>
      </c>
      <c r="H934" t="s">
        <v>478</v>
      </c>
      <c r="I934" t="s">
        <v>204</v>
      </c>
      <c r="J934" s="1">
        <v>46239</v>
      </c>
      <c r="K934" t="s">
        <v>717</v>
      </c>
      <c r="L934">
        <v>3842</v>
      </c>
      <c r="M934">
        <v>46910.82</v>
      </c>
      <c r="N934" t="s">
        <v>710</v>
      </c>
      <c r="O934" t="s">
        <v>1037</v>
      </c>
      <c r="P934" t="s">
        <v>4790</v>
      </c>
      <c r="Q934" t="s">
        <v>4852</v>
      </c>
      <c r="R934" t="s">
        <v>4772</v>
      </c>
    </row>
    <row r="935" spans="1:18" x14ac:dyDescent="0.3">
      <c r="A935">
        <v>13182</v>
      </c>
      <c r="B935" t="s">
        <v>1034</v>
      </c>
      <c r="C935" t="s">
        <v>598</v>
      </c>
      <c r="D935" t="s">
        <v>128</v>
      </c>
      <c r="E935" s="1">
        <v>46108</v>
      </c>
      <c r="F935" t="s">
        <v>4336</v>
      </c>
      <c r="G935" t="s">
        <v>4051</v>
      </c>
      <c r="H935" t="s">
        <v>597</v>
      </c>
      <c r="I935" t="s">
        <v>204</v>
      </c>
      <c r="J935" s="1">
        <v>45839</v>
      </c>
      <c r="K935" t="s">
        <v>717</v>
      </c>
      <c r="L935">
        <v>1</v>
      </c>
      <c r="M935">
        <v>5513.82</v>
      </c>
      <c r="N935" t="s">
        <v>710</v>
      </c>
      <c r="O935" t="s">
        <v>1037</v>
      </c>
      <c r="P935" t="s">
        <v>4794</v>
      </c>
      <c r="Q935" t="s">
        <v>4852</v>
      </c>
      <c r="R935" t="s">
        <v>4772</v>
      </c>
    </row>
    <row r="936" spans="1:18" x14ac:dyDescent="0.3">
      <c r="A936">
        <v>350</v>
      </c>
      <c r="B936" t="s">
        <v>1034</v>
      </c>
      <c r="C936" t="s">
        <v>479</v>
      </c>
      <c r="D936" t="s">
        <v>99</v>
      </c>
      <c r="E936" s="1">
        <v>46108</v>
      </c>
      <c r="F936" t="s">
        <v>4329</v>
      </c>
      <c r="G936" t="s">
        <v>4054</v>
      </c>
      <c r="H936" t="s">
        <v>478</v>
      </c>
      <c r="I936" t="s">
        <v>204</v>
      </c>
      <c r="J936" s="1">
        <v>46239</v>
      </c>
      <c r="K936" t="s">
        <v>717</v>
      </c>
      <c r="L936">
        <v>79</v>
      </c>
      <c r="M936">
        <v>891.91</v>
      </c>
      <c r="N936" t="s">
        <v>710</v>
      </c>
      <c r="O936" t="s">
        <v>1037</v>
      </c>
      <c r="P936" t="s">
        <v>4790</v>
      </c>
      <c r="Q936" t="s">
        <v>4852</v>
      </c>
      <c r="R936" t="s">
        <v>4772</v>
      </c>
    </row>
    <row r="937" spans="1:18" x14ac:dyDescent="0.3">
      <c r="A937">
        <v>35841</v>
      </c>
      <c r="B937" t="s">
        <v>4874</v>
      </c>
      <c r="C937" t="s">
        <v>614</v>
      </c>
      <c r="D937" t="s">
        <v>74</v>
      </c>
      <c r="E937" s="1">
        <v>46108</v>
      </c>
      <c r="F937" t="s">
        <v>4362</v>
      </c>
      <c r="G937" t="s">
        <v>4006</v>
      </c>
      <c r="H937" t="s">
        <v>613</v>
      </c>
      <c r="I937" t="s">
        <v>204</v>
      </c>
      <c r="J937" s="1">
        <v>46993</v>
      </c>
      <c r="K937" t="s">
        <v>720</v>
      </c>
      <c r="L937">
        <v>1515</v>
      </c>
      <c r="M937">
        <v>1515</v>
      </c>
      <c r="N937" t="s">
        <v>710</v>
      </c>
      <c r="O937" t="s">
        <v>1038</v>
      </c>
      <c r="P937" t="s">
        <v>4779</v>
      </c>
      <c r="Q937" t="s">
        <v>4858</v>
      </c>
      <c r="R937" t="s">
        <v>4771</v>
      </c>
    </row>
    <row r="938" spans="1:18" x14ac:dyDescent="0.3">
      <c r="A938">
        <v>11791</v>
      </c>
      <c r="B938" t="s">
        <v>4874</v>
      </c>
      <c r="C938" t="s">
        <v>594</v>
      </c>
      <c r="D938" t="s">
        <v>27</v>
      </c>
      <c r="E938" s="1">
        <v>46108</v>
      </c>
      <c r="F938" t="s">
        <v>4323</v>
      </c>
      <c r="G938" t="s">
        <v>4049</v>
      </c>
      <c r="H938" t="s">
        <v>593</v>
      </c>
      <c r="I938" t="s">
        <v>204</v>
      </c>
      <c r="J938" s="1">
        <v>46204</v>
      </c>
      <c r="K938" t="s">
        <v>762</v>
      </c>
      <c r="L938">
        <v>451559.38</v>
      </c>
      <c r="M938">
        <v>451559.38</v>
      </c>
      <c r="N938" t="s">
        <v>814</v>
      </c>
      <c r="O938" t="s">
        <v>1037</v>
      </c>
      <c r="P938" t="s">
        <v>4794</v>
      </c>
      <c r="Q938" t="s">
        <v>4852</v>
      </c>
      <c r="R938" t="s">
        <v>4772</v>
      </c>
    </row>
    <row r="939" spans="1:18" x14ac:dyDescent="0.3">
      <c r="A939">
        <v>7954564</v>
      </c>
      <c r="B939" t="s">
        <v>4874</v>
      </c>
      <c r="C939" t="s">
        <v>433</v>
      </c>
      <c r="D939" t="s">
        <v>168</v>
      </c>
      <c r="E939" s="1">
        <v>46108</v>
      </c>
      <c r="F939" t="s">
        <v>4319</v>
      </c>
      <c r="G939" t="s">
        <v>4055</v>
      </c>
      <c r="H939" t="s">
        <v>432</v>
      </c>
      <c r="I939" t="s">
        <v>204</v>
      </c>
      <c r="J939" s="1">
        <v>46473</v>
      </c>
      <c r="K939" t="s">
        <v>762</v>
      </c>
      <c r="L939">
        <v>1364</v>
      </c>
      <c r="M939">
        <v>1363.94</v>
      </c>
      <c r="N939" t="s">
        <v>710</v>
      </c>
      <c r="O939" t="s">
        <v>4833</v>
      </c>
      <c r="P939" t="s">
        <v>4802</v>
      </c>
      <c r="Q939" t="s">
        <v>4852</v>
      </c>
      <c r="R939" t="s">
        <v>4771</v>
      </c>
    </row>
    <row r="940" spans="1:18" x14ac:dyDescent="0.3">
      <c r="A940">
        <v>65977</v>
      </c>
      <c r="B940" t="s">
        <v>4874</v>
      </c>
      <c r="C940" t="s">
        <v>437</v>
      </c>
      <c r="D940" t="s">
        <v>150</v>
      </c>
      <c r="E940" s="1">
        <v>46108</v>
      </c>
      <c r="F940" t="s">
        <v>4395</v>
      </c>
      <c r="G940" t="s">
        <v>4045</v>
      </c>
      <c r="H940" t="s">
        <v>436</v>
      </c>
      <c r="I940" t="s">
        <v>204</v>
      </c>
      <c r="J940" s="1">
        <v>54878</v>
      </c>
      <c r="K940" t="s">
        <v>762</v>
      </c>
      <c r="L940">
        <v>818</v>
      </c>
      <c r="M940">
        <v>818</v>
      </c>
      <c r="N940" t="s">
        <v>719</v>
      </c>
      <c r="O940" t="s">
        <v>1037</v>
      </c>
      <c r="P940" t="s">
        <v>4788</v>
      </c>
      <c r="Q940" t="s">
        <v>4852</v>
      </c>
      <c r="R940" t="s">
        <v>4771</v>
      </c>
    </row>
    <row r="941" spans="1:18" x14ac:dyDescent="0.3">
      <c r="A941">
        <v>13174</v>
      </c>
      <c r="B941" t="s">
        <v>4874</v>
      </c>
      <c r="C941" t="s">
        <v>598</v>
      </c>
      <c r="D941" t="s">
        <v>128</v>
      </c>
      <c r="E941" s="1">
        <v>46108</v>
      </c>
      <c r="F941" t="s">
        <v>4336</v>
      </c>
      <c r="G941" t="s">
        <v>4052</v>
      </c>
      <c r="H941" t="s">
        <v>599</v>
      </c>
      <c r="I941" t="s">
        <v>204</v>
      </c>
      <c r="J941" s="1">
        <v>45869</v>
      </c>
      <c r="K941" t="s">
        <v>762</v>
      </c>
      <c r="L941">
        <v>1</v>
      </c>
      <c r="M941">
        <v>4473.8500000000004</v>
      </c>
      <c r="N941" t="s">
        <v>710</v>
      </c>
      <c r="O941" t="s">
        <v>1037</v>
      </c>
      <c r="P941" t="s">
        <v>4794</v>
      </c>
      <c r="Q941" t="s">
        <v>4852</v>
      </c>
      <c r="R941" t="s">
        <v>4772</v>
      </c>
    </row>
    <row r="942" spans="1:18" x14ac:dyDescent="0.3">
      <c r="A942">
        <v>3049</v>
      </c>
      <c r="B942" t="s">
        <v>4874</v>
      </c>
      <c r="C942" t="s">
        <v>469</v>
      </c>
      <c r="D942" t="s">
        <v>124</v>
      </c>
      <c r="E942" s="1">
        <v>46108</v>
      </c>
      <c r="F942" t="s">
        <v>4361</v>
      </c>
      <c r="G942" t="s">
        <v>4056</v>
      </c>
      <c r="H942" t="s">
        <v>468</v>
      </c>
      <c r="I942" t="s">
        <v>204</v>
      </c>
      <c r="J942" s="1">
        <v>54878</v>
      </c>
      <c r="K942" t="s">
        <v>762</v>
      </c>
      <c r="L942">
        <v>484</v>
      </c>
      <c r="M942">
        <v>484</v>
      </c>
      <c r="N942" t="s">
        <v>719</v>
      </c>
      <c r="O942" t="s">
        <v>4845</v>
      </c>
      <c r="P942" t="s">
        <v>4776</v>
      </c>
      <c r="Q942" t="s">
        <v>4845</v>
      </c>
      <c r="R942" t="s">
        <v>4771</v>
      </c>
    </row>
    <row r="943" spans="1:18" x14ac:dyDescent="0.3">
      <c r="A943">
        <v>7500</v>
      </c>
      <c r="B943" t="s">
        <v>4874</v>
      </c>
      <c r="C943" t="s">
        <v>628</v>
      </c>
      <c r="D943" t="s">
        <v>25</v>
      </c>
      <c r="E943" s="1">
        <v>46108</v>
      </c>
      <c r="F943" t="s">
        <v>4415</v>
      </c>
      <c r="G943" t="s">
        <v>4015</v>
      </c>
      <c r="H943" t="s">
        <v>627</v>
      </c>
      <c r="I943" t="s">
        <v>209</v>
      </c>
      <c r="J943" s="1">
        <v>46476</v>
      </c>
      <c r="K943" t="s">
        <v>720</v>
      </c>
      <c r="L943">
        <v>3800</v>
      </c>
      <c r="M943">
        <v>3800</v>
      </c>
      <c r="N943" t="s">
        <v>710</v>
      </c>
      <c r="O943" t="s">
        <v>1038</v>
      </c>
      <c r="P943" t="s">
        <v>4776</v>
      </c>
      <c r="Q943" t="s">
        <v>4858</v>
      </c>
      <c r="R943" t="s">
        <v>4771</v>
      </c>
    </row>
    <row r="944" spans="1:18" x14ac:dyDescent="0.3">
      <c r="A944">
        <v>2637</v>
      </c>
      <c r="B944" t="s">
        <v>1034</v>
      </c>
      <c r="C944" t="s">
        <v>643</v>
      </c>
      <c r="D944" t="s">
        <v>52</v>
      </c>
      <c r="E944" s="1">
        <v>46106</v>
      </c>
      <c r="F944" t="s">
        <v>4318</v>
      </c>
      <c r="G944" t="s">
        <v>4027</v>
      </c>
      <c r="H944" t="s">
        <v>642</v>
      </c>
      <c r="I944" t="s">
        <v>204</v>
      </c>
      <c r="J944" s="1">
        <v>46548</v>
      </c>
      <c r="K944" t="s">
        <v>711</v>
      </c>
      <c r="L944">
        <v>1</v>
      </c>
      <c r="M944">
        <v>2300</v>
      </c>
      <c r="N944" t="s">
        <v>710</v>
      </c>
      <c r="O944" t="s">
        <v>4834</v>
      </c>
      <c r="P944" t="s">
        <v>4776</v>
      </c>
      <c r="Q944" t="s">
        <v>4901</v>
      </c>
    </row>
    <row r="945" spans="1:18" x14ac:dyDescent="0.3">
      <c r="A945">
        <v>3420</v>
      </c>
      <c r="B945" t="s">
        <v>1034</v>
      </c>
      <c r="C945" t="s">
        <v>541</v>
      </c>
      <c r="D945" t="s">
        <v>173</v>
      </c>
      <c r="E945" s="1">
        <v>46106</v>
      </c>
      <c r="F945" t="s">
        <v>4326</v>
      </c>
      <c r="G945" t="s">
        <v>3653</v>
      </c>
      <c r="H945" t="s">
        <v>540</v>
      </c>
      <c r="I945" t="s">
        <v>204</v>
      </c>
      <c r="J945" s="1">
        <v>46386</v>
      </c>
      <c r="K945" t="s">
        <v>711</v>
      </c>
      <c r="L945">
        <v>3</v>
      </c>
      <c r="M945">
        <v>7013.85</v>
      </c>
      <c r="N945" t="s">
        <v>890</v>
      </c>
      <c r="O945" t="s">
        <v>1036</v>
      </c>
      <c r="P945" t="s">
        <v>4791</v>
      </c>
      <c r="Q945" t="s">
        <v>4901</v>
      </c>
      <c r="R945" t="s">
        <v>4773</v>
      </c>
    </row>
    <row r="946" spans="1:18" x14ac:dyDescent="0.3">
      <c r="A946">
        <v>67740454</v>
      </c>
      <c r="B946" t="s">
        <v>4874</v>
      </c>
      <c r="C946" t="s">
        <v>653</v>
      </c>
      <c r="D946" t="s">
        <v>14</v>
      </c>
      <c r="E946" s="1">
        <v>46106</v>
      </c>
      <c r="F946" t="s">
        <v>4336</v>
      </c>
      <c r="G946" t="s">
        <v>4053</v>
      </c>
      <c r="H946" t="s">
        <v>652</v>
      </c>
      <c r="I946" t="s">
        <v>204</v>
      </c>
      <c r="J946" s="1">
        <v>46583</v>
      </c>
      <c r="K946" t="s">
        <v>762</v>
      </c>
      <c r="L946">
        <v>84707.01</v>
      </c>
      <c r="M946">
        <v>84707.01</v>
      </c>
      <c r="N946" t="s">
        <v>710</v>
      </c>
      <c r="O946" t="s">
        <v>1037</v>
      </c>
      <c r="P946" t="s">
        <v>4794</v>
      </c>
      <c r="Q946" t="s">
        <v>4852</v>
      </c>
      <c r="R946" t="s">
        <v>807</v>
      </c>
    </row>
    <row r="947" spans="1:18" x14ac:dyDescent="0.3">
      <c r="A947">
        <v>39953</v>
      </c>
      <c r="B947" t="s">
        <v>4874</v>
      </c>
      <c r="C947" t="s">
        <v>692</v>
      </c>
      <c r="D947" t="s">
        <v>119</v>
      </c>
      <c r="E947" s="1">
        <v>46105</v>
      </c>
      <c r="F947" t="s">
        <v>4352</v>
      </c>
      <c r="G947" t="s">
        <v>4007</v>
      </c>
      <c r="H947" t="s">
        <v>691</v>
      </c>
      <c r="I947" t="s">
        <v>204</v>
      </c>
      <c r="J947" s="1">
        <v>46434</v>
      </c>
      <c r="K947" t="s">
        <v>762</v>
      </c>
      <c r="L947">
        <v>10</v>
      </c>
      <c r="M947">
        <v>142.6</v>
      </c>
      <c r="N947" t="s">
        <v>710</v>
      </c>
      <c r="O947" t="s">
        <v>4833</v>
      </c>
      <c r="P947" t="s">
        <v>1007</v>
      </c>
      <c r="Q947" t="s">
        <v>4852</v>
      </c>
      <c r="R947" t="s">
        <v>807</v>
      </c>
    </row>
    <row r="948" spans="1:18" x14ac:dyDescent="0.3">
      <c r="A948">
        <v>107</v>
      </c>
      <c r="B948" t="s">
        <v>4874</v>
      </c>
      <c r="C948" t="s">
        <v>216</v>
      </c>
      <c r="D948" t="s">
        <v>141</v>
      </c>
      <c r="E948" s="1">
        <v>46105</v>
      </c>
      <c r="F948" t="s">
        <v>4305</v>
      </c>
      <c r="G948" t="s">
        <v>4024</v>
      </c>
      <c r="H948" t="s">
        <v>215</v>
      </c>
      <c r="I948" t="s">
        <v>204</v>
      </c>
      <c r="J948" s="1">
        <v>54878</v>
      </c>
      <c r="K948" t="s">
        <v>720</v>
      </c>
      <c r="L948">
        <v>800</v>
      </c>
      <c r="M948">
        <v>800</v>
      </c>
      <c r="N948" t="s">
        <v>710</v>
      </c>
      <c r="O948" t="s">
        <v>1038</v>
      </c>
      <c r="P948" t="s">
        <v>4777</v>
      </c>
      <c r="Q948" t="s">
        <v>4858</v>
      </c>
      <c r="R948" t="s">
        <v>4771</v>
      </c>
    </row>
    <row r="949" spans="1:18" x14ac:dyDescent="0.3">
      <c r="A949">
        <v>5933</v>
      </c>
      <c r="B949" t="s">
        <v>4874</v>
      </c>
      <c r="C949" t="s">
        <v>405</v>
      </c>
      <c r="D949" t="s">
        <v>107</v>
      </c>
      <c r="E949" s="1">
        <v>46105</v>
      </c>
      <c r="F949" t="s">
        <v>4362</v>
      </c>
      <c r="G949" t="s">
        <v>4010</v>
      </c>
      <c r="H949" t="s">
        <v>404</v>
      </c>
      <c r="I949" t="s">
        <v>204</v>
      </c>
      <c r="J949" s="1">
        <v>46477</v>
      </c>
      <c r="K949" t="s">
        <v>762</v>
      </c>
      <c r="L949">
        <v>2653.29</v>
      </c>
      <c r="M949">
        <v>2653.29</v>
      </c>
      <c r="N949" t="s">
        <v>710</v>
      </c>
      <c r="O949" t="s">
        <v>1037</v>
      </c>
      <c r="P949" t="s">
        <v>4806</v>
      </c>
      <c r="Q949" t="s">
        <v>4852</v>
      </c>
      <c r="R949" t="s">
        <v>4772</v>
      </c>
    </row>
    <row r="950" spans="1:18" x14ac:dyDescent="0.3">
      <c r="A950">
        <v>590773</v>
      </c>
      <c r="B950" t="s">
        <v>4874</v>
      </c>
      <c r="C950" t="s">
        <v>405</v>
      </c>
      <c r="D950" t="s">
        <v>107</v>
      </c>
      <c r="E950" s="1">
        <v>46105</v>
      </c>
      <c r="F950" t="s">
        <v>4362</v>
      </c>
      <c r="G950" t="s">
        <v>4009</v>
      </c>
      <c r="H950" t="s">
        <v>404</v>
      </c>
      <c r="I950" t="s">
        <v>204</v>
      </c>
      <c r="J950" s="1">
        <v>46477</v>
      </c>
      <c r="K950" t="s">
        <v>762</v>
      </c>
      <c r="L950">
        <v>4518.3</v>
      </c>
      <c r="M950">
        <v>4518.3</v>
      </c>
      <c r="N950" t="s">
        <v>710</v>
      </c>
      <c r="O950" t="s">
        <v>1037</v>
      </c>
      <c r="P950" t="s">
        <v>4806</v>
      </c>
      <c r="Q950" t="s">
        <v>4852</v>
      </c>
      <c r="R950" t="s">
        <v>4772</v>
      </c>
    </row>
    <row r="951" spans="1:18" x14ac:dyDescent="0.3">
      <c r="A951">
        <v>208</v>
      </c>
      <c r="B951" t="s">
        <v>4874</v>
      </c>
      <c r="C951" t="s">
        <v>565</v>
      </c>
      <c r="D951" t="s">
        <v>113</v>
      </c>
      <c r="E951" s="1">
        <v>46105</v>
      </c>
      <c r="F951" t="s">
        <v>4390</v>
      </c>
      <c r="G951" t="s">
        <v>4014</v>
      </c>
      <c r="H951" t="s">
        <v>564</v>
      </c>
      <c r="I951" t="s">
        <v>204</v>
      </c>
      <c r="J951" s="1">
        <v>46386</v>
      </c>
      <c r="K951" t="s">
        <v>720</v>
      </c>
      <c r="L951">
        <v>5200</v>
      </c>
      <c r="M951">
        <v>5200</v>
      </c>
      <c r="N951" t="s">
        <v>710</v>
      </c>
      <c r="O951" t="s">
        <v>1038</v>
      </c>
      <c r="P951" t="s">
        <v>4777</v>
      </c>
      <c r="Q951" t="s">
        <v>4858</v>
      </c>
      <c r="R951" t="s">
        <v>4771</v>
      </c>
    </row>
    <row r="952" spans="1:18" x14ac:dyDescent="0.3">
      <c r="A952">
        <v>7672039</v>
      </c>
      <c r="B952" t="s">
        <v>4874</v>
      </c>
      <c r="C952" t="s">
        <v>433</v>
      </c>
      <c r="D952" t="s">
        <v>168</v>
      </c>
      <c r="E952" s="1">
        <v>46105</v>
      </c>
      <c r="F952" t="s">
        <v>4319</v>
      </c>
      <c r="G952" t="s">
        <v>4030</v>
      </c>
      <c r="H952" t="s">
        <v>432</v>
      </c>
      <c r="I952" t="s">
        <v>204</v>
      </c>
      <c r="J952" s="1">
        <v>46473</v>
      </c>
      <c r="K952" t="s">
        <v>762</v>
      </c>
      <c r="L952">
        <v>126</v>
      </c>
      <c r="M952">
        <v>125.95</v>
      </c>
      <c r="N952" t="s">
        <v>710</v>
      </c>
      <c r="O952" t="s">
        <v>4833</v>
      </c>
      <c r="P952" t="s">
        <v>4802</v>
      </c>
      <c r="Q952" t="s">
        <v>4852</v>
      </c>
      <c r="R952" t="s">
        <v>4771</v>
      </c>
    </row>
    <row r="953" spans="1:18" x14ac:dyDescent="0.3">
      <c r="A953">
        <v>5402</v>
      </c>
      <c r="B953" t="s">
        <v>4874</v>
      </c>
      <c r="C953" t="s">
        <v>405</v>
      </c>
      <c r="D953" t="s">
        <v>107</v>
      </c>
      <c r="E953" s="1">
        <v>46105</v>
      </c>
      <c r="F953" t="s">
        <v>4362</v>
      </c>
      <c r="G953" t="s">
        <v>4012</v>
      </c>
      <c r="H953" t="s">
        <v>404</v>
      </c>
      <c r="I953" t="s">
        <v>204</v>
      </c>
      <c r="J953" s="1">
        <v>46477</v>
      </c>
      <c r="K953" t="s">
        <v>762</v>
      </c>
      <c r="L953">
        <v>5072.82</v>
      </c>
      <c r="M953">
        <v>5072.82</v>
      </c>
      <c r="N953" t="s">
        <v>710</v>
      </c>
      <c r="O953" t="s">
        <v>1037</v>
      </c>
      <c r="P953" t="s">
        <v>4806</v>
      </c>
      <c r="Q953" t="s">
        <v>4852</v>
      </c>
      <c r="R953" t="s">
        <v>4772</v>
      </c>
    </row>
    <row r="954" spans="1:18" x14ac:dyDescent="0.3">
      <c r="A954">
        <v>5953</v>
      </c>
      <c r="B954" t="s">
        <v>4874</v>
      </c>
      <c r="C954" t="s">
        <v>405</v>
      </c>
      <c r="D954" t="s">
        <v>107</v>
      </c>
      <c r="E954" s="1">
        <v>46105</v>
      </c>
      <c r="F954" t="s">
        <v>4362</v>
      </c>
      <c r="G954" t="s">
        <v>4011</v>
      </c>
      <c r="H954" t="s">
        <v>404</v>
      </c>
      <c r="I954" t="s">
        <v>204</v>
      </c>
      <c r="J954" s="1">
        <v>46477</v>
      </c>
      <c r="K954" t="s">
        <v>762</v>
      </c>
      <c r="L954">
        <v>16.239999999999998</v>
      </c>
      <c r="M954">
        <v>16.239999999999998</v>
      </c>
      <c r="N954" t="s">
        <v>710</v>
      </c>
      <c r="O954" t="s">
        <v>1037</v>
      </c>
      <c r="P954" t="s">
        <v>4806</v>
      </c>
      <c r="Q954" t="s">
        <v>4852</v>
      </c>
      <c r="R954" t="s">
        <v>4772</v>
      </c>
    </row>
    <row r="955" spans="1:18" x14ac:dyDescent="0.3">
      <c r="A955">
        <v>613</v>
      </c>
      <c r="B955" t="s">
        <v>4874</v>
      </c>
      <c r="C955" t="s">
        <v>222</v>
      </c>
      <c r="D955" t="s">
        <v>80</v>
      </c>
      <c r="E955" s="1">
        <v>46105</v>
      </c>
      <c r="F955" t="s">
        <v>4419</v>
      </c>
      <c r="G955" t="s">
        <v>4013</v>
      </c>
      <c r="H955" t="s">
        <v>223</v>
      </c>
      <c r="I955" t="s">
        <v>204</v>
      </c>
      <c r="J955" s="1">
        <v>46504</v>
      </c>
      <c r="K955" t="s">
        <v>720</v>
      </c>
      <c r="L955">
        <v>1</v>
      </c>
      <c r="M955">
        <v>1315</v>
      </c>
      <c r="N955" t="s">
        <v>710</v>
      </c>
      <c r="O955" t="s">
        <v>4834</v>
      </c>
      <c r="P955" t="s">
        <v>4778</v>
      </c>
      <c r="Q955" t="s">
        <v>4858</v>
      </c>
      <c r="R955" t="s">
        <v>4773</v>
      </c>
    </row>
    <row r="956" spans="1:18" x14ac:dyDescent="0.3">
      <c r="A956">
        <v>175817</v>
      </c>
      <c r="B956" t="s">
        <v>4875</v>
      </c>
      <c r="C956" t="s">
        <v>338</v>
      </c>
      <c r="D956" t="s">
        <v>31</v>
      </c>
      <c r="E956" s="1">
        <v>46105</v>
      </c>
      <c r="F956" t="s">
        <v>4299</v>
      </c>
      <c r="G956" t="s">
        <v>3951</v>
      </c>
      <c r="H956" t="s">
        <v>353</v>
      </c>
      <c r="I956" t="s">
        <v>204</v>
      </c>
      <c r="J956" s="1">
        <v>54878</v>
      </c>
      <c r="K956" t="s">
        <v>748</v>
      </c>
      <c r="L956">
        <v>6715</v>
      </c>
      <c r="M956">
        <v>6715.36</v>
      </c>
      <c r="N956" t="s">
        <v>710</v>
      </c>
      <c r="O956" t="s">
        <v>1040</v>
      </c>
      <c r="P956" t="s">
        <v>4785</v>
      </c>
      <c r="Q956" t="s">
        <v>4856</v>
      </c>
      <c r="R956" t="s">
        <v>4773</v>
      </c>
    </row>
    <row r="957" spans="1:18" x14ac:dyDescent="0.3">
      <c r="A957">
        <v>951</v>
      </c>
      <c r="B957" t="s">
        <v>4875</v>
      </c>
      <c r="C957" t="s">
        <v>319</v>
      </c>
      <c r="D957" t="s">
        <v>36</v>
      </c>
      <c r="E957" s="1">
        <v>46105</v>
      </c>
      <c r="F957" t="s">
        <v>4434</v>
      </c>
      <c r="G957" t="s">
        <v>3959</v>
      </c>
      <c r="H957" t="s">
        <v>336</v>
      </c>
      <c r="I957" t="s">
        <v>204</v>
      </c>
      <c r="J957" s="1">
        <v>46075</v>
      </c>
      <c r="K957" t="s">
        <v>748</v>
      </c>
      <c r="L957">
        <v>21773.07</v>
      </c>
      <c r="M957">
        <v>21773.07</v>
      </c>
      <c r="N957" t="s">
        <v>710</v>
      </c>
      <c r="O957" t="s">
        <v>1040</v>
      </c>
      <c r="P957" t="s">
        <v>4784</v>
      </c>
      <c r="Q957" t="s">
        <v>4856</v>
      </c>
      <c r="R957" t="s">
        <v>4771</v>
      </c>
    </row>
    <row r="958" spans="1:18" x14ac:dyDescent="0.3">
      <c r="A958">
        <v>7678289</v>
      </c>
      <c r="B958" t="s">
        <v>4874</v>
      </c>
      <c r="C958" t="s">
        <v>433</v>
      </c>
      <c r="D958" t="s">
        <v>168</v>
      </c>
      <c r="E958" s="1">
        <v>46105</v>
      </c>
      <c r="F958" t="s">
        <v>4319</v>
      </c>
      <c r="G958" t="s">
        <v>4028</v>
      </c>
      <c r="H958" t="s">
        <v>432</v>
      </c>
      <c r="I958" t="s">
        <v>204</v>
      </c>
      <c r="J958" s="1">
        <v>46473</v>
      </c>
      <c r="K958" t="s">
        <v>762</v>
      </c>
      <c r="L958">
        <v>88</v>
      </c>
      <c r="M958">
        <v>88.45</v>
      </c>
      <c r="N958" t="s">
        <v>710</v>
      </c>
      <c r="O958" t="s">
        <v>4833</v>
      </c>
      <c r="P958" t="s">
        <v>4802</v>
      </c>
      <c r="Q958" t="s">
        <v>4852</v>
      </c>
      <c r="R958" t="s">
        <v>4771</v>
      </c>
    </row>
    <row r="959" spans="1:18" x14ac:dyDescent="0.3">
      <c r="A959">
        <v>395</v>
      </c>
      <c r="B959" t="s">
        <v>4875</v>
      </c>
      <c r="C959" t="s">
        <v>220</v>
      </c>
      <c r="D959" t="s">
        <v>15</v>
      </c>
      <c r="E959" s="1">
        <v>46104</v>
      </c>
      <c r="F959" t="s">
        <v>4304</v>
      </c>
      <c r="G959" t="s">
        <v>4020</v>
      </c>
      <c r="H959" t="s">
        <v>273</v>
      </c>
      <c r="I959" t="s">
        <v>204</v>
      </c>
      <c r="J959" s="1">
        <v>54878</v>
      </c>
      <c r="K959" t="s">
        <v>748</v>
      </c>
      <c r="L959">
        <v>1305</v>
      </c>
      <c r="M959">
        <v>1305</v>
      </c>
      <c r="N959" t="s">
        <v>710</v>
      </c>
      <c r="O959" t="s">
        <v>4834</v>
      </c>
      <c r="P959" t="s">
        <v>4776</v>
      </c>
      <c r="Q959" t="s">
        <v>4856</v>
      </c>
      <c r="R959" t="s">
        <v>4773</v>
      </c>
    </row>
    <row r="960" spans="1:18" x14ac:dyDescent="0.3">
      <c r="A960">
        <v>6</v>
      </c>
      <c r="B960" t="s">
        <v>4875</v>
      </c>
      <c r="C960" t="s">
        <v>651</v>
      </c>
      <c r="D960" t="s">
        <v>46</v>
      </c>
      <c r="E960" s="1">
        <v>46104</v>
      </c>
      <c r="F960" t="s">
        <v>4435</v>
      </c>
      <c r="G960" t="s">
        <v>3876</v>
      </c>
      <c r="H960" t="s">
        <v>650</v>
      </c>
      <c r="I960" t="s">
        <v>204</v>
      </c>
      <c r="J960" s="1">
        <v>46173</v>
      </c>
      <c r="K960" t="s">
        <v>748</v>
      </c>
      <c r="L960">
        <v>1</v>
      </c>
      <c r="M960">
        <v>1930</v>
      </c>
      <c r="N960" t="s">
        <v>710</v>
      </c>
      <c r="O960" t="s">
        <v>1040</v>
      </c>
      <c r="P960" t="s">
        <v>4779</v>
      </c>
      <c r="Q960" t="s">
        <v>4856</v>
      </c>
    </row>
    <row r="961" spans="1:18" x14ac:dyDescent="0.3">
      <c r="A961">
        <v>7359</v>
      </c>
      <c r="B961" t="s">
        <v>1035</v>
      </c>
      <c r="C961" t="s">
        <v>230</v>
      </c>
      <c r="D961" t="s">
        <v>85</v>
      </c>
      <c r="E961" s="1">
        <v>46104</v>
      </c>
      <c r="F961" t="s">
        <v>4348</v>
      </c>
      <c r="G961" t="s">
        <v>3970</v>
      </c>
      <c r="H961" t="s">
        <v>229</v>
      </c>
      <c r="I961" t="s">
        <v>204</v>
      </c>
      <c r="J961" s="1">
        <v>46203</v>
      </c>
      <c r="K961" t="s">
        <v>744</v>
      </c>
      <c r="L961">
        <v>1</v>
      </c>
      <c r="M961">
        <v>48517.85</v>
      </c>
      <c r="N961" t="s">
        <v>710</v>
      </c>
      <c r="O961" t="s">
        <v>1033</v>
      </c>
      <c r="P961" t="s">
        <v>4781</v>
      </c>
      <c r="Q961" t="s">
        <v>4852</v>
      </c>
      <c r="R961" t="s">
        <v>4771</v>
      </c>
    </row>
    <row r="962" spans="1:18" x14ac:dyDescent="0.3">
      <c r="A962">
        <v>2016226</v>
      </c>
      <c r="B962" t="s">
        <v>4875</v>
      </c>
      <c r="C962" t="s">
        <v>668</v>
      </c>
      <c r="D962" t="s">
        <v>84</v>
      </c>
      <c r="E962" s="1">
        <v>46104</v>
      </c>
      <c r="F962" t="s">
        <v>4324</v>
      </c>
      <c r="G962" t="s">
        <v>3979</v>
      </c>
      <c r="H962" t="s">
        <v>670</v>
      </c>
      <c r="I962" t="s">
        <v>204</v>
      </c>
      <c r="J962" s="1">
        <v>46677</v>
      </c>
      <c r="K962" t="s">
        <v>768</v>
      </c>
      <c r="L962">
        <v>47686</v>
      </c>
      <c r="M962">
        <v>47686</v>
      </c>
      <c r="N962" t="s">
        <v>1000</v>
      </c>
      <c r="O962" t="s">
        <v>1037</v>
      </c>
      <c r="P962" t="s">
        <v>4799</v>
      </c>
      <c r="Q962" t="s">
        <v>4852</v>
      </c>
      <c r="R962" t="s">
        <v>807</v>
      </c>
    </row>
    <row r="963" spans="1:18" x14ac:dyDescent="0.3">
      <c r="A963">
        <v>7360</v>
      </c>
      <c r="B963" t="s">
        <v>1035</v>
      </c>
      <c r="C963" t="s">
        <v>230</v>
      </c>
      <c r="D963" t="s">
        <v>85</v>
      </c>
      <c r="E963" s="1">
        <v>46104</v>
      </c>
      <c r="F963" t="s">
        <v>4348</v>
      </c>
      <c r="G963" t="s">
        <v>3970</v>
      </c>
      <c r="H963" t="s">
        <v>229</v>
      </c>
      <c r="I963" t="s">
        <v>204</v>
      </c>
      <c r="J963" s="1">
        <v>46203</v>
      </c>
      <c r="K963" t="s">
        <v>744</v>
      </c>
      <c r="L963">
        <v>1</v>
      </c>
      <c r="M963">
        <v>20119.8</v>
      </c>
      <c r="N963" t="s">
        <v>710</v>
      </c>
      <c r="O963" t="s">
        <v>1033</v>
      </c>
      <c r="P963" t="s">
        <v>4781</v>
      </c>
      <c r="Q963" t="s">
        <v>4852</v>
      </c>
      <c r="R963" t="s">
        <v>4771</v>
      </c>
    </row>
    <row r="964" spans="1:18" x14ac:dyDescent="0.3">
      <c r="A964">
        <v>394</v>
      </c>
      <c r="B964" t="s">
        <v>1034</v>
      </c>
      <c r="C964" t="s">
        <v>220</v>
      </c>
      <c r="D964" t="s">
        <v>15</v>
      </c>
      <c r="E964" s="1">
        <v>46104</v>
      </c>
      <c r="F964" t="s">
        <v>4304</v>
      </c>
      <c r="G964" t="s">
        <v>4021</v>
      </c>
      <c r="H964" t="s">
        <v>219</v>
      </c>
      <c r="I964" t="s">
        <v>204</v>
      </c>
      <c r="J964" s="1">
        <v>54878</v>
      </c>
      <c r="K964" t="s">
        <v>711</v>
      </c>
      <c r="L964">
        <v>1305</v>
      </c>
      <c r="M964">
        <v>1305</v>
      </c>
      <c r="N964" t="s">
        <v>710</v>
      </c>
      <c r="O964" t="s">
        <v>4834</v>
      </c>
      <c r="P964" t="s">
        <v>4776</v>
      </c>
      <c r="Q964" t="s">
        <v>4901</v>
      </c>
      <c r="R964" t="s">
        <v>4773</v>
      </c>
    </row>
    <row r="965" spans="1:18" x14ac:dyDescent="0.3">
      <c r="A965">
        <v>7351</v>
      </c>
      <c r="B965" t="s">
        <v>1035</v>
      </c>
      <c r="C965" t="s">
        <v>230</v>
      </c>
      <c r="D965" t="s">
        <v>85</v>
      </c>
      <c r="E965" s="1">
        <v>46104</v>
      </c>
      <c r="F965" t="s">
        <v>4348</v>
      </c>
      <c r="G965" t="s">
        <v>3868</v>
      </c>
      <c r="H965" t="s">
        <v>229</v>
      </c>
      <c r="I965" t="s">
        <v>204</v>
      </c>
      <c r="J965" s="1">
        <v>46203</v>
      </c>
      <c r="K965" t="s">
        <v>744</v>
      </c>
      <c r="L965">
        <v>1</v>
      </c>
      <c r="M965">
        <v>3333.26</v>
      </c>
      <c r="N965" t="s">
        <v>710</v>
      </c>
      <c r="O965" t="s">
        <v>1033</v>
      </c>
      <c r="P965" t="s">
        <v>4781</v>
      </c>
      <c r="Q965" t="s">
        <v>4852</v>
      </c>
      <c r="R965" t="s">
        <v>4771</v>
      </c>
    </row>
    <row r="966" spans="1:18" x14ac:dyDescent="0.3">
      <c r="A966">
        <v>7389</v>
      </c>
      <c r="B966" t="s">
        <v>1035</v>
      </c>
      <c r="C966" t="s">
        <v>230</v>
      </c>
      <c r="D966" t="s">
        <v>85</v>
      </c>
      <c r="E966" s="1">
        <v>46104</v>
      </c>
      <c r="F966" t="s">
        <v>4348</v>
      </c>
      <c r="G966" t="s">
        <v>3868</v>
      </c>
      <c r="H966" t="s">
        <v>229</v>
      </c>
      <c r="I966" t="s">
        <v>204</v>
      </c>
      <c r="J966" s="1">
        <v>46203</v>
      </c>
      <c r="K966" t="s">
        <v>744</v>
      </c>
      <c r="L966">
        <v>1</v>
      </c>
      <c r="M966">
        <v>7403.01</v>
      </c>
      <c r="N966" t="s">
        <v>710</v>
      </c>
      <c r="O966" t="s">
        <v>1033</v>
      </c>
      <c r="P966" t="s">
        <v>4781</v>
      </c>
      <c r="Q966" t="s">
        <v>4852</v>
      </c>
      <c r="R966" t="s">
        <v>4771</v>
      </c>
    </row>
    <row r="967" spans="1:18" x14ac:dyDescent="0.3">
      <c r="A967">
        <v>7417</v>
      </c>
      <c r="B967" t="s">
        <v>1035</v>
      </c>
      <c r="C967" t="s">
        <v>230</v>
      </c>
      <c r="D967" t="s">
        <v>85</v>
      </c>
      <c r="E967" s="1">
        <v>46104</v>
      </c>
      <c r="F967" t="s">
        <v>4348</v>
      </c>
      <c r="G967" t="s">
        <v>3975</v>
      </c>
      <c r="H967" t="s">
        <v>229</v>
      </c>
      <c r="I967" t="s">
        <v>204</v>
      </c>
      <c r="J967" s="1">
        <v>46203</v>
      </c>
      <c r="K967" t="s">
        <v>744</v>
      </c>
      <c r="L967">
        <v>1</v>
      </c>
      <c r="M967">
        <v>2998.03</v>
      </c>
      <c r="N967" t="s">
        <v>710</v>
      </c>
      <c r="O967" t="s">
        <v>1033</v>
      </c>
      <c r="P967" t="s">
        <v>4781</v>
      </c>
      <c r="Q967" t="s">
        <v>4852</v>
      </c>
      <c r="R967" t="s">
        <v>4771</v>
      </c>
    </row>
    <row r="968" spans="1:18" x14ac:dyDescent="0.3">
      <c r="A968">
        <v>2016228</v>
      </c>
      <c r="B968" t="s">
        <v>4874</v>
      </c>
      <c r="C968" t="s">
        <v>668</v>
      </c>
      <c r="D968" t="s">
        <v>84</v>
      </c>
      <c r="E968" s="1">
        <v>46104</v>
      </c>
      <c r="F968" t="s">
        <v>4324</v>
      </c>
      <c r="G968" t="s">
        <v>3980</v>
      </c>
      <c r="H968" t="s">
        <v>667</v>
      </c>
      <c r="I968" t="s">
        <v>204</v>
      </c>
      <c r="J968" s="1">
        <v>46676</v>
      </c>
      <c r="K968" t="s">
        <v>762</v>
      </c>
      <c r="L968">
        <v>109272</v>
      </c>
      <c r="M968">
        <v>109272</v>
      </c>
      <c r="N968" t="s">
        <v>1000</v>
      </c>
      <c r="O968" t="s">
        <v>1037</v>
      </c>
      <c r="P968" t="s">
        <v>4799</v>
      </c>
      <c r="Q968" t="s">
        <v>4852</v>
      </c>
      <c r="R968" t="s">
        <v>807</v>
      </c>
    </row>
    <row r="969" spans="1:18" x14ac:dyDescent="0.3">
      <c r="A969">
        <v>3418</v>
      </c>
      <c r="B969" t="s">
        <v>4874</v>
      </c>
      <c r="C969" t="s">
        <v>541</v>
      </c>
      <c r="D969" t="s">
        <v>173</v>
      </c>
      <c r="E969" s="1">
        <v>46104</v>
      </c>
      <c r="F969" t="s">
        <v>4326</v>
      </c>
      <c r="G969" t="s">
        <v>3557</v>
      </c>
      <c r="H969" t="s">
        <v>548</v>
      </c>
      <c r="I969" t="s">
        <v>204</v>
      </c>
      <c r="J969" s="1">
        <v>46387</v>
      </c>
      <c r="K969" t="s">
        <v>720</v>
      </c>
      <c r="L969">
        <v>1</v>
      </c>
      <c r="M969">
        <v>2300</v>
      </c>
      <c r="N969" t="s">
        <v>710</v>
      </c>
      <c r="O969" t="s">
        <v>1038</v>
      </c>
      <c r="P969" t="s">
        <v>4791</v>
      </c>
      <c r="Q969" t="s">
        <v>4858</v>
      </c>
      <c r="R969" t="s">
        <v>4773</v>
      </c>
    </row>
    <row r="970" spans="1:18" x14ac:dyDescent="0.3">
      <c r="A970">
        <v>7426</v>
      </c>
      <c r="B970" t="s">
        <v>1035</v>
      </c>
      <c r="C970" t="s">
        <v>230</v>
      </c>
      <c r="D970" t="s">
        <v>85</v>
      </c>
      <c r="E970" s="1">
        <v>46104</v>
      </c>
      <c r="F970" t="s">
        <v>4348</v>
      </c>
      <c r="G970" t="s">
        <v>3975</v>
      </c>
      <c r="H970" t="s">
        <v>229</v>
      </c>
      <c r="I970" t="s">
        <v>204</v>
      </c>
      <c r="J970" s="1">
        <v>46203</v>
      </c>
      <c r="K970" t="s">
        <v>744</v>
      </c>
      <c r="L970">
        <v>1</v>
      </c>
      <c r="M970">
        <v>6271.76</v>
      </c>
      <c r="N970" t="s">
        <v>710</v>
      </c>
      <c r="O970" t="s">
        <v>1033</v>
      </c>
      <c r="P970" t="s">
        <v>4781</v>
      </c>
      <c r="Q970" t="s">
        <v>4852</v>
      </c>
      <c r="R970" t="s">
        <v>4771</v>
      </c>
    </row>
    <row r="971" spans="1:18" x14ac:dyDescent="0.3">
      <c r="A971">
        <v>2016224</v>
      </c>
      <c r="B971" t="s">
        <v>1034</v>
      </c>
      <c r="C971" t="s">
        <v>668</v>
      </c>
      <c r="D971" t="s">
        <v>84</v>
      </c>
      <c r="E971" s="1">
        <v>46104</v>
      </c>
      <c r="F971" t="s">
        <v>4324</v>
      </c>
      <c r="G971" t="s">
        <v>3982</v>
      </c>
      <c r="H971" t="s">
        <v>671</v>
      </c>
      <c r="I971" t="s">
        <v>204</v>
      </c>
      <c r="J971" s="1">
        <v>46324</v>
      </c>
      <c r="K971" t="s">
        <v>717</v>
      </c>
      <c r="L971">
        <v>158025</v>
      </c>
      <c r="M971">
        <v>158025</v>
      </c>
      <c r="N971" t="s">
        <v>710</v>
      </c>
      <c r="O971" t="s">
        <v>1037</v>
      </c>
      <c r="P971" t="s">
        <v>4799</v>
      </c>
      <c r="Q971" t="s">
        <v>4852</v>
      </c>
      <c r="R971" t="s">
        <v>807</v>
      </c>
    </row>
    <row r="972" spans="1:18" x14ac:dyDescent="0.3">
      <c r="A972">
        <v>3423</v>
      </c>
      <c r="B972" t="s">
        <v>4875</v>
      </c>
      <c r="C972" t="s">
        <v>541</v>
      </c>
      <c r="D972" t="s">
        <v>173</v>
      </c>
      <c r="E972" s="1">
        <v>46101</v>
      </c>
      <c r="F972" t="s">
        <v>4326</v>
      </c>
      <c r="G972" t="s">
        <v>3679</v>
      </c>
      <c r="H972" t="s">
        <v>542</v>
      </c>
      <c r="I972" t="s">
        <v>204</v>
      </c>
      <c r="J972" s="1">
        <v>46537</v>
      </c>
      <c r="K972" t="s">
        <v>748</v>
      </c>
      <c r="L972">
        <v>1</v>
      </c>
      <c r="M972">
        <v>2337.9499999999998</v>
      </c>
      <c r="N972" t="s">
        <v>814</v>
      </c>
      <c r="O972" t="s">
        <v>1040</v>
      </c>
      <c r="P972" t="s">
        <v>4791</v>
      </c>
      <c r="Q972" t="s">
        <v>4856</v>
      </c>
      <c r="R972" t="s">
        <v>4773</v>
      </c>
    </row>
    <row r="973" spans="1:18" x14ac:dyDescent="0.3">
      <c r="A973">
        <v>3422</v>
      </c>
      <c r="B973" t="s">
        <v>4875</v>
      </c>
      <c r="C973" t="s">
        <v>541</v>
      </c>
      <c r="D973" t="s">
        <v>173</v>
      </c>
      <c r="E973" s="1">
        <v>46101</v>
      </c>
      <c r="F973" t="s">
        <v>4326</v>
      </c>
      <c r="G973" t="s">
        <v>3444</v>
      </c>
      <c r="H973" t="s">
        <v>542</v>
      </c>
      <c r="I973" t="s">
        <v>204</v>
      </c>
      <c r="J973" s="1">
        <v>46537</v>
      </c>
      <c r="K973" t="s">
        <v>748</v>
      </c>
      <c r="L973">
        <v>1</v>
      </c>
      <c r="M973">
        <v>2337.9499999999998</v>
      </c>
      <c r="N973" t="s">
        <v>814</v>
      </c>
      <c r="O973" t="s">
        <v>1040</v>
      </c>
      <c r="P973" t="s">
        <v>4791</v>
      </c>
      <c r="Q973" t="s">
        <v>4856</v>
      </c>
      <c r="R973" t="s">
        <v>4773</v>
      </c>
    </row>
    <row r="974" spans="1:18" x14ac:dyDescent="0.3">
      <c r="A974">
        <v>835</v>
      </c>
      <c r="B974" t="s">
        <v>1034</v>
      </c>
      <c r="C974" t="s">
        <v>603</v>
      </c>
      <c r="D974" t="s">
        <v>69</v>
      </c>
      <c r="E974" s="1">
        <v>46101</v>
      </c>
      <c r="F974" t="s">
        <v>4345</v>
      </c>
      <c r="G974" t="s">
        <v>3818</v>
      </c>
      <c r="H974" t="s">
        <v>682</v>
      </c>
      <c r="I974" t="s">
        <v>204</v>
      </c>
      <c r="J974" s="1">
        <v>46276</v>
      </c>
      <c r="K974" t="s">
        <v>711</v>
      </c>
      <c r="L974">
        <v>1</v>
      </c>
      <c r="M974">
        <v>2413.6799999999998</v>
      </c>
      <c r="N974" t="s">
        <v>954</v>
      </c>
      <c r="O974" t="s">
        <v>4834</v>
      </c>
      <c r="P974" t="s">
        <v>952</v>
      </c>
      <c r="Q974" t="s">
        <v>4901</v>
      </c>
      <c r="R974" t="s">
        <v>807</v>
      </c>
    </row>
    <row r="975" spans="1:18" x14ac:dyDescent="0.3">
      <c r="A975">
        <v>70317</v>
      </c>
      <c r="B975" t="s">
        <v>4874</v>
      </c>
      <c r="C975" t="s">
        <v>514</v>
      </c>
      <c r="D975" t="s">
        <v>47</v>
      </c>
      <c r="E975" s="1">
        <v>46101</v>
      </c>
      <c r="F975" t="s">
        <v>4362</v>
      </c>
      <c r="G975" t="s">
        <v>3999</v>
      </c>
      <c r="H975" t="s">
        <v>513</v>
      </c>
      <c r="I975" t="s">
        <v>204</v>
      </c>
      <c r="J975" s="1">
        <v>46386</v>
      </c>
      <c r="K975" t="s">
        <v>762</v>
      </c>
      <c r="L975">
        <v>6507.95</v>
      </c>
      <c r="M975">
        <v>6507.95</v>
      </c>
      <c r="N975" t="s">
        <v>710</v>
      </c>
      <c r="O975" t="s">
        <v>4833</v>
      </c>
      <c r="P975" t="s">
        <v>4779</v>
      </c>
      <c r="Q975" t="s">
        <v>4852</v>
      </c>
    </row>
    <row r="976" spans="1:18" x14ac:dyDescent="0.3">
      <c r="A976">
        <v>63640</v>
      </c>
      <c r="B976" t="s">
        <v>1034</v>
      </c>
      <c r="C976" t="s">
        <v>666</v>
      </c>
      <c r="D976" t="s">
        <v>66</v>
      </c>
      <c r="E976" s="1">
        <v>46101</v>
      </c>
      <c r="F976" t="s">
        <v>4315</v>
      </c>
      <c r="G976" t="s">
        <v>4026</v>
      </c>
      <c r="H976" t="s">
        <v>665</v>
      </c>
      <c r="I976" t="s">
        <v>204</v>
      </c>
      <c r="J976" s="1">
        <v>46296</v>
      </c>
      <c r="K976" t="s">
        <v>717</v>
      </c>
      <c r="L976">
        <v>1</v>
      </c>
      <c r="M976">
        <v>799.95</v>
      </c>
      <c r="N976" t="s">
        <v>998</v>
      </c>
      <c r="O976" t="s">
        <v>1033</v>
      </c>
      <c r="P976" t="s">
        <v>4776</v>
      </c>
      <c r="Q976" t="s">
        <v>4852</v>
      </c>
      <c r="R976" t="s">
        <v>807</v>
      </c>
    </row>
    <row r="977" spans="1:18" x14ac:dyDescent="0.3">
      <c r="A977">
        <v>43239</v>
      </c>
      <c r="B977" t="s">
        <v>1034</v>
      </c>
      <c r="C977" t="s">
        <v>327</v>
      </c>
      <c r="D977" t="s">
        <v>159</v>
      </c>
      <c r="E977" s="1">
        <v>46101</v>
      </c>
      <c r="F977" t="s">
        <v>4296</v>
      </c>
      <c r="G977" t="s">
        <v>4018</v>
      </c>
      <c r="H977" t="s">
        <v>357</v>
      </c>
      <c r="I977" t="s">
        <v>204</v>
      </c>
      <c r="J977" s="1">
        <v>46476</v>
      </c>
      <c r="K977" t="s">
        <v>711</v>
      </c>
      <c r="L977">
        <v>2582.1</v>
      </c>
      <c r="M977">
        <v>2582.1</v>
      </c>
      <c r="N977" t="s">
        <v>890</v>
      </c>
      <c r="O977" t="s">
        <v>4834</v>
      </c>
      <c r="P977" t="s">
        <v>4776</v>
      </c>
      <c r="Q977" t="s">
        <v>4901</v>
      </c>
      <c r="R977" t="s">
        <v>4773</v>
      </c>
    </row>
    <row r="978" spans="1:18" x14ac:dyDescent="0.3">
      <c r="A978">
        <v>43240</v>
      </c>
      <c r="B978" t="s">
        <v>1034</v>
      </c>
      <c r="C978" t="s">
        <v>327</v>
      </c>
      <c r="D978" t="s">
        <v>159</v>
      </c>
      <c r="E978" s="1">
        <v>46101</v>
      </c>
      <c r="F978" t="s">
        <v>4295</v>
      </c>
      <c r="G978" t="s">
        <v>4019</v>
      </c>
      <c r="H978" t="s">
        <v>357</v>
      </c>
      <c r="I978" t="s">
        <v>204</v>
      </c>
      <c r="J978" s="1">
        <v>46476</v>
      </c>
      <c r="K978" t="s">
        <v>711</v>
      </c>
      <c r="L978">
        <v>2150</v>
      </c>
      <c r="M978">
        <v>2150</v>
      </c>
      <c r="N978" t="s">
        <v>890</v>
      </c>
      <c r="O978" t="s">
        <v>4834</v>
      </c>
      <c r="P978" t="s">
        <v>4776</v>
      </c>
      <c r="Q978" t="s">
        <v>4901</v>
      </c>
      <c r="R978" t="s">
        <v>4773</v>
      </c>
    </row>
    <row r="979" spans="1:18" x14ac:dyDescent="0.3">
      <c r="A979">
        <v>16308</v>
      </c>
      <c r="B979" t="s">
        <v>4876</v>
      </c>
      <c r="C979" t="s">
        <v>439</v>
      </c>
      <c r="D979" t="s">
        <v>156</v>
      </c>
      <c r="E979" s="1">
        <v>46100</v>
      </c>
      <c r="F979" t="s">
        <v>4396</v>
      </c>
      <c r="G979" t="s">
        <v>4002</v>
      </c>
      <c r="H979" t="s">
        <v>485</v>
      </c>
      <c r="I979" t="s">
        <v>204</v>
      </c>
      <c r="J979" s="1">
        <v>54878</v>
      </c>
      <c r="K979" t="s">
        <v>839</v>
      </c>
      <c r="L979">
        <v>5527.3</v>
      </c>
      <c r="M979">
        <v>5527.3</v>
      </c>
      <c r="N979" t="s">
        <v>710</v>
      </c>
      <c r="O979" t="s">
        <v>1037</v>
      </c>
      <c r="P979" t="s">
        <v>4776</v>
      </c>
      <c r="Q979" t="s">
        <v>4852</v>
      </c>
      <c r="R979" t="s">
        <v>4771</v>
      </c>
    </row>
    <row r="980" spans="1:18" x14ac:dyDescent="0.3">
      <c r="A980">
        <v>16309</v>
      </c>
      <c r="B980" t="s">
        <v>4874</v>
      </c>
      <c r="C980" t="s">
        <v>439</v>
      </c>
      <c r="D980" t="s">
        <v>156</v>
      </c>
      <c r="E980" s="1">
        <v>46100</v>
      </c>
      <c r="F980" t="s">
        <v>4396</v>
      </c>
      <c r="G980" t="s">
        <v>4003</v>
      </c>
      <c r="H980" t="s">
        <v>438</v>
      </c>
      <c r="I980" t="s">
        <v>204</v>
      </c>
      <c r="J980" s="1">
        <v>46265</v>
      </c>
      <c r="K980" t="s">
        <v>762</v>
      </c>
      <c r="L980">
        <v>17001.419999999998</v>
      </c>
      <c r="M980">
        <v>17001.419999999998</v>
      </c>
      <c r="N980" t="s">
        <v>710</v>
      </c>
      <c r="O980" t="s">
        <v>1037</v>
      </c>
      <c r="P980" t="s">
        <v>4789</v>
      </c>
      <c r="Q980" t="s">
        <v>4852</v>
      </c>
      <c r="R980" t="s">
        <v>4771</v>
      </c>
    </row>
    <row r="981" spans="1:18" x14ac:dyDescent="0.3">
      <c r="A981">
        <v>60238</v>
      </c>
      <c r="B981" t="s">
        <v>4874</v>
      </c>
      <c r="C981" t="s">
        <v>664</v>
      </c>
      <c r="D981" t="s">
        <v>83</v>
      </c>
      <c r="E981" s="1">
        <v>46100</v>
      </c>
      <c r="F981" t="s">
        <v>4399</v>
      </c>
      <c r="G981" t="s">
        <v>4004</v>
      </c>
      <c r="H981" t="s">
        <v>663</v>
      </c>
      <c r="I981" t="s">
        <v>204</v>
      </c>
      <c r="J981" s="1">
        <v>46660</v>
      </c>
      <c r="K981" t="s">
        <v>762</v>
      </c>
      <c r="L981">
        <v>60315.63</v>
      </c>
      <c r="M981">
        <v>60315.63</v>
      </c>
      <c r="N981" t="s">
        <v>710</v>
      </c>
      <c r="O981" t="s">
        <v>1037</v>
      </c>
      <c r="P981" t="s">
        <v>850</v>
      </c>
      <c r="Q981" t="s">
        <v>4852</v>
      </c>
      <c r="R981" t="s">
        <v>807</v>
      </c>
    </row>
    <row r="982" spans="1:18" x14ac:dyDescent="0.3">
      <c r="A982">
        <v>7486</v>
      </c>
      <c r="B982" t="s">
        <v>4874</v>
      </c>
      <c r="C982" t="s">
        <v>628</v>
      </c>
      <c r="D982" t="s">
        <v>25</v>
      </c>
      <c r="E982" s="1">
        <v>46100</v>
      </c>
      <c r="F982" t="s">
        <v>4415</v>
      </c>
      <c r="G982" t="s">
        <v>3968</v>
      </c>
      <c r="H982" t="s">
        <v>627</v>
      </c>
      <c r="I982" t="s">
        <v>209</v>
      </c>
      <c r="J982" s="1">
        <v>46476</v>
      </c>
      <c r="K982" t="s">
        <v>720</v>
      </c>
      <c r="L982">
        <v>1</v>
      </c>
      <c r="M982">
        <v>380</v>
      </c>
      <c r="N982" t="s">
        <v>710</v>
      </c>
      <c r="O982" t="s">
        <v>1038</v>
      </c>
      <c r="P982" t="s">
        <v>4776</v>
      </c>
      <c r="Q982" t="s">
        <v>4858</v>
      </c>
      <c r="R982" t="s">
        <v>4771</v>
      </c>
    </row>
    <row r="983" spans="1:18" x14ac:dyDescent="0.3">
      <c r="A983">
        <v>7486</v>
      </c>
      <c r="B983" t="s">
        <v>4874</v>
      </c>
      <c r="C983" t="s">
        <v>628</v>
      </c>
      <c r="D983" t="s">
        <v>25</v>
      </c>
      <c r="E983" s="1">
        <v>46100</v>
      </c>
      <c r="F983" t="s">
        <v>4415</v>
      </c>
      <c r="G983" t="s">
        <v>3968</v>
      </c>
      <c r="H983" t="s">
        <v>627</v>
      </c>
      <c r="I983" t="s">
        <v>209</v>
      </c>
      <c r="J983" s="1">
        <v>46476</v>
      </c>
      <c r="K983" t="s">
        <v>720</v>
      </c>
      <c r="L983">
        <v>1</v>
      </c>
      <c r="M983">
        <v>380</v>
      </c>
      <c r="N983" t="s">
        <v>710</v>
      </c>
      <c r="O983" t="s">
        <v>1038</v>
      </c>
      <c r="P983" t="s">
        <v>4776</v>
      </c>
      <c r="Q983" t="s">
        <v>4858</v>
      </c>
      <c r="R983" t="s">
        <v>4771</v>
      </c>
    </row>
    <row r="984" spans="1:18" x14ac:dyDescent="0.3">
      <c r="A984">
        <v>476</v>
      </c>
      <c r="B984" t="s">
        <v>4874</v>
      </c>
      <c r="C984" t="s">
        <v>673</v>
      </c>
      <c r="D984" t="s">
        <v>90</v>
      </c>
      <c r="E984" s="1">
        <v>46100</v>
      </c>
      <c r="F984" t="s">
        <v>4402</v>
      </c>
      <c r="G984" t="s">
        <v>3842</v>
      </c>
      <c r="H984" t="s">
        <v>672</v>
      </c>
      <c r="I984" t="s">
        <v>204</v>
      </c>
      <c r="J984" s="1">
        <v>46337</v>
      </c>
      <c r="K984" t="s">
        <v>720</v>
      </c>
      <c r="L984">
        <v>34232.61</v>
      </c>
      <c r="M984">
        <v>34232.61</v>
      </c>
      <c r="N984" t="s">
        <v>710</v>
      </c>
      <c r="O984" t="s">
        <v>4905</v>
      </c>
      <c r="P984" t="s">
        <v>4776</v>
      </c>
      <c r="Q984" t="s">
        <v>4855</v>
      </c>
      <c r="R984" t="s">
        <v>807</v>
      </c>
    </row>
    <row r="985" spans="1:18" x14ac:dyDescent="0.3">
      <c r="A985">
        <v>7486</v>
      </c>
      <c r="B985" t="s">
        <v>4874</v>
      </c>
      <c r="C985" t="s">
        <v>628</v>
      </c>
      <c r="D985" t="s">
        <v>25</v>
      </c>
      <c r="E985" s="1">
        <v>46100</v>
      </c>
      <c r="F985" t="s">
        <v>4415</v>
      </c>
      <c r="G985" t="s">
        <v>3968</v>
      </c>
      <c r="H985" t="s">
        <v>627</v>
      </c>
      <c r="I985" t="s">
        <v>209</v>
      </c>
      <c r="J985" s="1">
        <v>46476</v>
      </c>
      <c r="K985" t="s">
        <v>720</v>
      </c>
      <c r="L985">
        <v>1</v>
      </c>
      <c r="M985">
        <v>380</v>
      </c>
      <c r="N985" t="s">
        <v>710</v>
      </c>
      <c r="O985" t="s">
        <v>1038</v>
      </c>
      <c r="P985" t="s">
        <v>4776</v>
      </c>
      <c r="Q985" t="s">
        <v>4858</v>
      </c>
      <c r="R985" t="s">
        <v>4771</v>
      </c>
    </row>
    <row r="986" spans="1:18" x14ac:dyDescent="0.3">
      <c r="A986">
        <v>627</v>
      </c>
      <c r="B986" t="s">
        <v>4874</v>
      </c>
      <c r="C986" t="s">
        <v>259</v>
      </c>
      <c r="D986" t="s">
        <v>122</v>
      </c>
      <c r="E986" s="1">
        <v>46100</v>
      </c>
      <c r="F986" t="s">
        <v>4390</v>
      </c>
      <c r="G986" t="s">
        <v>3996</v>
      </c>
      <c r="H986" t="s">
        <v>258</v>
      </c>
      <c r="I986" t="s">
        <v>204</v>
      </c>
      <c r="J986" s="1">
        <v>46337</v>
      </c>
      <c r="K986" t="s">
        <v>720</v>
      </c>
      <c r="L986">
        <v>1</v>
      </c>
      <c r="M986">
        <v>40813.919999999998</v>
      </c>
      <c r="N986" t="s">
        <v>710</v>
      </c>
      <c r="O986" t="s">
        <v>1038</v>
      </c>
      <c r="P986" t="s">
        <v>4777</v>
      </c>
      <c r="Q986" t="s">
        <v>4858</v>
      </c>
      <c r="R986" t="s">
        <v>4771</v>
      </c>
    </row>
    <row r="987" spans="1:18" x14ac:dyDescent="0.3">
      <c r="A987">
        <v>15</v>
      </c>
      <c r="B987" t="s">
        <v>1034</v>
      </c>
      <c r="C987" t="s">
        <v>507</v>
      </c>
      <c r="D987" t="s">
        <v>18</v>
      </c>
      <c r="E987" s="1">
        <v>46100</v>
      </c>
      <c r="F987" t="s">
        <v>4322</v>
      </c>
      <c r="G987" t="s">
        <v>3907</v>
      </c>
      <c r="H987" t="s">
        <v>506</v>
      </c>
      <c r="I987" t="s">
        <v>204</v>
      </c>
      <c r="J987" s="1">
        <v>46741</v>
      </c>
      <c r="K987" t="s">
        <v>711</v>
      </c>
      <c r="L987">
        <v>12600</v>
      </c>
      <c r="M987">
        <v>12600</v>
      </c>
      <c r="N987" t="s">
        <v>710</v>
      </c>
      <c r="O987" t="s">
        <v>1036</v>
      </c>
      <c r="P987" t="s">
        <v>4777</v>
      </c>
      <c r="Q987" t="s">
        <v>4901</v>
      </c>
      <c r="R987" t="s">
        <v>4773</v>
      </c>
    </row>
    <row r="988" spans="1:18" x14ac:dyDescent="0.3">
      <c r="A988">
        <v>4326</v>
      </c>
      <c r="B988" t="s">
        <v>1034</v>
      </c>
      <c r="C988" t="s">
        <v>319</v>
      </c>
      <c r="D988" t="s">
        <v>36</v>
      </c>
      <c r="E988" s="1">
        <v>46100</v>
      </c>
      <c r="F988" t="s">
        <v>4298</v>
      </c>
      <c r="G988" t="s">
        <v>4017</v>
      </c>
      <c r="H988" t="s">
        <v>318</v>
      </c>
      <c r="I988" t="s">
        <v>204</v>
      </c>
      <c r="J988" s="1">
        <v>46214</v>
      </c>
      <c r="K988" t="s">
        <v>711</v>
      </c>
      <c r="L988">
        <v>1325</v>
      </c>
      <c r="M988">
        <v>1325.38</v>
      </c>
      <c r="N988" t="s">
        <v>710</v>
      </c>
      <c r="O988" t="s">
        <v>1036</v>
      </c>
      <c r="P988" t="s">
        <v>4784</v>
      </c>
      <c r="Q988" t="s">
        <v>4901</v>
      </c>
      <c r="R988" t="s">
        <v>4771</v>
      </c>
    </row>
    <row r="989" spans="1:18" x14ac:dyDescent="0.3">
      <c r="A989">
        <v>982</v>
      </c>
      <c r="B989" t="s">
        <v>1034</v>
      </c>
      <c r="C989" t="s">
        <v>319</v>
      </c>
      <c r="D989" t="s">
        <v>36</v>
      </c>
      <c r="E989" s="1">
        <v>46100</v>
      </c>
      <c r="F989" t="s">
        <v>4298</v>
      </c>
      <c r="G989" t="s">
        <v>4016</v>
      </c>
      <c r="H989" t="s">
        <v>318</v>
      </c>
      <c r="I989" t="s">
        <v>204</v>
      </c>
      <c r="J989" s="1">
        <v>46214</v>
      </c>
      <c r="K989" t="s">
        <v>711</v>
      </c>
      <c r="L989">
        <v>595</v>
      </c>
      <c r="M989">
        <v>595.30999999999995</v>
      </c>
      <c r="N989" t="s">
        <v>710</v>
      </c>
      <c r="O989" t="s">
        <v>1036</v>
      </c>
      <c r="P989" t="s">
        <v>4784</v>
      </c>
      <c r="Q989" t="s">
        <v>4901</v>
      </c>
      <c r="R989" t="s">
        <v>4771</v>
      </c>
    </row>
    <row r="990" spans="1:18" x14ac:dyDescent="0.3">
      <c r="A990">
        <v>241953</v>
      </c>
      <c r="B990" t="s">
        <v>1034</v>
      </c>
      <c r="C990" t="s">
        <v>694</v>
      </c>
      <c r="D990" t="s">
        <v>157</v>
      </c>
      <c r="E990" s="1">
        <v>46100</v>
      </c>
      <c r="F990" t="s">
        <v>4352</v>
      </c>
      <c r="G990" t="s">
        <v>3886</v>
      </c>
      <c r="H990" t="s">
        <v>693</v>
      </c>
      <c r="I990" t="s">
        <v>204</v>
      </c>
      <c r="J990" s="1">
        <v>46443</v>
      </c>
      <c r="K990" t="s">
        <v>717</v>
      </c>
      <c r="L990">
        <v>1</v>
      </c>
      <c r="M990">
        <v>4560</v>
      </c>
      <c r="N990" t="s">
        <v>809</v>
      </c>
      <c r="O990" t="s">
        <v>4845</v>
      </c>
      <c r="P990" t="s">
        <v>1009</v>
      </c>
      <c r="Q990" t="s">
        <v>4845</v>
      </c>
      <c r="R990" t="s">
        <v>807</v>
      </c>
    </row>
    <row r="991" spans="1:18" x14ac:dyDescent="0.3">
      <c r="A991">
        <v>241952</v>
      </c>
      <c r="B991" t="s">
        <v>1034</v>
      </c>
      <c r="C991" t="s">
        <v>694</v>
      </c>
      <c r="D991" t="s">
        <v>157</v>
      </c>
      <c r="E991" s="1">
        <v>46100</v>
      </c>
      <c r="F991" t="s">
        <v>4352</v>
      </c>
      <c r="G991" t="s">
        <v>3886</v>
      </c>
      <c r="H991" t="s">
        <v>693</v>
      </c>
      <c r="I991" t="s">
        <v>204</v>
      </c>
      <c r="J991" s="1">
        <v>46443</v>
      </c>
      <c r="K991" t="s">
        <v>717</v>
      </c>
      <c r="L991">
        <v>1</v>
      </c>
      <c r="M991">
        <v>4560</v>
      </c>
      <c r="N991" t="s">
        <v>809</v>
      </c>
      <c r="O991" t="s">
        <v>4845</v>
      </c>
      <c r="P991" t="s">
        <v>1009</v>
      </c>
      <c r="Q991" t="s">
        <v>4845</v>
      </c>
      <c r="R991" t="s">
        <v>807</v>
      </c>
    </row>
    <row r="992" spans="1:18" x14ac:dyDescent="0.3">
      <c r="A992">
        <v>4319</v>
      </c>
      <c r="B992" t="s">
        <v>4875</v>
      </c>
      <c r="C992" t="s">
        <v>319</v>
      </c>
      <c r="D992" t="s">
        <v>36</v>
      </c>
      <c r="E992" s="1">
        <v>46100</v>
      </c>
      <c r="F992" t="s">
        <v>4298</v>
      </c>
      <c r="G992" t="s">
        <v>4008</v>
      </c>
      <c r="H992" t="s">
        <v>336</v>
      </c>
      <c r="I992" t="s">
        <v>204</v>
      </c>
      <c r="J992" s="1">
        <v>46075</v>
      </c>
      <c r="K992" t="s">
        <v>748</v>
      </c>
      <c r="L992">
        <v>2</v>
      </c>
      <c r="M992">
        <v>378.68</v>
      </c>
      <c r="N992" t="s">
        <v>710</v>
      </c>
      <c r="O992" t="s">
        <v>1040</v>
      </c>
      <c r="P992" t="s">
        <v>4784</v>
      </c>
      <c r="Q992" t="s">
        <v>4856</v>
      </c>
      <c r="R992" t="s">
        <v>4771</v>
      </c>
    </row>
    <row r="993" spans="1:18" x14ac:dyDescent="0.3">
      <c r="A993">
        <v>7409</v>
      </c>
      <c r="B993" t="s">
        <v>1035</v>
      </c>
      <c r="C993" t="s">
        <v>230</v>
      </c>
      <c r="D993" t="s">
        <v>85</v>
      </c>
      <c r="E993" s="1">
        <v>46099</v>
      </c>
      <c r="F993" t="s">
        <v>4436</v>
      </c>
      <c r="G993" t="s">
        <v>3952</v>
      </c>
      <c r="H993" t="s">
        <v>229</v>
      </c>
      <c r="I993" t="s">
        <v>204</v>
      </c>
      <c r="J993" s="1">
        <v>46203</v>
      </c>
      <c r="K993" t="s">
        <v>744</v>
      </c>
      <c r="L993">
        <v>1</v>
      </c>
      <c r="M993">
        <v>1583.74</v>
      </c>
      <c r="N993" t="s">
        <v>710</v>
      </c>
      <c r="O993" t="s">
        <v>1033</v>
      </c>
      <c r="P993" t="s">
        <v>4781</v>
      </c>
      <c r="Q993" t="s">
        <v>4852</v>
      </c>
      <c r="R993" t="s">
        <v>4771</v>
      </c>
    </row>
    <row r="994" spans="1:18" x14ac:dyDescent="0.3">
      <c r="A994">
        <v>7415</v>
      </c>
      <c r="B994" t="s">
        <v>1035</v>
      </c>
      <c r="C994" t="s">
        <v>230</v>
      </c>
      <c r="D994" t="s">
        <v>85</v>
      </c>
      <c r="E994" s="1">
        <v>46099</v>
      </c>
      <c r="F994" t="s">
        <v>4436</v>
      </c>
      <c r="G994" t="s">
        <v>3952</v>
      </c>
      <c r="H994" t="s">
        <v>229</v>
      </c>
      <c r="I994" t="s">
        <v>204</v>
      </c>
      <c r="J994" s="1">
        <v>46203</v>
      </c>
      <c r="K994" t="s">
        <v>744</v>
      </c>
      <c r="L994">
        <v>1</v>
      </c>
      <c r="M994">
        <v>1186.78</v>
      </c>
      <c r="N994" t="s">
        <v>710</v>
      </c>
      <c r="O994" t="s">
        <v>1033</v>
      </c>
      <c r="P994" t="s">
        <v>4781</v>
      </c>
      <c r="Q994" t="s">
        <v>4852</v>
      </c>
      <c r="R994" t="s">
        <v>4771</v>
      </c>
    </row>
    <row r="995" spans="1:18" x14ac:dyDescent="0.3">
      <c r="A995">
        <v>7424</v>
      </c>
      <c r="B995" t="s">
        <v>1035</v>
      </c>
      <c r="C995" t="s">
        <v>230</v>
      </c>
      <c r="D995" t="s">
        <v>85</v>
      </c>
      <c r="E995" s="1">
        <v>46099</v>
      </c>
      <c r="F995" t="s">
        <v>4409</v>
      </c>
      <c r="G995" t="s">
        <v>3952</v>
      </c>
      <c r="H995" t="s">
        <v>229</v>
      </c>
      <c r="I995" t="s">
        <v>204</v>
      </c>
      <c r="J995" s="1">
        <v>46203</v>
      </c>
      <c r="K995" t="s">
        <v>744</v>
      </c>
      <c r="L995">
        <v>1</v>
      </c>
      <c r="M995">
        <v>274.73</v>
      </c>
      <c r="N995" t="s">
        <v>710</v>
      </c>
      <c r="O995" t="s">
        <v>1033</v>
      </c>
      <c r="P995" t="s">
        <v>4781</v>
      </c>
      <c r="Q995" t="s">
        <v>4852</v>
      </c>
      <c r="R995" t="s">
        <v>4771</v>
      </c>
    </row>
    <row r="996" spans="1:18" x14ac:dyDescent="0.3">
      <c r="A996">
        <v>7423</v>
      </c>
      <c r="B996" t="s">
        <v>1035</v>
      </c>
      <c r="C996" t="s">
        <v>230</v>
      </c>
      <c r="D996" t="s">
        <v>85</v>
      </c>
      <c r="E996" s="1">
        <v>46099</v>
      </c>
      <c r="F996" t="s">
        <v>4409</v>
      </c>
      <c r="G996" t="s">
        <v>3952</v>
      </c>
      <c r="H996" t="s">
        <v>229</v>
      </c>
      <c r="I996" t="s">
        <v>204</v>
      </c>
      <c r="J996" s="1">
        <v>46203</v>
      </c>
      <c r="K996" t="s">
        <v>744</v>
      </c>
      <c r="L996">
        <v>1</v>
      </c>
      <c r="M996">
        <v>427.6</v>
      </c>
      <c r="N996" t="s">
        <v>710</v>
      </c>
      <c r="O996" t="s">
        <v>1033</v>
      </c>
      <c r="P996" t="s">
        <v>4781</v>
      </c>
      <c r="Q996" t="s">
        <v>4852</v>
      </c>
      <c r="R996" t="s">
        <v>4771</v>
      </c>
    </row>
    <row r="997" spans="1:18" x14ac:dyDescent="0.3">
      <c r="A997">
        <v>5277</v>
      </c>
      <c r="B997" t="s">
        <v>4874</v>
      </c>
      <c r="C997" t="s">
        <v>456</v>
      </c>
      <c r="D997" t="s">
        <v>71</v>
      </c>
      <c r="E997" s="1">
        <v>46099</v>
      </c>
      <c r="F997" t="s">
        <v>4401</v>
      </c>
      <c r="G997" t="s">
        <v>3942</v>
      </c>
      <c r="H997" t="s">
        <v>455</v>
      </c>
      <c r="I997" t="s">
        <v>204</v>
      </c>
      <c r="J997" s="1">
        <v>54878</v>
      </c>
      <c r="K997" t="s">
        <v>762</v>
      </c>
      <c r="L997">
        <v>6885.9</v>
      </c>
      <c r="M997">
        <v>6885.9</v>
      </c>
      <c r="N997" t="s">
        <v>710</v>
      </c>
      <c r="O997" t="s">
        <v>1042</v>
      </c>
      <c r="P997" t="s">
        <v>1006</v>
      </c>
      <c r="Q997" t="s">
        <v>4852</v>
      </c>
      <c r="R997" t="s">
        <v>4771</v>
      </c>
    </row>
    <row r="998" spans="1:18" x14ac:dyDescent="0.3">
      <c r="A998">
        <v>32024</v>
      </c>
      <c r="B998" t="s">
        <v>4874</v>
      </c>
      <c r="C998" t="s">
        <v>592</v>
      </c>
      <c r="D998" t="s">
        <v>8</v>
      </c>
      <c r="E998" s="1">
        <v>46099</v>
      </c>
      <c r="F998" t="s">
        <v>4352</v>
      </c>
      <c r="G998" t="s">
        <v>4005</v>
      </c>
      <c r="H998" t="s">
        <v>683</v>
      </c>
      <c r="I998" t="s">
        <v>204</v>
      </c>
      <c r="J998" s="1">
        <v>46387</v>
      </c>
      <c r="K998" t="s">
        <v>762</v>
      </c>
      <c r="L998">
        <v>1260</v>
      </c>
      <c r="M998">
        <v>1260</v>
      </c>
      <c r="N998" t="s">
        <v>890</v>
      </c>
      <c r="O998" t="s">
        <v>4833</v>
      </c>
      <c r="P998" t="s">
        <v>950</v>
      </c>
      <c r="Q998" t="s">
        <v>4852</v>
      </c>
      <c r="R998" t="s">
        <v>807</v>
      </c>
    </row>
    <row r="999" spans="1:18" x14ac:dyDescent="0.3">
      <c r="A999">
        <v>82</v>
      </c>
      <c r="B999" t="s">
        <v>4875</v>
      </c>
      <c r="C999" t="s">
        <v>509</v>
      </c>
      <c r="D999" t="s">
        <v>91</v>
      </c>
      <c r="E999" s="1">
        <v>46099</v>
      </c>
      <c r="F999" t="s">
        <v>4332</v>
      </c>
      <c r="G999" t="s">
        <v>3992</v>
      </c>
      <c r="H999" t="s">
        <v>531</v>
      </c>
      <c r="I999" t="s">
        <v>204</v>
      </c>
      <c r="J999" s="1">
        <v>45473</v>
      </c>
      <c r="K999" t="s">
        <v>748</v>
      </c>
      <c r="L999">
        <v>1</v>
      </c>
      <c r="M999">
        <v>900</v>
      </c>
      <c r="N999" t="s">
        <v>890</v>
      </c>
      <c r="O999" t="s">
        <v>1040</v>
      </c>
      <c r="P999" t="s">
        <v>4778</v>
      </c>
      <c r="Q999" t="s">
        <v>4856</v>
      </c>
      <c r="R999" t="s">
        <v>4771</v>
      </c>
    </row>
    <row r="1000" spans="1:18" x14ac:dyDescent="0.3">
      <c r="A1000">
        <v>826</v>
      </c>
      <c r="B1000" t="s">
        <v>1034</v>
      </c>
      <c r="C1000" t="s">
        <v>603</v>
      </c>
      <c r="D1000" t="s">
        <v>69</v>
      </c>
      <c r="E1000" s="1">
        <v>46099</v>
      </c>
      <c r="F1000" t="s">
        <v>4345</v>
      </c>
      <c r="G1000" t="s">
        <v>3818</v>
      </c>
      <c r="H1000" t="s">
        <v>682</v>
      </c>
      <c r="I1000" t="s">
        <v>204</v>
      </c>
      <c r="J1000" s="1">
        <v>46276</v>
      </c>
      <c r="K1000" t="s">
        <v>711</v>
      </c>
      <c r="L1000">
        <v>1</v>
      </c>
      <c r="M1000">
        <v>2413.6799999999998</v>
      </c>
      <c r="N1000" t="s">
        <v>954</v>
      </c>
      <c r="O1000" t="s">
        <v>4834</v>
      </c>
      <c r="P1000" t="s">
        <v>952</v>
      </c>
      <c r="Q1000" t="s">
        <v>4901</v>
      </c>
      <c r="R1000" t="s">
        <v>807</v>
      </c>
    </row>
    <row r="1001" spans="1:18" x14ac:dyDescent="0.3">
      <c r="A1001">
        <v>5</v>
      </c>
      <c r="B1001" t="s">
        <v>1034</v>
      </c>
      <c r="C1001" t="s">
        <v>686</v>
      </c>
      <c r="D1001" t="s">
        <v>116</v>
      </c>
      <c r="E1001" s="1">
        <v>46099</v>
      </c>
      <c r="F1001" t="s">
        <v>4385</v>
      </c>
      <c r="G1001" t="s">
        <v>4000</v>
      </c>
      <c r="H1001" t="s">
        <v>685</v>
      </c>
      <c r="I1001" t="s">
        <v>204</v>
      </c>
      <c r="J1001" s="1">
        <v>46418</v>
      </c>
      <c r="K1001" t="s">
        <v>717</v>
      </c>
      <c r="L1001">
        <v>70</v>
      </c>
      <c r="M1001">
        <v>1750</v>
      </c>
      <c r="N1001" t="s">
        <v>818</v>
      </c>
      <c r="O1001" t="s">
        <v>1037</v>
      </c>
      <c r="P1001" t="s">
        <v>4801</v>
      </c>
      <c r="Q1001" t="s">
        <v>4852</v>
      </c>
      <c r="R1001" t="s">
        <v>807</v>
      </c>
    </row>
    <row r="1002" spans="1:18" x14ac:dyDescent="0.3">
      <c r="A1002">
        <v>9614</v>
      </c>
      <c r="B1002" t="s">
        <v>1034</v>
      </c>
      <c r="C1002" t="s">
        <v>267</v>
      </c>
      <c r="D1002" t="s">
        <v>186</v>
      </c>
      <c r="E1002" s="1">
        <v>46098</v>
      </c>
      <c r="F1002" t="s">
        <v>4350</v>
      </c>
      <c r="G1002" t="s">
        <v>3985</v>
      </c>
      <c r="H1002" t="s">
        <v>266</v>
      </c>
      <c r="I1002" t="s">
        <v>204</v>
      </c>
      <c r="J1002" s="1">
        <v>46259</v>
      </c>
      <c r="K1002" t="s">
        <v>717</v>
      </c>
      <c r="L1002">
        <v>1</v>
      </c>
      <c r="M1002">
        <v>48074.1</v>
      </c>
      <c r="N1002" t="s">
        <v>710</v>
      </c>
      <c r="O1002" t="s">
        <v>1037</v>
      </c>
      <c r="P1002" t="s">
        <v>4780</v>
      </c>
      <c r="Q1002" t="s">
        <v>4852</v>
      </c>
      <c r="R1002" t="s">
        <v>4772</v>
      </c>
    </row>
    <row r="1003" spans="1:18" x14ac:dyDescent="0.3">
      <c r="A1003">
        <v>153</v>
      </c>
      <c r="B1003" t="s">
        <v>1034</v>
      </c>
      <c r="C1003" t="s">
        <v>636</v>
      </c>
      <c r="D1003" t="s">
        <v>51</v>
      </c>
      <c r="E1003" s="1">
        <v>46098</v>
      </c>
      <c r="F1003" t="s">
        <v>4297</v>
      </c>
      <c r="G1003" t="s">
        <v>2293</v>
      </c>
      <c r="H1003" t="s">
        <v>635</v>
      </c>
      <c r="I1003" t="s">
        <v>204</v>
      </c>
      <c r="J1003" s="1">
        <v>46193</v>
      </c>
      <c r="K1003" t="s">
        <v>711</v>
      </c>
      <c r="L1003">
        <v>1</v>
      </c>
      <c r="M1003">
        <v>7933</v>
      </c>
      <c r="N1003" t="s">
        <v>710</v>
      </c>
      <c r="O1003" t="s">
        <v>4844</v>
      </c>
      <c r="P1003" t="s">
        <v>4779</v>
      </c>
      <c r="Q1003" t="s">
        <v>4845</v>
      </c>
      <c r="R1003" t="s">
        <v>4771</v>
      </c>
    </row>
    <row r="1004" spans="1:18" x14ac:dyDescent="0.3">
      <c r="A1004">
        <v>3853</v>
      </c>
      <c r="B1004" t="s">
        <v>1034</v>
      </c>
      <c r="C1004" t="s">
        <v>590</v>
      </c>
      <c r="D1004" t="s">
        <v>79</v>
      </c>
      <c r="E1004" s="1">
        <v>46098</v>
      </c>
      <c r="F1004" t="s">
        <v>4365</v>
      </c>
      <c r="G1004" t="s">
        <v>3997</v>
      </c>
      <c r="H1004" t="s">
        <v>589</v>
      </c>
      <c r="I1004" t="s">
        <v>204</v>
      </c>
      <c r="J1004" s="1">
        <v>46387</v>
      </c>
      <c r="K1004" t="s">
        <v>717</v>
      </c>
      <c r="L1004">
        <v>500</v>
      </c>
      <c r="M1004">
        <v>500</v>
      </c>
      <c r="N1004" t="s">
        <v>814</v>
      </c>
      <c r="O1004" t="s">
        <v>4845</v>
      </c>
      <c r="P1004" t="s">
        <v>4793</v>
      </c>
      <c r="Q1004" t="s">
        <v>4845</v>
      </c>
      <c r="R1004" t="s">
        <v>4773</v>
      </c>
    </row>
    <row r="1005" spans="1:18" x14ac:dyDescent="0.3">
      <c r="A1005">
        <v>271</v>
      </c>
      <c r="B1005" t="s">
        <v>1034</v>
      </c>
      <c r="C1005" t="s">
        <v>267</v>
      </c>
      <c r="D1005" t="s">
        <v>186</v>
      </c>
      <c r="E1005" s="1">
        <v>46098</v>
      </c>
      <c r="F1005" t="s">
        <v>4349</v>
      </c>
      <c r="G1005" t="s">
        <v>3985</v>
      </c>
      <c r="H1005" t="s">
        <v>266</v>
      </c>
      <c r="I1005" t="s">
        <v>204</v>
      </c>
      <c r="J1005" s="1">
        <v>46259</v>
      </c>
      <c r="K1005" t="s">
        <v>717</v>
      </c>
      <c r="L1005">
        <v>1</v>
      </c>
      <c r="M1005">
        <v>44382.03</v>
      </c>
      <c r="N1005" t="s">
        <v>710</v>
      </c>
      <c r="O1005" t="s">
        <v>1037</v>
      </c>
      <c r="P1005" t="s">
        <v>4780</v>
      </c>
      <c r="Q1005" t="s">
        <v>4852</v>
      </c>
      <c r="R1005" t="s">
        <v>4772</v>
      </c>
    </row>
    <row r="1006" spans="1:18" x14ac:dyDescent="0.3">
      <c r="A1006">
        <v>7432</v>
      </c>
      <c r="B1006" t="s">
        <v>1035</v>
      </c>
      <c r="C1006" t="s">
        <v>230</v>
      </c>
      <c r="D1006" t="s">
        <v>85</v>
      </c>
      <c r="E1006" s="1">
        <v>46098</v>
      </c>
      <c r="F1006" t="s">
        <v>4299</v>
      </c>
      <c r="G1006" t="s">
        <v>3998</v>
      </c>
      <c r="H1006" t="s">
        <v>229</v>
      </c>
      <c r="I1006" t="s">
        <v>204</v>
      </c>
      <c r="J1006" s="1">
        <v>46203</v>
      </c>
      <c r="K1006" t="s">
        <v>744</v>
      </c>
      <c r="L1006">
        <v>1</v>
      </c>
      <c r="M1006">
        <v>70.930000000000007</v>
      </c>
      <c r="N1006" t="s">
        <v>710</v>
      </c>
      <c r="O1006" t="s">
        <v>1033</v>
      </c>
      <c r="P1006" t="s">
        <v>4781</v>
      </c>
      <c r="Q1006" t="s">
        <v>4852</v>
      </c>
      <c r="R1006" t="s">
        <v>4771</v>
      </c>
    </row>
    <row r="1007" spans="1:18" x14ac:dyDescent="0.3">
      <c r="A1007">
        <v>9613</v>
      </c>
      <c r="B1007" t="s">
        <v>1034</v>
      </c>
      <c r="C1007" t="s">
        <v>267</v>
      </c>
      <c r="D1007" t="s">
        <v>186</v>
      </c>
      <c r="E1007" s="1">
        <v>46098</v>
      </c>
      <c r="F1007" t="s">
        <v>4350</v>
      </c>
      <c r="G1007" t="s">
        <v>3985</v>
      </c>
      <c r="H1007" t="s">
        <v>266</v>
      </c>
      <c r="I1007" t="s">
        <v>204</v>
      </c>
      <c r="J1007" s="1">
        <v>46259</v>
      </c>
      <c r="K1007" t="s">
        <v>717</v>
      </c>
      <c r="L1007">
        <v>1</v>
      </c>
      <c r="M1007">
        <v>16805.04</v>
      </c>
      <c r="N1007" t="s">
        <v>710</v>
      </c>
      <c r="O1007" t="s">
        <v>1037</v>
      </c>
      <c r="P1007" t="s">
        <v>4780</v>
      </c>
      <c r="Q1007" t="s">
        <v>4852</v>
      </c>
      <c r="R1007" t="s">
        <v>4772</v>
      </c>
    </row>
    <row r="1008" spans="1:18" x14ac:dyDescent="0.3">
      <c r="A1008">
        <v>7431</v>
      </c>
      <c r="B1008" t="s">
        <v>1035</v>
      </c>
      <c r="C1008" t="s">
        <v>230</v>
      </c>
      <c r="D1008" t="s">
        <v>85</v>
      </c>
      <c r="E1008" s="1">
        <v>46098</v>
      </c>
      <c r="F1008" t="s">
        <v>4299</v>
      </c>
      <c r="G1008" t="s">
        <v>3998</v>
      </c>
      <c r="H1008" t="s">
        <v>229</v>
      </c>
      <c r="I1008" t="s">
        <v>204</v>
      </c>
      <c r="J1008" s="1">
        <v>46203</v>
      </c>
      <c r="K1008" t="s">
        <v>744</v>
      </c>
      <c r="L1008">
        <v>1</v>
      </c>
      <c r="M1008">
        <v>94.65</v>
      </c>
      <c r="N1008" t="s">
        <v>710</v>
      </c>
      <c r="O1008" t="s">
        <v>1033</v>
      </c>
      <c r="P1008" t="s">
        <v>4781</v>
      </c>
      <c r="Q1008" t="s">
        <v>4852</v>
      </c>
      <c r="R1008" t="s">
        <v>4771</v>
      </c>
    </row>
    <row r="1009" spans="1:18" x14ac:dyDescent="0.3">
      <c r="A1009">
        <v>19911</v>
      </c>
      <c r="B1009" t="s">
        <v>4874</v>
      </c>
      <c r="C1009" t="s">
        <v>212</v>
      </c>
      <c r="D1009" t="s">
        <v>62</v>
      </c>
      <c r="E1009" s="1">
        <v>46098</v>
      </c>
      <c r="F1009" t="s">
        <v>4318</v>
      </c>
      <c r="G1009" t="s">
        <v>3944</v>
      </c>
      <c r="H1009" t="s">
        <v>211</v>
      </c>
      <c r="I1009" t="s">
        <v>204</v>
      </c>
      <c r="J1009" s="1">
        <v>54878</v>
      </c>
      <c r="K1009" t="s">
        <v>720</v>
      </c>
      <c r="L1009">
        <v>1</v>
      </c>
      <c r="M1009">
        <v>1000</v>
      </c>
      <c r="N1009" t="s">
        <v>719</v>
      </c>
      <c r="O1009" t="s">
        <v>4834</v>
      </c>
      <c r="P1009" t="s">
        <v>4776</v>
      </c>
      <c r="Q1009" t="s">
        <v>4858</v>
      </c>
      <c r="R1009" t="s">
        <v>4771</v>
      </c>
    </row>
    <row r="1010" spans="1:18" x14ac:dyDescent="0.3">
      <c r="A1010">
        <v>9615</v>
      </c>
      <c r="B1010" t="s">
        <v>1034</v>
      </c>
      <c r="C1010" t="s">
        <v>267</v>
      </c>
      <c r="D1010" t="s">
        <v>186</v>
      </c>
      <c r="E1010" s="1">
        <v>46098</v>
      </c>
      <c r="F1010" t="s">
        <v>4350</v>
      </c>
      <c r="G1010" t="s">
        <v>3985</v>
      </c>
      <c r="H1010" t="s">
        <v>266</v>
      </c>
      <c r="I1010" t="s">
        <v>204</v>
      </c>
      <c r="J1010" s="1">
        <v>46259</v>
      </c>
      <c r="K1010" t="s">
        <v>717</v>
      </c>
      <c r="L1010">
        <v>1</v>
      </c>
      <c r="M1010">
        <v>17197.080000000002</v>
      </c>
      <c r="N1010" t="s">
        <v>710</v>
      </c>
      <c r="O1010" t="s">
        <v>1037</v>
      </c>
      <c r="P1010" t="s">
        <v>4780</v>
      </c>
      <c r="Q1010" t="s">
        <v>4852</v>
      </c>
      <c r="R1010" t="s">
        <v>4772</v>
      </c>
    </row>
    <row r="1011" spans="1:18" x14ac:dyDescent="0.3">
      <c r="A1011">
        <v>9610</v>
      </c>
      <c r="B1011" t="s">
        <v>1034</v>
      </c>
      <c r="C1011" t="s">
        <v>267</v>
      </c>
      <c r="D1011" t="s">
        <v>186</v>
      </c>
      <c r="E1011" s="1">
        <v>46098</v>
      </c>
      <c r="F1011" t="s">
        <v>4350</v>
      </c>
      <c r="G1011" t="s">
        <v>3985</v>
      </c>
      <c r="H1011" t="s">
        <v>266</v>
      </c>
      <c r="I1011" t="s">
        <v>204</v>
      </c>
      <c r="J1011" s="1">
        <v>46259</v>
      </c>
      <c r="K1011" t="s">
        <v>717</v>
      </c>
      <c r="L1011">
        <v>1</v>
      </c>
      <c r="M1011">
        <v>19760</v>
      </c>
      <c r="N1011" t="s">
        <v>710</v>
      </c>
      <c r="O1011" t="s">
        <v>1037</v>
      </c>
      <c r="P1011" t="s">
        <v>4780</v>
      </c>
      <c r="Q1011" t="s">
        <v>4852</v>
      </c>
      <c r="R1011" t="s">
        <v>4772</v>
      </c>
    </row>
    <row r="1012" spans="1:18" x14ac:dyDescent="0.3">
      <c r="A1012">
        <v>9611</v>
      </c>
      <c r="B1012" t="s">
        <v>1034</v>
      </c>
      <c r="C1012" t="s">
        <v>267</v>
      </c>
      <c r="D1012" t="s">
        <v>186</v>
      </c>
      <c r="E1012" s="1">
        <v>46098</v>
      </c>
      <c r="F1012" t="s">
        <v>4350</v>
      </c>
      <c r="G1012" t="s">
        <v>3985</v>
      </c>
      <c r="H1012" t="s">
        <v>266</v>
      </c>
      <c r="I1012" t="s">
        <v>204</v>
      </c>
      <c r="J1012" s="1">
        <v>46259</v>
      </c>
      <c r="K1012" t="s">
        <v>717</v>
      </c>
      <c r="L1012">
        <v>1</v>
      </c>
      <c r="M1012">
        <v>13990.08</v>
      </c>
      <c r="N1012" t="s">
        <v>710</v>
      </c>
      <c r="O1012" t="s">
        <v>1037</v>
      </c>
      <c r="P1012" t="s">
        <v>4780</v>
      </c>
      <c r="Q1012" t="s">
        <v>4852</v>
      </c>
      <c r="R1012" t="s">
        <v>4772</v>
      </c>
    </row>
    <row r="1013" spans="1:18" x14ac:dyDescent="0.3">
      <c r="A1013">
        <v>9612</v>
      </c>
      <c r="B1013" t="s">
        <v>1034</v>
      </c>
      <c r="C1013" t="s">
        <v>267</v>
      </c>
      <c r="D1013" t="s">
        <v>186</v>
      </c>
      <c r="E1013" s="1">
        <v>46098</v>
      </c>
      <c r="F1013" t="s">
        <v>4350</v>
      </c>
      <c r="G1013" t="s">
        <v>3985</v>
      </c>
      <c r="H1013" t="s">
        <v>266</v>
      </c>
      <c r="I1013" t="s">
        <v>204</v>
      </c>
      <c r="J1013" s="1">
        <v>46259</v>
      </c>
      <c r="K1013" t="s">
        <v>717</v>
      </c>
      <c r="L1013">
        <v>1</v>
      </c>
      <c r="M1013">
        <v>7300.94</v>
      </c>
      <c r="N1013" t="s">
        <v>710</v>
      </c>
      <c r="O1013" t="s">
        <v>1037</v>
      </c>
      <c r="P1013" t="s">
        <v>4780</v>
      </c>
      <c r="Q1013" t="s">
        <v>4852</v>
      </c>
      <c r="R1013" t="s">
        <v>4772</v>
      </c>
    </row>
    <row r="1014" spans="1:18" x14ac:dyDescent="0.3">
      <c r="A1014">
        <v>154</v>
      </c>
      <c r="B1014" t="s">
        <v>1034</v>
      </c>
      <c r="C1014" t="s">
        <v>636</v>
      </c>
      <c r="D1014" t="s">
        <v>51</v>
      </c>
      <c r="E1014" s="1">
        <v>46098</v>
      </c>
      <c r="F1014" t="s">
        <v>4297</v>
      </c>
      <c r="G1014" t="s">
        <v>2293</v>
      </c>
      <c r="H1014" t="s">
        <v>635</v>
      </c>
      <c r="I1014" t="s">
        <v>204</v>
      </c>
      <c r="J1014" s="1">
        <v>46193</v>
      </c>
      <c r="K1014" t="s">
        <v>711</v>
      </c>
      <c r="L1014">
        <v>1</v>
      </c>
      <c r="M1014">
        <v>7933</v>
      </c>
      <c r="N1014" t="s">
        <v>710</v>
      </c>
      <c r="O1014" t="s">
        <v>4844</v>
      </c>
      <c r="P1014" t="s">
        <v>4779</v>
      </c>
      <c r="Q1014" t="s">
        <v>4845</v>
      </c>
      <c r="R1014" t="s">
        <v>4771</v>
      </c>
    </row>
    <row r="1015" spans="1:18" x14ac:dyDescent="0.3">
      <c r="A1015">
        <v>3150</v>
      </c>
      <c r="B1015" t="s">
        <v>4874</v>
      </c>
      <c r="C1015" t="s">
        <v>630</v>
      </c>
      <c r="D1015" t="s">
        <v>145</v>
      </c>
      <c r="E1015" s="1">
        <v>46097</v>
      </c>
      <c r="F1015" t="s">
        <v>4417</v>
      </c>
      <c r="G1015" t="s">
        <v>3900</v>
      </c>
      <c r="H1015" t="s">
        <v>629</v>
      </c>
      <c r="I1015" t="s">
        <v>204</v>
      </c>
      <c r="J1015" s="1">
        <v>46264</v>
      </c>
      <c r="K1015" t="s">
        <v>720</v>
      </c>
      <c r="L1015">
        <v>1</v>
      </c>
      <c r="M1015">
        <v>6600</v>
      </c>
      <c r="N1015" t="s">
        <v>710</v>
      </c>
      <c r="O1015" t="s">
        <v>4849</v>
      </c>
      <c r="P1015" t="s">
        <v>4777</v>
      </c>
      <c r="Q1015" t="s">
        <v>4855</v>
      </c>
      <c r="R1015" t="s">
        <v>4771</v>
      </c>
    </row>
    <row r="1016" spans="1:18" x14ac:dyDescent="0.3">
      <c r="A1016">
        <v>7372</v>
      </c>
      <c r="B1016" t="s">
        <v>4874</v>
      </c>
      <c r="C1016" t="s">
        <v>484</v>
      </c>
      <c r="D1016" t="s">
        <v>140</v>
      </c>
      <c r="E1016" s="1">
        <v>46097</v>
      </c>
      <c r="F1016" t="s">
        <v>4345</v>
      </c>
      <c r="G1016" t="s">
        <v>3935</v>
      </c>
      <c r="H1016" t="s">
        <v>483</v>
      </c>
      <c r="I1016" t="s">
        <v>204</v>
      </c>
      <c r="J1016" s="1">
        <v>46508</v>
      </c>
      <c r="K1016" t="s">
        <v>762</v>
      </c>
      <c r="L1016">
        <v>49120</v>
      </c>
      <c r="M1016">
        <v>49120</v>
      </c>
      <c r="N1016" t="s">
        <v>710</v>
      </c>
      <c r="O1016" t="s">
        <v>4833</v>
      </c>
      <c r="P1016" t="s">
        <v>4776</v>
      </c>
      <c r="Q1016" t="s">
        <v>4852</v>
      </c>
      <c r="R1016" t="s">
        <v>4773</v>
      </c>
    </row>
    <row r="1017" spans="1:18" x14ac:dyDescent="0.3">
      <c r="A1017">
        <v>192782</v>
      </c>
      <c r="B1017" t="s">
        <v>4874</v>
      </c>
      <c r="C1017" t="s">
        <v>411</v>
      </c>
      <c r="D1017" t="s">
        <v>154</v>
      </c>
      <c r="E1017" s="1">
        <v>46097</v>
      </c>
      <c r="F1017" t="s">
        <v>4345</v>
      </c>
      <c r="G1017" t="s">
        <v>3931</v>
      </c>
      <c r="H1017" t="s">
        <v>410</v>
      </c>
      <c r="I1017" t="s">
        <v>204</v>
      </c>
      <c r="J1017" s="1">
        <v>46344</v>
      </c>
      <c r="K1017" t="s">
        <v>762</v>
      </c>
      <c r="L1017">
        <v>16275.21</v>
      </c>
      <c r="M1017">
        <v>16275.21</v>
      </c>
      <c r="N1017" t="s">
        <v>710</v>
      </c>
      <c r="O1017" t="s">
        <v>4833</v>
      </c>
      <c r="P1017" t="s">
        <v>4776</v>
      </c>
      <c r="Q1017" t="s">
        <v>4852</v>
      </c>
      <c r="R1017" t="s">
        <v>4773</v>
      </c>
    </row>
    <row r="1018" spans="1:18" x14ac:dyDescent="0.3">
      <c r="A1018">
        <v>765931</v>
      </c>
      <c r="B1018" t="s">
        <v>4874</v>
      </c>
      <c r="C1018" t="s">
        <v>409</v>
      </c>
      <c r="D1018" t="s">
        <v>28</v>
      </c>
      <c r="E1018" s="1">
        <v>46097</v>
      </c>
      <c r="F1018" t="s">
        <v>4388</v>
      </c>
      <c r="G1018" t="s">
        <v>3969</v>
      </c>
      <c r="H1018" t="s">
        <v>408</v>
      </c>
      <c r="I1018" t="s">
        <v>204</v>
      </c>
      <c r="J1018" s="1">
        <v>54878</v>
      </c>
      <c r="K1018" t="s">
        <v>762</v>
      </c>
      <c r="L1018">
        <v>25930</v>
      </c>
      <c r="M1018">
        <v>25930.240000000002</v>
      </c>
      <c r="N1018" t="s">
        <v>710</v>
      </c>
      <c r="O1018" t="s">
        <v>4833</v>
      </c>
      <c r="P1018" t="s">
        <v>4776</v>
      </c>
      <c r="Q1018" t="s">
        <v>4852</v>
      </c>
      <c r="R1018" t="s">
        <v>4773</v>
      </c>
    </row>
    <row r="1019" spans="1:18" x14ac:dyDescent="0.3">
      <c r="A1019">
        <v>1278</v>
      </c>
      <c r="B1019" t="s">
        <v>1034</v>
      </c>
      <c r="C1019" t="s">
        <v>497</v>
      </c>
      <c r="D1019" t="s">
        <v>58</v>
      </c>
      <c r="E1019" s="1">
        <v>46097</v>
      </c>
      <c r="F1019" t="s">
        <v>4316</v>
      </c>
      <c r="G1019" t="s">
        <v>3994</v>
      </c>
      <c r="H1019" t="s">
        <v>498</v>
      </c>
      <c r="I1019" t="s">
        <v>204</v>
      </c>
      <c r="J1019" s="1">
        <v>46265</v>
      </c>
      <c r="K1019" t="s">
        <v>717</v>
      </c>
      <c r="L1019">
        <v>1</v>
      </c>
      <c r="M1019">
        <v>1288.8599999999999</v>
      </c>
      <c r="N1019" t="s">
        <v>710</v>
      </c>
      <c r="O1019" t="s">
        <v>4833</v>
      </c>
      <c r="P1019" t="s">
        <v>4776</v>
      </c>
      <c r="Q1019" t="s">
        <v>4852</v>
      </c>
      <c r="R1019" t="s">
        <v>4773</v>
      </c>
    </row>
    <row r="1020" spans="1:18" x14ac:dyDescent="0.3">
      <c r="A1020">
        <v>106</v>
      </c>
      <c r="B1020" t="s">
        <v>1034</v>
      </c>
      <c r="C1020" t="s">
        <v>216</v>
      </c>
      <c r="D1020" t="s">
        <v>141</v>
      </c>
      <c r="E1020" s="1">
        <v>46097</v>
      </c>
      <c r="F1020" t="s">
        <v>4305</v>
      </c>
      <c r="G1020" t="s">
        <v>3915</v>
      </c>
      <c r="H1020" t="s">
        <v>528</v>
      </c>
      <c r="I1020" t="s">
        <v>204</v>
      </c>
      <c r="J1020" s="1">
        <v>55243</v>
      </c>
      <c r="K1020" t="s">
        <v>711</v>
      </c>
      <c r="L1020">
        <v>1320</v>
      </c>
      <c r="M1020">
        <v>1320</v>
      </c>
      <c r="N1020" t="s">
        <v>710</v>
      </c>
      <c r="O1020" t="s">
        <v>4844</v>
      </c>
      <c r="P1020" t="s">
        <v>4776</v>
      </c>
      <c r="Q1020" t="s">
        <v>4901</v>
      </c>
      <c r="R1020" t="s">
        <v>4771</v>
      </c>
    </row>
    <row r="1021" spans="1:18" x14ac:dyDescent="0.3">
      <c r="A1021">
        <v>866621</v>
      </c>
      <c r="B1021" t="s">
        <v>1034</v>
      </c>
      <c r="C1021" t="s">
        <v>276</v>
      </c>
      <c r="D1021" t="s">
        <v>5</v>
      </c>
      <c r="E1021" s="1">
        <v>46097</v>
      </c>
      <c r="F1021" t="s">
        <v>4315</v>
      </c>
      <c r="G1021" t="s">
        <v>3990</v>
      </c>
      <c r="H1021" t="s">
        <v>275</v>
      </c>
      <c r="I1021" t="s">
        <v>204</v>
      </c>
      <c r="J1021" s="1">
        <v>46904</v>
      </c>
      <c r="K1021" t="s">
        <v>717</v>
      </c>
      <c r="L1021">
        <v>36365.620000000003</v>
      </c>
      <c r="M1021">
        <v>36365.620000000003</v>
      </c>
      <c r="N1021" t="s">
        <v>710</v>
      </c>
      <c r="O1021" t="s">
        <v>1037</v>
      </c>
      <c r="P1021" t="s">
        <v>4776</v>
      </c>
      <c r="Q1021" t="s">
        <v>4852</v>
      </c>
      <c r="R1021" t="s">
        <v>4773</v>
      </c>
    </row>
    <row r="1022" spans="1:18" x14ac:dyDescent="0.3">
      <c r="A1022">
        <v>2000</v>
      </c>
      <c r="B1022" t="s">
        <v>4874</v>
      </c>
      <c r="C1022" t="s">
        <v>647</v>
      </c>
      <c r="D1022" t="s">
        <v>130</v>
      </c>
      <c r="E1022" s="1">
        <v>46097</v>
      </c>
      <c r="F1022" t="s">
        <v>4363</v>
      </c>
      <c r="G1022" t="s">
        <v>3949</v>
      </c>
      <c r="H1022" t="s">
        <v>646</v>
      </c>
      <c r="I1022" t="s">
        <v>204</v>
      </c>
      <c r="J1022" s="1">
        <v>46522</v>
      </c>
      <c r="K1022" t="s">
        <v>762</v>
      </c>
      <c r="L1022">
        <v>18212</v>
      </c>
      <c r="M1022">
        <v>18212</v>
      </c>
      <c r="N1022" t="s">
        <v>890</v>
      </c>
      <c r="O1022" t="s">
        <v>1044</v>
      </c>
      <c r="P1022" t="s">
        <v>4776</v>
      </c>
      <c r="Q1022" t="s">
        <v>4852</v>
      </c>
    </row>
    <row r="1023" spans="1:18" x14ac:dyDescent="0.3">
      <c r="A1023">
        <v>3556</v>
      </c>
      <c r="B1023" t="s">
        <v>4874</v>
      </c>
      <c r="C1023" t="s">
        <v>612</v>
      </c>
      <c r="D1023" t="s">
        <v>102</v>
      </c>
      <c r="E1023" s="1">
        <v>46097</v>
      </c>
      <c r="F1023" t="s">
        <v>4429</v>
      </c>
      <c r="G1023" t="s">
        <v>3901</v>
      </c>
      <c r="H1023" t="s">
        <v>611</v>
      </c>
      <c r="I1023" t="s">
        <v>209</v>
      </c>
      <c r="J1023" s="1">
        <v>45961</v>
      </c>
      <c r="K1023" t="s">
        <v>720</v>
      </c>
      <c r="L1023">
        <v>1</v>
      </c>
      <c r="M1023">
        <v>20748</v>
      </c>
      <c r="N1023" t="s">
        <v>710</v>
      </c>
      <c r="O1023" t="s">
        <v>1037</v>
      </c>
      <c r="P1023" t="s">
        <v>4777</v>
      </c>
      <c r="Q1023" t="s">
        <v>4852</v>
      </c>
      <c r="R1023" t="s">
        <v>4773</v>
      </c>
    </row>
    <row r="1024" spans="1:18" x14ac:dyDescent="0.3">
      <c r="A1024">
        <v>495</v>
      </c>
      <c r="B1024" t="s">
        <v>4875</v>
      </c>
      <c r="C1024" t="s">
        <v>550</v>
      </c>
      <c r="D1024" t="s">
        <v>189</v>
      </c>
      <c r="E1024" s="1">
        <v>46097</v>
      </c>
      <c r="F1024" t="s">
        <v>4338</v>
      </c>
      <c r="G1024" t="s">
        <v>3936</v>
      </c>
      <c r="H1024" t="s">
        <v>569</v>
      </c>
      <c r="I1024" t="s">
        <v>204</v>
      </c>
      <c r="J1024" s="1">
        <v>46599</v>
      </c>
      <c r="K1024" t="s">
        <v>768</v>
      </c>
      <c r="L1024">
        <v>23437.4</v>
      </c>
      <c r="M1024">
        <v>23437.4</v>
      </c>
      <c r="N1024" t="s">
        <v>710</v>
      </c>
      <c r="O1024" t="s">
        <v>4904</v>
      </c>
      <c r="P1024" t="s">
        <v>4792</v>
      </c>
      <c r="Q1024" t="s">
        <v>4904</v>
      </c>
      <c r="R1024" t="s">
        <v>4772</v>
      </c>
    </row>
    <row r="1025" spans="1:18" x14ac:dyDescent="0.3">
      <c r="A1025">
        <v>1373</v>
      </c>
      <c r="B1025" t="s">
        <v>4875</v>
      </c>
      <c r="C1025" t="s">
        <v>638</v>
      </c>
      <c r="D1025" t="s">
        <v>134</v>
      </c>
      <c r="E1025" s="1">
        <v>46097</v>
      </c>
      <c r="F1025" t="s">
        <v>4296</v>
      </c>
      <c r="G1025" t="s">
        <v>3871</v>
      </c>
      <c r="H1025" t="s">
        <v>639</v>
      </c>
      <c r="I1025" t="s">
        <v>204</v>
      </c>
      <c r="J1025" s="1">
        <v>46537</v>
      </c>
      <c r="K1025" t="s">
        <v>748</v>
      </c>
      <c r="L1025">
        <v>1301</v>
      </c>
      <c r="M1025">
        <v>1301</v>
      </c>
      <c r="N1025" t="s">
        <v>710</v>
      </c>
      <c r="O1025" t="s">
        <v>1040</v>
      </c>
      <c r="P1025" t="s">
        <v>4776</v>
      </c>
      <c r="Q1025" t="s">
        <v>4856</v>
      </c>
    </row>
    <row r="1026" spans="1:18" x14ac:dyDescent="0.3">
      <c r="A1026">
        <v>953</v>
      </c>
      <c r="B1026" t="s">
        <v>1034</v>
      </c>
      <c r="C1026" t="s">
        <v>319</v>
      </c>
      <c r="D1026" t="s">
        <v>36</v>
      </c>
      <c r="E1026" s="1">
        <v>46094</v>
      </c>
      <c r="F1026" t="s">
        <v>4298</v>
      </c>
      <c r="G1026" t="s">
        <v>3978</v>
      </c>
      <c r="H1026" t="s">
        <v>318</v>
      </c>
      <c r="I1026" t="s">
        <v>204</v>
      </c>
      <c r="J1026" s="1">
        <v>46214</v>
      </c>
      <c r="K1026" t="s">
        <v>711</v>
      </c>
      <c r="L1026">
        <v>1026</v>
      </c>
      <c r="M1026">
        <v>1025.54</v>
      </c>
      <c r="N1026" t="s">
        <v>710</v>
      </c>
      <c r="O1026" t="s">
        <v>1036</v>
      </c>
      <c r="P1026" t="s">
        <v>4784</v>
      </c>
      <c r="Q1026" t="s">
        <v>4901</v>
      </c>
      <c r="R1026" t="s">
        <v>4771</v>
      </c>
    </row>
    <row r="1027" spans="1:18" x14ac:dyDescent="0.3">
      <c r="A1027">
        <v>43178</v>
      </c>
      <c r="B1027" t="s">
        <v>1034</v>
      </c>
      <c r="C1027" t="s">
        <v>327</v>
      </c>
      <c r="D1027" t="s">
        <v>159</v>
      </c>
      <c r="E1027" s="1">
        <v>46094</v>
      </c>
      <c r="F1027" t="s">
        <v>4295</v>
      </c>
      <c r="G1027" t="s">
        <v>3974</v>
      </c>
      <c r="H1027" t="s">
        <v>357</v>
      </c>
      <c r="I1027" t="s">
        <v>204</v>
      </c>
      <c r="J1027" s="1">
        <v>46476</v>
      </c>
      <c r="K1027" t="s">
        <v>711</v>
      </c>
      <c r="L1027">
        <v>2483.25</v>
      </c>
      <c r="M1027">
        <v>2483.25</v>
      </c>
      <c r="N1027" t="s">
        <v>890</v>
      </c>
      <c r="O1027" t="s">
        <v>4834</v>
      </c>
      <c r="P1027" t="s">
        <v>4776</v>
      </c>
      <c r="Q1027" t="s">
        <v>4901</v>
      </c>
      <c r="R1027" t="s">
        <v>4773</v>
      </c>
    </row>
    <row r="1028" spans="1:18" x14ac:dyDescent="0.3">
      <c r="A1028">
        <v>43177</v>
      </c>
      <c r="B1028" t="s">
        <v>1034</v>
      </c>
      <c r="C1028" t="s">
        <v>327</v>
      </c>
      <c r="D1028" t="s">
        <v>159</v>
      </c>
      <c r="E1028" s="1">
        <v>46094</v>
      </c>
      <c r="F1028" t="s">
        <v>4295</v>
      </c>
      <c r="G1028" t="s">
        <v>3973</v>
      </c>
      <c r="H1028" t="s">
        <v>357</v>
      </c>
      <c r="I1028" t="s">
        <v>204</v>
      </c>
      <c r="J1028" s="1">
        <v>46476</v>
      </c>
      <c r="K1028" t="s">
        <v>711</v>
      </c>
      <c r="L1028">
        <v>2150</v>
      </c>
      <c r="M1028">
        <v>2150</v>
      </c>
      <c r="N1028" t="s">
        <v>890</v>
      </c>
      <c r="O1028" t="s">
        <v>4834</v>
      </c>
      <c r="P1028" t="s">
        <v>4776</v>
      </c>
      <c r="Q1028" t="s">
        <v>4901</v>
      </c>
      <c r="R1028" t="s">
        <v>4773</v>
      </c>
    </row>
    <row r="1029" spans="1:18" x14ac:dyDescent="0.3">
      <c r="A1029">
        <v>43176</v>
      </c>
      <c r="B1029" t="s">
        <v>1034</v>
      </c>
      <c r="C1029" t="s">
        <v>327</v>
      </c>
      <c r="D1029" t="s">
        <v>159</v>
      </c>
      <c r="E1029" s="1">
        <v>46094</v>
      </c>
      <c r="F1029" t="s">
        <v>4295</v>
      </c>
      <c r="G1029" t="s">
        <v>3972</v>
      </c>
      <c r="H1029" t="s">
        <v>357</v>
      </c>
      <c r="I1029" t="s">
        <v>204</v>
      </c>
      <c r="J1029" s="1">
        <v>46476</v>
      </c>
      <c r="K1029" t="s">
        <v>711</v>
      </c>
      <c r="L1029">
        <v>1483.65</v>
      </c>
      <c r="M1029">
        <v>1483.65</v>
      </c>
      <c r="N1029" t="s">
        <v>890</v>
      </c>
      <c r="O1029" t="s">
        <v>4834</v>
      </c>
      <c r="P1029" t="s">
        <v>4776</v>
      </c>
      <c r="Q1029" t="s">
        <v>4901</v>
      </c>
      <c r="R1029" t="s">
        <v>4773</v>
      </c>
    </row>
    <row r="1030" spans="1:18" x14ac:dyDescent="0.3">
      <c r="A1030">
        <v>170391</v>
      </c>
      <c r="B1030" t="s">
        <v>4874</v>
      </c>
      <c r="C1030" t="s">
        <v>301</v>
      </c>
      <c r="D1030" t="s">
        <v>23</v>
      </c>
      <c r="E1030" s="1">
        <v>46094</v>
      </c>
      <c r="F1030" t="s">
        <v>4321</v>
      </c>
      <c r="G1030" t="s">
        <v>3967</v>
      </c>
      <c r="H1030" t="s">
        <v>300</v>
      </c>
      <c r="I1030" t="s">
        <v>204</v>
      </c>
      <c r="J1030" s="1">
        <v>46418</v>
      </c>
      <c r="K1030" t="s">
        <v>720</v>
      </c>
      <c r="L1030">
        <v>1</v>
      </c>
      <c r="M1030">
        <v>5208.8900000000003</v>
      </c>
      <c r="N1030" t="s">
        <v>710</v>
      </c>
      <c r="O1030" t="s">
        <v>1038</v>
      </c>
      <c r="P1030" t="s">
        <v>4782</v>
      </c>
      <c r="Q1030" t="s">
        <v>4858</v>
      </c>
      <c r="R1030" t="s">
        <v>4773</v>
      </c>
    </row>
    <row r="1031" spans="1:18" x14ac:dyDescent="0.3">
      <c r="A1031">
        <v>12641</v>
      </c>
      <c r="B1031" t="s">
        <v>4874</v>
      </c>
      <c r="C1031" t="s">
        <v>237</v>
      </c>
      <c r="D1031" t="s">
        <v>4</v>
      </c>
      <c r="E1031" s="1">
        <v>46094</v>
      </c>
      <c r="F1031" t="s">
        <v>4368</v>
      </c>
      <c r="G1031" t="s">
        <v>3966</v>
      </c>
      <c r="H1031" t="s">
        <v>236</v>
      </c>
      <c r="I1031" t="s">
        <v>204</v>
      </c>
      <c r="J1031" s="1">
        <v>54878</v>
      </c>
      <c r="K1031" t="s">
        <v>720</v>
      </c>
      <c r="L1031">
        <v>1</v>
      </c>
      <c r="M1031">
        <v>5271</v>
      </c>
      <c r="N1031" t="s">
        <v>710</v>
      </c>
      <c r="O1031" t="s">
        <v>1038</v>
      </c>
      <c r="P1031" t="s">
        <v>4776</v>
      </c>
      <c r="Q1031" t="s">
        <v>4858</v>
      </c>
      <c r="R1031" t="s">
        <v>4771</v>
      </c>
    </row>
    <row r="1032" spans="1:18" x14ac:dyDescent="0.3">
      <c r="A1032">
        <v>10966</v>
      </c>
      <c r="B1032" t="s">
        <v>4874</v>
      </c>
      <c r="C1032" t="s">
        <v>546</v>
      </c>
      <c r="D1032" t="s">
        <v>75</v>
      </c>
      <c r="E1032" s="1">
        <v>46094</v>
      </c>
      <c r="F1032" t="s">
        <v>4355</v>
      </c>
      <c r="G1032" t="s">
        <v>3963</v>
      </c>
      <c r="H1032" t="s">
        <v>581</v>
      </c>
      <c r="I1032" t="s">
        <v>204</v>
      </c>
      <c r="J1032" s="1">
        <v>46233</v>
      </c>
      <c r="K1032" t="s">
        <v>720</v>
      </c>
      <c r="L1032">
        <v>1</v>
      </c>
      <c r="M1032">
        <v>3650</v>
      </c>
      <c r="N1032" t="s">
        <v>814</v>
      </c>
      <c r="O1032" t="s">
        <v>1038</v>
      </c>
      <c r="P1032" t="s">
        <v>4779</v>
      </c>
      <c r="Q1032" t="s">
        <v>4858</v>
      </c>
      <c r="R1032" t="s">
        <v>4773</v>
      </c>
    </row>
    <row r="1033" spans="1:18" x14ac:dyDescent="0.3">
      <c r="A1033">
        <v>10964</v>
      </c>
      <c r="B1033" t="s">
        <v>4874</v>
      </c>
      <c r="C1033" t="s">
        <v>546</v>
      </c>
      <c r="D1033" t="s">
        <v>75</v>
      </c>
      <c r="E1033" s="1">
        <v>46094</v>
      </c>
      <c r="F1033" t="s">
        <v>4355</v>
      </c>
      <c r="G1033" t="s">
        <v>3963</v>
      </c>
      <c r="H1033" t="s">
        <v>581</v>
      </c>
      <c r="I1033" t="s">
        <v>204</v>
      </c>
      <c r="J1033" s="1">
        <v>46233</v>
      </c>
      <c r="K1033" t="s">
        <v>720</v>
      </c>
      <c r="L1033">
        <v>1</v>
      </c>
      <c r="M1033">
        <v>3090.55</v>
      </c>
      <c r="N1033" t="s">
        <v>814</v>
      </c>
      <c r="O1033" t="s">
        <v>1038</v>
      </c>
      <c r="P1033" t="s">
        <v>4779</v>
      </c>
      <c r="Q1033" t="s">
        <v>4858</v>
      </c>
      <c r="R1033" t="s">
        <v>4773</v>
      </c>
    </row>
    <row r="1034" spans="1:18" x14ac:dyDescent="0.3">
      <c r="A1034">
        <v>392</v>
      </c>
      <c r="B1034" t="s">
        <v>4874</v>
      </c>
      <c r="C1034" t="s">
        <v>645</v>
      </c>
      <c r="D1034" t="s">
        <v>76</v>
      </c>
      <c r="E1034" s="1">
        <v>46094</v>
      </c>
      <c r="F1034" t="s">
        <v>4318</v>
      </c>
      <c r="G1034" t="s">
        <v>3962</v>
      </c>
      <c r="H1034" t="s">
        <v>644</v>
      </c>
      <c r="I1034" t="s">
        <v>204</v>
      </c>
      <c r="J1034" s="1">
        <v>46478</v>
      </c>
      <c r="K1034" t="s">
        <v>720</v>
      </c>
      <c r="L1034">
        <v>1</v>
      </c>
      <c r="M1034">
        <v>4027.7</v>
      </c>
      <c r="N1034" t="s">
        <v>710</v>
      </c>
      <c r="O1034" t="s">
        <v>1038</v>
      </c>
      <c r="P1034" t="s">
        <v>4776</v>
      </c>
      <c r="Q1034" t="s">
        <v>4858</v>
      </c>
      <c r="R1034" t="s">
        <v>4773</v>
      </c>
    </row>
    <row r="1035" spans="1:18" x14ac:dyDescent="0.3">
      <c r="A1035">
        <v>7485</v>
      </c>
      <c r="B1035" t="s">
        <v>4874</v>
      </c>
      <c r="C1035" t="s">
        <v>628</v>
      </c>
      <c r="D1035" t="s">
        <v>25</v>
      </c>
      <c r="E1035" s="1">
        <v>46094</v>
      </c>
      <c r="F1035" t="s">
        <v>4415</v>
      </c>
      <c r="G1035" t="s">
        <v>3968</v>
      </c>
      <c r="H1035" t="s">
        <v>627</v>
      </c>
      <c r="I1035" t="s">
        <v>209</v>
      </c>
      <c r="J1035" s="1">
        <v>46476</v>
      </c>
      <c r="K1035" t="s">
        <v>720</v>
      </c>
      <c r="L1035">
        <v>1</v>
      </c>
      <c r="M1035">
        <v>380</v>
      </c>
      <c r="N1035" t="s">
        <v>710</v>
      </c>
      <c r="O1035" t="s">
        <v>1038</v>
      </c>
      <c r="P1035" t="s">
        <v>4776</v>
      </c>
      <c r="Q1035" t="s">
        <v>4858</v>
      </c>
      <c r="R1035" t="s">
        <v>4771</v>
      </c>
    </row>
    <row r="1036" spans="1:18" x14ac:dyDescent="0.3">
      <c r="A1036">
        <v>7485</v>
      </c>
      <c r="B1036" t="s">
        <v>4874</v>
      </c>
      <c r="C1036" t="s">
        <v>628</v>
      </c>
      <c r="D1036" t="s">
        <v>25</v>
      </c>
      <c r="E1036" s="1">
        <v>46094</v>
      </c>
      <c r="F1036" t="s">
        <v>4415</v>
      </c>
      <c r="G1036" t="s">
        <v>3968</v>
      </c>
      <c r="H1036" t="s">
        <v>627</v>
      </c>
      <c r="I1036" t="s">
        <v>209</v>
      </c>
      <c r="J1036" s="1">
        <v>46476</v>
      </c>
      <c r="K1036" t="s">
        <v>720</v>
      </c>
      <c r="L1036">
        <v>1</v>
      </c>
      <c r="M1036">
        <v>380</v>
      </c>
      <c r="N1036" t="s">
        <v>710</v>
      </c>
      <c r="O1036" t="s">
        <v>1038</v>
      </c>
      <c r="P1036" t="s">
        <v>4776</v>
      </c>
      <c r="Q1036" t="s">
        <v>4858</v>
      </c>
      <c r="R1036" t="s">
        <v>4771</v>
      </c>
    </row>
    <row r="1037" spans="1:18" x14ac:dyDescent="0.3">
      <c r="A1037">
        <v>7485</v>
      </c>
      <c r="B1037" t="s">
        <v>4874</v>
      </c>
      <c r="C1037" t="s">
        <v>628</v>
      </c>
      <c r="D1037" t="s">
        <v>25</v>
      </c>
      <c r="E1037" s="1">
        <v>46094</v>
      </c>
      <c r="F1037" t="s">
        <v>4415</v>
      </c>
      <c r="G1037" t="s">
        <v>3686</v>
      </c>
      <c r="H1037" t="s">
        <v>627</v>
      </c>
      <c r="I1037" t="s">
        <v>209</v>
      </c>
      <c r="J1037" s="1">
        <v>46476</v>
      </c>
      <c r="K1037" t="s">
        <v>720</v>
      </c>
      <c r="L1037">
        <v>1</v>
      </c>
      <c r="M1037">
        <v>380</v>
      </c>
      <c r="N1037" t="s">
        <v>710</v>
      </c>
      <c r="O1037" t="s">
        <v>1038</v>
      </c>
      <c r="P1037" t="s">
        <v>4776</v>
      </c>
      <c r="Q1037" t="s">
        <v>4858</v>
      </c>
      <c r="R1037" t="s">
        <v>4771</v>
      </c>
    </row>
    <row r="1038" spans="1:18" x14ac:dyDescent="0.3">
      <c r="A1038">
        <v>222062</v>
      </c>
      <c r="B1038" t="s">
        <v>4874</v>
      </c>
      <c r="C1038" t="s">
        <v>441</v>
      </c>
      <c r="D1038" t="s">
        <v>38</v>
      </c>
      <c r="E1038" s="1">
        <v>46094</v>
      </c>
      <c r="F1038" t="s">
        <v>4393</v>
      </c>
      <c r="G1038" t="s">
        <v>3946</v>
      </c>
      <c r="H1038" t="s">
        <v>440</v>
      </c>
      <c r="I1038" t="s">
        <v>204</v>
      </c>
      <c r="J1038" s="1">
        <v>46191</v>
      </c>
      <c r="K1038" t="s">
        <v>762</v>
      </c>
      <c r="L1038">
        <v>11315</v>
      </c>
      <c r="M1038">
        <v>11315</v>
      </c>
      <c r="N1038" t="s">
        <v>710</v>
      </c>
      <c r="O1038" t="s">
        <v>4833</v>
      </c>
      <c r="P1038" t="s">
        <v>4786</v>
      </c>
      <c r="Q1038" t="s">
        <v>4852</v>
      </c>
      <c r="R1038" t="s">
        <v>4773</v>
      </c>
    </row>
    <row r="1039" spans="1:18" x14ac:dyDescent="0.3">
      <c r="A1039">
        <v>193217</v>
      </c>
      <c r="B1039" t="s">
        <v>4874</v>
      </c>
      <c r="C1039" t="s">
        <v>411</v>
      </c>
      <c r="D1039" t="s">
        <v>154</v>
      </c>
      <c r="E1039" s="1">
        <v>46094</v>
      </c>
      <c r="F1039" t="s">
        <v>4315</v>
      </c>
      <c r="G1039" t="s">
        <v>3945</v>
      </c>
      <c r="H1039" t="s">
        <v>410</v>
      </c>
      <c r="I1039" t="s">
        <v>204</v>
      </c>
      <c r="J1039" s="1">
        <v>46344</v>
      </c>
      <c r="K1039" t="s">
        <v>762</v>
      </c>
      <c r="L1039">
        <v>3523.96</v>
      </c>
      <c r="M1039">
        <v>3523.96</v>
      </c>
      <c r="N1039" t="s">
        <v>710</v>
      </c>
      <c r="O1039" t="s">
        <v>4833</v>
      </c>
      <c r="P1039" t="s">
        <v>4776</v>
      </c>
      <c r="Q1039" t="s">
        <v>4852</v>
      </c>
      <c r="R1039" t="s">
        <v>4773</v>
      </c>
    </row>
    <row r="1040" spans="1:18" x14ac:dyDescent="0.3">
      <c r="A1040">
        <v>31426</v>
      </c>
      <c r="B1040" t="s">
        <v>4874</v>
      </c>
      <c r="C1040" t="s">
        <v>592</v>
      </c>
      <c r="D1040" t="s">
        <v>8</v>
      </c>
      <c r="E1040" s="1">
        <v>46094</v>
      </c>
      <c r="F1040" t="s">
        <v>4363</v>
      </c>
      <c r="G1040" t="s">
        <v>3993</v>
      </c>
      <c r="H1040" t="s">
        <v>683</v>
      </c>
      <c r="I1040" t="s">
        <v>204</v>
      </c>
      <c r="J1040" s="1">
        <v>46387</v>
      </c>
      <c r="K1040" t="s">
        <v>762</v>
      </c>
      <c r="L1040">
        <v>750.24</v>
      </c>
      <c r="M1040">
        <v>750.24</v>
      </c>
      <c r="N1040" t="s">
        <v>890</v>
      </c>
      <c r="O1040" t="s">
        <v>4833</v>
      </c>
      <c r="P1040" t="s">
        <v>950</v>
      </c>
      <c r="Q1040" t="s">
        <v>4852</v>
      </c>
      <c r="R1040" t="s">
        <v>807</v>
      </c>
    </row>
    <row r="1041" spans="1:18" x14ac:dyDescent="0.3">
      <c r="A1041">
        <v>415338</v>
      </c>
      <c r="B1041" t="s">
        <v>4875</v>
      </c>
      <c r="C1041" t="s">
        <v>435</v>
      </c>
      <c r="D1041" t="s">
        <v>30</v>
      </c>
      <c r="E1041" s="1">
        <v>46094</v>
      </c>
      <c r="F1041" t="s">
        <v>4351</v>
      </c>
      <c r="G1041" t="s">
        <v>3989</v>
      </c>
      <c r="H1041" t="s">
        <v>434</v>
      </c>
      <c r="I1041" t="s">
        <v>204</v>
      </c>
      <c r="J1041" s="1">
        <v>46752</v>
      </c>
      <c r="K1041" t="s">
        <v>785</v>
      </c>
      <c r="L1041">
        <v>1</v>
      </c>
      <c r="M1041">
        <v>108525.75</v>
      </c>
      <c r="N1041" t="s">
        <v>998</v>
      </c>
      <c r="O1041" t="s">
        <v>1038</v>
      </c>
      <c r="P1041" t="s">
        <v>4787</v>
      </c>
      <c r="Q1041" t="s">
        <v>4858</v>
      </c>
      <c r="R1041" t="s">
        <v>4771</v>
      </c>
    </row>
    <row r="1042" spans="1:18" x14ac:dyDescent="0.3">
      <c r="A1042">
        <v>45</v>
      </c>
      <c r="B1042" t="s">
        <v>4875</v>
      </c>
      <c r="C1042" t="s">
        <v>322</v>
      </c>
      <c r="D1042" t="s">
        <v>158</v>
      </c>
      <c r="E1042" s="1">
        <v>46094</v>
      </c>
      <c r="F1042" t="s">
        <v>4432</v>
      </c>
      <c r="G1042" t="s">
        <v>3885</v>
      </c>
      <c r="H1042" t="s">
        <v>352</v>
      </c>
      <c r="I1042" t="s">
        <v>204</v>
      </c>
      <c r="J1042" s="1">
        <v>46310</v>
      </c>
      <c r="K1042" t="s">
        <v>748</v>
      </c>
      <c r="L1042">
        <v>1</v>
      </c>
      <c r="M1042">
        <v>2158.92</v>
      </c>
      <c r="N1042" t="s">
        <v>710</v>
      </c>
      <c r="O1042" t="s">
        <v>1040</v>
      </c>
      <c r="P1042" t="s">
        <v>4782</v>
      </c>
      <c r="Q1042" t="s">
        <v>4856</v>
      </c>
      <c r="R1042" t="s">
        <v>4773</v>
      </c>
    </row>
    <row r="1043" spans="1:18" x14ac:dyDescent="0.3">
      <c r="A1043">
        <v>44</v>
      </c>
      <c r="B1043" t="s">
        <v>4875</v>
      </c>
      <c r="C1043" t="s">
        <v>322</v>
      </c>
      <c r="D1043" t="s">
        <v>158</v>
      </c>
      <c r="E1043" s="1">
        <v>46094</v>
      </c>
      <c r="F1043" t="s">
        <v>4431</v>
      </c>
      <c r="G1043" t="s">
        <v>3884</v>
      </c>
      <c r="H1043" t="s">
        <v>321</v>
      </c>
      <c r="I1043" t="s">
        <v>204</v>
      </c>
      <c r="J1043" s="1">
        <v>46310</v>
      </c>
      <c r="K1043" t="s">
        <v>748</v>
      </c>
      <c r="L1043">
        <v>1</v>
      </c>
      <c r="M1043">
        <v>9534.66</v>
      </c>
      <c r="N1043" t="s">
        <v>710</v>
      </c>
      <c r="O1043" t="s">
        <v>1040</v>
      </c>
      <c r="P1043" t="s">
        <v>4782</v>
      </c>
      <c r="Q1043" t="s">
        <v>4856</v>
      </c>
      <c r="R1043" t="s">
        <v>4773</v>
      </c>
    </row>
    <row r="1044" spans="1:18" x14ac:dyDescent="0.3">
      <c r="A1044">
        <v>43</v>
      </c>
      <c r="B1044" t="s">
        <v>4875</v>
      </c>
      <c r="C1044" t="s">
        <v>322</v>
      </c>
      <c r="D1044" t="s">
        <v>158</v>
      </c>
      <c r="E1044" s="1">
        <v>46094</v>
      </c>
      <c r="F1044" t="s">
        <v>4433</v>
      </c>
      <c r="G1044" t="s">
        <v>3883</v>
      </c>
      <c r="H1044" t="s">
        <v>346</v>
      </c>
      <c r="I1044" t="s">
        <v>204</v>
      </c>
      <c r="J1044" s="1">
        <v>46310</v>
      </c>
      <c r="K1044" t="s">
        <v>748</v>
      </c>
      <c r="L1044">
        <v>1</v>
      </c>
      <c r="M1044">
        <v>21660</v>
      </c>
      <c r="N1044" t="s">
        <v>710</v>
      </c>
      <c r="O1044" t="s">
        <v>1040</v>
      </c>
      <c r="P1044" t="s">
        <v>4782</v>
      </c>
      <c r="Q1044" t="s">
        <v>4856</v>
      </c>
      <c r="R1044" t="s">
        <v>4773</v>
      </c>
    </row>
    <row r="1045" spans="1:18" x14ac:dyDescent="0.3">
      <c r="A1045">
        <v>43175</v>
      </c>
      <c r="B1045" t="s">
        <v>1034</v>
      </c>
      <c r="C1045" t="s">
        <v>327</v>
      </c>
      <c r="D1045" t="s">
        <v>159</v>
      </c>
      <c r="E1045" s="1">
        <v>46094</v>
      </c>
      <c r="F1045" t="s">
        <v>4295</v>
      </c>
      <c r="G1045" t="s">
        <v>3971</v>
      </c>
      <c r="H1045" t="s">
        <v>357</v>
      </c>
      <c r="I1045" t="s">
        <v>204</v>
      </c>
      <c r="J1045" s="1">
        <v>46476</v>
      </c>
      <c r="K1045" t="s">
        <v>711</v>
      </c>
      <c r="L1045">
        <v>2150</v>
      </c>
      <c r="M1045">
        <v>2150</v>
      </c>
      <c r="N1045" t="s">
        <v>890</v>
      </c>
      <c r="O1045" t="s">
        <v>4834</v>
      </c>
      <c r="P1045" t="s">
        <v>4776</v>
      </c>
      <c r="Q1045" t="s">
        <v>4901</v>
      </c>
      <c r="R1045" t="s">
        <v>4773</v>
      </c>
    </row>
    <row r="1046" spans="1:18" x14ac:dyDescent="0.3">
      <c r="A1046">
        <v>121654</v>
      </c>
      <c r="B1046" t="s">
        <v>1034</v>
      </c>
      <c r="C1046" t="s">
        <v>497</v>
      </c>
      <c r="D1046" t="s">
        <v>58</v>
      </c>
      <c r="E1046" s="1">
        <v>46094</v>
      </c>
      <c r="F1046" t="s">
        <v>4354</v>
      </c>
      <c r="G1046" t="s">
        <v>3983</v>
      </c>
      <c r="H1046" t="s">
        <v>496</v>
      </c>
      <c r="I1046" t="s">
        <v>204</v>
      </c>
      <c r="J1046" s="1">
        <v>46265</v>
      </c>
      <c r="K1046" t="s">
        <v>717</v>
      </c>
      <c r="L1046">
        <v>1</v>
      </c>
      <c r="M1046">
        <v>4397.3900000000003</v>
      </c>
      <c r="N1046" t="s">
        <v>710</v>
      </c>
      <c r="O1046" t="s">
        <v>4833</v>
      </c>
      <c r="P1046" t="s">
        <v>4776</v>
      </c>
      <c r="Q1046" t="s">
        <v>4852</v>
      </c>
      <c r="R1046" t="s">
        <v>4773</v>
      </c>
    </row>
    <row r="1047" spans="1:18" x14ac:dyDescent="0.3">
      <c r="A1047">
        <v>4683</v>
      </c>
      <c r="B1047" t="s">
        <v>1034</v>
      </c>
      <c r="C1047" t="s">
        <v>319</v>
      </c>
      <c r="D1047" t="s">
        <v>36</v>
      </c>
      <c r="E1047" s="1">
        <v>46094</v>
      </c>
      <c r="F1047" t="s">
        <v>4298</v>
      </c>
      <c r="G1047" t="s">
        <v>3977</v>
      </c>
      <c r="H1047" t="s">
        <v>318</v>
      </c>
      <c r="I1047" t="s">
        <v>204</v>
      </c>
      <c r="J1047" s="1">
        <v>46214</v>
      </c>
      <c r="K1047" t="s">
        <v>711</v>
      </c>
      <c r="L1047">
        <v>1325</v>
      </c>
      <c r="M1047">
        <v>1325.38</v>
      </c>
      <c r="N1047" t="s">
        <v>710</v>
      </c>
      <c r="O1047" t="s">
        <v>1036</v>
      </c>
      <c r="P1047" t="s">
        <v>4784</v>
      </c>
      <c r="Q1047" t="s">
        <v>4901</v>
      </c>
      <c r="R1047" t="s">
        <v>4771</v>
      </c>
    </row>
    <row r="1048" spans="1:18" x14ac:dyDescent="0.3">
      <c r="A1048">
        <v>675877</v>
      </c>
      <c r="B1048" t="s">
        <v>1034</v>
      </c>
      <c r="C1048" t="s">
        <v>333</v>
      </c>
      <c r="D1048" t="s">
        <v>29</v>
      </c>
      <c r="E1048" s="1">
        <v>46093</v>
      </c>
      <c r="F1048" t="s">
        <v>4317</v>
      </c>
      <c r="G1048" t="s">
        <v>3988</v>
      </c>
      <c r="H1048" t="s">
        <v>332</v>
      </c>
      <c r="I1048" t="s">
        <v>204</v>
      </c>
      <c r="J1048" s="1">
        <v>54878</v>
      </c>
      <c r="K1048" t="s">
        <v>711</v>
      </c>
      <c r="L1048">
        <v>708</v>
      </c>
      <c r="M1048">
        <v>707.93</v>
      </c>
      <c r="N1048" t="s">
        <v>710</v>
      </c>
      <c r="O1048" t="s">
        <v>1036</v>
      </c>
      <c r="P1048" t="s">
        <v>4776</v>
      </c>
      <c r="Q1048" t="s">
        <v>4901</v>
      </c>
      <c r="R1048" t="s">
        <v>4771</v>
      </c>
    </row>
    <row r="1049" spans="1:18" x14ac:dyDescent="0.3">
      <c r="A1049">
        <v>45891</v>
      </c>
      <c r="B1049" t="s">
        <v>1034</v>
      </c>
      <c r="C1049" t="s">
        <v>500</v>
      </c>
      <c r="D1049" t="s">
        <v>16</v>
      </c>
      <c r="E1049" s="1">
        <v>46093</v>
      </c>
      <c r="F1049" t="s">
        <v>4306</v>
      </c>
      <c r="G1049" t="s">
        <v>3958</v>
      </c>
      <c r="H1049" t="s">
        <v>499</v>
      </c>
      <c r="I1049" t="s">
        <v>204</v>
      </c>
      <c r="J1049" s="1">
        <v>54878</v>
      </c>
      <c r="K1049" t="s">
        <v>717</v>
      </c>
      <c r="L1049">
        <v>1633.45</v>
      </c>
      <c r="M1049">
        <v>1633.45</v>
      </c>
      <c r="N1049" t="s">
        <v>710</v>
      </c>
      <c r="O1049" t="s">
        <v>4833</v>
      </c>
      <c r="P1049" t="s">
        <v>4786</v>
      </c>
      <c r="Q1049" t="s">
        <v>4852</v>
      </c>
      <c r="R1049" t="s">
        <v>4773</v>
      </c>
    </row>
    <row r="1050" spans="1:18" x14ac:dyDescent="0.3">
      <c r="A1050">
        <v>19471435</v>
      </c>
      <c r="B1050" t="s">
        <v>1034</v>
      </c>
      <c r="C1050" t="s">
        <v>678</v>
      </c>
      <c r="D1050" t="s">
        <v>181</v>
      </c>
      <c r="E1050" s="1">
        <v>46093</v>
      </c>
      <c r="F1050" t="s">
        <v>4382</v>
      </c>
      <c r="G1050" t="s">
        <v>3916</v>
      </c>
      <c r="H1050" t="s">
        <v>677</v>
      </c>
      <c r="I1050" t="s">
        <v>204</v>
      </c>
      <c r="J1050" s="1">
        <v>46387</v>
      </c>
      <c r="K1050" t="s">
        <v>717</v>
      </c>
      <c r="L1050">
        <v>1</v>
      </c>
      <c r="M1050">
        <v>32366.36</v>
      </c>
      <c r="N1050" t="s">
        <v>719</v>
      </c>
      <c r="O1050" t="s">
        <v>1037</v>
      </c>
      <c r="P1050" t="s">
        <v>4794</v>
      </c>
      <c r="Q1050" t="s">
        <v>4852</v>
      </c>
      <c r="R1050" t="s">
        <v>807</v>
      </c>
    </row>
    <row r="1051" spans="1:18" x14ac:dyDescent="0.3">
      <c r="A1051">
        <v>530543</v>
      </c>
      <c r="B1051" t="s">
        <v>4874</v>
      </c>
      <c r="C1051" t="s">
        <v>298</v>
      </c>
      <c r="D1051" t="s">
        <v>11</v>
      </c>
      <c r="E1051" s="1">
        <v>46093</v>
      </c>
      <c r="F1051" t="s">
        <v>4297</v>
      </c>
      <c r="G1051" t="s">
        <v>3964</v>
      </c>
      <c r="H1051" t="s">
        <v>297</v>
      </c>
      <c r="I1051" t="s">
        <v>204</v>
      </c>
      <c r="J1051" s="1">
        <v>54878</v>
      </c>
      <c r="K1051" t="s">
        <v>720</v>
      </c>
      <c r="L1051">
        <v>1</v>
      </c>
      <c r="M1051">
        <v>1106.74</v>
      </c>
      <c r="N1051" t="s">
        <v>710</v>
      </c>
      <c r="O1051" t="s">
        <v>1038</v>
      </c>
      <c r="P1051" t="s">
        <v>4779</v>
      </c>
      <c r="Q1051" t="s">
        <v>4858</v>
      </c>
      <c r="R1051" t="s">
        <v>4771</v>
      </c>
    </row>
    <row r="1052" spans="1:18" x14ac:dyDescent="0.3">
      <c r="A1052">
        <v>767165</v>
      </c>
      <c r="B1052" t="s">
        <v>4874</v>
      </c>
      <c r="C1052" t="s">
        <v>409</v>
      </c>
      <c r="D1052" t="s">
        <v>28</v>
      </c>
      <c r="E1052" s="1">
        <v>46093</v>
      </c>
      <c r="F1052" t="s">
        <v>4388</v>
      </c>
      <c r="G1052" t="s">
        <v>3981</v>
      </c>
      <c r="H1052" t="s">
        <v>408</v>
      </c>
      <c r="I1052" t="s">
        <v>204</v>
      </c>
      <c r="J1052" s="1">
        <v>54878</v>
      </c>
      <c r="K1052" t="s">
        <v>762</v>
      </c>
      <c r="L1052">
        <v>210</v>
      </c>
      <c r="M1052">
        <v>210</v>
      </c>
      <c r="N1052" t="s">
        <v>710</v>
      </c>
      <c r="O1052" t="s">
        <v>4833</v>
      </c>
      <c r="P1052" t="s">
        <v>4776</v>
      </c>
      <c r="Q1052" t="s">
        <v>4852</v>
      </c>
      <c r="R1052" t="s">
        <v>4773</v>
      </c>
    </row>
    <row r="1053" spans="1:18" x14ac:dyDescent="0.3">
      <c r="A1053">
        <v>2432</v>
      </c>
      <c r="B1053" t="s">
        <v>4875</v>
      </c>
      <c r="C1053" t="s">
        <v>616</v>
      </c>
      <c r="D1053" t="s">
        <v>152</v>
      </c>
      <c r="E1053" s="1">
        <v>46093</v>
      </c>
      <c r="F1053" t="s">
        <v>4338</v>
      </c>
      <c r="G1053" t="s">
        <v>3840</v>
      </c>
      <c r="H1053" t="s">
        <v>622</v>
      </c>
      <c r="I1053" t="s">
        <v>204</v>
      </c>
      <c r="J1053" s="1">
        <v>46351</v>
      </c>
      <c r="K1053" t="s">
        <v>748</v>
      </c>
      <c r="L1053">
        <v>28600.99</v>
      </c>
      <c r="M1053">
        <v>28600.99</v>
      </c>
      <c r="N1053" t="s">
        <v>710</v>
      </c>
      <c r="O1053" t="s">
        <v>4904</v>
      </c>
      <c r="P1053" t="s">
        <v>4796</v>
      </c>
      <c r="Q1053" t="s">
        <v>4856</v>
      </c>
      <c r="R1053" t="s">
        <v>4772</v>
      </c>
    </row>
    <row r="1054" spans="1:18" x14ac:dyDescent="0.3">
      <c r="A1054">
        <v>677993</v>
      </c>
      <c r="B1054" t="s">
        <v>4875</v>
      </c>
      <c r="C1054" t="s">
        <v>333</v>
      </c>
      <c r="D1054" t="s">
        <v>29</v>
      </c>
      <c r="E1054" s="1">
        <v>46093</v>
      </c>
      <c r="F1054" t="s">
        <v>4317</v>
      </c>
      <c r="G1054" t="s">
        <v>3986</v>
      </c>
      <c r="H1054" t="s">
        <v>335</v>
      </c>
      <c r="I1054" t="s">
        <v>204</v>
      </c>
      <c r="J1054" s="1">
        <v>54878</v>
      </c>
      <c r="K1054" t="s">
        <v>748</v>
      </c>
      <c r="L1054">
        <v>686</v>
      </c>
      <c r="M1054">
        <v>685.58</v>
      </c>
      <c r="N1054" t="s">
        <v>710</v>
      </c>
      <c r="O1054" t="s">
        <v>1040</v>
      </c>
      <c r="P1054" t="s">
        <v>4776</v>
      </c>
      <c r="Q1054" t="s">
        <v>4856</v>
      </c>
      <c r="R1054" t="s">
        <v>4771</v>
      </c>
    </row>
    <row r="1055" spans="1:18" x14ac:dyDescent="0.3">
      <c r="A1055">
        <v>685978</v>
      </c>
      <c r="B1055" t="s">
        <v>4874</v>
      </c>
      <c r="C1055" t="s">
        <v>333</v>
      </c>
      <c r="D1055" t="s">
        <v>29</v>
      </c>
      <c r="E1055" s="1">
        <v>46093</v>
      </c>
      <c r="F1055" t="s">
        <v>4317</v>
      </c>
      <c r="G1055" t="s">
        <v>3987</v>
      </c>
      <c r="H1055" t="s">
        <v>460</v>
      </c>
      <c r="I1055" t="s">
        <v>204</v>
      </c>
      <c r="J1055" s="1">
        <v>54878</v>
      </c>
      <c r="K1055" t="s">
        <v>785</v>
      </c>
      <c r="L1055">
        <v>1</v>
      </c>
      <c r="M1055">
        <v>710.19</v>
      </c>
      <c r="N1055" t="s">
        <v>710</v>
      </c>
      <c r="O1055" t="s">
        <v>1038</v>
      </c>
      <c r="P1055" t="s">
        <v>4776</v>
      </c>
      <c r="Q1055" t="s">
        <v>4858</v>
      </c>
      <c r="R1055" t="s">
        <v>4771</v>
      </c>
    </row>
    <row r="1056" spans="1:18" x14ac:dyDescent="0.3">
      <c r="A1056">
        <v>112172</v>
      </c>
      <c r="B1056" t="s">
        <v>4874</v>
      </c>
      <c r="C1056" t="s">
        <v>379</v>
      </c>
      <c r="D1056" t="s">
        <v>131</v>
      </c>
      <c r="E1056" s="1">
        <v>46093</v>
      </c>
      <c r="F1056" t="s">
        <v>4315</v>
      </c>
      <c r="G1056" t="s">
        <v>3932</v>
      </c>
      <c r="H1056" t="s">
        <v>378</v>
      </c>
      <c r="I1056" t="s">
        <v>204</v>
      </c>
      <c r="J1056" s="1">
        <v>54878</v>
      </c>
      <c r="K1056" t="s">
        <v>762</v>
      </c>
      <c r="L1056">
        <v>68.510000000000005</v>
      </c>
      <c r="M1056">
        <v>68.510000000000005</v>
      </c>
      <c r="N1056" t="s">
        <v>710</v>
      </c>
      <c r="O1056" t="s">
        <v>4833</v>
      </c>
      <c r="P1056" t="s">
        <v>4776</v>
      </c>
      <c r="Q1056" t="s">
        <v>4852</v>
      </c>
      <c r="R1056" t="s">
        <v>4773</v>
      </c>
    </row>
    <row r="1057" spans="1:18" x14ac:dyDescent="0.3">
      <c r="A1057">
        <v>295143</v>
      </c>
      <c r="B1057" t="s">
        <v>4874</v>
      </c>
      <c r="C1057" t="s">
        <v>391</v>
      </c>
      <c r="D1057" t="s">
        <v>104</v>
      </c>
      <c r="E1057" s="1">
        <v>46093</v>
      </c>
      <c r="F1057" t="s">
        <v>4423</v>
      </c>
      <c r="G1057" t="s">
        <v>3950</v>
      </c>
      <c r="H1057" t="s">
        <v>390</v>
      </c>
      <c r="I1057" t="s">
        <v>204</v>
      </c>
      <c r="J1057" s="1">
        <v>54878</v>
      </c>
      <c r="K1057" t="s">
        <v>762</v>
      </c>
      <c r="L1057">
        <v>312.67</v>
      </c>
      <c r="M1057">
        <v>312.67</v>
      </c>
      <c r="N1057" t="s">
        <v>710</v>
      </c>
      <c r="O1057" t="s">
        <v>4833</v>
      </c>
      <c r="P1057" t="s">
        <v>4776</v>
      </c>
      <c r="Q1057" t="s">
        <v>4852</v>
      </c>
      <c r="R1057" t="s">
        <v>4773</v>
      </c>
    </row>
    <row r="1058" spans="1:18" x14ac:dyDescent="0.3">
      <c r="A1058">
        <v>599653</v>
      </c>
      <c r="B1058" t="s">
        <v>4874</v>
      </c>
      <c r="C1058" t="s">
        <v>248</v>
      </c>
      <c r="D1058" t="s">
        <v>13</v>
      </c>
      <c r="E1058" s="1">
        <v>46093</v>
      </c>
      <c r="F1058" t="s">
        <v>4297</v>
      </c>
      <c r="G1058" t="s">
        <v>3965</v>
      </c>
      <c r="H1058" t="s">
        <v>247</v>
      </c>
      <c r="I1058" t="s">
        <v>204</v>
      </c>
      <c r="J1058" s="1">
        <v>54878</v>
      </c>
      <c r="K1058" t="s">
        <v>720</v>
      </c>
      <c r="L1058">
        <v>1</v>
      </c>
      <c r="M1058">
        <v>573.72</v>
      </c>
      <c r="N1058" t="s">
        <v>710</v>
      </c>
      <c r="O1058" t="s">
        <v>1038</v>
      </c>
      <c r="P1058" t="s">
        <v>4779</v>
      </c>
      <c r="Q1058" t="s">
        <v>4858</v>
      </c>
      <c r="R1058" t="s">
        <v>4773</v>
      </c>
    </row>
    <row r="1059" spans="1:18" x14ac:dyDescent="0.3">
      <c r="A1059">
        <v>394</v>
      </c>
      <c r="B1059" t="s">
        <v>1034</v>
      </c>
      <c r="C1059" t="s">
        <v>675</v>
      </c>
      <c r="D1059" t="s">
        <v>177</v>
      </c>
      <c r="E1059" s="1">
        <v>46092</v>
      </c>
      <c r="F1059" t="s">
        <v>4380</v>
      </c>
      <c r="G1059" t="s">
        <v>3954</v>
      </c>
      <c r="H1059" t="s">
        <v>676</v>
      </c>
      <c r="I1059" t="s">
        <v>204</v>
      </c>
      <c r="J1059" s="1">
        <v>46356</v>
      </c>
      <c r="K1059" t="s">
        <v>768</v>
      </c>
      <c r="L1059">
        <v>285</v>
      </c>
      <c r="M1059">
        <v>285</v>
      </c>
      <c r="N1059" t="s">
        <v>818</v>
      </c>
      <c r="O1059" t="s">
        <v>1037</v>
      </c>
      <c r="P1059" t="s">
        <v>4776</v>
      </c>
      <c r="Q1059" t="s">
        <v>4852</v>
      </c>
      <c r="R1059" t="s">
        <v>807</v>
      </c>
    </row>
    <row r="1060" spans="1:18" x14ac:dyDescent="0.3">
      <c r="A1060">
        <v>395</v>
      </c>
      <c r="B1060" t="s">
        <v>4875</v>
      </c>
      <c r="C1060" t="s">
        <v>675</v>
      </c>
      <c r="D1060" t="s">
        <v>177</v>
      </c>
      <c r="E1060" s="1">
        <v>46092</v>
      </c>
      <c r="F1060" t="s">
        <v>4380</v>
      </c>
      <c r="G1060" t="s">
        <v>3956</v>
      </c>
      <c r="H1060" t="s">
        <v>674</v>
      </c>
      <c r="I1060" t="s">
        <v>204</v>
      </c>
      <c r="J1060" s="1">
        <v>46356</v>
      </c>
      <c r="K1060" t="s">
        <v>717</v>
      </c>
      <c r="L1060">
        <v>165</v>
      </c>
      <c r="M1060">
        <v>165</v>
      </c>
      <c r="N1060" t="s">
        <v>818</v>
      </c>
      <c r="O1060" t="s">
        <v>1037</v>
      </c>
      <c r="P1060" t="s">
        <v>4776</v>
      </c>
      <c r="Q1060" t="s">
        <v>4852</v>
      </c>
      <c r="R1060" t="s">
        <v>807</v>
      </c>
    </row>
    <row r="1061" spans="1:18" x14ac:dyDescent="0.3">
      <c r="A1061">
        <v>782</v>
      </c>
      <c r="B1061" t="s">
        <v>4875</v>
      </c>
      <c r="C1061" t="s">
        <v>355</v>
      </c>
      <c r="D1061" t="s">
        <v>143</v>
      </c>
      <c r="E1061" s="1">
        <v>46092</v>
      </c>
      <c r="F1061" t="s">
        <v>4318</v>
      </c>
      <c r="G1061" t="s">
        <v>3953</v>
      </c>
      <c r="H1061" t="s">
        <v>354</v>
      </c>
      <c r="I1061" t="s">
        <v>204</v>
      </c>
      <c r="J1061" s="1">
        <v>54878</v>
      </c>
      <c r="K1061" t="s">
        <v>748</v>
      </c>
      <c r="L1061">
        <v>1341.07</v>
      </c>
      <c r="M1061">
        <v>1341.07</v>
      </c>
      <c r="N1061" t="s">
        <v>710</v>
      </c>
      <c r="O1061" t="s">
        <v>4834</v>
      </c>
      <c r="P1061" t="s">
        <v>4776</v>
      </c>
      <c r="Q1061" t="s">
        <v>4856</v>
      </c>
      <c r="R1061" t="s">
        <v>4771</v>
      </c>
    </row>
    <row r="1062" spans="1:18" x14ac:dyDescent="0.3">
      <c r="A1062">
        <v>5374</v>
      </c>
      <c r="B1062" t="s">
        <v>4874</v>
      </c>
      <c r="C1062" t="s">
        <v>444</v>
      </c>
      <c r="D1062" t="s">
        <v>21</v>
      </c>
      <c r="E1062" s="1">
        <v>46092</v>
      </c>
      <c r="F1062" t="s">
        <v>4380</v>
      </c>
      <c r="G1062" t="s">
        <v>3961</v>
      </c>
      <c r="H1062" t="s">
        <v>443</v>
      </c>
      <c r="I1062" t="s">
        <v>209</v>
      </c>
      <c r="J1062" s="1">
        <v>54878</v>
      </c>
      <c r="K1062" t="s">
        <v>762</v>
      </c>
      <c r="L1062">
        <v>1</v>
      </c>
      <c r="M1062">
        <v>200</v>
      </c>
      <c r="N1062" t="s">
        <v>710</v>
      </c>
      <c r="O1062" t="s">
        <v>1037</v>
      </c>
      <c r="P1062" t="s">
        <v>4808</v>
      </c>
      <c r="Q1062" t="s">
        <v>4852</v>
      </c>
      <c r="R1062" t="s">
        <v>4772</v>
      </c>
    </row>
    <row r="1063" spans="1:18" x14ac:dyDescent="0.3">
      <c r="A1063">
        <v>59721</v>
      </c>
      <c r="B1063" t="s">
        <v>4874</v>
      </c>
      <c r="C1063" t="s">
        <v>630</v>
      </c>
      <c r="D1063" t="s">
        <v>145</v>
      </c>
      <c r="E1063" s="1">
        <v>46092</v>
      </c>
      <c r="F1063" t="s">
        <v>4297</v>
      </c>
      <c r="G1063" t="s">
        <v>3912</v>
      </c>
      <c r="H1063" t="s">
        <v>629</v>
      </c>
      <c r="I1063" t="s">
        <v>204</v>
      </c>
      <c r="J1063" s="1">
        <v>46264</v>
      </c>
      <c r="K1063" t="s">
        <v>720</v>
      </c>
      <c r="L1063">
        <v>1</v>
      </c>
      <c r="M1063">
        <v>6250</v>
      </c>
      <c r="N1063" t="s">
        <v>710</v>
      </c>
      <c r="O1063" t="s">
        <v>4849</v>
      </c>
      <c r="P1063" t="s">
        <v>4777</v>
      </c>
      <c r="Q1063" t="s">
        <v>4855</v>
      </c>
      <c r="R1063" t="s">
        <v>4771</v>
      </c>
    </row>
    <row r="1064" spans="1:18" x14ac:dyDescent="0.3">
      <c r="A1064">
        <v>1306</v>
      </c>
      <c r="B1064" t="s">
        <v>4874</v>
      </c>
      <c r="C1064" t="s">
        <v>305</v>
      </c>
      <c r="D1064" t="s">
        <v>59</v>
      </c>
      <c r="E1064" s="1">
        <v>46091</v>
      </c>
      <c r="F1064" t="s">
        <v>4359</v>
      </c>
      <c r="G1064" t="s">
        <v>3866</v>
      </c>
      <c r="H1064" t="s">
        <v>304</v>
      </c>
      <c r="I1064" t="s">
        <v>204</v>
      </c>
      <c r="J1064" s="1">
        <v>46481</v>
      </c>
      <c r="K1064" t="s">
        <v>720</v>
      </c>
      <c r="L1064">
        <v>1</v>
      </c>
      <c r="M1064">
        <v>2846.08</v>
      </c>
      <c r="N1064" t="s">
        <v>809</v>
      </c>
      <c r="O1064" t="s">
        <v>1038</v>
      </c>
      <c r="P1064" t="s">
        <v>4783</v>
      </c>
      <c r="Q1064" t="s">
        <v>4858</v>
      </c>
      <c r="R1064" t="s">
        <v>4771</v>
      </c>
    </row>
    <row r="1065" spans="1:18" x14ac:dyDescent="0.3">
      <c r="A1065">
        <v>3505</v>
      </c>
      <c r="B1065" t="s">
        <v>4874</v>
      </c>
      <c r="C1065" t="s">
        <v>572</v>
      </c>
      <c r="D1065" t="s">
        <v>43</v>
      </c>
      <c r="E1065" s="1">
        <v>46091</v>
      </c>
      <c r="F1065" t="s">
        <v>4321</v>
      </c>
      <c r="G1065" t="s">
        <v>3909</v>
      </c>
      <c r="H1065" t="s">
        <v>571</v>
      </c>
      <c r="I1065" t="s">
        <v>204</v>
      </c>
      <c r="J1065" s="1">
        <v>46387</v>
      </c>
      <c r="K1065" t="s">
        <v>720</v>
      </c>
      <c r="L1065">
        <v>1</v>
      </c>
      <c r="M1065">
        <v>15387.2</v>
      </c>
      <c r="N1065" t="s">
        <v>814</v>
      </c>
      <c r="O1065" t="s">
        <v>1038</v>
      </c>
      <c r="P1065" t="s">
        <v>4782</v>
      </c>
      <c r="Q1065" t="s">
        <v>4858</v>
      </c>
      <c r="R1065" t="s">
        <v>4771</v>
      </c>
    </row>
    <row r="1066" spans="1:18" x14ac:dyDescent="0.3">
      <c r="A1066">
        <v>43639</v>
      </c>
      <c r="B1066" t="s">
        <v>1034</v>
      </c>
      <c r="C1066" t="s">
        <v>451</v>
      </c>
      <c r="D1066" t="s">
        <v>129</v>
      </c>
      <c r="E1066" s="1">
        <v>46091</v>
      </c>
      <c r="F1066" t="s">
        <v>4319</v>
      </c>
      <c r="G1066" t="s">
        <v>3955</v>
      </c>
      <c r="H1066" t="s">
        <v>662</v>
      </c>
      <c r="I1066" t="s">
        <v>204</v>
      </c>
      <c r="J1066" s="1">
        <v>46655</v>
      </c>
      <c r="K1066" t="s">
        <v>717</v>
      </c>
      <c r="L1066">
        <v>188</v>
      </c>
      <c r="M1066">
        <v>188.01</v>
      </c>
      <c r="N1066" t="s">
        <v>719</v>
      </c>
      <c r="O1066" t="s">
        <v>4833</v>
      </c>
      <c r="P1066" t="s">
        <v>4802</v>
      </c>
      <c r="Q1066" t="s">
        <v>4852</v>
      </c>
      <c r="R1066" t="s">
        <v>807</v>
      </c>
    </row>
    <row r="1067" spans="1:18" x14ac:dyDescent="0.3">
      <c r="A1067">
        <v>7467</v>
      </c>
      <c r="B1067" t="s">
        <v>4874</v>
      </c>
      <c r="C1067" t="s">
        <v>628</v>
      </c>
      <c r="D1067" t="s">
        <v>25</v>
      </c>
      <c r="E1067" s="1">
        <v>46091</v>
      </c>
      <c r="F1067" t="s">
        <v>4415</v>
      </c>
      <c r="G1067" t="s">
        <v>3780</v>
      </c>
      <c r="H1067" t="s">
        <v>627</v>
      </c>
      <c r="I1067" t="s">
        <v>209</v>
      </c>
      <c r="J1067" s="1">
        <v>46476</v>
      </c>
      <c r="K1067" t="s">
        <v>720</v>
      </c>
      <c r="L1067">
        <v>1</v>
      </c>
      <c r="M1067">
        <v>380</v>
      </c>
      <c r="N1067" t="s">
        <v>710</v>
      </c>
      <c r="O1067" t="s">
        <v>1038</v>
      </c>
      <c r="P1067" t="s">
        <v>4776</v>
      </c>
      <c r="Q1067" t="s">
        <v>4858</v>
      </c>
      <c r="R1067" t="s">
        <v>4771</v>
      </c>
    </row>
    <row r="1068" spans="1:18" x14ac:dyDescent="0.3">
      <c r="A1068">
        <v>7467</v>
      </c>
      <c r="B1068" t="s">
        <v>4874</v>
      </c>
      <c r="C1068" t="s">
        <v>628</v>
      </c>
      <c r="D1068" t="s">
        <v>25</v>
      </c>
      <c r="E1068" s="1">
        <v>46091</v>
      </c>
      <c r="F1068" t="s">
        <v>4415</v>
      </c>
      <c r="G1068" t="s">
        <v>3780</v>
      </c>
      <c r="H1068" t="s">
        <v>627</v>
      </c>
      <c r="I1068" t="s">
        <v>209</v>
      </c>
      <c r="J1068" s="1">
        <v>46476</v>
      </c>
      <c r="K1068" t="s">
        <v>720</v>
      </c>
      <c r="L1068">
        <v>1</v>
      </c>
      <c r="M1068">
        <v>380</v>
      </c>
      <c r="N1068" t="s">
        <v>710</v>
      </c>
      <c r="O1068" t="s">
        <v>1038</v>
      </c>
      <c r="P1068" t="s">
        <v>4776</v>
      </c>
      <c r="Q1068" t="s">
        <v>4858</v>
      </c>
      <c r="R1068" t="s">
        <v>4771</v>
      </c>
    </row>
    <row r="1069" spans="1:18" x14ac:dyDescent="0.3">
      <c r="A1069">
        <v>7467</v>
      </c>
      <c r="B1069" t="s">
        <v>4874</v>
      </c>
      <c r="C1069" t="s">
        <v>628</v>
      </c>
      <c r="D1069" t="s">
        <v>25</v>
      </c>
      <c r="E1069" s="1">
        <v>46091</v>
      </c>
      <c r="F1069" t="s">
        <v>4415</v>
      </c>
      <c r="G1069" t="s">
        <v>3780</v>
      </c>
      <c r="H1069" t="s">
        <v>627</v>
      </c>
      <c r="I1069" t="s">
        <v>209</v>
      </c>
      <c r="J1069" s="1">
        <v>46476</v>
      </c>
      <c r="K1069" t="s">
        <v>720</v>
      </c>
      <c r="L1069">
        <v>1</v>
      </c>
      <c r="M1069">
        <v>380</v>
      </c>
      <c r="N1069" t="s">
        <v>710</v>
      </c>
      <c r="O1069" t="s">
        <v>1038</v>
      </c>
      <c r="P1069" t="s">
        <v>4776</v>
      </c>
      <c r="Q1069" t="s">
        <v>4858</v>
      </c>
      <c r="R1069" t="s">
        <v>4771</v>
      </c>
    </row>
    <row r="1070" spans="1:18" x14ac:dyDescent="0.3">
      <c r="A1070">
        <v>7468</v>
      </c>
      <c r="B1070" t="s">
        <v>4874</v>
      </c>
      <c r="C1070" t="s">
        <v>628</v>
      </c>
      <c r="D1070" t="s">
        <v>25</v>
      </c>
      <c r="E1070" s="1">
        <v>46091</v>
      </c>
      <c r="F1070" t="s">
        <v>4415</v>
      </c>
      <c r="G1070" t="s">
        <v>3780</v>
      </c>
      <c r="H1070" t="s">
        <v>627</v>
      </c>
      <c r="I1070" t="s">
        <v>209</v>
      </c>
      <c r="J1070" s="1">
        <v>46476</v>
      </c>
      <c r="K1070" t="s">
        <v>720</v>
      </c>
      <c r="L1070">
        <v>1</v>
      </c>
      <c r="M1070">
        <v>380</v>
      </c>
      <c r="N1070" t="s">
        <v>710</v>
      </c>
      <c r="O1070" t="s">
        <v>1038</v>
      </c>
      <c r="P1070" t="s">
        <v>4776</v>
      </c>
      <c r="Q1070" t="s">
        <v>4858</v>
      </c>
      <c r="R1070" t="s">
        <v>4771</v>
      </c>
    </row>
    <row r="1071" spans="1:18" x14ac:dyDescent="0.3">
      <c r="A1071">
        <v>7468</v>
      </c>
      <c r="B1071" t="s">
        <v>4874</v>
      </c>
      <c r="C1071" t="s">
        <v>628</v>
      </c>
      <c r="D1071" t="s">
        <v>25</v>
      </c>
      <c r="E1071" s="1">
        <v>46091</v>
      </c>
      <c r="F1071" t="s">
        <v>4415</v>
      </c>
      <c r="G1071" t="s">
        <v>3780</v>
      </c>
      <c r="H1071" t="s">
        <v>627</v>
      </c>
      <c r="I1071" t="s">
        <v>209</v>
      </c>
      <c r="J1071" s="1">
        <v>46476</v>
      </c>
      <c r="K1071" t="s">
        <v>720</v>
      </c>
      <c r="L1071">
        <v>1</v>
      </c>
      <c r="M1071">
        <v>380</v>
      </c>
      <c r="N1071" t="s">
        <v>710</v>
      </c>
      <c r="O1071" t="s">
        <v>1038</v>
      </c>
      <c r="P1071" t="s">
        <v>4776</v>
      </c>
      <c r="Q1071" t="s">
        <v>4858</v>
      </c>
      <c r="R1071" t="s">
        <v>4771</v>
      </c>
    </row>
    <row r="1072" spans="1:18" x14ac:dyDescent="0.3">
      <c r="A1072">
        <v>7468</v>
      </c>
      <c r="B1072" t="s">
        <v>4874</v>
      </c>
      <c r="C1072" t="s">
        <v>628</v>
      </c>
      <c r="D1072" t="s">
        <v>25</v>
      </c>
      <c r="E1072" s="1">
        <v>46091</v>
      </c>
      <c r="F1072" t="s">
        <v>4415</v>
      </c>
      <c r="G1072" t="s">
        <v>3780</v>
      </c>
      <c r="H1072" t="s">
        <v>627</v>
      </c>
      <c r="I1072" t="s">
        <v>209</v>
      </c>
      <c r="J1072" s="1">
        <v>46476</v>
      </c>
      <c r="K1072" t="s">
        <v>720</v>
      </c>
      <c r="L1072">
        <v>1</v>
      </c>
      <c r="M1072">
        <v>380</v>
      </c>
      <c r="N1072" t="s">
        <v>710</v>
      </c>
      <c r="O1072" t="s">
        <v>1038</v>
      </c>
      <c r="P1072" t="s">
        <v>4776</v>
      </c>
      <c r="Q1072" t="s">
        <v>4858</v>
      </c>
      <c r="R1072" t="s">
        <v>4771</v>
      </c>
    </row>
    <row r="1073" spans="1:18" x14ac:dyDescent="0.3">
      <c r="A1073">
        <v>403060</v>
      </c>
      <c r="B1073" t="s">
        <v>4874</v>
      </c>
      <c r="C1073" t="s">
        <v>389</v>
      </c>
      <c r="D1073" t="s">
        <v>32</v>
      </c>
      <c r="E1073" s="1">
        <v>46091</v>
      </c>
      <c r="F1073" t="s">
        <v>4299</v>
      </c>
      <c r="G1073" t="s">
        <v>3960</v>
      </c>
      <c r="H1073" t="s">
        <v>388</v>
      </c>
      <c r="I1073" t="s">
        <v>204</v>
      </c>
      <c r="J1073" s="1">
        <v>46752</v>
      </c>
      <c r="K1073" t="s">
        <v>785</v>
      </c>
      <c r="L1073">
        <v>1</v>
      </c>
      <c r="M1073">
        <v>37106.06</v>
      </c>
      <c r="N1073" t="s">
        <v>710</v>
      </c>
      <c r="O1073" t="s">
        <v>1038</v>
      </c>
      <c r="P1073" t="s">
        <v>4785</v>
      </c>
      <c r="Q1073" t="s">
        <v>4858</v>
      </c>
      <c r="R1073" t="s">
        <v>4771</v>
      </c>
    </row>
    <row r="1074" spans="1:18" x14ac:dyDescent="0.3">
      <c r="A1074">
        <v>6</v>
      </c>
      <c r="B1074" t="s">
        <v>1034</v>
      </c>
      <c r="C1074" t="s">
        <v>516</v>
      </c>
      <c r="D1074" t="s">
        <v>12</v>
      </c>
      <c r="E1074" s="1">
        <v>46091</v>
      </c>
      <c r="F1074" t="s">
        <v>4337</v>
      </c>
      <c r="G1074" t="s">
        <v>3957</v>
      </c>
      <c r="H1074" t="s">
        <v>515</v>
      </c>
      <c r="I1074" t="s">
        <v>204</v>
      </c>
      <c r="J1074" s="1">
        <v>46489</v>
      </c>
      <c r="K1074" t="s">
        <v>711</v>
      </c>
      <c r="L1074">
        <v>2162</v>
      </c>
      <c r="M1074">
        <v>2162</v>
      </c>
      <c r="N1074" t="s">
        <v>884</v>
      </c>
      <c r="O1074" t="s">
        <v>1037</v>
      </c>
      <c r="P1074" t="s">
        <v>4776</v>
      </c>
      <c r="Q1074" t="s">
        <v>4852</v>
      </c>
      <c r="R1074" t="s">
        <v>4772</v>
      </c>
    </row>
    <row r="1075" spans="1:18" x14ac:dyDescent="0.3">
      <c r="A1075">
        <v>43586</v>
      </c>
      <c r="B1075" t="s">
        <v>1034</v>
      </c>
      <c r="C1075" t="s">
        <v>451</v>
      </c>
      <c r="D1075" t="s">
        <v>129</v>
      </c>
      <c r="E1075" s="1">
        <v>46091</v>
      </c>
      <c r="F1075" t="s">
        <v>4319</v>
      </c>
      <c r="G1075" t="s">
        <v>3955</v>
      </c>
      <c r="H1075" t="s">
        <v>662</v>
      </c>
      <c r="I1075" t="s">
        <v>204</v>
      </c>
      <c r="J1075" s="1">
        <v>46655</v>
      </c>
      <c r="K1075" t="s">
        <v>717</v>
      </c>
      <c r="L1075">
        <v>2618</v>
      </c>
      <c r="M1075">
        <v>2618.17</v>
      </c>
      <c r="N1075" t="s">
        <v>719</v>
      </c>
      <c r="O1075" t="s">
        <v>4833</v>
      </c>
      <c r="P1075" t="s">
        <v>4802</v>
      </c>
      <c r="Q1075" t="s">
        <v>4852</v>
      </c>
      <c r="R1075" t="s">
        <v>807</v>
      </c>
    </row>
    <row r="1076" spans="1:18" x14ac:dyDescent="0.3">
      <c r="A1076">
        <v>43550</v>
      </c>
      <c r="B1076" t="s">
        <v>1034</v>
      </c>
      <c r="C1076" t="s">
        <v>451</v>
      </c>
      <c r="D1076" t="s">
        <v>129</v>
      </c>
      <c r="E1076" s="1">
        <v>46091</v>
      </c>
      <c r="F1076" t="s">
        <v>4319</v>
      </c>
      <c r="G1076" t="s">
        <v>3955</v>
      </c>
      <c r="H1076" t="s">
        <v>662</v>
      </c>
      <c r="I1076" t="s">
        <v>204</v>
      </c>
      <c r="J1076" s="1">
        <v>46655</v>
      </c>
      <c r="K1076" t="s">
        <v>717</v>
      </c>
      <c r="L1076">
        <v>1692</v>
      </c>
      <c r="M1076">
        <v>1692.42</v>
      </c>
      <c r="N1076" t="s">
        <v>719</v>
      </c>
      <c r="O1076" t="s">
        <v>4833</v>
      </c>
      <c r="P1076" t="s">
        <v>4802</v>
      </c>
      <c r="Q1076" t="s">
        <v>4852</v>
      </c>
      <c r="R1076" t="s">
        <v>807</v>
      </c>
    </row>
    <row r="1077" spans="1:18" x14ac:dyDescent="0.3">
      <c r="A1077">
        <v>1305</v>
      </c>
      <c r="B1077" t="s">
        <v>4874</v>
      </c>
      <c r="C1077" t="s">
        <v>305</v>
      </c>
      <c r="D1077" t="s">
        <v>59</v>
      </c>
      <c r="E1077" s="1">
        <v>46091</v>
      </c>
      <c r="F1077" t="s">
        <v>4359</v>
      </c>
      <c r="G1077" t="s">
        <v>3866</v>
      </c>
      <c r="H1077" t="s">
        <v>304</v>
      </c>
      <c r="I1077" t="s">
        <v>204</v>
      </c>
      <c r="J1077" s="1">
        <v>46481</v>
      </c>
      <c r="K1077" t="s">
        <v>720</v>
      </c>
      <c r="L1077">
        <v>1</v>
      </c>
      <c r="M1077">
        <v>2849.82</v>
      </c>
      <c r="N1077" t="s">
        <v>809</v>
      </c>
      <c r="O1077" t="s">
        <v>1038</v>
      </c>
      <c r="P1077" t="s">
        <v>4783</v>
      </c>
      <c r="Q1077" t="s">
        <v>4858</v>
      </c>
      <c r="R1077" t="s">
        <v>4771</v>
      </c>
    </row>
    <row r="1078" spans="1:18" x14ac:dyDescent="0.3">
      <c r="A1078">
        <v>40</v>
      </c>
      <c r="B1078" t="s">
        <v>1034</v>
      </c>
      <c r="C1078" t="s">
        <v>497</v>
      </c>
      <c r="D1078" t="s">
        <v>58</v>
      </c>
      <c r="E1078" s="1">
        <v>46091</v>
      </c>
      <c r="F1078" t="s">
        <v>4316</v>
      </c>
      <c r="G1078" t="s">
        <v>3874</v>
      </c>
      <c r="H1078" t="s">
        <v>498</v>
      </c>
      <c r="I1078" t="s">
        <v>204</v>
      </c>
      <c r="J1078" s="1">
        <v>46265</v>
      </c>
      <c r="K1078" t="s">
        <v>717</v>
      </c>
      <c r="L1078">
        <v>1</v>
      </c>
      <c r="M1078">
        <v>1288.8599999999999</v>
      </c>
      <c r="N1078" t="s">
        <v>710</v>
      </c>
      <c r="O1078" t="s">
        <v>4833</v>
      </c>
      <c r="P1078" t="s">
        <v>4776</v>
      </c>
      <c r="Q1078" t="s">
        <v>4852</v>
      </c>
      <c r="R1078" t="s">
        <v>4773</v>
      </c>
    </row>
    <row r="1079" spans="1:18" x14ac:dyDescent="0.3">
      <c r="A1079">
        <v>68229</v>
      </c>
      <c r="B1079" t="s">
        <v>4875</v>
      </c>
      <c r="C1079" t="s">
        <v>609</v>
      </c>
      <c r="D1079" t="s">
        <v>182</v>
      </c>
      <c r="E1079" s="1">
        <v>46091</v>
      </c>
      <c r="F1079" t="s">
        <v>4336</v>
      </c>
      <c r="G1079" t="s">
        <v>3891</v>
      </c>
      <c r="H1079" t="s">
        <v>610</v>
      </c>
      <c r="I1079" t="s">
        <v>204</v>
      </c>
      <c r="J1079" s="1">
        <v>46282</v>
      </c>
      <c r="K1079" t="s">
        <v>768</v>
      </c>
      <c r="L1079">
        <v>1</v>
      </c>
      <c r="M1079">
        <v>8596.1200000000008</v>
      </c>
      <c r="N1079" t="s">
        <v>710</v>
      </c>
      <c r="O1079" t="s">
        <v>1037</v>
      </c>
      <c r="P1079" t="s">
        <v>4794</v>
      </c>
      <c r="Q1079" t="s">
        <v>4852</v>
      </c>
      <c r="R1079" t="s">
        <v>4772</v>
      </c>
    </row>
    <row r="1080" spans="1:18" x14ac:dyDescent="0.3">
      <c r="A1080">
        <v>1397772</v>
      </c>
      <c r="B1080" t="s">
        <v>4874</v>
      </c>
      <c r="C1080" t="s">
        <v>472</v>
      </c>
      <c r="D1080" t="s">
        <v>48</v>
      </c>
      <c r="E1080" s="1">
        <v>46090</v>
      </c>
      <c r="F1080" t="s">
        <v>4315</v>
      </c>
      <c r="G1080" t="s">
        <v>3943</v>
      </c>
      <c r="H1080" t="s">
        <v>471</v>
      </c>
      <c r="I1080" t="s">
        <v>204</v>
      </c>
      <c r="J1080" s="1">
        <v>46270</v>
      </c>
      <c r="K1080" t="s">
        <v>762</v>
      </c>
      <c r="L1080">
        <v>537.80999999999995</v>
      </c>
      <c r="M1080">
        <v>537.80999999999995</v>
      </c>
      <c r="N1080" t="s">
        <v>710</v>
      </c>
      <c r="O1080" t="s">
        <v>4845</v>
      </c>
      <c r="P1080" t="s">
        <v>4776</v>
      </c>
      <c r="Q1080" t="s">
        <v>4845</v>
      </c>
      <c r="R1080" t="s">
        <v>4773</v>
      </c>
    </row>
    <row r="1081" spans="1:18" x14ac:dyDescent="0.3">
      <c r="A1081">
        <v>132</v>
      </c>
      <c r="B1081" t="s">
        <v>4874</v>
      </c>
      <c r="C1081" t="s">
        <v>607</v>
      </c>
      <c r="D1081" t="s">
        <v>81</v>
      </c>
      <c r="E1081" s="1">
        <v>46090</v>
      </c>
      <c r="F1081" t="s">
        <v>4357</v>
      </c>
      <c r="G1081" t="s">
        <v>3910</v>
      </c>
      <c r="H1081" t="s">
        <v>606</v>
      </c>
      <c r="I1081" t="s">
        <v>204</v>
      </c>
      <c r="J1081" s="1">
        <v>46387</v>
      </c>
      <c r="K1081" t="s">
        <v>720</v>
      </c>
      <c r="L1081">
        <v>1</v>
      </c>
      <c r="M1081">
        <v>28734.52</v>
      </c>
      <c r="N1081" t="s">
        <v>710</v>
      </c>
      <c r="O1081" t="s">
        <v>1038</v>
      </c>
      <c r="P1081" t="s">
        <v>4777</v>
      </c>
      <c r="Q1081" t="s">
        <v>4858</v>
      </c>
      <c r="R1081" t="s">
        <v>4773</v>
      </c>
    </row>
    <row r="1082" spans="1:18" x14ac:dyDescent="0.3">
      <c r="A1082">
        <v>4139211</v>
      </c>
      <c r="B1082" t="s">
        <v>4874</v>
      </c>
      <c r="C1082" t="s">
        <v>417</v>
      </c>
      <c r="D1082" t="s">
        <v>185</v>
      </c>
      <c r="E1082" s="1">
        <v>46090</v>
      </c>
      <c r="F1082" t="s">
        <v>4335</v>
      </c>
      <c r="G1082" t="s">
        <v>3902</v>
      </c>
      <c r="H1082" t="s">
        <v>461</v>
      </c>
      <c r="I1082" t="s">
        <v>204</v>
      </c>
      <c r="J1082" s="1">
        <v>54878</v>
      </c>
      <c r="K1082" t="s">
        <v>762</v>
      </c>
      <c r="L1082">
        <v>5576.28</v>
      </c>
      <c r="M1082">
        <v>5576.28</v>
      </c>
      <c r="N1082" t="s">
        <v>710</v>
      </c>
      <c r="O1082" t="s">
        <v>1037</v>
      </c>
      <c r="P1082" t="s">
        <v>4780</v>
      </c>
      <c r="Q1082" t="s">
        <v>4852</v>
      </c>
      <c r="R1082" t="s">
        <v>4771</v>
      </c>
    </row>
    <row r="1083" spans="1:18" x14ac:dyDescent="0.3">
      <c r="A1083">
        <v>116623</v>
      </c>
      <c r="B1083" t="s">
        <v>4874</v>
      </c>
      <c r="C1083" t="s">
        <v>227</v>
      </c>
      <c r="D1083" t="s">
        <v>191</v>
      </c>
      <c r="E1083" s="1">
        <v>46090</v>
      </c>
      <c r="F1083" t="s">
        <v>4387</v>
      </c>
      <c r="G1083" t="s">
        <v>3938</v>
      </c>
      <c r="H1083" t="s">
        <v>577</v>
      </c>
      <c r="I1083" t="s">
        <v>204</v>
      </c>
      <c r="J1083" s="1">
        <v>46493</v>
      </c>
      <c r="K1083" t="s">
        <v>762</v>
      </c>
      <c r="L1083">
        <v>35318.379999999997</v>
      </c>
      <c r="M1083">
        <v>35318.379999999997</v>
      </c>
      <c r="N1083" t="s">
        <v>809</v>
      </c>
      <c r="O1083" t="s">
        <v>4904</v>
      </c>
      <c r="P1083" t="s">
        <v>4792</v>
      </c>
      <c r="Q1083" t="s">
        <v>4904</v>
      </c>
      <c r="R1083" t="s">
        <v>4772</v>
      </c>
    </row>
    <row r="1084" spans="1:18" x14ac:dyDescent="0.3">
      <c r="A1084">
        <v>166431</v>
      </c>
      <c r="B1084" t="s">
        <v>4874</v>
      </c>
      <c r="C1084" t="s">
        <v>214</v>
      </c>
      <c r="D1084" t="s">
        <v>94</v>
      </c>
      <c r="E1084" s="1">
        <v>46090</v>
      </c>
      <c r="F1084" t="s">
        <v>4295</v>
      </c>
      <c r="G1084" t="s">
        <v>3930</v>
      </c>
      <c r="H1084" t="s">
        <v>213</v>
      </c>
      <c r="I1084" t="s">
        <v>204</v>
      </c>
      <c r="J1084" s="1">
        <v>46309</v>
      </c>
      <c r="K1084" t="s">
        <v>720</v>
      </c>
      <c r="L1084">
        <v>1</v>
      </c>
      <c r="M1084">
        <v>15777.94</v>
      </c>
      <c r="N1084" t="s">
        <v>710</v>
      </c>
      <c r="O1084" t="s">
        <v>4834</v>
      </c>
      <c r="P1084" t="s">
        <v>4776</v>
      </c>
      <c r="Q1084" t="s">
        <v>4858</v>
      </c>
      <c r="R1084" t="s">
        <v>4772</v>
      </c>
    </row>
    <row r="1085" spans="1:18" x14ac:dyDescent="0.3">
      <c r="A1085">
        <v>2146986</v>
      </c>
      <c r="B1085" t="s">
        <v>4874</v>
      </c>
      <c r="C1085" t="s">
        <v>417</v>
      </c>
      <c r="D1085" t="s">
        <v>185</v>
      </c>
      <c r="E1085" s="1">
        <v>46090</v>
      </c>
      <c r="F1085" t="s">
        <v>4346</v>
      </c>
      <c r="G1085" t="s">
        <v>3902</v>
      </c>
      <c r="H1085" t="s">
        <v>461</v>
      </c>
      <c r="I1085" t="s">
        <v>204</v>
      </c>
      <c r="J1085" s="1">
        <v>54878</v>
      </c>
      <c r="K1085" t="s">
        <v>762</v>
      </c>
      <c r="L1085">
        <v>31417.53</v>
      </c>
      <c r="M1085">
        <v>31417.53</v>
      </c>
      <c r="N1085" t="s">
        <v>710</v>
      </c>
      <c r="O1085" t="s">
        <v>1037</v>
      </c>
      <c r="P1085" t="s">
        <v>4780</v>
      </c>
      <c r="Q1085" t="s">
        <v>4852</v>
      </c>
      <c r="R1085" t="s">
        <v>4771</v>
      </c>
    </row>
    <row r="1086" spans="1:18" x14ac:dyDescent="0.3">
      <c r="A1086">
        <v>1857034</v>
      </c>
      <c r="B1086" t="s">
        <v>4874</v>
      </c>
      <c r="C1086" t="s">
        <v>433</v>
      </c>
      <c r="D1086" t="s">
        <v>168</v>
      </c>
      <c r="E1086" s="1">
        <v>46090</v>
      </c>
      <c r="F1086" t="s">
        <v>4319</v>
      </c>
      <c r="G1086" t="s">
        <v>3927</v>
      </c>
      <c r="H1086" t="s">
        <v>432</v>
      </c>
      <c r="I1086" t="s">
        <v>204</v>
      </c>
      <c r="J1086" s="1">
        <v>46473</v>
      </c>
      <c r="K1086" t="s">
        <v>762</v>
      </c>
      <c r="L1086">
        <v>4624</v>
      </c>
      <c r="M1086">
        <v>4623.6099999999997</v>
      </c>
      <c r="N1086" t="s">
        <v>710</v>
      </c>
      <c r="O1086" t="s">
        <v>4833</v>
      </c>
      <c r="P1086" t="s">
        <v>4802</v>
      </c>
      <c r="Q1086" t="s">
        <v>4852</v>
      </c>
      <c r="R1086" t="s">
        <v>4771</v>
      </c>
    </row>
    <row r="1087" spans="1:18" x14ac:dyDescent="0.3">
      <c r="A1087">
        <v>1397774</v>
      </c>
      <c r="B1087" t="s">
        <v>4874</v>
      </c>
      <c r="C1087" t="s">
        <v>472</v>
      </c>
      <c r="D1087" t="s">
        <v>48</v>
      </c>
      <c r="E1087" s="1">
        <v>46090</v>
      </c>
      <c r="F1087" t="s">
        <v>4345</v>
      </c>
      <c r="G1087" t="s">
        <v>3943</v>
      </c>
      <c r="H1087" t="s">
        <v>471</v>
      </c>
      <c r="I1087" t="s">
        <v>204</v>
      </c>
      <c r="J1087" s="1">
        <v>46270</v>
      </c>
      <c r="K1087" t="s">
        <v>762</v>
      </c>
      <c r="L1087">
        <v>53.78</v>
      </c>
      <c r="M1087">
        <v>53.78</v>
      </c>
      <c r="N1087" t="s">
        <v>710</v>
      </c>
      <c r="O1087" t="s">
        <v>4845</v>
      </c>
      <c r="P1087" t="s">
        <v>4776</v>
      </c>
      <c r="Q1087" t="s">
        <v>4845</v>
      </c>
      <c r="R1087" t="s">
        <v>4773</v>
      </c>
    </row>
    <row r="1088" spans="1:18" x14ac:dyDescent="0.3">
      <c r="A1088">
        <v>2146784</v>
      </c>
      <c r="B1088" t="s">
        <v>1034</v>
      </c>
      <c r="C1088" t="s">
        <v>417</v>
      </c>
      <c r="D1088" t="s">
        <v>185</v>
      </c>
      <c r="E1088" s="1">
        <v>46090</v>
      </c>
      <c r="F1088" t="s">
        <v>4346</v>
      </c>
      <c r="G1088" t="s">
        <v>3904</v>
      </c>
      <c r="H1088" t="s">
        <v>416</v>
      </c>
      <c r="I1088" t="s">
        <v>204</v>
      </c>
      <c r="J1088" s="1">
        <v>54878</v>
      </c>
      <c r="K1088" t="s">
        <v>717</v>
      </c>
      <c r="L1088">
        <v>6155.82</v>
      </c>
      <c r="M1088">
        <v>6155.82</v>
      </c>
      <c r="N1088" t="s">
        <v>710</v>
      </c>
      <c r="O1088" t="s">
        <v>1037</v>
      </c>
      <c r="P1088" t="s">
        <v>4780</v>
      </c>
      <c r="Q1088" t="s">
        <v>4852</v>
      </c>
      <c r="R1088" t="s">
        <v>4771</v>
      </c>
    </row>
    <row r="1089" spans="1:18" x14ac:dyDescent="0.3">
      <c r="A1089">
        <v>1372</v>
      </c>
      <c r="B1089" t="s">
        <v>1034</v>
      </c>
      <c r="C1089" t="s">
        <v>638</v>
      </c>
      <c r="D1089" t="s">
        <v>134</v>
      </c>
      <c r="E1089" s="1">
        <v>46090</v>
      </c>
      <c r="F1089" t="s">
        <v>4296</v>
      </c>
      <c r="G1089" t="s">
        <v>3582</v>
      </c>
      <c r="H1089" t="s">
        <v>637</v>
      </c>
      <c r="I1089" t="s">
        <v>204</v>
      </c>
      <c r="J1089" s="1">
        <v>46537</v>
      </c>
      <c r="K1089" t="s">
        <v>711</v>
      </c>
      <c r="L1089">
        <v>1941</v>
      </c>
      <c r="M1089">
        <v>1947</v>
      </c>
      <c r="N1089" t="s">
        <v>710</v>
      </c>
      <c r="O1089" t="s">
        <v>1036</v>
      </c>
      <c r="P1089" t="s">
        <v>4776</v>
      </c>
      <c r="Q1089" t="s">
        <v>4901</v>
      </c>
    </row>
    <row r="1090" spans="1:18" x14ac:dyDescent="0.3">
      <c r="A1090">
        <v>156</v>
      </c>
      <c r="B1090" t="s">
        <v>1034</v>
      </c>
      <c r="C1090" t="s">
        <v>618</v>
      </c>
      <c r="D1090" t="s">
        <v>112</v>
      </c>
      <c r="E1090" s="1">
        <v>46090</v>
      </c>
      <c r="F1090" t="s">
        <v>4361</v>
      </c>
      <c r="G1090" t="s">
        <v>3918</v>
      </c>
      <c r="H1090" t="s">
        <v>617</v>
      </c>
      <c r="I1090" t="s">
        <v>204</v>
      </c>
      <c r="J1090" s="1">
        <v>46347</v>
      </c>
      <c r="K1090" t="s">
        <v>711</v>
      </c>
      <c r="L1090">
        <v>790</v>
      </c>
      <c r="M1090">
        <v>790</v>
      </c>
      <c r="N1090" t="s">
        <v>818</v>
      </c>
      <c r="O1090" t="s">
        <v>1036</v>
      </c>
      <c r="P1090" t="s">
        <v>4776</v>
      </c>
      <c r="Q1090" t="s">
        <v>4901</v>
      </c>
      <c r="R1090" t="s">
        <v>4771</v>
      </c>
    </row>
    <row r="1091" spans="1:18" x14ac:dyDescent="0.3">
      <c r="A1091">
        <v>514</v>
      </c>
      <c r="B1091" t="s">
        <v>1034</v>
      </c>
      <c r="C1091" t="s">
        <v>550</v>
      </c>
      <c r="D1091" t="s">
        <v>189</v>
      </c>
      <c r="E1091" s="1">
        <v>46090</v>
      </c>
      <c r="F1091" t="s">
        <v>4338</v>
      </c>
      <c r="G1091" t="s">
        <v>3937</v>
      </c>
      <c r="H1091" t="s">
        <v>582</v>
      </c>
      <c r="I1091" t="s">
        <v>204</v>
      </c>
      <c r="J1091" s="1">
        <v>46599</v>
      </c>
      <c r="K1091" t="s">
        <v>717</v>
      </c>
      <c r="L1091">
        <v>27301.11</v>
      </c>
      <c r="M1091">
        <v>27301.11</v>
      </c>
      <c r="N1091" t="s">
        <v>710</v>
      </c>
      <c r="O1091" t="s">
        <v>4904</v>
      </c>
      <c r="P1091" t="s">
        <v>4792</v>
      </c>
      <c r="Q1091" t="s">
        <v>4904</v>
      </c>
      <c r="R1091" t="s">
        <v>4772</v>
      </c>
    </row>
    <row r="1092" spans="1:18" x14ac:dyDescent="0.3">
      <c r="A1092">
        <v>599407</v>
      </c>
      <c r="B1092" t="s">
        <v>4875</v>
      </c>
      <c r="C1092" t="s">
        <v>248</v>
      </c>
      <c r="D1092" t="s">
        <v>13</v>
      </c>
      <c r="E1092" s="1">
        <v>46090</v>
      </c>
      <c r="F1092" t="s">
        <v>4430</v>
      </c>
      <c r="G1092" t="s">
        <v>3870</v>
      </c>
      <c r="H1092" t="s">
        <v>351</v>
      </c>
      <c r="I1092" t="s">
        <v>204</v>
      </c>
      <c r="J1092" s="1">
        <v>54878</v>
      </c>
      <c r="K1092" t="s">
        <v>748</v>
      </c>
      <c r="L1092">
        <v>1558.79</v>
      </c>
      <c r="M1092">
        <v>1558.79</v>
      </c>
      <c r="N1092" t="s">
        <v>710</v>
      </c>
      <c r="O1092" t="s">
        <v>1040</v>
      </c>
      <c r="P1092" t="s">
        <v>4779</v>
      </c>
      <c r="Q1092" t="s">
        <v>4856</v>
      </c>
      <c r="R1092" t="s">
        <v>4773</v>
      </c>
    </row>
    <row r="1093" spans="1:18" x14ac:dyDescent="0.3">
      <c r="A1093">
        <v>2146358</v>
      </c>
      <c r="B1093" t="s">
        <v>4875</v>
      </c>
      <c r="C1093" t="s">
        <v>417</v>
      </c>
      <c r="D1093" t="s">
        <v>185</v>
      </c>
      <c r="E1093" s="1">
        <v>46090</v>
      </c>
      <c r="F1093" t="s">
        <v>4346</v>
      </c>
      <c r="G1093" t="s">
        <v>3903</v>
      </c>
      <c r="H1093" t="s">
        <v>684</v>
      </c>
      <c r="I1093" t="s">
        <v>204</v>
      </c>
      <c r="J1093" s="1">
        <v>55243</v>
      </c>
      <c r="K1093" t="s">
        <v>768</v>
      </c>
      <c r="L1093">
        <v>1</v>
      </c>
      <c r="M1093">
        <v>1159.8399999999999</v>
      </c>
      <c r="N1093" t="s">
        <v>710</v>
      </c>
      <c r="O1093" t="s">
        <v>1037</v>
      </c>
      <c r="P1093" t="s">
        <v>4810</v>
      </c>
      <c r="Q1093" t="s">
        <v>4852</v>
      </c>
      <c r="R1093" t="s">
        <v>807</v>
      </c>
    </row>
    <row r="1094" spans="1:18" x14ac:dyDescent="0.3">
      <c r="A1094">
        <v>1933180</v>
      </c>
      <c r="B1094" t="s">
        <v>4874</v>
      </c>
      <c r="C1094" t="s">
        <v>668</v>
      </c>
      <c r="D1094" t="s">
        <v>84</v>
      </c>
      <c r="E1094" s="1">
        <v>46087</v>
      </c>
      <c r="F1094" t="s">
        <v>4384</v>
      </c>
      <c r="G1094" t="s">
        <v>3899</v>
      </c>
      <c r="H1094" t="s">
        <v>667</v>
      </c>
      <c r="I1094" t="s">
        <v>204</v>
      </c>
      <c r="J1094" s="1">
        <v>46676</v>
      </c>
      <c r="K1094" t="s">
        <v>762</v>
      </c>
      <c r="L1094">
        <v>25364.28</v>
      </c>
      <c r="M1094">
        <v>25364.28</v>
      </c>
      <c r="N1094" t="s">
        <v>1000</v>
      </c>
      <c r="O1094" t="s">
        <v>1037</v>
      </c>
      <c r="P1094" t="s">
        <v>4799</v>
      </c>
      <c r="Q1094" t="s">
        <v>4852</v>
      </c>
      <c r="R1094" t="s">
        <v>807</v>
      </c>
    </row>
    <row r="1095" spans="1:18" x14ac:dyDescent="0.3">
      <c r="A1095">
        <v>109069</v>
      </c>
      <c r="B1095" t="s">
        <v>1034</v>
      </c>
      <c r="C1095" t="s">
        <v>495</v>
      </c>
      <c r="D1095" t="s">
        <v>44</v>
      </c>
      <c r="E1095" s="1">
        <v>46087</v>
      </c>
      <c r="F1095" t="s">
        <v>4303</v>
      </c>
      <c r="G1095" t="s">
        <v>3933</v>
      </c>
      <c r="H1095" t="s">
        <v>494</v>
      </c>
      <c r="I1095" t="s">
        <v>204</v>
      </c>
      <c r="J1095" s="1">
        <v>54878</v>
      </c>
      <c r="K1095" t="s">
        <v>717</v>
      </c>
      <c r="L1095">
        <v>1528.28</v>
      </c>
      <c r="M1095">
        <v>1528.28</v>
      </c>
      <c r="N1095" t="s">
        <v>710</v>
      </c>
      <c r="O1095" t="s">
        <v>4833</v>
      </c>
      <c r="P1095" t="s">
        <v>4776</v>
      </c>
      <c r="Q1095" t="s">
        <v>4852</v>
      </c>
      <c r="R1095" t="s">
        <v>4773</v>
      </c>
    </row>
    <row r="1096" spans="1:18" x14ac:dyDescent="0.3">
      <c r="A1096">
        <v>410603</v>
      </c>
      <c r="B1096" t="s">
        <v>4874</v>
      </c>
      <c r="C1096" t="s">
        <v>435</v>
      </c>
      <c r="D1096" t="s">
        <v>30</v>
      </c>
      <c r="E1096" s="1">
        <v>46087</v>
      </c>
      <c r="F1096" t="s">
        <v>4351</v>
      </c>
      <c r="G1096" t="s">
        <v>3940</v>
      </c>
      <c r="H1096" t="s">
        <v>434</v>
      </c>
      <c r="I1096" t="s">
        <v>204</v>
      </c>
      <c r="J1096" s="1">
        <v>46752</v>
      </c>
      <c r="K1096" t="s">
        <v>785</v>
      </c>
      <c r="L1096">
        <v>1</v>
      </c>
      <c r="M1096">
        <v>136864.18</v>
      </c>
      <c r="N1096" t="s">
        <v>998</v>
      </c>
      <c r="O1096" t="s">
        <v>1038</v>
      </c>
      <c r="P1096" t="s">
        <v>4787</v>
      </c>
      <c r="Q1096" t="s">
        <v>4858</v>
      </c>
      <c r="R1096" t="s">
        <v>4771</v>
      </c>
    </row>
    <row r="1097" spans="1:18" x14ac:dyDescent="0.3">
      <c r="A1097">
        <v>7385</v>
      </c>
      <c r="B1097" t="s">
        <v>4874</v>
      </c>
      <c r="C1097" t="s">
        <v>230</v>
      </c>
      <c r="D1097" t="s">
        <v>85</v>
      </c>
      <c r="E1097" s="1">
        <v>46087</v>
      </c>
      <c r="F1097" t="s">
        <v>4421</v>
      </c>
      <c r="G1097" t="s">
        <v>3924</v>
      </c>
      <c r="H1097" t="s">
        <v>299</v>
      </c>
      <c r="I1097" t="s">
        <v>204</v>
      </c>
      <c r="J1097" s="1">
        <v>46536</v>
      </c>
      <c r="K1097" t="s">
        <v>762</v>
      </c>
      <c r="L1097">
        <v>1</v>
      </c>
      <c r="M1097">
        <v>12939.3</v>
      </c>
      <c r="N1097" t="s">
        <v>710</v>
      </c>
      <c r="O1097" t="s">
        <v>1033</v>
      </c>
      <c r="P1097" t="s">
        <v>4781</v>
      </c>
      <c r="Q1097" t="s">
        <v>4852</v>
      </c>
      <c r="R1097" t="s">
        <v>4771</v>
      </c>
    </row>
    <row r="1098" spans="1:18" x14ac:dyDescent="0.3">
      <c r="A1098">
        <v>7365</v>
      </c>
      <c r="B1098" t="s">
        <v>4874</v>
      </c>
      <c r="C1098" t="s">
        <v>230</v>
      </c>
      <c r="D1098" t="s">
        <v>85</v>
      </c>
      <c r="E1098" s="1">
        <v>46087</v>
      </c>
      <c r="F1098" t="s">
        <v>4348</v>
      </c>
      <c r="G1098" t="s">
        <v>3923</v>
      </c>
      <c r="H1098" t="s">
        <v>299</v>
      </c>
      <c r="I1098" t="s">
        <v>204</v>
      </c>
      <c r="J1098" s="1">
        <v>46536</v>
      </c>
      <c r="K1098" t="s">
        <v>762</v>
      </c>
      <c r="L1098">
        <v>1</v>
      </c>
      <c r="M1098">
        <v>198518.11</v>
      </c>
      <c r="N1098" t="s">
        <v>710</v>
      </c>
      <c r="O1098" t="s">
        <v>1033</v>
      </c>
      <c r="P1098" t="s">
        <v>4781</v>
      </c>
      <c r="Q1098" t="s">
        <v>4852</v>
      </c>
      <c r="R1098" t="s">
        <v>4771</v>
      </c>
    </row>
    <row r="1099" spans="1:18" x14ac:dyDescent="0.3">
      <c r="A1099">
        <v>6685</v>
      </c>
      <c r="B1099" t="s">
        <v>4874</v>
      </c>
      <c r="C1099" t="s">
        <v>422</v>
      </c>
      <c r="D1099" t="s">
        <v>37</v>
      </c>
      <c r="E1099" s="1">
        <v>46087</v>
      </c>
      <c r="F1099" t="s">
        <v>4306</v>
      </c>
      <c r="G1099" t="s">
        <v>3947</v>
      </c>
      <c r="H1099" t="s">
        <v>421</v>
      </c>
      <c r="I1099" t="s">
        <v>204</v>
      </c>
      <c r="J1099" s="1">
        <v>46080</v>
      </c>
      <c r="K1099" t="s">
        <v>762</v>
      </c>
      <c r="L1099">
        <v>800</v>
      </c>
      <c r="M1099">
        <v>800</v>
      </c>
      <c r="N1099" t="s">
        <v>710</v>
      </c>
      <c r="O1099" t="s">
        <v>4833</v>
      </c>
      <c r="P1099" t="s">
        <v>4786</v>
      </c>
      <c r="Q1099" t="s">
        <v>4852</v>
      </c>
      <c r="R1099" t="s">
        <v>4773</v>
      </c>
    </row>
    <row r="1100" spans="1:18" x14ac:dyDescent="0.3">
      <c r="A1100">
        <v>44703</v>
      </c>
      <c r="B1100" t="s">
        <v>4874</v>
      </c>
      <c r="C1100" t="s">
        <v>426</v>
      </c>
      <c r="D1100" t="s">
        <v>54</v>
      </c>
      <c r="E1100" s="1">
        <v>46087</v>
      </c>
      <c r="F1100" t="s">
        <v>4409</v>
      </c>
      <c r="G1100" t="s">
        <v>3941</v>
      </c>
      <c r="H1100" t="s">
        <v>425</v>
      </c>
      <c r="I1100" t="s">
        <v>204</v>
      </c>
      <c r="J1100" s="1">
        <v>46752</v>
      </c>
      <c r="K1100" t="s">
        <v>785</v>
      </c>
      <c r="L1100">
        <v>1</v>
      </c>
      <c r="M1100">
        <v>96957.08</v>
      </c>
      <c r="N1100" t="s">
        <v>710</v>
      </c>
      <c r="O1100" t="s">
        <v>1038</v>
      </c>
      <c r="P1100" t="s">
        <v>4787</v>
      </c>
      <c r="Q1100" t="s">
        <v>4858</v>
      </c>
      <c r="R1100" t="s">
        <v>4771</v>
      </c>
    </row>
    <row r="1101" spans="1:18" x14ac:dyDescent="0.3">
      <c r="A1101">
        <v>40439</v>
      </c>
      <c r="B1101" t="s">
        <v>4874</v>
      </c>
      <c r="C1101" t="s">
        <v>447</v>
      </c>
      <c r="D1101" t="s">
        <v>57</v>
      </c>
      <c r="E1101" s="1">
        <v>46087</v>
      </c>
      <c r="F1101" t="s">
        <v>4383</v>
      </c>
      <c r="G1101" t="s">
        <v>3920</v>
      </c>
      <c r="H1101" t="s">
        <v>446</v>
      </c>
      <c r="I1101" t="s">
        <v>204</v>
      </c>
      <c r="J1101" s="1">
        <v>46203</v>
      </c>
      <c r="K1101" t="s">
        <v>762</v>
      </c>
      <c r="L1101">
        <v>793.23</v>
      </c>
      <c r="M1101">
        <v>793.23</v>
      </c>
      <c r="N1101" t="s">
        <v>710</v>
      </c>
      <c r="O1101" t="s">
        <v>1038</v>
      </c>
      <c r="P1101" t="s">
        <v>4776</v>
      </c>
      <c r="Q1101" t="s">
        <v>4858</v>
      </c>
      <c r="R1101" t="s">
        <v>4774</v>
      </c>
    </row>
    <row r="1102" spans="1:18" x14ac:dyDescent="0.3">
      <c r="A1102">
        <v>552</v>
      </c>
      <c r="B1102" t="s">
        <v>4874</v>
      </c>
      <c r="C1102" t="s">
        <v>649</v>
      </c>
      <c r="D1102" t="s">
        <v>88</v>
      </c>
      <c r="E1102" s="1">
        <v>46087</v>
      </c>
      <c r="F1102" t="s">
        <v>4414</v>
      </c>
      <c r="G1102" t="s">
        <v>3921</v>
      </c>
      <c r="H1102" t="s">
        <v>648</v>
      </c>
      <c r="I1102" t="s">
        <v>204</v>
      </c>
      <c r="J1102" s="1">
        <v>47847</v>
      </c>
      <c r="K1102" t="s">
        <v>762</v>
      </c>
      <c r="L1102">
        <v>3712.5</v>
      </c>
      <c r="M1102">
        <v>3712.5</v>
      </c>
      <c r="N1102" t="s">
        <v>710</v>
      </c>
      <c r="O1102" t="s">
        <v>4811</v>
      </c>
      <c r="P1102" t="s">
        <v>4776</v>
      </c>
      <c r="Q1102" t="s">
        <v>4859</v>
      </c>
    </row>
    <row r="1103" spans="1:18" x14ac:dyDescent="0.3">
      <c r="A1103">
        <v>7369</v>
      </c>
      <c r="B1103" t="s">
        <v>1034</v>
      </c>
      <c r="C1103" t="s">
        <v>230</v>
      </c>
      <c r="D1103" t="s">
        <v>85</v>
      </c>
      <c r="E1103" s="1">
        <v>46087</v>
      </c>
      <c r="F1103" t="s">
        <v>4348</v>
      </c>
      <c r="G1103" t="s">
        <v>3922</v>
      </c>
      <c r="H1103" t="s">
        <v>570</v>
      </c>
      <c r="I1103" t="s">
        <v>204</v>
      </c>
      <c r="J1103" s="1">
        <v>46418</v>
      </c>
      <c r="K1103" t="s">
        <v>717</v>
      </c>
      <c r="L1103">
        <v>1</v>
      </c>
      <c r="M1103">
        <v>508195.8</v>
      </c>
      <c r="N1103" t="s">
        <v>719</v>
      </c>
      <c r="O1103" t="s">
        <v>1033</v>
      </c>
      <c r="P1103" t="s">
        <v>4781</v>
      </c>
      <c r="Q1103" t="s">
        <v>4852</v>
      </c>
      <c r="R1103" t="s">
        <v>4771</v>
      </c>
    </row>
    <row r="1104" spans="1:18" x14ac:dyDescent="0.3">
      <c r="A1104">
        <v>16219</v>
      </c>
      <c r="B1104" t="s">
        <v>4875</v>
      </c>
      <c r="C1104" t="s">
        <v>493</v>
      </c>
      <c r="D1104" t="s">
        <v>197</v>
      </c>
      <c r="E1104" s="1">
        <v>46087</v>
      </c>
      <c r="F1104" t="s">
        <v>4306</v>
      </c>
      <c r="G1104" t="s">
        <v>3919</v>
      </c>
      <c r="H1104" t="s">
        <v>492</v>
      </c>
      <c r="I1104" t="s">
        <v>204</v>
      </c>
      <c r="J1104" s="1">
        <v>54878</v>
      </c>
      <c r="K1104" t="s">
        <v>768</v>
      </c>
      <c r="L1104">
        <v>799</v>
      </c>
      <c r="M1104">
        <v>799</v>
      </c>
      <c r="N1104" t="s">
        <v>710</v>
      </c>
      <c r="O1104" t="s">
        <v>4833</v>
      </c>
      <c r="P1104" t="s">
        <v>4786</v>
      </c>
      <c r="Q1104" t="s">
        <v>4852</v>
      </c>
      <c r="R1104" t="s">
        <v>4773</v>
      </c>
    </row>
    <row r="1105" spans="1:18" x14ac:dyDescent="0.3">
      <c r="A1105">
        <v>410175</v>
      </c>
      <c r="B1105" t="s">
        <v>1034</v>
      </c>
      <c r="C1105" t="s">
        <v>435</v>
      </c>
      <c r="D1105" t="s">
        <v>30</v>
      </c>
      <c r="E1105" s="1">
        <v>46087</v>
      </c>
      <c r="F1105" t="s">
        <v>4351</v>
      </c>
      <c r="G1105" t="s">
        <v>3939</v>
      </c>
      <c r="H1105" t="s">
        <v>434</v>
      </c>
      <c r="I1105" t="s">
        <v>204</v>
      </c>
      <c r="J1105" s="1">
        <v>46752</v>
      </c>
      <c r="K1105" t="s">
        <v>785</v>
      </c>
      <c r="L1105">
        <v>1</v>
      </c>
      <c r="M1105">
        <v>163202.47</v>
      </c>
      <c r="N1105" t="s">
        <v>998</v>
      </c>
      <c r="O1105" t="s">
        <v>1038</v>
      </c>
      <c r="P1105" t="s">
        <v>4787</v>
      </c>
      <c r="Q1105" t="s">
        <v>4858</v>
      </c>
      <c r="R1105" t="s">
        <v>4771</v>
      </c>
    </row>
    <row r="1106" spans="1:18" x14ac:dyDescent="0.3">
      <c r="A1106">
        <v>103473</v>
      </c>
      <c r="B1106" t="s">
        <v>1034</v>
      </c>
      <c r="C1106" t="s">
        <v>502</v>
      </c>
      <c r="D1106" t="s">
        <v>2</v>
      </c>
      <c r="E1106" s="1">
        <v>46087</v>
      </c>
      <c r="F1106" t="s">
        <v>4303</v>
      </c>
      <c r="G1106" t="s">
        <v>3948</v>
      </c>
      <c r="H1106" t="s">
        <v>501</v>
      </c>
      <c r="I1106" t="s">
        <v>204</v>
      </c>
      <c r="J1106" s="1">
        <v>54878</v>
      </c>
      <c r="K1106" t="s">
        <v>717</v>
      </c>
      <c r="L1106">
        <v>1901.56</v>
      </c>
      <c r="M1106">
        <v>1901.56</v>
      </c>
      <c r="N1106" t="s">
        <v>710</v>
      </c>
      <c r="O1106" t="s">
        <v>4833</v>
      </c>
      <c r="P1106" t="s">
        <v>4776</v>
      </c>
      <c r="Q1106" t="s">
        <v>4852</v>
      </c>
      <c r="R1106" t="s">
        <v>4774</v>
      </c>
    </row>
    <row r="1107" spans="1:18" x14ac:dyDescent="0.3">
      <c r="A1107">
        <v>68230</v>
      </c>
      <c r="B1107" t="s">
        <v>1034</v>
      </c>
      <c r="C1107" t="s">
        <v>609</v>
      </c>
      <c r="D1107" t="s">
        <v>182</v>
      </c>
      <c r="E1107" s="1">
        <v>46087</v>
      </c>
      <c r="F1107" t="s">
        <v>4336</v>
      </c>
      <c r="G1107" t="s">
        <v>3894</v>
      </c>
      <c r="H1107" t="s">
        <v>608</v>
      </c>
      <c r="I1107" t="s">
        <v>204</v>
      </c>
      <c r="J1107" s="1">
        <v>46281</v>
      </c>
      <c r="K1107" t="s">
        <v>717</v>
      </c>
      <c r="L1107">
        <v>1</v>
      </c>
      <c r="M1107">
        <v>30850.7</v>
      </c>
      <c r="N1107" t="s">
        <v>719</v>
      </c>
      <c r="O1107" t="s">
        <v>1037</v>
      </c>
      <c r="P1107" t="s">
        <v>4794</v>
      </c>
      <c r="Q1107" t="s">
        <v>4852</v>
      </c>
      <c r="R1107" t="s">
        <v>4772</v>
      </c>
    </row>
    <row r="1108" spans="1:18" x14ac:dyDescent="0.3">
      <c r="A1108">
        <v>426334</v>
      </c>
      <c r="B1108" t="s">
        <v>1034</v>
      </c>
      <c r="C1108" t="s">
        <v>338</v>
      </c>
      <c r="D1108" t="s">
        <v>31</v>
      </c>
      <c r="E1108" s="1">
        <v>46087</v>
      </c>
      <c r="F1108" t="s">
        <v>4299</v>
      </c>
      <c r="G1108" t="s">
        <v>3860</v>
      </c>
      <c r="H1108" t="s">
        <v>337</v>
      </c>
      <c r="I1108" t="s">
        <v>204</v>
      </c>
      <c r="J1108" s="1">
        <v>54878</v>
      </c>
      <c r="K1108" t="s">
        <v>711</v>
      </c>
      <c r="L1108">
        <v>18051</v>
      </c>
      <c r="M1108">
        <v>18050.27</v>
      </c>
      <c r="N1108" t="s">
        <v>710</v>
      </c>
      <c r="O1108" t="s">
        <v>1036</v>
      </c>
      <c r="P1108" t="s">
        <v>4785</v>
      </c>
      <c r="Q1108" t="s">
        <v>4901</v>
      </c>
      <c r="R1108" t="s">
        <v>4773</v>
      </c>
    </row>
    <row r="1109" spans="1:18" x14ac:dyDescent="0.3">
      <c r="A1109">
        <v>6034</v>
      </c>
      <c r="B1109" t="s">
        <v>1034</v>
      </c>
      <c r="C1109" t="s">
        <v>399</v>
      </c>
      <c r="D1109" t="s">
        <v>97</v>
      </c>
      <c r="E1109" s="1">
        <v>46087</v>
      </c>
      <c r="F1109" t="s">
        <v>4301</v>
      </c>
      <c r="G1109" t="s">
        <v>3753</v>
      </c>
      <c r="H1109" t="s">
        <v>398</v>
      </c>
      <c r="I1109" t="s">
        <v>204</v>
      </c>
      <c r="J1109" s="1">
        <v>46274</v>
      </c>
      <c r="K1109" t="s">
        <v>717</v>
      </c>
      <c r="L1109">
        <v>1</v>
      </c>
      <c r="M1109">
        <v>21070.42</v>
      </c>
      <c r="N1109" t="s">
        <v>710</v>
      </c>
      <c r="O1109" t="s">
        <v>4902</v>
      </c>
      <c r="P1109" t="s">
        <v>4776</v>
      </c>
      <c r="Q1109" t="s">
        <v>4852</v>
      </c>
      <c r="R1109" t="s">
        <v>4773</v>
      </c>
    </row>
    <row r="1110" spans="1:18" x14ac:dyDescent="0.3">
      <c r="A1110">
        <v>202633119</v>
      </c>
      <c r="B1110" t="s">
        <v>1034</v>
      </c>
      <c r="C1110" t="s">
        <v>522</v>
      </c>
      <c r="D1110" t="s">
        <v>50</v>
      </c>
      <c r="E1110" s="1">
        <v>46087</v>
      </c>
      <c r="F1110" t="s">
        <v>4352</v>
      </c>
      <c r="G1110" t="s">
        <v>3934</v>
      </c>
      <c r="H1110" t="s">
        <v>521</v>
      </c>
      <c r="I1110" t="s">
        <v>204</v>
      </c>
      <c r="J1110" s="1">
        <v>46387</v>
      </c>
      <c r="K1110" t="s">
        <v>717</v>
      </c>
      <c r="L1110">
        <v>562.80999999999995</v>
      </c>
      <c r="M1110">
        <v>562.80999999999995</v>
      </c>
      <c r="N1110" t="s">
        <v>884</v>
      </c>
      <c r="O1110" t="s">
        <v>1037</v>
      </c>
      <c r="P1110" t="s">
        <v>4776</v>
      </c>
      <c r="Q1110" t="s">
        <v>4852</v>
      </c>
      <c r="R1110" t="s">
        <v>4773</v>
      </c>
    </row>
    <row r="1111" spans="1:18" x14ac:dyDescent="0.3">
      <c r="A1111">
        <v>59530</v>
      </c>
      <c r="B1111" t="s">
        <v>4875</v>
      </c>
      <c r="C1111" t="s">
        <v>208</v>
      </c>
      <c r="D1111" t="s">
        <v>164</v>
      </c>
      <c r="E1111" s="1">
        <v>46087</v>
      </c>
      <c r="F1111" t="s">
        <v>4297</v>
      </c>
      <c r="G1111" t="s">
        <v>3872</v>
      </c>
      <c r="H1111" t="s">
        <v>605</v>
      </c>
      <c r="I1111" t="s">
        <v>204</v>
      </c>
      <c r="J1111" s="1">
        <v>46256</v>
      </c>
      <c r="K1111" t="s">
        <v>748</v>
      </c>
      <c r="L1111">
        <v>120</v>
      </c>
      <c r="M1111">
        <v>120</v>
      </c>
      <c r="N1111" t="s">
        <v>710</v>
      </c>
      <c r="O1111" t="s">
        <v>1040</v>
      </c>
      <c r="P1111" t="s">
        <v>4795</v>
      </c>
      <c r="Q1111" t="s">
        <v>4856</v>
      </c>
    </row>
    <row r="1112" spans="1:18" x14ac:dyDescent="0.3">
      <c r="A1112">
        <v>1635</v>
      </c>
      <c r="B1112" t="s">
        <v>4875</v>
      </c>
      <c r="C1112" t="s">
        <v>585</v>
      </c>
      <c r="D1112" t="s">
        <v>179</v>
      </c>
      <c r="E1112" s="1">
        <v>46087</v>
      </c>
      <c r="F1112" t="s">
        <v>4306</v>
      </c>
      <c r="G1112" t="s">
        <v>3929</v>
      </c>
      <c r="H1112" t="s">
        <v>586</v>
      </c>
      <c r="I1112" t="s">
        <v>204</v>
      </c>
      <c r="J1112" s="1">
        <v>46477</v>
      </c>
      <c r="K1112" t="s">
        <v>768</v>
      </c>
      <c r="L1112">
        <v>1</v>
      </c>
      <c r="M1112">
        <v>1139.9000000000001</v>
      </c>
      <c r="N1112" t="s">
        <v>719</v>
      </c>
      <c r="O1112" t="s">
        <v>4833</v>
      </c>
      <c r="P1112" t="s">
        <v>4786</v>
      </c>
      <c r="Q1112" t="s">
        <v>4852</v>
      </c>
      <c r="R1112" t="s">
        <v>4771</v>
      </c>
    </row>
    <row r="1113" spans="1:18" x14ac:dyDescent="0.3">
      <c r="A1113">
        <v>1933157</v>
      </c>
      <c r="B1113" t="s">
        <v>4875</v>
      </c>
      <c r="C1113" t="s">
        <v>668</v>
      </c>
      <c r="D1113" t="s">
        <v>84</v>
      </c>
      <c r="E1113" s="1">
        <v>46087</v>
      </c>
      <c r="F1113" t="s">
        <v>4384</v>
      </c>
      <c r="G1113" t="s">
        <v>3897</v>
      </c>
      <c r="H1113" t="s">
        <v>670</v>
      </c>
      <c r="I1113" t="s">
        <v>204</v>
      </c>
      <c r="J1113" s="1">
        <v>46677</v>
      </c>
      <c r="K1113" t="s">
        <v>768</v>
      </c>
      <c r="L1113">
        <v>2200</v>
      </c>
      <c r="M1113">
        <v>2200</v>
      </c>
      <c r="N1113" t="s">
        <v>1000</v>
      </c>
      <c r="O1113" t="s">
        <v>1037</v>
      </c>
      <c r="P1113" t="s">
        <v>4799</v>
      </c>
      <c r="Q1113" t="s">
        <v>4852</v>
      </c>
      <c r="R1113" t="s">
        <v>807</v>
      </c>
    </row>
    <row r="1114" spans="1:18" x14ac:dyDescent="0.3">
      <c r="A1114">
        <v>1634</v>
      </c>
      <c r="B1114" t="s">
        <v>1034</v>
      </c>
      <c r="C1114" t="s">
        <v>585</v>
      </c>
      <c r="D1114" t="s">
        <v>179</v>
      </c>
      <c r="E1114" s="1">
        <v>46087</v>
      </c>
      <c r="F1114" t="s">
        <v>4306</v>
      </c>
      <c r="G1114" t="s">
        <v>3928</v>
      </c>
      <c r="H1114" t="s">
        <v>584</v>
      </c>
      <c r="I1114" t="s">
        <v>204</v>
      </c>
      <c r="J1114" s="1">
        <v>46477</v>
      </c>
      <c r="K1114" t="s">
        <v>717</v>
      </c>
      <c r="L1114">
        <v>1</v>
      </c>
      <c r="M1114">
        <v>1139.9000000000001</v>
      </c>
      <c r="N1114" t="s">
        <v>719</v>
      </c>
      <c r="O1114" t="s">
        <v>4833</v>
      </c>
      <c r="P1114" t="s">
        <v>4786</v>
      </c>
      <c r="Q1114" t="s">
        <v>4852</v>
      </c>
      <c r="R1114" t="s">
        <v>4771</v>
      </c>
    </row>
    <row r="1115" spans="1:18" x14ac:dyDescent="0.3">
      <c r="A1115">
        <v>1933178</v>
      </c>
      <c r="B1115" t="s">
        <v>1034</v>
      </c>
      <c r="C1115" t="s">
        <v>668</v>
      </c>
      <c r="D1115" t="s">
        <v>84</v>
      </c>
      <c r="E1115" s="1">
        <v>46087</v>
      </c>
      <c r="F1115" t="s">
        <v>4384</v>
      </c>
      <c r="G1115" t="s">
        <v>3898</v>
      </c>
      <c r="H1115" t="s">
        <v>669</v>
      </c>
      <c r="I1115" t="s">
        <v>204</v>
      </c>
      <c r="J1115" s="1">
        <v>46326</v>
      </c>
      <c r="K1115" t="s">
        <v>717</v>
      </c>
      <c r="L1115">
        <v>18542.97</v>
      </c>
      <c r="M1115">
        <v>18542.97</v>
      </c>
      <c r="N1115" t="s">
        <v>1000</v>
      </c>
      <c r="O1115" t="s">
        <v>1037</v>
      </c>
      <c r="P1115" t="s">
        <v>4799</v>
      </c>
      <c r="Q1115" t="s">
        <v>4852</v>
      </c>
      <c r="R1115" t="s">
        <v>807</v>
      </c>
    </row>
    <row r="1116" spans="1:18" x14ac:dyDescent="0.3">
      <c r="A1116">
        <v>3949</v>
      </c>
      <c r="B1116" t="s">
        <v>4875</v>
      </c>
      <c r="C1116" t="s">
        <v>535</v>
      </c>
      <c r="D1116" t="s">
        <v>148</v>
      </c>
      <c r="E1116" s="1">
        <v>46086</v>
      </c>
      <c r="F1116" t="s">
        <v>4297</v>
      </c>
      <c r="G1116" t="s">
        <v>3848</v>
      </c>
      <c r="H1116" t="s">
        <v>654</v>
      </c>
      <c r="I1116" t="s">
        <v>204</v>
      </c>
      <c r="J1116" s="1">
        <v>46227</v>
      </c>
      <c r="K1116" t="s">
        <v>748</v>
      </c>
      <c r="L1116">
        <v>1</v>
      </c>
      <c r="M1116">
        <v>5500</v>
      </c>
      <c r="N1116" t="s">
        <v>954</v>
      </c>
      <c r="O1116" t="s">
        <v>1040</v>
      </c>
      <c r="P1116" t="s">
        <v>4779</v>
      </c>
      <c r="Q1116" t="s">
        <v>4856</v>
      </c>
      <c r="R1116" t="s">
        <v>807</v>
      </c>
    </row>
    <row r="1117" spans="1:18" x14ac:dyDescent="0.3">
      <c r="A1117">
        <v>39476</v>
      </c>
      <c r="B1117" t="s">
        <v>4875</v>
      </c>
      <c r="C1117" t="s">
        <v>530</v>
      </c>
      <c r="D1117" t="s">
        <v>24</v>
      </c>
      <c r="E1117" s="1">
        <v>46086</v>
      </c>
      <c r="F1117" t="s">
        <v>4297</v>
      </c>
      <c r="G1117" t="s">
        <v>3867</v>
      </c>
      <c r="H1117" t="s">
        <v>529</v>
      </c>
      <c r="I1117" t="s">
        <v>204</v>
      </c>
      <c r="J1117" s="1">
        <v>46477</v>
      </c>
      <c r="K1117" t="s">
        <v>748</v>
      </c>
      <c r="L1117">
        <v>1</v>
      </c>
      <c r="M1117">
        <v>8077.82</v>
      </c>
      <c r="N1117" t="s">
        <v>710</v>
      </c>
      <c r="O1117" t="s">
        <v>1040</v>
      </c>
      <c r="P1117" t="s">
        <v>4779</v>
      </c>
      <c r="Q1117" t="s">
        <v>4856</v>
      </c>
      <c r="R1117" t="s">
        <v>4773</v>
      </c>
    </row>
    <row r="1118" spans="1:18" x14ac:dyDescent="0.3">
      <c r="A1118">
        <v>170384</v>
      </c>
      <c r="B1118" t="s">
        <v>4875</v>
      </c>
      <c r="C1118" t="s">
        <v>301</v>
      </c>
      <c r="D1118" t="s">
        <v>23</v>
      </c>
      <c r="E1118" s="1">
        <v>46086</v>
      </c>
      <c r="F1118" t="s">
        <v>4321</v>
      </c>
      <c r="G1118" t="s">
        <v>3847</v>
      </c>
      <c r="H1118" t="s">
        <v>342</v>
      </c>
      <c r="I1118" t="s">
        <v>204</v>
      </c>
      <c r="J1118" s="1">
        <v>46285</v>
      </c>
      <c r="K1118" t="s">
        <v>748</v>
      </c>
      <c r="L1118">
        <v>5127.5200000000004</v>
      </c>
      <c r="M1118">
        <v>5127.51</v>
      </c>
      <c r="N1118" t="s">
        <v>710</v>
      </c>
      <c r="O1118" t="s">
        <v>1040</v>
      </c>
      <c r="P1118" t="s">
        <v>4782</v>
      </c>
      <c r="Q1118" t="s">
        <v>4856</v>
      </c>
      <c r="R1118" t="s">
        <v>4773</v>
      </c>
    </row>
    <row r="1119" spans="1:18" x14ac:dyDescent="0.3">
      <c r="A1119">
        <v>43134</v>
      </c>
      <c r="B1119" t="s">
        <v>4875</v>
      </c>
      <c r="C1119" t="s">
        <v>327</v>
      </c>
      <c r="D1119" t="s">
        <v>159</v>
      </c>
      <c r="E1119" s="1">
        <v>46086</v>
      </c>
      <c r="F1119" t="s">
        <v>4295</v>
      </c>
      <c r="G1119" t="s">
        <v>3854</v>
      </c>
      <c r="H1119" t="s">
        <v>326</v>
      </c>
      <c r="I1119" t="s">
        <v>204</v>
      </c>
      <c r="J1119" s="1">
        <v>54878</v>
      </c>
      <c r="K1119" t="s">
        <v>748</v>
      </c>
      <c r="L1119">
        <v>2150</v>
      </c>
      <c r="M1119">
        <v>2150</v>
      </c>
      <c r="N1119" t="s">
        <v>719</v>
      </c>
      <c r="O1119" t="s">
        <v>4834</v>
      </c>
      <c r="P1119" t="s">
        <v>4776</v>
      </c>
      <c r="Q1119" t="s">
        <v>4856</v>
      </c>
      <c r="R1119" t="s">
        <v>4773</v>
      </c>
    </row>
    <row r="1120" spans="1:18" x14ac:dyDescent="0.3">
      <c r="A1120">
        <v>43133</v>
      </c>
      <c r="B1120" t="s">
        <v>4875</v>
      </c>
      <c r="C1120" t="s">
        <v>327</v>
      </c>
      <c r="D1120" t="s">
        <v>159</v>
      </c>
      <c r="E1120" s="1">
        <v>46086</v>
      </c>
      <c r="F1120" t="s">
        <v>4295</v>
      </c>
      <c r="G1120" t="s">
        <v>3852</v>
      </c>
      <c r="H1120" t="s">
        <v>326</v>
      </c>
      <c r="I1120" t="s">
        <v>204</v>
      </c>
      <c r="J1120" s="1">
        <v>54878</v>
      </c>
      <c r="K1120" t="s">
        <v>748</v>
      </c>
      <c r="L1120">
        <v>3984.06</v>
      </c>
      <c r="M1120">
        <v>3984.06</v>
      </c>
      <c r="N1120" t="s">
        <v>719</v>
      </c>
      <c r="O1120" t="s">
        <v>4834</v>
      </c>
      <c r="P1120" t="s">
        <v>4776</v>
      </c>
      <c r="Q1120" t="s">
        <v>4856</v>
      </c>
      <c r="R1120" t="s">
        <v>4773</v>
      </c>
    </row>
    <row r="1121" spans="1:18" x14ac:dyDescent="0.3">
      <c r="A1121">
        <v>4635</v>
      </c>
      <c r="B1121" t="s">
        <v>1034</v>
      </c>
      <c r="C1121" t="s">
        <v>319</v>
      </c>
      <c r="D1121" t="s">
        <v>36</v>
      </c>
      <c r="E1121" s="1">
        <v>46086</v>
      </c>
      <c r="F1121" t="s">
        <v>4298</v>
      </c>
      <c r="G1121" t="s">
        <v>3878</v>
      </c>
      <c r="H1121" t="s">
        <v>318</v>
      </c>
      <c r="I1121" t="s">
        <v>204</v>
      </c>
      <c r="J1121" s="1">
        <v>46214</v>
      </c>
      <c r="K1121" t="s">
        <v>711</v>
      </c>
      <c r="L1121">
        <v>941</v>
      </c>
      <c r="M1121">
        <v>940.7</v>
      </c>
      <c r="N1121" t="s">
        <v>710</v>
      </c>
      <c r="O1121" t="s">
        <v>1036</v>
      </c>
      <c r="P1121" t="s">
        <v>4784</v>
      </c>
      <c r="Q1121" t="s">
        <v>4901</v>
      </c>
      <c r="R1121" t="s">
        <v>4771</v>
      </c>
    </row>
    <row r="1122" spans="1:18" x14ac:dyDescent="0.3">
      <c r="A1122">
        <v>5370</v>
      </c>
      <c r="B1122" t="s">
        <v>1034</v>
      </c>
      <c r="C1122" t="s">
        <v>319</v>
      </c>
      <c r="D1122" t="s">
        <v>36</v>
      </c>
      <c r="E1122" s="1">
        <v>46086</v>
      </c>
      <c r="F1122" t="s">
        <v>4298</v>
      </c>
      <c r="G1122" t="s">
        <v>3877</v>
      </c>
      <c r="H1122" t="s">
        <v>318</v>
      </c>
      <c r="I1122" t="s">
        <v>204</v>
      </c>
      <c r="J1122" s="1">
        <v>46214</v>
      </c>
      <c r="K1122" t="s">
        <v>711</v>
      </c>
      <c r="L1122">
        <v>1129</v>
      </c>
      <c r="M1122">
        <v>1128.8399999999999</v>
      </c>
      <c r="N1122" t="s">
        <v>710</v>
      </c>
      <c r="O1122" t="s">
        <v>1036</v>
      </c>
      <c r="P1122" t="s">
        <v>4784</v>
      </c>
      <c r="Q1122" t="s">
        <v>4901</v>
      </c>
      <c r="R1122" t="s">
        <v>4771</v>
      </c>
    </row>
    <row r="1123" spans="1:18" x14ac:dyDescent="0.3">
      <c r="A1123">
        <v>4139010</v>
      </c>
      <c r="B1123" t="s">
        <v>1034</v>
      </c>
      <c r="C1123" t="s">
        <v>417</v>
      </c>
      <c r="D1123" t="s">
        <v>185</v>
      </c>
      <c r="E1123" s="1">
        <v>46086</v>
      </c>
      <c r="F1123" t="s">
        <v>4335</v>
      </c>
      <c r="G1123" t="s">
        <v>3904</v>
      </c>
      <c r="H1123" t="s">
        <v>416</v>
      </c>
      <c r="I1123" t="s">
        <v>204</v>
      </c>
      <c r="J1123" s="1">
        <v>54878</v>
      </c>
      <c r="K1123" t="s">
        <v>717</v>
      </c>
      <c r="L1123">
        <v>1424.46</v>
      </c>
      <c r="M1123">
        <v>1424.46</v>
      </c>
      <c r="N1123" t="s">
        <v>710</v>
      </c>
      <c r="O1123" t="s">
        <v>1037</v>
      </c>
      <c r="P1123" t="s">
        <v>4780</v>
      </c>
      <c r="Q1123" t="s">
        <v>4852</v>
      </c>
      <c r="R1123" t="s">
        <v>4771</v>
      </c>
    </row>
    <row r="1124" spans="1:18" x14ac:dyDescent="0.3">
      <c r="A1124">
        <v>52</v>
      </c>
      <c r="B1124" t="s">
        <v>4876</v>
      </c>
      <c r="C1124" t="s">
        <v>476</v>
      </c>
      <c r="D1124" t="s">
        <v>195</v>
      </c>
      <c r="E1124" s="1">
        <v>46086</v>
      </c>
      <c r="F1124" t="s">
        <v>4401</v>
      </c>
      <c r="G1124" t="s">
        <v>3896</v>
      </c>
      <c r="H1124" t="s">
        <v>475</v>
      </c>
      <c r="I1124" t="s">
        <v>204</v>
      </c>
      <c r="J1124" s="1">
        <v>54878</v>
      </c>
      <c r="K1124" t="s">
        <v>839</v>
      </c>
      <c r="L1124">
        <v>39330</v>
      </c>
      <c r="M1124">
        <v>39330</v>
      </c>
      <c r="N1124" t="s">
        <v>710</v>
      </c>
      <c r="O1124" t="s">
        <v>1042</v>
      </c>
      <c r="P1124" t="s">
        <v>1006</v>
      </c>
      <c r="Q1124" t="s">
        <v>4852</v>
      </c>
      <c r="R1124" t="s">
        <v>4771</v>
      </c>
    </row>
    <row r="1125" spans="1:18" x14ac:dyDescent="0.3">
      <c r="A1125">
        <v>38</v>
      </c>
      <c r="B1125" t="s">
        <v>4875</v>
      </c>
      <c r="C1125" t="s">
        <v>322</v>
      </c>
      <c r="D1125" t="s">
        <v>158</v>
      </c>
      <c r="E1125" s="1">
        <v>46086</v>
      </c>
      <c r="F1125" t="s">
        <v>4431</v>
      </c>
      <c r="G1125" t="s">
        <v>3807</v>
      </c>
      <c r="H1125" t="s">
        <v>321</v>
      </c>
      <c r="I1125" t="s">
        <v>204</v>
      </c>
      <c r="J1125" s="1">
        <v>46310</v>
      </c>
      <c r="K1125" t="s">
        <v>748</v>
      </c>
      <c r="L1125">
        <v>1</v>
      </c>
      <c r="M1125">
        <v>11106.45</v>
      </c>
      <c r="N1125" t="s">
        <v>710</v>
      </c>
      <c r="O1125" t="s">
        <v>1040</v>
      </c>
      <c r="P1125" t="s">
        <v>4782</v>
      </c>
      <c r="Q1125" t="s">
        <v>4856</v>
      </c>
      <c r="R1125" t="s">
        <v>4773</v>
      </c>
    </row>
    <row r="1126" spans="1:18" x14ac:dyDescent="0.3">
      <c r="A1126">
        <v>6032</v>
      </c>
      <c r="B1126" t="s">
        <v>1034</v>
      </c>
      <c r="C1126" t="s">
        <v>399</v>
      </c>
      <c r="D1126" t="s">
        <v>97</v>
      </c>
      <c r="E1126" s="1">
        <v>46086</v>
      </c>
      <c r="F1126" t="s">
        <v>4301</v>
      </c>
      <c r="G1126" t="s">
        <v>3753</v>
      </c>
      <c r="H1126" t="s">
        <v>398</v>
      </c>
      <c r="I1126" t="s">
        <v>204</v>
      </c>
      <c r="J1126" s="1">
        <v>46274</v>
      </c>
      <c r="K1126" t="s">
        <v>717</v>
      </c>
      <c r="L1126">
        <v>1</v>
      </c>
      <c r="M1126">
        <v>21070.42</v>
      </c>
      <c r="N1126" t="s">
        <v>710</v>
      </c>
      <c r="O1126" t="s">
        <v>4902</v>
      </c>
      <c r="P1126" t="s">
        <v>4776</v>
      </c>
      <c r="Q1126" t="s">
        <v>4852</v>
      </c>
      <c r="R1126" t="s">
        <v>4773</v>
      </c>
    </row>
    <row r="1127" spans="1:18" x14ac:dyDescent="0.3">
      <c r="A1127">
        <v>66</v>
      </c>
      <c r="B1127" t="s">
        <v>4875</v>
      </c>
      <c r="C1127" t="s">
        <v>561</v>
      </c>
      <c r="D1127" t="s">
        <v>121</v>
      </c>
      <c r="E1127" s="1">
        <v>46086</v>
      </c>
      <c r="F1127" t="s">
        <v>4390</v>
      </c>
      <c r="G1127" t="s">
        <v>3846</v>
      </c>
      <c r="H1127" t="s">
        <v>560</v>
      </c>
      <c r="I1127" t="s">
        <v>204</v>
      </c>
      <c r="J1127" s="1">
        <v>46732</v>
      </c>
      <c r="K1127" t="s">
        <v>748</v>
      </c>
      <c r="L1127">
        <v>1</v>
      </c>
      <c r="M1127">
        <v>14100</v>
      </c>
      <c r="N1127" t="s">
        <v>818</v>
      </c>
      <c r="O1127" t="s">
        <v>1040</v>
      </c>
      <c r="P1127" t="s">
        <v>4777</v>
      </c>
      <c r="Q1127" t="s">
        <v>4856</v>
      </c>
      <c r="R1127" t="s">
        <v>4771</v>
      </c>
    </row>
    <row r="1128" spans="1:18" x14ac:dyDescent="0.3">
      <c r="A1128">
        <v>599710</v>
      </c>
      <c r="B1128" t="s">
        <v>1034</v>
      </c>
      <c r="C1128" t="s">
        <v>248</v>
      </c>
      <c r="D1128" t="s">
        <v>13</v>
      </c>
      <c r="E1128" s="1">
        <v>46086</v>
      </c>
      <c r="F1128" t="s">
        <v>4297</v>
      </c>
      <c r="G1128" t="s">
        <v>3845</v>
      </c>
      <c r="H1128" t="s">
        <v>315</v>
      </c>
      <c r="I1128" t="s">
        <v>204</v>
      </c>
      <c r="J1128" s="1">
        <v>46073</v>
      </c>
      <c r="K1128" t="s">
        <v>711</v>
      </c>
      <c r="L1128">
        <v>1</v>
      </c>
      <c r="M1128">
        <v>404.45</v>
      </c>
      <c r="N1128" t="s">
        <v>710</v>
      </c>
      <c r="O1128" t="s">
        <v>1036</v>
      </c>
      <c r="P1128" t="s">
        <v>4779</v>
      </c>
      <c r="Q1128" t="s">
        <v>4901</v>
      </c>
      <c r="R1128" t="s">
        <v>4773</v>
      </c>
    </row>
    <row r="1129" spans="1:18" x14ac:dyDescent="0.3">
      <c r="A1129">
        <v>79944</v>
      </c>
      <c r="B1129" t="s">
        <v>4874</v>
      </c>
      <c r="C1129" t="s">
        <v>634</v>
      </c>
      <c r="D1129" t="s">
        <v>99</v>
      </c>
      <c r="E1129" s="1">
        <v>46086</v>
      </c>
      <c r="F1129" t="s">
        <v>4307</v>
      </c>
      <c r="G1129" t="s">
        <v>3905</v>
      </c>
      <c r="H1129" t="s">
        <v>633</v>
      </c>
      <c r="I1129" t="s">
        <v>204</v>
      </c>
      <c r="J1129" s="1">
        <v>46204</v>
      </c>
      <c r="K1129" t="s">
        <v>762</v>
      </c>
      <c r="L1129">
        <v>2328</v>
      </c>
      <c r="M1129">
        <v>36293.519999999997</v>
      </c>
      <c r="N1129" t="s">
        <v>719</v>
      </c>
      <c r="O1129" t="s">
        <v>1037</v>
      </c>
      <c r="P1129" t="s">
        <v>4790</v>
      </c>
      <c r="Q1129" t="s">
        <v>4852</v>
      </c>
    </row>
    <row r="1130" spans="1:18" x14ac:dyDescent="0.3">
      <c r="A1130">
        <v>79944</v>
      </c>
      <c r="B1130" t="s">
        <v>4874</v>
      </c>
      <c r="C1130" t="s">
        <v>634</v>
      </c>
      <c r="D1130" t="s">
        <v>99</v>
      </c>
      <c r="E1130" s="1">
        <v>46086</v>
      </c>
      <c r="F1130" t="s">
        <v>4308</v>
      </c>
      <c r="G1130" t="s">
        <v>3905</v>
      </c>
      <c r="H1130" t="s">
        <v>633</v>
      </c>
      <c r="I1130" t="s">
        <v>204</v>
      </c>
      <c r="J1130" s="1">
        <v>46204</v>
      </c>
      <c r="K1130" t="s">
        <v>762</v>
      </c>
      <c r="L1130">
        <v>73</v>
      </c>
      <c r="M1130">
        <v>355.51</v>
      </c>
      <c r="N1130" t="s">
        <v>719</v>
      </c>
      <c r="O1130" t="s">
        <v>1037</v>
      </c>
      <c r="P1130" t="s">
        <v>4790</v>
      </c>
      <c r="Q1130" t="s">
        <v>4852</v>
      </c>
    </row>
    <row r="1131" spans="1:18" x14ac:dyDescent="0.3">
      <c r="A1131">
        <v>599710</v>
      </c>
      <c r="B1131" t="s">
        <v>1034</v>
      </c>
      <c r="C1131" t="s">
        <v>248</v>
      </c>
      <c r="D1131" t="s">
        <v>13</v>
      </c>
      <c r="E1131" s="1">
        <v>46086</v>
      </c>
      <c r="F1131" t="s">
        <v>4297</v>
      </c>
      <c r="G1131" t="s">
        <v>3654</v>
      </c>
      <c r="H1131" t="s">
        <v>315</v>
      </c>
      <c r="I1131" t="s">
        <v>204</v>
      </c>
      <c r="J1131" s="1">
        <v>46073</v>
      </c>
      <c r="K1131" t="s">
        <v>711</v>
      </c>
      <c r="L1131">
        <v>5391.91</v>
      </c>
      <c r="M1131">
        <v>5391.91</v>
      </c>
      <c r="N1131" t="s">
        <v>710</v>
      </c>
      <c r="O1131" t="s">
        <v>1036</v>
      </c>
      <c r="P1131" t="s">
        <v>4779</v>
      </c>
      <c r="Q1131" t="s">
        <v>4901</v>
      </c>
      <c r="R1131" t="s">
        <v>4773</v>
      </c>
    </row>
    <row r="1132" spans="1:18" x14ac:dyDescent="0.3">
      <c r="A1132">
        <v>79944</v>
      </c>
      <c r="B1132" t="s">
        <v>4874</v>
      </c>
      <c r="C1132" t="s">
        <v>634</v>
      </c>
      <c r="D1132" t="s">
        <v>99</v>
      </c>
      <c r="E1132" s="1">
        <v>46086</v>
      </c>
      <c r="F1132" t="s">
        <v>4310</v>
      </c>
      <c r="G1132" t="s">
        <v>3905</v>
      </c>
      <c r="H1132" t="s">
        <v>633</v>
      </c>
      <c r="I1132" t="s">
        <v>204</v>
      </c>
      <c r="J1132" s="1">
        <v>46204</v>
      </c>
      <c r="K1132" t="s">
        <v>762</v>
      </c>
      <c r="L1132">
        <v>13</v>
      </c>
      <c r="M1132">
        <v>47.58</v>
      </c>
      <c r="N1132" t="s">
        <v>719</v>
      </c>
      <c r="O1132" t="s">
        <v>1037</v>
      </c>
      <c r="P1132" t="s">
        <v>4790</v>
      </c>
      <c r="Q1132" t="s">
        <v>4852</v>
      </c>
    </row>
    <row r="1133" spans="1:18" x14ac:dyDescent="0.3">
      <c r="A1133">
        <v>79944</v>
      </c>
      <c r="B1133" t="s">
        <v>4874</v>
      </c>
      <c r="C1133" t="s">
        <v>634</v>
      </c>
      <c r="D1133" t="s">
        <v>99</v>
      </c>
      <c r="E1133" s="1">
        <v>46086</v>
      </c>
      <c r="F1133" t="s">
        <v>4329</v>
      </c>
      <c r="G1133" t="s">
        <v>3905</v>
      </c>
      <c r="H1133" t="s">
        <v>633</v>
      </c>
      <c r="I1133" t="s">
        <v>204</v>
      </c>
      <c r="J1133" s="1">
        <v>46204</v>
      </c>
      <c r="K1133" t="s">
        <v>762</v>
      </c>
      <c r="L1133">
        <v>7</v>
      </c>
      <c r="M1133">
        <v>93.03</v>
      </c>
      <c r="N1133" t="s">
        <v>719</v>
      </c>
      <c r="O1133" t="s">
        <v>1037</v>
      </c>
      <c r="P1133" t="s">
        <v>4790</v>
      </c>
      <c r="Q1133" t="s">
        <v>4852</v>
      </c>
    </row>
    <row r="1134" spans="1:18" x14ac:dyDescent="0.3">
      <c r="A1134">
        <v>79944</v>
      </c>
      <c r="B1134" t="s">
        <v>4874</v>
      </c>
      <c r="C1134" t="s">
        <v>634</v>
      </c>
      <c r="D1134" t="s">
        <v>99</v>
      </c>
      <c r="E1134" s="1">
        <v>46086</v>
      </c>
      <c r="F1134" t="s">
        <v>4394</v>
      </c>
      <c r="G1134" t="s">
        <v>3905</v>
      </c>
      <c r="H1134" t="s">
        <v>633</v>
      </c>
      <c r="I1134" t="s">
        <v>204</v>
      </c>
      <c r="J1134" s="1">
        <v>46204</v>
      </c>
      <c r="K1134" t="s">
        <v>762</v>
      </c>
      <c r="L1134">
        <v>2328</v>
      </c>
      <c r="M1134">
        <v>2328</v>
      </c>
      <c r="N1134" t="s">
        <v>719</v>
      </c>
      <c r="O1134" t="s">
        <v>1037</v>
      </c>
      <c r="P1134" t="s">
        <v>4790</v>
      </c>
      <c r="Q1134" t="s">
        <v>4852</v>
      </c>
    </row>
    <row r="1135" spans="1:18" x14ac:dyDescent="0.3">
      <c r="A1135">
        <v>79944</v>
      </c>
      <c r="B1135" t="s">
        <v>4874</v>
      </c>
      <c r="C1135" t="s">
        <v>634</v>
      </c>
      <c r="D1135" t="s">
        <v>99</v>
      </c>
      <c r="E1135" s="1">
        <v>46086</v>
      </c>
      <c r="F1135" t="s">
        <v>4422</v>
      </c>
      <c r="G1135" t="s">
        <v>3905</v>
      </c>
      <c r="H1135" t="s">
        <v>633</v>
      </c>
      <c r="I1135" t="s">
        <v>204</v>
      </c>
      <c r="J1135" s="1">
        <v>46204</v>
      </c>
      <c r="K1135" t="s">
        <v>762</v>
      </c>
      <c r="L1135">
        <v>6</v>
      </c>
      <c r="M1135">
        <v>35.159999999999997</v>
      </c>
      <c r="N1135" t="s">
        <v>719</v>
      </c>
      <c r="O1135" t="s">
        <v>1037</v>
      </c>
      <c r="P1135" t="s">
        <v>4790</v>
      </c>
      <c r="Q1135" t="s">
        <v>4852</v>
      </c>
    </row>
    <row r="1136" spans="1:18" x14ac:dyDescent="0.3">
      <c r="A1136">
        <v>3161</v>
      </c>
      <c r="B1136" t="s">
        <v>4874</v>
      </c>
      <c r="C1136" t="s">
        <v>630</v>
      </c>
      <c r="D1136" t="s">
        <v>145</v>
      </c>
      <c r="E1136" s="1">
        <v>46086</v>
      </c>
      <c r="F1136" t="s">
        <v>4300</v>
      </c>
      <c r="G1136" t="s">
        <v>3913</v>
      </c>
      <c r="H1136" t="s">
        <v>629</v>
      </c>
      <c r="I1136" t="s">
        <v>204</v>
      </c>
      <c r="J1136" s="1">
        <v>46264</v>
      </c>
      <c r="K1136" t="s">
        <v>720</v>
      </c>
      <c r="L1136">
        <v>1</v>
      </c>
      <c r="M1136">
        <v>24500</v>
      </c>
      <c r="N1136" t="s">
        <v>710</v>
      </c>
      <c r="O1136" t="s">
        <v>4849</v>
      </c>
      <c r="P1136" t="s">
        <v>4777</v>
      </c>
      <c r="Q1136" t="s">
        <v>4855</v>
      </c>
      <c r="R1136" t="s">
        <v>4771</v>
      </c>
    </row>
    <row r="1137" spans="1:18" x14ac:dyDescent="0.3">
      <c r="A1137">
        <v>92329</v>
      </c>
      <c r="B1137" t="s">
        <v>1034</v>
      </c>
      <c r="C1137" t="s">
        <v>319</v>
      </c>
      <c r="D1137" t="s">
        <v>36</v>
      </c>
      <c r="E1137" s="1">
        <v>46086</v>
      </c>
      <c r="F1137" t="s">
        <v>4298</v>
      </c>
      <c r="G1137" t="s">
        <v>3925</v>
      </c>
      <c r="H1137" t="s">
        <v>318</v>
      </c>
      <c r="I1137" t="s">
        <v>204</v>
      </c>
      <c r="J1137" s="1">
        <v>46214</v>
      </c>
      <c r="K1137" t="s">
        <v>711</v>
      </c>
      <c r="L1137">
        <v>720</v>
      </c>
      <c r="M1137">
        <v>720.38</v>
      </c>
      <c r="N1137" t="s">
        <v>710</v>
      </c>
      <c r="O1137" t="s">
        <v>1036</v>
      </c>
      <c r="P1137" t="s">
        <v>4784</v>
      </c>
      <c r="Q1137" t="s">
        <v>4901</v>
      </c>
      <c r="R1137" t="s">
        <v>4771</v>
      </c>
    </row>
    <row r="1138" spans="1:18" x14ac:dyDescent="0.3">
      <c r="A1138">
        <v>4273</v>
      </c>
      <c r="B1138" t="s">
        <v>1034</v>
      </c>
      <c r="C1138" t="s">
        <v>319</v>
      </c>
      <c r="D1138" t="s">
        <v>36</v>
      </c>
      <c r="E1138" s="1">
        <v>46086</v>
      </c>
      <c r="F1138" t="s">
        <v>4298</v>
      </c>
      <c r="G1138" t="s">
        <v>3926</v>
      </c>
      <c r="H1138" t="s">
        <v>318</v>
      </c>
      <c r="I1138" t="s">
        <v>204</v>
      </c>
      <c r="J1138" s="1">
        <v>46214</v>
      </c>
      <c r="K1138" t="s">
        <v>711</v>
      </c>
      <c r="L1138">
        <v>1136</v>
      </c>
      <c r="M1138">
        <v>1136.04</v>
      </c>
      <c r="N1138" t="s">
        <v>710</v>
      </c>
      <c r="O1138" t="s">
        <v>1036</v>
      </c>
      <c r="P1138" t="s">
        <v>4784</v>
      </c>
      <c r="Q1138" t="s">
        <v>4901</v>
      </c>
      <c r="R1138" t="s">
        <v>4771</v>
      </c>
    </row>
    <row r="1139" spans="1:18" x14ac:dyDescent="0.3">
      <c r="A1139">
        <v>391</v>
      </c>
      <c r="B1139" t="s">
        <v>4874</v>
      </c>
      <c r="C1139" t="s">
        <v>645</v>
      </c>
      <c r="D1139" t="s">
        <v>76</v>
      </c>
      <c r="E1139" s="1">
        <v>46086</v>
      </c>
      <c r="F1139" t="s">
        <v>4318</v>
      </c>
      <c r="G1139" t="s">
        <v>3873</v>
      </c>
      <c r="H1139" t="s">
        <v>644</v>
      </c>
      <c r="I1139" t="s">
        <v>204</v>
      </c>
      <c r="J1139" s="1">
        <v>46478</v>
      </c>
      <c r="K1139" t="s">
        <v>720</v>
      </c>
      <c r="L1139">
        <v>1</v>
      </c>
      <c r="M1139">
        <v>4027.7</v>
      </c>
      <c r="N1139" t="s">
        <v>710</v>
      </c>
      <c r="O1139" t="s">
        <v>1038</v>
      </c>
      <c r="P1139" t="s">
        <v>4776</v>
      </c>
      <c r="Q1139" t="s">
        <v>4858</v>
      </c>
      <c r="R1139" t="s">
        <v>4773</v>
      </c>
    </row>
    <row r="1140" spans="1:18" x14ac:dyDescent="0.3">
      <c r="A1140">
        <v>114</v>
      </c>
      <c r="B1140" t="s">
        <v>1034</v>
      </c>
      <c r="C1140" t="s">
        <v>552</v>
      </c>
      <c r="D1140" t="s">
        <v>190</v>
      </c>
      <c r="E1140" s="1">
        <v>46085</v>
      </c>
      <c r="F1140" t="s">
        <v>4339</v>
      </c>
      <c r="G1140" t="s">
        <v>3887</v>
      </c>
      <c r="H1140" t="s">
        <v>583</v>
      </c>
      <c r="I1140" t="s">
        <v>204</v>
      </c>
      <c r="J1140" s="1">
        <v>46441</v>
      </c>
      <c r="K1140" t="s">
        <v>717</v>
      </c>
      <c r="L1140">
        <v>1</v>
      </c>
      <c r="M1140">
        <v>64252.04</v>
      </c>
      <c r="N1140" t="s">
        <v>710</v>
      </c>
      <c r="O1140" t="s">
        <v>4904</v>
      </c>
      <c r="P1140" t="s">
        <v>4792</v>
      </c>
      <c r="Q1140" t="s">
        <v>4904</v>
      </c>
      <c r="R1140" t="s">
        <v>4772</v>
      </c>
    </row>
    <row r="1141" spans="1:18" x14ac:dyDescent="0.3">
      <c r="A1141">
        <v>4270</v>
      </c>
      <c r="B1141" t="s">
        <v>4875</v>
      </c>
      <c r="C1141" t="s">
        <v>319</v>
      </c>
      <c r="D1141" t="s">
        <v>36</v>
      </c>
      <c r="E1141" s="1">
        <v>46085</v>
      </c>
      <c r="F1141" t="s">
        <v>4298</v>
      </c>
      <c r="G1141" t="s">
        <v>3908</v>
      </c>
      <c r="H1141" t="s">
        <v>336</v>
      </c>
      <c r="I1141" t="s">
        <v>204</v>
      </c>
      <c r="J1141" s="1">
        <v>46075</v>
      </c>
      <c r="K1141" t="s">
        <v>748</v>
      </c>
      <c r="L1141">
        <v>1</v>
      </c>
      <c r="M1141">
        <v>189.34</v>
      </c>
      <c r="N1141" t="s">
        <v>710</v>
      </c>
      <c r="O1141" t="s">
        <v>1040</v>
      </c>
      <c r="P1141" t="s">
        <v>4784</v>
      </c>
      <c r="Q1141" t="s">
        <v>4856</v>
      </c>
      <c r="R1141" t="s">
        <v>4771</v>
      </c>
    </row>
    <row r="1142" spans="1:18" x14ac:dyDescent="0.3">
      <c r="A1142">
        <v>596238</v>
      </c>
      <c r="B1142" t="s">
        <v>4874</v>
      </c>
      <c r="C1142" t="s">
        <v>407</v>
      </c>
      <c r="D1142" t="s">
        <v>170</v>
      </c>
      <c r="E1142" s="1">
        <v>46085</v>
      </c>
      <c r="F1142" t="s">
        <v>4388</v>
      </c>
      <c r="G1142" t="s">
        <v>3890</v>
      </c>
      <c r="H1142" t="s">
        <v>406</v>
      </c>
      <c r="I1142" t="s">
        <v>204</v>
      </c>
      <c r="J1142" s="1">
        <v>46387</v>
      </c>
      <c r="K1142" t="s">
        <v>762</v>
      </c>
      <c r="L1142">
        <v>41374</v>
      </c>
      <c r="M1142">
        <v>41374.43</v>
      </c>
      <c r="N1142" t="s">
        <v>710</v>
      </c>
      <c r="O1142" t="s">
        <v>4833</v>
      </c>
      <c r="P1142" t="s">
        <v>4776</v>
      </c>
      <c r="Q1142" t="s">
        <v>4852</v>
      </c>
      <c r="R1142" t="s">
        <v>4771</v>
      </c>
    </row>
    <row r="1143" spans="1:18" x14ac:dyDescent="0.3">
      <c r="A1143">
        <v>435974</v>
      </c>
      <c r="B1143" t="s">
        <v>1034</v>
      </c>
      <c r="C1143" t="s">
        <v>452</v>
      </c>
      <c r="D1143" t="s">
        <v>171</v>
      </c>
      <c r="E1143" s="1">
        <v>46085</v>
      </c>
      <c r="F1143" t="s">
        <v>4319</v>
      </c>
      <c r="G1143" t="s">
        <v>3889</v>
      </c>
      <c r="H1143" t="s">
        <v>512</v>
      </c>
      <c r="I1143" t="s">
        <v>209</v>
      </c>
      <c r="J1143" s="1">
        <v>45138</v>
      </c>
      <c r="K1143" t="s">
        <v>762</v>
      </c>
      <c r="L1143">
        <v>244</v>
      </c>
      <c r="M1143">
        <v>244.1</v>
      </c>
      <c r="N1143" t="s">
        <v>710</v>
      </c>
      <c r="O1143" t="s">
        <v>4833</v>
      </c>
      <c r="P1143" t="s">
        <v>4802</v>
      </c>
      <c r="Q1143" t="s">
        <v>4852</v>
      </c>
      <c r="R1143" t="s">
        <v>4771</v>
      </c>
    </row>
    <row r="1144" spans="1:18" x14ac:dyDescent="0.3">
      <c r="A1144">
        <v>43111</v>
      </c>
      <c r="B1144" t="s">
        <v>1034</v>
      </c>
      <c r="C1144" t="s">
        <v>327</v>
      </c>
      <c r="D1144" t="s">
        <v>159</v>
      </c>
      <c r="E1144" s="1">
        <v>46084</v>
      </c>
      <c r="F1144" t="s">
        <v>4295</v>
      </c>
      <c r="G1144" t="s">
        <v>3862</v>
      </c>
      <c r="H1144" t="s">
        <v>357</v>
      </c>
      <c r="I1144" t="s">
        <v>204</v>
      </c>
      <c r="J1144" s="1">
        <v>46476</v>
      </c>
      <c r="K1144" t="s">
        <v>711</v>
      </c>
      <c r="L1144">
        <v>2150</v>
      </c>
      <c r="M1144">
        <v>2150</v>
      </c>
      <c r="N1144" t="s">
        <v>890</v>
      </c>
      <c r="O1144" t="s">
        <v>4834</v>
      </c>
      <c r="P1144" t="s">
        <v>4776</v>
      </c>
      <c r="Q1144" t="s">
        <v>4901</v>
      </c>
      <c r="R1144" t="s">
        <v>4773</v>
      </c>
    </row>
    <row r="1145" spans="1:18" x14ac:dyDescent="0.3">
      <c r="A1145">
        <v>43112</v>
      </c>
      <c r="B1145" t="s">
        <v>1034</v>
      </c>
      <c r="C1145" t="s">
        <v>327</v>
      </c>
      <c r="D1145" t="s">
        <v>159</v>
      </c>
      <c r="E1145" s="1">
        <v>46084</v>
      </c>
      <c r="F1145" t="s">
        <v>4295</v>
      </c>
      <c r="G1145" t="s">
        <v>3863</v>
      </c>
      <c r="H1145" t="s">
        <v>357</v>
      </c>
      <c r="I1145" t="s">
        <v>204</v>
      </c>
      <c r="J1145" s="1">
        <v>46476</v>
      </c>
      <c r="K1145" t="s">
        <v>711</v>
      </c>
      <c r="L1145">
        <v>1271.03</v>
      </c>
      <c r="M1145">
        <v>1271.03</v>
      </c>
      <c r="N1145" t="s">
        <v>890</v>
      </c>
      <c r="O1145" t="s">
        <v>4834</v>
      </c>
      <c r="P1145" t="s">
        <v>4776</v>
      </c>
      <c r="Q1145" t="s">
        <v>4901</v>
      </c>
      <c r="R1145" t="s">
        <v>4773</v>
      </c>
    </row>
    <row r="1146" spans="1:18" x14ac:dyDescent="0.3">
      <c r="A1146">
        <v>274</v>
      </c>
      <c r="B1146" t="s">
        <v>1034</v>
      </c>
      <c r="C1146" t="s">
        <v>325</v>
      </c>
      <c r="D1146" t="s">
        <v>193</v>
      </c>
      <c r="E1146" s="1">
        <v>46084</v>
      </c>
      <c r="F1146" t="s">
        <v>4297</v>
      </c>
      <c r="G1146" t="s">
        <v>3605</v>
      </c>
      <c r="H1146" t="s">
        <v>324</v>
      </c>
      <c r="I1146" t="s">
        <v>204</v>
      </c>
      <c r="J1146" s="1">
        <v>54878</v>
      </c>
      <c r="K1146" t="s">
        <v>711</v>
      </c>
      <c r="L1146">
        <v>3900</v>
      </c>
      <c r="M1146">
        <v>3900</v>
      </c>
      <c r="N1146" t="s">
        <v>710</v>
      </c>
      <c r="O1146" t="s">
        <v>4844</v>
      </c>
      <c r="P1146" t="s">
        <v>4779</v>
      </c>
      <c r="Q1146" t="s">
        <v>4901</v>
      </c>
      <c r="R1146" t="s">
        <v>4773</v>
      </c>
    </row>
    <row r="1147" spans="1:18" x14ac:dyDescent="0.3">
      <c r="A1147">
        <v>43116</v>
      </c>
      <c r="B1147" t="s">
        <v>1034</v>
      </c>
      <c r="C1147" t="s">
        <v>327</v>
      </c>
      <c r="D1147" t="s">
        <v>159</v>
      </c>
      <c r="E1147" s="1">
        <v>46084</v>
      </c>
      <c r="F1147" t="s">
        <v>4295</v>
      </c>
      <c r="G1147" t="s">
        <v>3864</v>
      </c>
      <c r="H1147" t="s">
        <v>357</v>
      </c>
      <c r="I1147" t="s">
        <v>204</v>
      </c>
      <c r="J1147" s="1">
        <v>46476</v>
      </c>
      <c r="K1147" t="s">
        <v>711</v>
      </c>
      <c r="L1147">
        <v>2150</v>
      </c>
      <c r="M1147">
        <v>2150</v>
      </c>
      <c r="N1147" t="s">
        <v>890</v>
      </c>
      <c r="O1147" t="s">
        <v>4834</v>
      </c>
      <c r="P1147" t="s">
        <v>4776</v>
      </c>
      <c r="Q1147" t="s">
        <v>4901</v>
      </c>
      <c r="R1147" t="s">
        <v>4773</v>
      </c>
    </row>
    <row r="1148" spans="1:18" x14ac:dyDescent="0.3">
      <c r="A1148">
        <v>9</v>
      </c>
      <c r="B1148" t="s">
        <v>1034</v>
      </c>
      <c r="C1148" t="s">
        <v>656</v>
      </c>
      <c r="D1148" t="s">
        <v>56</v>
      </c>
      <c r="E1148" s="1">
        <v>46084</v>
      </c>
      <c r="F1148" t="s">
        <v>4383</v>
      </c>
      <c r="G1148" t="s">
        <v>3875</v>
      </c>
      <c r="H1148" t="s">
        <v>655</v>
      </c>
      <c r="I1148" t="s">
        <v>204</v>
      </c>
      <c r="J1148" s="1">
        <v>46600</v>
      </c>
      <c r="K1148" t="s">
        <v>711</v>
      </c>
      <c r="L1148">
        <v>6000</v>
      </c>
      <c r="M1148">
        <v>6000</v>
      </c>
      <c r="N1148" t="s">
        <v>814</v>
      </c>
      <c r="O1148" t="s">
        <v>1036</v>
      </c>
      <c r="P1148" t="s">
        <v>4776</v>
      </c>
      <c r="Q1148" t="s">
        <v>4901</v>
      </c>
      <c r="R1148" t="s">
        <v>807</v>
      </c>
    </row>
    <row r="1149" spans="1:18" x14ac:dyDescent="0.3">
      <c r="A1149">
        <v>3916</v>
      </c>
      <c r="B1149" t="s">
        <v>4874</v>
      </c>
      <c r="C1149" t="s">
        <v>225</v>
      </c>
      <c r="D1149" t="s">
        <v>166</v>
      </c>
      <c r="E1149" s="1">
        <v>46084</v>
      </c>
      <c r="F1149" t="s">
        <v>4383</v>
      </c>
      <c r="G1149" t="s">
        <v>3906</v>
      </c>
      <c r="H1149" t="s">
        <v>224</v>
      </c>
      <c r="I1149" t="s">
        <v>204</v>
      </c>
      <c r="J1149" s="1">
        <v>54878</v>
      </c>
      <c r="K1149" t="s">
        <v>720</v>
      </c>
      <c r="L1149">
        <v>476.36</v>
      </c>
      <c r="M1149">
        <v>476.36</v>
      </c>
      <c r="N1149" t="s">
        <v>710</v>
      </c>
      <c r="O1149" t="s">
        <v>4849</v>
      </c>
      <c r="P1149" t="s">
        <v>4776</v>
      </c>
      <c r="Q1149" t="s">
        <v>4855</v>
      </c>
      <c r="R1149" t="s">
        <v>4773</v>
      </c>
    </row>
    <row r="1150" spans="1:18" x14ac:dyDescent="0.3">
      <c r="A1150">
        <v>5885</v>
      </c>
      <c r="B1150" t="s">
        <v>4874</v>
      </c>
      <c r="C1150" t="s">
        <v>401</v>
      </c>
      <c r="D1150" t="s">
        <v>187</v>
      </c>
      <c r="E1150" s="1">
        <v>46084</v>
      </c>
      <c r="F1150" t="s">
        <v>4345</v>
      </c>
      <c r="G1150" t="s">
        <v>3914</v>
      </c>
      <c r="H1150" t="s">
        <v>400</v>
      </c>
      <c r="I1150" t="s">
        <v>204</v>
      </c>
      <c r="J1150" s="1">
        <v>54878</v>
      </c>
      <c r="K1150" t="s">
        <v>762</v>
      </c>
      <c r="L1150">
        <v>390</v>
      </c>
      <c r="M1150">
        <v>390</v>
      </c>
      <c r="N1150" t="s">
        <v>710</v>
      </c>
      <c r="O1150" t="s">
        <v>4833</v>
      </c>
      <c r="P1150" t="s">
        <v>4776</v>
      </c>
      <c r="Q1150" t="s">
        <v>4852</v>
      </c>
      <c r="R1150" t="s">
        <v>4773</v>
      </c>
    </row>
    <row r="1151" spans="1:18" x14ac:dyDescent="0.3">
      <c r="A1151">
        <v>7349</v>
      </c>
      <c r="B1151" t="s">
        <v>4874</v>
      </c>
      <c r="C1151" t="s">
        <v>387</v>
      </c>
      <c r="D1151" t="s">
        <v>42</v>
      </c>
      <c r="E1151" s="1">
        <v>46084</v>
      </c>
      <c r="F1151" t="s">
        <v>4345</v>
      </c>
      <c r="G1151" t="s">
        <v>3895</v>
      </c>
      <c r="H1151" t="s">
        <v>386</v>
      </c>
      <c r="I1151" t="s">
        <v>204</v>
      </c>
      <c r="J1151" s="1">
        <v>54878</v>
      </c>
      <c r="K1151" t="s">
        <v>762</v>
      </c>
      <c r="L1151">
        <v>1887</v>
      </c>
      <c r="M1151">
        <v>1887</v>
      </c>
      <c r="N1151" t="s">
        <v>719</v>
      </c>
      <c r="O1151" t="s">
        <v>4833</v>
      </c>
      <c r="P1151" t="s">
        <v>4776</v>
      </c>
      <c r="Q1151" t="s">
        <v>4852</v>
      </c>
      <c r="R1151" t="s">
        <v>4773</v>
      </c>
    </row>
    <row r="1152" spans="1:18" x14ac:dyDescent="0.3">
      <c r="A1152">
        <v>120</v>
      </c>
      <c r="B1152" t="s">
        <v>1034</v>
      </c>
      <c r="C1152" t="s">
        <v>312</v>
      </c>
      <c r="D1152" t="s">
        <v>73</v>
      </c>
      <c r="E1152" s="1">
        <v>46084</v>
      </c>
      <c r="F1152" t="s">
        <v>4300</v>
      </c>
      <c r="G1152" t="s">
        <v>3744</v>
      </c>
      <c r="H1152" t="s">
        <v>311</v>
      </c>
      <c r="I1152" t="s">
        <v>204</v>
      </c>
      <c r="J1152" s="1">
        <v>54878</v>
      </c>
      <c r="K1152" t="s">
        <v>711</v>
      </c>
      <c r="L1152">
        <v>2361</v>
      </c>
      <c r="M1152">
        <v>2361</v>
      </c>
      <c r="N1152" t="s">
        <v>719</v>
      </c>
      <c r="O1152" t="s">
        <v>4834</v>
      </c>
      <c r="P1152" t="s">
        <v>1006</v>
      </c>
      <c r="Q1152" t="s">
        <v>4901</v>
      </c>
      <c r="R1152" t="s">
        <v>4773</v>
      </c>
    </row>
    <row r="1153" spans="1:18" x14ac:dyDescent="0.3">
      <c r="A1153">
        <v>43117</v>
      </c>
      <c r="B1153" t="s">
        <v>1034</v>
      </c>
      <c r="C1153" t="s">
        <v>327</v>
      </c>
      <c r="D1153" t="s">
        <v>159</v>
      </c>
      <c r="E1153" s="1">
        <v>46084</v>
      </c>
      <c r="F1153" t="s">
        <v>4296</v>
      </c>
      <c r="G1153" t="s">
        <v>3865</v>
      </c>
      <c r="H1153" t="s">
        <v>357</v>
      </c>
      <c r="I1153" t="s">
        <v>204</v>
      </c>
      <c r="J1153" s="1">
        <v>46476</v>
      </c>
      <c r="K1153" t="s">
        <v>711</v>
      </c>
      <c r="L1153">
        <v>2499.0500000000002</v>
      </c>
      <c r="M1153">
        <v>2499.0500000000002</v>
      </c>
      <c r="N1153" t="s">
        <v>890</v>
      </c>
      <c r="O1153" t="s">
        <v>4834</v>
      </c>
      <c r="P1153" t="s">
        <v>4776</v>
      </c>
      <c r="Q1153" t="s">
        <v>4901</v>
      </c>
      <c r="R1153" t="s">
        <v>4773</v>
      </c>
    </row>
    <row r="1154" spans="1:18" x14ac:dyDescent="0.3">
      <c r="A1154">
        <v>347</v>
      </c>
      <c r="B1154" t="s">
        <v>1034</v>
      </c>
      <c r="C1154" t="s">
        <v>479</v>
      </c>
      <c r="D1154" t="s">
        <v>99</v>
      </c>
      <c r="E1154" s="1">
        <v>46084</v>
      </c>
      <c r="F1154" t="s">
        <v>4308</v>
      </c>
      <c r="G1154" t="s">
        <v>3888</v>
      </c>
      <c r="H1154" t="s">
        <v>478</v>
      </c>
      <c r="I1154" t="s">
        <v>204</v>
      </c>
      <c r="J1154" s="1">
        <v>46239</v>
      </c>
      <c r="K1154" t="s">
        <v>717</v>
      </c>
      <c r="L1154">
        <v>2528</v>
      </c>
      <c r="M1154">
        <v>10010.879999999999</v>
      </c>
      <c r="N1154" t="s">
        <v>710</v>
      </c>
      <c r="O1154" t="s">
        <v>1037</v>
      </c>
      <c r="P1154" t="s">
        <v>4790</v>
      </c>
      <c r="Q1154" t="s">
        <v>4852</v>
      </c>
      <c r="R1154" t="s">
        <v>4772</v>
      </c>
    </row>
    <row r="1155" spans="1:18" x14ac:dyDescent="0.3">
      <c r="A1155">
        <v>347</v>
      </c>
      <c r="B1155" t="s">
        <v>1034</v>
      </c>
      <c r="C1155" t="s">
        <v>479</v>
      </c>
      <c r="D1155" t="s">
        <v>99</v>
      </c>
      <c r="E1155" s="1">
        <v>46084</v>
      </c>
      <c r="F1155" t="s">
        <v>4310</v>
      </c>
      <c r="G1155" t="s">
        <v>3888</v>
      </c>
      <c r="H1155" t="s">
        <v>478</v>
      </c>
      <c r="I1155" t="s">
        <v>204</v>
      </c>
      <c r="J1155" s="1">
        <v>46239</v>
      </c>
      <c r="K1155" t="s">
        <v>717</v>
      </c>
      <c r="L1155">
        <v>11</v>
      </c>
      <c r="M1155">
        <v>39.049999999999997</v>
      </c>
      <c r="N1155" t="s">
        <v>710</v>
      </c>
      <c r="O1155" t="s">
        <v>1037</v>
      </c>
      <c r="P1155" t="s">
        <v>4790</v>
      </c>
      <c r="Q1155" t="s">
        <v>4852</v>
      </c>
      <c r="R1155" t="s">
        <v>4772</v>
      </c>
    </row>
    <row r="1156" spans="1:18" x14ac:dyDescent="0.3">
      <c r="A1156">
        <v>7403</v>
      </c>
      <c r="B1156" t="s">
        <v>1035</v>
      </c>
      <c r="C1156" t="s">
        <v>230</v>
      </c>
      <c r="D1156" t="s">
        <v>85</v>
      </c>
      <c r="E1156" s="1">
        <v>46084</v>
      </c>
      <c r="F1156" t="s">
        <v>4436</v>
      </c>
      <c r="G1156" t="s">
        <v>3861</v>
      </c>
      <c r="H1156" t="s">
        <v>229</v>
      </c>
      <c r="I1156" t="s">
        <v>204</v>
      </c>
      <c r="J1156" s="1">
        <v>46203</v>
      </c>
      <c r="K1156" t="s">
        <v>744</v>
      </c>
      <c r="L1156">
        <v>1</v>
      </c>
      <c r="M1156">
        <v>1301.44</v>
      </c>
      <c r="N1156" t="s">
        <v>710</v>
      </c>
      <c r="O1156" t="s">
        <v>1033</v>
      </c>
      <c r="P1156" t="s">
        <v>4781</v>
      </c>
      <c r="Q1156" t="s">
        <v>4852</v>
      </c>
      <c r="R1156" t="s">
        <v>4771</v>
      </c>
    </row>
    <row r="1157" spans="1:18" x14ac:dyDescent="0.3">
      <c r="A1157">
        <v>4138584</v>
      </c>
      <c r="B1157" t="s">
        <v>4875</v>
      </c>
      <c r="C1157" t="s">
        <v>417</v>
      </c>
      <c r="D1157" t="s">
        <v>185</v>
      </c>
      <c r="E1157" s="1">
        <v>46084</v>
      </c>
      <c r="F1157" t="s">
        <v>4335</v>
      </c>
      <c r="G1157" t="s">
        <v>3903</v>
      </c>
      <c r="H1157" t="s">
        <v>684</v>
      </c>
      <c r="I1157" t="s">
        <v>204</v>
      </c>
      <c r="J1157" s="1">
        <v>55243</v>
      </c>
      <c r="K1157" t="s">
        <v>768</v>
      </c>
      <c r="L1157">
        <v>1</v>
      </c>
      <c r="M1157">
        <v>481.67</v>
      </c>
      <c r="N1157" t="s">
        <v>710</v>
      </c>
      <c r="O1157" t="s">
        <v>1037</v>
      </c>
      <c r="P1157" t="s">
        <v>4810</v>
      </c>
      <c r="Q1157" t="s">
        <v>4852</v>
      </c>
      <c r="R1157" t="s">
        <v>807</v>
      </c>
    </row>
    <row r="1158" spans="1:18" x14ac:dyDescent="0.3">
      <c r="A1158">
        <v>3312</v>
      </c>
      <c r="B1158" t="s">
        <v>4874</v>
      </c>
      <c r="C1158" t="s">
        <v>533</v>
      </c>
      <c r="D1158" t="s">
        <v>103</v>
      </c>
      <c r="E1158" s="1">
        <v>46084</v>
      </c>
      <c r="F1158" t="s">
        <v>4416</v>
      </c>
      <c r="G1158" t="s">
        <v>3556</v>
      </c>
      <c r="H1158" t="s">
        <v>532</v>
      </c>
      <c r="I1158" t="s">
        <v>204</v>
      </c>
      <c r="J1158" s="1">
        <v>46568</v>
      </c>
      <c r="K1158" t="s">
        <v>892</v>
      </c>
      <c r="L1158">
        <v>12367.55</v>
      </c>
      <c r="M1158">
        <v>12367.55</v>
      </c>
      <c r="N1158" t="s">
        <v>710</v>
      </c>
      <c r="O1158" t="s">
        <v>4811</v>
      </c>
      <c r="P1158" t="s">
        <v>4776</v>
      </c>
      <c r="Q1158" t="s">
        <v>4859</v>
      </c>
      <c r="R1158" t="s">
        <v>4771</v>
      </c>
    </row>
    <row r="1159" spans="1:18" x14ac:dyDescent="0.3">
      <c r="A1159">
        <v>347</v>
      </c>
      <c r="B1159" t="s">
        <v>1034</v>
      </c>
      <c r="C1159" t="s">
        <v>479</v>
      </c>
      <c r="D1159" t="s">
        <v>99</v>
      </c>
      <c r="E1159" s="1">
        <v>46084</v>
      </c>
      <c r="F1159" t="s">
        <v>4307</v>
      </c>
      <c r="G1159" t="s">
        <v>3888</v>
      </c>
      <c r="H1159" t="s">
        <v>478</v>
      </c>
      <c r="I1159" t="s">
        <v>204</v>
      </c>
      <c r="J1159" s="1">
        <v>46239</v>
      </c>
      <c r="K1159" t="s">
        <v>717</v>
      </c>
      <c r="L1159">
        <v>3890</v>
      </c>
      <c r="M1159">
        <v>47496.9</v>
      </c>
      <c r="N1159" t="s">
        <v>710</v>
      </c>
      <c r="O1159" t="s">
        <v>1037</v>
      </c>
      <c r="P1159" t="s">
        <v>4790</v>
      </c>
      <c r="Q1159" t="s">
        <v>4852</v>
      </c>
      <c r="R1159" t="s">
        <v>4772</v>
      </c>
    </row>
    <row r="1160" spans="1:18" x14ac:dyDescent="0.3">
      <c r="A1160">
        <v>210499</v>
      </c>
      <c r="B1160" t="s">
        <v>4874</v>
      </c>
      <c r="C1160" t="s">
        <v>467</v>
      </c>
      <c r="D1160" t="s">
        <v>175</v>
      </c>
      <c r="E1160" s="1">
        <v>46084</v>
      </c>
      <c r="F1160" t="s">
        <v>4315</v>
      </c>
      <c r="G1160" t="s">
        <v>3665</v>
      </c>
      <c r="H1160" t="s">
        <v>466</v>
      </c>
      <c r="I1160" t="s">
        <v>204</v>
      </c>
      <c r="J1160" s="1">
        <v>46266</v>
      </c>
      <c r="K1160" t="s">
        <v>762</v>
      </c>
      <c r="L1160">
        <v>1</v>
      </c>
      <c r="M1160">
        <v>16567.98</v>
      </c>
      <c r="N1160" t="s">
        <v>710</v>
      </c>
      <c r="O1160" t="s">
        <v>4845</v>
      </c>
      <c r="P1160" t="s">
        <v>4776</v>
      </c>
      <c r="Q1160" t="s">
        <v>4845</v>
      </c>
      <c r="R1160" t="s">
        <v>4773</v>
      </c>
    </row>
    <row r="1161" spans="1:18" x14ac:dyDescent="0.3">
      <c r="A1161">
        <v>347</v>
      </c>
      <c r="B1161" t="s">
        <v>1034</v>
      </c>
      <c r="C1161" t="s">
        <v>479</v>
      </c>
      <c r="D1161" t="s">
        <v>99</v>
      </c>
      <c r="E1161" s="1">
        <v>46084</v>
      </c>
      <c r="F1161" t="s">
        <v>4372</v>
      </c>
      <c r="G1161" t="s">
        <v>3888</v>
      </c>
      <c r="H1161" t="s">
        <v>478</v>
      </c>
      <c r="I1161" t="s">
        <v>204</v>
      </c>
      <c r="J1161" s="1">
        <v>46239</v>
      </c>
      <c r="K1161" t="s">
        <v>717</v>
      </c>
      <c r="L1161">
        <v>232</v>
      </c>
      <c r="M1161">
        <v>1976.64</v>
      </c>
      <c r="N1161" t="s">
        <v>710</v>
      </c>
      <c r="O1161" t="s">
        <v>1037</v>
      </c>
      <c r="P1161" t="s">
        <v>4790</v>
      </c>
      <c r="Q1161" t="s">
        <v>4852</v>
      </c>
      <c r="R1161" t="s">
        <v>4772</v>
      </c>
    </row>
    <row r="1162" spans="1:18" x14ac:dyDescent="0.3">
      <c r="A1162">
        <v>347</v>
      </c>
      <c r="B1162" t="s">
        <v>1034</v>
      </c>
      <c r="C1162" t="s">
        <v>479</v>
      </c>
      <c r="D1162" t="s">
        <v>99</v>
      </c>
      <c r="E1162" s="1">
        <v>46084</v>
      </c>
      <c r="F1162" t="s">
        <v>4312</v>
      </c>
      <c r="G1162" t="s">
        <v>3888</v>
      </c>
      <c r="H1162" t="s">
        <v>478</v>
      </c>
      <c r="I1162" t="s">
        <v>204</v>
      </c>
      <c r="J1162" s="1">
        <v>46239</v>
      </c>
      <c r="K1162" t="s">
        <v>717</v>
      </c>
      <c r="L1162">
        <v>96</v>
      </c>
      <c r="M1162">
        <v>456</v>
      </c>
      <c r="N1162" t="s">
        <v>710</v>
      </c>
      <c r="O1162" t="s">
        <v>1037</v>
      </c>
      <c r="P1162" t="s">
        <v>4790</v>
      </c>
      <c r="Q1162" t="s">
        <v>4852</v>
      </c>
      <c r="R1162" t="s">
        <v>4772</v>
      </c>
    </row>
    <row r="1163" spans="1:18" x14ac:dyDescent="0.3">
      <c r="A1163">
        <v>140</v>
      </c>
      <c r="B1163" t="s">
        <v>4875</v>
      </c>
      <c r="C1163" t="s">
        <v>312</v>
      </c>
      <c r="D1163" t="s">
        <v>73</v>
      </c>
      <c r="E1163" s="1">
        <v>46084</v>
      </c>
      <c r="F1163" t="s">
        <v>4300</v>
      </c>
      <c r="G1163" t="s">
        <v>3869</v>
      </c>
      <c r="H1163" t="s">
        <v>365</v>
      </c>
      <c r="I1163" t="s">
        <v>204</v>
      </c>
      <c r="J1163" s="1">
        <v>46418</v>
      </c>
      <c r="K1163" t="s">
        <v>748</v>
      </c>
      <c r="L1163">
        <v>2361</v>
      </c>
      <c r="M1163">
        <v>2361</v>
      </c>
      <c r="N1163" t="s">
        <v>710</v>
      </c>
      <c r="O1163" t="s">
        <v>4834</v>
      </c>
      <c r="P1163" t="s">
        <v>1006</v>
      </c>
      <c r="Q1163" t="s">
        <v>4856</v>
      </c>
      <c r="R1163" t="s">
        <v>4773</v>
      </c>
    </row>
    <row r="1164" spans="1:18" x14ac:dyDescent="0.3">
      <c r="A1164">
        <v>59647</v>
      </c>
      <c r="B1164" t="s">
        <v>1034</v>
      </c>
      <c r="C1164" t="s">
        <v>790</v>
      </c>
      <c r="D1164" t="s">
        <v>19</v>
      </c>
      <c r="E1164" s="1">
        <v>46084</v>
      </c>
      <c r="F1164" t="s">
        <v>4348</v>
      </c>
      <c r="G1164" t="s">
        <v>3892</v>
      </c>
      <c r="H1164" t="s">
        <v>287</v>
      </c>
      <c r="I1164" t="s">
        <v>209</v>
      </c>
      <c r="J1164" s="1">
        <v>54878</v>
      </c>
      <c r="K1164" t="s">
        <v>711</v>
      </c>
      <c r="L1164">
        <v>1</v>
      </c>
      <c r="M1164">
        <v>2950</v>
      </c>
      <c r="N1164" t="s">
        <v>710</v>
      </c>
      <c r="O1164" t="s">
        <v>1037</v>
      </c>
      <c r="P1164" t="s">
        <v>4781</v>
      </c>
      <c r="Q1164" t="s">
        <v>4852</v>
      </c>
      <c r="R1164" t="s">
        <v>4771</v>
      </c>
    </row>
    <row r="1165" spans="1:18" x14ac:dyDescent="0.3">
      <c r="A1165">
        <v>1856</v>
      </c>
      <c r="B1165" t="s">
        <v>4874</v>
      </c>
      <c r="C1165" t="s">
        <v>252</v>
      </c>
      <c r="D1165" t="s">
        <v>183</v>
      </c>
      <c r="E1165" s="1">
        <v>46084</v>
      </c>
      <c r="F1165" t="s">
        <v>4404</v>
      </c>
      <c r="G1165" t="s">
        <v>3526</v>
      </c>
      <c r="H1165" t="s">
        <v>251</v>
      </c>
      <c r="I1165" t="s">
        <v>204</v>
      </c>
      <c r="J1165" s="1">
        <v>46418</v>
      </c>
      <c r="K1165" t="s">
        <v>762</v>
      </c>
      <c r="L1165">
        <v>20790</v>
      </c>
      <c r="M1165">
        <v>20790</v>
      </c>
      <c r="N1165" t="s">
        <v>719</v>
      </c>
      <c r="O1165" t="s">
        <v>4904</v>
      </c>
      <c r="P1165" t="s">
        <v>4792</v>
      </c>
      <c r="Q1165" t="s">
        <v>4904</v>
      </c>
      <c r="R1165" t="s">
        <v>4773</v>
      </c>
    </row>
    <row r="1166" spans="1:18" x14ac:dyDescent="0.3">
      <c r="A1166">
        <v>598837</v>
      </c>
      <c r="B1166" t="s">
        <v>1034</v>
      </c>
      <c r="C1166" t="s">
        <v>248</v>
      </c>
      <c r="D1166" t="s">
        <v>13</v>
      </c>
      <c r="E1166" s="1">
        <v>46083</v>
      </c>
      <c r="F1166" t="s">
        <v>4297</v>
      </c>
      <c r="G1166" t="s">
        <v>3845</v>
      </c>
      <c r="H1166" t="s">
        <v>315</v>
      </c>
      <c r="I1166" t="s">
        <v>204</v>
      </c>
      <c r="J1166" s="1">
        <v>46073</v>
      </c>
      <c r="K1166" t="s">
        <v>711</v>
      </c>
      <c r="L1166">
        <v>1</v>
      </c>
      <c r="M1166">
        <v>404.45</v>
      </c>
      <c r="N1166" t="s">
        <v>710</v>
      </c>
      <c r="O1166" t="s">
        <v>1036</v>
      </c>
      <c r="P1166" t="s">
        <v>4779</v>
      </c>
      <c r="Q1166" t="s">
        <v>4901</v>
      </c>
      <c r="R1166" t="s">
        <v>4773</v>
      </c>
    </row>
    <row r="1167" spans="1:18" x14ac:dyDescent="0.3">
      <c r="A1167">
        <v>17892</v>
      </c>
      <c r="B1167" t="s">
        <v>1034</v>
      </c>
      <c r="C1167" t="s">
        <v>359</v>
      </c>
      <c r="D1167" t="s">
        <v>53</v>
      </c>
      <c r="E1167" s="1">
        <v>46083</v>
      </c>
      <c r="F1167" t="s">
        <v>4305</v>
      </c>
      <c r="G1167" t="s">
        <v>3517</v>
      </c>
      <c r="H1167" t="s">
        <v>358</v>
      </c>
      <c r="I1167" t="s">
        <v>204</v>
      </c>
      <c r="J1167" s="1">
        <v>54878</v>
      </c>
      <c r="K1167" t="s">
        <v>711</v>
      </c>
      <c r="L1167">
        <v>1</v>
      </c>
      <c r="M1167">
        <v>1450</v>
      </c>
      <c r="N1167" t="s">
        <v>710</v>
      </c>
      <c r="O1167" t="s">
        <v>1036</v>
      </c>
      <c r="P1167" t="s">
        <v>4776</v>
      </c>
      <c r="Q1167" t="s">
        <v>4901</v>
      </c>
      <c r="R1167" t="s">
        <v>4773</v>
      </c>
    </row>
    <row r="1168" spans="1:18" x14ac:dyDescent="0.3">
      <c r="A1168">
        <v>17986</v>
      </c>
      <c r="B1168" t="s">
        <v>1034</v>
      </c>
      <c r="C1168" t="s">
        <v>632</v>
      </c>
      <c r="D1168" t="s">
        <v>41</v>
      </c>
      <c r="E1168" s="1">
        <v>46083</v>
      </c>
      <c r="F1168" t="s">
        <v>4352</v>
      </c>
      <c r="G1168" t="s">
        <v>3580</v>
      </c>
      <c r="H1168" t="s">
        <v>631</v>
      </c>
      <c r="I1168" t="s">
        <v>204</v>
      </c>
      <c r="J1168" s="1">
        <v>50860</v>
      </c>
      <c r="K1168" t="s">
        <v>717</v>
      </c>
      <c r="L1168">
        <v>1</v>
      </c>
      <c r="M1168">
        <v>6240</v>
      </c>
      <c r="N1168" t="s">
        <v>710</v>
      </c>
      <c r="O1168" t="s">
        <v>4833</v>
      </c>
      <c r="P1168" t="s">
        <v>4776</v>
      </c>
      <c r="Q1168" t="s">
        <v>4852</v>
      </c>
      <c r="R1168" t="s">
        <v>4771</v>
      </c>
    </row>
    <row r="1169" spans="1:18" x14ac:dyDescent="0.3">
      <c r="A1169">
        <v>11570</v>
      </c>
      <c r="B1169" t="s">
        <v>1034</v>
      </c>
      <c r="C1169" t="s">
        <v>624</v>
      </c>
      <c r="D1169" t="s">
        <v>68</v>
      </c>
      <c r="E1169" s="1">
        <v>46083</v>
      </c>
      <c r="F1169" t="s">
        <v>4367</v>
      </c>
      <c r="G1169" t="s">
        <v>3784</v>
      </c>
      <c r="H1169" t="s">
        <v>623</v>
      </c>
      <c r="I1169" t="s">
        <v>204</v>
      </c>
      <c r="J1169" s="1">
        <v>46017</v>
      </c>
      <c r="K1169" t="s">
        <v>839</v>
      </c>
      <c r="L1169">
        <v>1682</v>
      </c>
      <c r="M1169">
        <v>1682.08</v>
      </c>
      <c r="N1169" t="s">
        <v>710</v>
      </c>
      <c r="O1169" t="s">
        <v>1041</v>
      </c>
      <c r="P1169" t="s">
        <v>4776</v>
      </c>
      <c r="Q1169" t="s">
        <v>4852</v>
      </c>
      <c r="R1169" t="s">
        <v>4771</v>
      </c>
    </row>
    <row r="1170" spans="1:18" x14ac:dyDescent="0.3">
      <c r="A1170">
        <v>64755</v>
      </c>
      <c r="B1170" t="s">
        <v>1034</v>
      </c>
      <c r="C1170" t="s">
        <v>609</v>
      </c>
      <c r="D1170" t="s">
        <v>182</v>
      </c>
      <c r="E1170" s="1">
        <v>46083</v>
      </c>
      <c r="F1170" t="s">
        <v>4336</v>
      </c>
      <c r="G1170" t="s">
        <v>3881</v>
      </c>
      <c r="H1170" t="s">
        <v>608</v>
      </c>
      <c r="I1170" t="s">
        <v>204</v>
      </c>
      <c r="J1170" s="1">
        <v>46281</v>
      </c>
      <c r="K1170" t="s">
        <v>717</v>
      </c>
      <c r="L1170">
        <v>1</v>
      </c>
      <c r="M1170">
        <v>230793.95</v>
      </c>
      <c r="N1170" t="s">
        <v>719</v>
      </c>
      <c r="O1170" t="s">
        <v>1037</v>
      </c>
      <c r="P1170" t="s">
        <v>4794</v>
      </c>
      <c r="Q1170" t="s">
        <v>4852</v>
      </c>
      <c r="R1170" t="s">
        <v>4772</v>
      </c>
    </row>
    <row r="1171" spans="1:18" x14ac:dyDescent="0.3">
      <c r="A1171">
        <v>345</v>
      </c>
      <c r="B1171" t="s">
        <v>1034</v>
      </c>
      <c r="C1171" t="s">
        <v>479</v>
      </c>
      <c r="D1171" t="s">
        <v>99</v>
      </c>
      <c r="E1171" s="1">
        <v>46083</v>
      </c>
      <c r="F1171" t="s">
        <v>4376</v>
      </c>
      <c r="G1171" t="s">
        <v>3879</v>
      </c>
      <c r="H1171" t="s">
        <v>478</v>
      </c>
      <c r="I1171" t="s">
        <v>204</v>
      </c>
      <c r="J1171" s="1">
        <v>46239</v>
      </c>
      <c r="K1171" t="s">
        <v>717</v>
      </c>
      <c r="L1171">
        <v>12</v>
      </c>
      <c r="M1171">
        <v>143.76</v>
      </c>
      <c r="N1171" t="s">
        <v>710</v>
      </c>
      <c r="O1171" t="s">
        <v>1037</v>
      </c>
      <c r="P1171" t="s">
        <v>4790</v>
      </c>
      <c r="Q1171" t="s">
        <v>4852</v>
      </c>
      <c r="R1171" t="s">
        <v>4772</v>
      </c>
    </row>
    <row r="1172" spans="1:18" x14ac:dyDescent="0.3">
      <c r="A1172">
        <v>345</v>
      </c>
      <c r="B1172" t="s">
        <v>1034</v>
      </c>
      <c r="C1172" t="s">
        <v>479</v>
      </c>
      <c r="D1172" t="s">
        <v>99</v>
      </c>
      <c r="E1172" s="1">
        <v>46083</v>
      </c>
      <c r="F1172" t="s">
        <v>4374</v>
      </c>
      <c r="G1172" t="s">
        <v>3879</v>
      </c>
      <c r="H1172" t="s">
        <v>478</v>
      </c>
      <c r="I1172" t="s">
        <v>204</v>
      </c>
      <c r="J1172" s="1">
        <v>46239</v>
      </c>
      <c r="K1172" t="s">
        <v>717</v>
      </c>
      <c r="L1172">
        <v>1</v>
      </c>
      <c r="M1172">
        <v>22.53</v>
      </c>
      <c r="N1172" t="s">
        <v>710</v>
      </c>
      <c r="O1172" t="s">
        <v>1037</v>
      </c>
      <c r="P1172" t="s">
        <v>4790</v>
      </c>
      <c r="Q1172" t="s">
        <v>4852</v>
      </c>
      <c r="R1172" t="s">
        <v>4772</v>
      </c>
    </row>
    <row r="1173" spans="1:18" x14ac:dyDescent="0.3">
      <c r="A1173">
        <v>3941</v>
      </c>
      <c r="B1173" t="s">
        <v>1034</v>
      </c>
      <c r="C1173" t="s">
        <v>535</v>
      </c>
      <c r="D1173" t="s">
        <v>148</v>
      </c>
      <c r="E1173" s="1">
        <v>46083</v>
      </c>
      <c r="F1173" t="s">
        <v>4355</v>
      </c>
      <c r="G1173" t="s">
        <v>3516</v>
      </c>
      <c r="H1173" t="s">
        <v>681</v>
      </c>
      <c r="I1173" t="s">
        <v>204</v>
      </c>
      <c r="J1173" s="1">
        <v>46295</v>
      </c>
      <c r="K1173" t="s">
        <v>711</v>
      </c>
      <c r="L1173">
        <v>1</v>
      </c>
      <c r="M1173">
        <v>4500</v>
      </c>
      <c r="N1173" t="s">
        <v>890</v>
      </c>
      <c r="O1173" t="s">
        <v>4844</v>
      </c>
      <c r="P1173" t="s">
        <v>4779</v>
      </c>
      <c r="Q1173" t="s">
        <v>4845</v>
      </c>
      <c r="R1173" t="s">
        <v>807</v>
      </c>
    </row>
    <row r="1174" spans="1:18" x14ac:dyDescent="0.3">
      <c r="A1174">
        <v>3950</v>
      </c>
      <c r="B1174" t="s">
        <v>1034</v>
      </c>
      <c r="C1174" t="s">
        <v>535</v>
      </c>
      <c r="D1174" t="s">
        <v>148</v>
      </c>
      <c r="E1174" s="1">
        <v>46083</v>
      </c>
      <c r="F1174" t="s">
        <v>4355</v>
      </c>
      <c r="G1174" t="s">
        <v>3516</v>
      </c>
      <c r="H1174" t="s">
        <v>681</v>
      </c>
      <c r="I1174" t="s">
        <v>204</v>
      </c>
      <c r="J1174" s="1">
        <v>46295</v>
      </c>
      <c r="K1174" t="s">
        <v>711</v>
      </c>
      <c r="L1174">
        <v>1</v>
      </c>
      <c r="M1174">
        <v>3300</v>
      </c>
      <c r="N1174" t="s">
        <v>890</v>
      </c>
      <c r="O1174" t="s">
        <v>4844</v>
      </c>
      <c r="P1174" t="s">
        <v>4779</v>
      </c>
      <c r="Q1174" t="s">
        <v>4845</v>
      </c>
      <c r="R1174" t="s">
        <v>807</v>
      </c>
    </row>
    <row r="1175" spans="1:18" x14ac:dyDescent="0.3">
      <c r="A1175">
        <v>598837</v>
      </c>
      <c r="B1175" t="s">
        <v>1034</v>
      </c>
      <c r="C1175" t="s">
        <v>248</v>
      </c>
      <c r="D1175" t="s">
        <v>13</v>
      </c>
      <c r="E1175" s="1">
        <v>46083</v>
      </c>
      <c r="F1175" t="s">
        <v>4297</v>
      </c>
      <c r="G1175" t="s">
        <v>3654</v>
      </c>
      <c r="H1175" t="s">
        <v>315</v>
      </c>
      <c r="I1175" t="s">
        <v>204</v>
      </c>
      <c r="J1175" s="1">
        <v>46073</v>
      </c>
      <c r="K1175" t="s">
        <v>711</v>
      </c>
      <c r="L1175">
        <v>5391.91</v>
      </c>
      <c r="M1175">
        <v>5391.91</v>
      </c>
      <c r="N1175" t="s">
        <v>710</v>
      </c>
      <c r="O1175" t="s">
        <v>1036</v>
      </c>
      <c r="P1175" t="s">
        <v>4779</v>
      </c>
      <c r="Q1175" t="s">
        <v>4901</v>
      </c>
      <c r="R1175" t="s">
        <v>4773</v>
      </c>
    </row>
    <row r="1176" spans="1:18" x14ac:dyDescent="0.3">
      <c r="A1176">
        <v>345</v>
      </c>
      <c r="B1176" t="s">
        <v>1034</v>
      </c>
      <c r="C1176" t="s">
        <v>479</v>
      </c>
      <c r="D1176" t="s">
        <v>99</v>
      </c>
      <c r="E1176" s="1">
        <v>46083</v>
      </c>
      <c r="F1176" t="s">
        <v>4375</v>
      </c>
      <c r="G1176" t="s">
        <v>3879</v>
      </c>
      <c r="H1176" t="s">
        <v>478</v>
      </c>
      <c r="I1176" t="s">
        <v>204</v>
      </c>
      <c r="J1176" s="1">
        <v>46239</v>
      </c>
      <c r="K1176" t="s">
        <v>717</v>
      </c>
      <c r="L1176">
        <v>4</v>
      </c>
      <c r="M1176">
        <v>47.92</v>
      </c>
      <c r="N1176" t="s">
        <v>710</v>
      </c>
      <c r="O1176" t="s">
        <v>1037</v>
      </c>
      <c r="P1176" t="s">
        <v>4790</v>
      </c>
      <c r="Q1176" t="s">
        <v>4852</v>
      </c>
      <c r="R1176" t="s">
        <v>4772</v>
      </c>
    </row>
    <row r="1177" spans="1:18" x14ac:dyDescent="0.3">
      <c r="A1177">
        <v>345</v>
      </c>
      <c r="B1177" t="s">
        <v>1034</v>
      </c>
      <c r="C1177" t="s">
        <v>479</v>
      </c>
      <c r="D1177" t="s">
        <v>99</v>
      </c>
      <c r="E1177" s="1">
        <v>46083</v>
      </c>
      <c r="F1177" t="s">
        <v>4373</v>
      </c>
      <c r="G1177" t="s">
        <v>3879</v>
      </c>
      <c r="H1177" t="s">
        <v>478</v>
      </c>
      <c r="I1177" t="s">
        <v>204</v>
      </c>
      <c r="J1177" s="1">
        <v>46239</v>
      </c>
      <c r="K1177" t="s">
        <v>717</v>
      </c>
      <c r="L1177">
        <v>13</v>
      </c>
      <c r="M1177">
        <v>200.46</v>
      </c>
      <c r="N1177" t="s">
        <v>710</v>
      </c>
      <c r="O1177" t="s">
        <v>1037</v>
      </c>
      <c r="P1177" t="s">
        <v>4790</v>
      </c>
      <c r="Q1177" t="s">
        <v>4852</v>
      </c>
      <c r="R1177" t="s">
        <v>4772</v>
      </c>
    </row>
    <row r="1178" spans="1:18" x14ac:dyDescent="0.3">
      <c r="A1178">
        <v>64754</v>
      </c>
      <c r="B1178" t="s">
        <v>4875</v>
      </c>
      <c r="C1178" t="s">
        <v>609</v>
      </c>
      <c r="D1178" t="s">
        <v>182</v>
      </c>
      <c r="E1178" s="1">
        <v>46083</v>
      </c>
      <c r="F1178" t="s">
        <v>4336</v>
      </c>
      <c r="G1178" t="s">
        <v>3880</v>
      </c>
      <c r="H1178" t="s">
        <v>610</v>
      </c>
      <c r="I1178" t="s">
        <v>204</v>
      </c>
      <c r="J1178" s="1">
        <v>46282</v>
      </c>
      <c r="K1178" t="s">
        <v>768</v>
      </c>
      <c r="L1178">
        <v>1</v>
      </c>
      <c r="M1178">
        <v>67921.03</v>
      </c>
      <c r="N1178" t="s">
        <v>710</v>
      </c>
      <c r="O1178" t="s">
        <v>1037</v>
      </c>
      <c r="P1178" t="s">
        <v>4794</v>
      </c>
      <c r="Q1178" t="s">
        <v>4852</v>
      </c>
      <c r="R1178" t="s">
        <v>4772</v>
      </c>
    </row>
    <row r="1179" spans="1:18" x14ac:dyDescent="0.3">
      <c r="A1179">
        <v>7397</v>
      </c>
      <c r="B1179" t="s">
        <v>1035</v>
      </c>
      <c r="C1179" t="s">
        <v>230</v>
      </c>
      <c r="D1179" t="s">
        <v>85</v>
      </c>
      <c r="E1179" s="1">
        <v>46083</v>
      </c>
      <c r="F1179" t="s">
        <v>4436</v>
      </c>
      <c r="G1179" t="s">
        <v>3861</v>
      </c>
      <c r="H1179" t="s">
        <v>229</v>
      </c>
      <c r="I1179" t="s">
        <v>204</v>
      </c>
      <c r="J1179" s="1">
        <v>46203</v>
      </c>
      <c r="K1179" t="s">
        <v>744</v>
      </c>
      <c r="L1179">
        <v>1</v>
      </c>
      <c r="M1179">
        <v>1561.71</v>
      </c>
      <c r="N1179" t="s">
        <v>710</v>
      </c>
      <c r="O1179" t="s">
        <v>1033</v>
      </c>
      <c r="P1179" t="s">
        <v>4781</v>
      </c>
      <c r="Q1179" t="s">
        <v>4852</v>
      </c>
      <c r="R1179" t="s">
        <v>4771</v>
      </c>
    </row>
    <row r="1180" spans="1:18" x14ac:dyDescent="0.3">
      <c r="A1180">
        <v>68702</v>
      </c>
      <c r="B1180" t="s">
        <v>4874</v>
      </c>
      <c r="C1180" t="s">
        <v>514</v>
      </c>
      <c r="D1180" t="s">
        <v>47</v>
      </c>
      <c r="E1180" s="1">
        <v>46083</v>
      </c>
      <c r="F1180" t="s">
        <v>4362</v>
      </c>
      <c r="G1180" t="s">
        <v>3851</v>
      </c>
      <c r="H1180" t="s">
        <v>513</v>
      </c>
      <c r="I1180" t="s">
        <v>204</v>
      </c>
      <c r="J1180" s="1">
        <v>46386</v>
      </c>
      <c r="K1180" t="s">
        <v>762</v>
      </c>
      <c r="L1180">
        <v>6915.95</v>
      </c>
      <c r="M1180">
        <v>6915.95</v>
      </c>
      <c r="N1180" t="s">
        <v>710</v>
      </c>
      <c r="O1180" t="s">
        <v>4833</v>
      </c>
      <c r="P1180" t="s">
        <v>4779</v>
      </c>
      <c r="Q1180" t="s">
        <v>4852</v>
      </c>
    </row>
    <row r="1181" spans="1:18" x14ac:dyDescent="0.3">
      <c r="A1181">
        <v>7372</v>
      </c>
      <c r="B1181" t="s">
        <v>1035</v>
      </c>
      <c r="C1181" t="s">
        <v>230</v>
      </c>
      <c r="D1181" t="s">
        <v>85</v>
      </c>
      <c r="E1181" s="1">
        <v>46083</v>
      </c>
      <c r="F1181" t="s">
        <v>4348</v>
      </c>
      <c r="G1181" t="s">
        <v>3861</v>
      </c>
      <c r="H1181" t="s">
        <v>229</v>
      </c>
      <c r="I1181" t="s">
        <v>204</v>
      </c>
      <c r="J1181" s="1">
        <v>46203</v>
      </c>
      <c r="K1181" t="s">
        <v>744</v>
      </c>
      <c r="L1181">
        <v>1</v>
      </c>
      <c r="M1181">
        <v>12110.4</v>
      </c>
      <c r="N1181" t="s">
        <v>710</v>
      </c>
      <c r="O1181" t="s">
        <v>1033</v>
      </c>
      <c r="P1181" t="s">
        <v>4781</v>
      </c>
      <c r="Q1181" t="s">
        <v>4852</v>
      </c>
      <c r="R1181" t="s">
        <v>4771</v>
      </c>
    </row>
    <row r="1182" spans="1:18" x14ac:dyDescent="0.3">
      <c r="A1182">
        <v>7373</v>
      </c>
      <c r="B1182" t="s">
        <v>1035</v>
      </c>
      <c r="C1182" t="s">
        <v>230</v>
      </c>
      <c r="D1182" t="s">
        <v>85</v>
      </c>
      <c r="E1182" s="1">
        <v>46083</v>
      </c>
      <c r="F1182" t="s">
        <v>4421</v>
      </c>
      <c r="G1182" t="s">
        <v>3861</v>
      </c>
      <c r="H1182" t="s">
        <v>229</v>
      </c>
      <c r="I1182" t="s">
        <v>204</v>
      </c>
      <c r="J1182" s="1">
        <v>46203</v>
      </c>
      <c r="K1182" t="s">
        <v>744</v>
      </c>
      <c r="L1182">
        <v>1</v>
      </c>
      <c r="M1182">
        <v>5456.94</v>
      </c>
      <c r="N1182" t="s">
        <v>710</v>
      </c>
      <c r="O1182" t="s">
        <v>1033</v>
      </c>
      <c r="P1182" t="s">
        <v>4781</v>
      </c>
      <c r="Q1182" t="s">
        <v>4852</v>
      </c>
      <c r="R1182" t="s">
        <v>4771</v>
      </c>
    </row>
    <row r="1183" spans="1:18" x14ac:dyDescent="0.3">
      <c r="A1183">
        <v>7383</v>
      </c>
      <c r="B1183" t="s">
        <v>1035</v>
      </c>
      <c r="C1183" t="s">
        <v>230</v>
      </c>
      <c r="D1183" t="s">
        <v>85</v>
      </c>
      <c r="E1183" s="1">
        <v>46083</v>
      </c>
      <c r="F1183" t="s">
        <v>4348</v>
      </c>
      <c r="G1183" t="s">
        <v>3861</v>
      </c>
      <c r="H1183" t="s">
        <v>229</v>
      </c>
      <c r="I1183" t="s">
        <v>204</v>
      </c>
      <c r="J1183" s="1">
        <v>46203</v>
      </c>
      <c r="K1183" t="s">
        <v>744</v>
      </c>
      <c r="L1183">
        <v>1</v>
      </c>
      <c r="M1183">
        <v>9503.19</v>
      </c>
      <c r="N1183" t="s">
        <v>710</v>
      </c>
      <c r="O1183" t="s">
        <v>1033</v>
      </c>
      <c r="P1183" t="s">
        <v>4781</v>
      </c>
      <c r="Q1183" t="s">
        <v>4852</v>
      </c>
      <c r="R1183" t="s">
        <v>4771</v>
      </c>
    </row>
    <row r="1184" spans="1:18" x14ac:dyDescent="0.3">
      <c r="A1184">
        <v>7384</v>
      </c>
      <c r="B1184" t="s">
        <v>1035</v>
      </c>
      <c r="C1184" t="s">
        <v>230</v>
      </c>
      <c r="D1184" t="s">
        <v>85</v>
      </c>
      <c r="E1184" s="1">
        <v>46083</v>
      </c>
      <c r="F1184" t="s">
        <v>4421</v>
      </c>
      <c r="G1184" t="s">
        <v>3861</v>
      </c>
      <c r="H1184" t="s">
        <v>229</v>
      </c>
      <c r="I1184" t="s">
        <v>204</v>
      </c>
      <c r="J1184" s="1">
        <v>46203</v>
      </c>
      <c r="K1184" t="s">
        <v>744</v>
      </c>
      <c r="L1184">
        <v>1</v>
      </c>
      <c r="M1184">
        <v>4089.16</v>
      </c>
      <c r="N1184" t="s">
        <v>710</v>
      </c>
      <c r="O1184" t="s">
        <v>1033</v>
      </c>
      <c r="P1184" t="s">
        <v>4781</v>
      </c>
      <c r="Q1184" t="s">
        <v>4852</v>
      </c>
      <c r="R1184" t="s">
        <v>4771</v>
      </c>
    </row>
    <row r="1185" spans="1:18" x14ac:dyDescent="0.3">
      <c r="A1185">
        <v>7394</v>
      </c>
      <c r="B1185" t="s">
        <v>1035</v>
      </c>
      <c r="C1185" t="s">
        <v>230</v>
      </c>
      <c r="D1185" t="s">
        <v>85</v>
      </c>
      <c r="E1185" s="1">
        <v>46083</v>
      </c>
      <c r="F1185" t="s">
        <v>4299</v>
      </c>
      <c r="G1185" t="s">
        <v>3861</v>
      </c>
      <c r="H1185" t="s">
        <v>229</v>
      </c>
      <c r="I1185" t="s">
        <v>204</v>
      </c>
      <c r="J1185" s="1">
        <v>46203</v>
      </c>
      <c r="K1185" t="s">
        <v>744</v>
      </c>
      <c r="L1185">
        <v>1</v>
      </c>
      <c r="M1185">
        <v>162.44999999999999</v>
      </c>
      <c r="N1185" t="s">
        <v>710</v>
      </c>
      <c r="O1185" t="s">
        <v>1033</v>
      </c>
      <c r="P1185" t="s">
        <v>4781</v>
      </c>
      <c r="Q1185" t="s">
        <v>4852</v>
      </c>
      <c r="R1185" t="s">
        <v>4771</v>
      </c>
    </row>
    <row r="1186" spans="1:18" x14ac:dyDescent="0.3">
      <c r="A1186">
        <v>7395</v>
      </c>
      <c r="B1186" t="s">
        <v>1035</v>
      </c>
      <c r="C1186" t="s">
        <v>230</v>
      </c>
      <c r="D1186" t="s">
        <v>85</v>
      </c>
      <c r="E1186" s="1">
        <v>46083</v>
      </c>
      <c r="F1186" t="s">
        <v>4299</v>
      </c>
      <c r="G1186" t="s">
        <v>3861</v>
      </c>
      <c r="H1186" t="s">
        <v>229</v>
      </c>
      <c r="I1186" t="s">
        <v>204</v>
      </c>
      <c r="J1186" s="1">
        <v>46203</v>
      </c>
      <c r="K1186" t="s">
        <v>744</v>
      </c>
      <c r="L1186">
        <v>1</v>
      </c>
      <c r="M1186">
        <v>183.13</v>
      </c>
      <c r="N1186" t="s">
        <v>710</v>
      </c>
      <c r="O1186" t="s">
        <v>1033</v>
      </c>
      <c r="P1186" t="s">
        <v>4781</v>
      </c>
      <c r="Q1186" t="s">
        <v>4852</v>
      </c>
      <c r="R1186" t="s">
        <v>4771</v>
      </c>
    </row>
    <row r="1187" spans="1:18" x14ac:dyDescent="0.3">
      <c r="A1187">
        <v>292649</v>
      </c>
      <c r="B1187" t="s">
        <v>4874</v>
      </c>
      <c r="C1187" t="s">
        <v>391</v>
      </c>
      <c r="D1187" t="s">
        <v>104</v>
      </c>
      <c r="E1187" s="1">
        <v>46083</v>
      </c>
      <c r="F1187" t="s">
        <v>4423</v>
      </c>
      <c r="G1187" t="s">
        <v>3850</v>
      </c>
      <c r="H1187" t="s">
        <v>390</v>
      </c>
      <c r="I1187" t="s">
        <v>204</v>
      </c>
      <c r="J1187" s="1">
        <v>54878</v>
      </c>
      <c r="K1187" t="s">
        <v>762</v>
      </c>
      <c r="L1187">
        <v>312.67</v>
      </c>
      <c r="M1187">
        <v>312.67</v>
      </c>
      <c r="N1187" t="s">
        <v>710</v>
      </c>
      <c r="O1187" t="s">
        <v>4833</v>
      </c>
      <c r="P1187" t="s">
        <v>4776</v>
      </c>
      <c r="Q1187" t="s">
        <v>4852</v>
      </c>
      <c r="R1187" t="s">
        <v>4773</v>
      </c>
    </row>
    <row r="1188" spans="1:18" x14ac:dyDescent="0.3">
      <c r="A1188">
        <v>116017</v>
      </c>
      <c r="B1188" t="s">
        <v>4874</v>
      </c>
      <c r="C1188" t="s">
        <v>227</v>
      </c>
      <c r="D1188" t="s">
        <v>191</v>
      </c>
      <c r="E1188" s="1">
        <v>46080</v>
      </c>
      <c r="F1188" t="s">
        <v>4387</v>
      </c>
      <c r="G1188" t="s">
        <v>3853</v>
      </c>
      <c r="H1188" t="s">
        <v>577</v>
      </c>
      <c r="I1188" t="s">
        <v>204</v>
      </c>
      <c r="J1188" s="1">
        <v>46493</v>
      </c>
      <c r="K1188" t="s">
        <v>762</v>
      </c>
      <c r="L1188">
        <v>1315.61</v>
      </c>
      <c r="M1188">
        <v>1315.61</v>
      </c>
      <c r="N1188" t="s">
        <v>809</v>
      </c>
      <c r="O1188" t="s">
        <v>4904</v>
      </c>
      <c r="P1188" t="s">
        <v>4792</v>
      </c>
      <c r="Q1188" t="s">
        <v>4904</v>
      </c>
      <c r="R1188" t="s">
        <v>4772</v>
      </c>
    </row>
    <row r="1189" spans="1:18" x14ac:dyDescent="0.3">
      <c r="A1189">
        <v>275752</v>
      </c>
      <c r="B1189" t="s">
        <v>1034</v>
      </c>
      <c r="C1189" t="s">
        <v>463</v>
      </c>
      <c r="D1189" t="s">
        <v>147</v>
      </c>
      <c r="E1189" s="1">
        <v>46080</v>
      </c>
      <c r="F1189" t="s">
        <v>4334</v>
      </c>
      <c r="G1189" t="s">
        <v>3882</v>
      </c>
      <c r="H1189" t="s">
        <v>462</v>
      </c>
      <c r="I1189" t="s">
        <v>204</v>
      </c>
      <c r="J1189" s="1">
        <v>46752</v>
      </c>
      <c r="K1189" t="s">
        <v>717</v>
      </c>
      <c r="L1189">
        <v>1216.83</v>
      </c>
      <c r="M1189">
        <v>1216.83</v>
      </c>
      <c r="N1189" t="s">
        <v>719</v>
      </c>
      <c r="O1189" t="s">
        <v>1033</v>
      </c>
      <c r="P1189" t="s">
        <v>4776</v>
      </c>
      <c r="Q1189" t="s">
        <v>4852</v>
      </c>
      <c r="R1189" t="s">
        <v>4771</v>
      </c>
    </row>
    <row r="1190" spans="1:18" x14ac:dyDescent="0.3">
      <c r="A1190">
        <v>43053</v>
      </c>
      <c r="B1190" t="s">
        <v>1034</v>
      </c>
      <c r="C1190" t="s">
        <v>327</v>
      </c>
      <c r="D1190" t="s">
        <v>159</v>
      </c>
      <c r="E1190" s="1">
        <v>46079</v>
      </c>
      <c r="F1190" t="s">
        <v>4296</v>
      </c>
      <c r="G1190" t="s">
        <v>3787</v>
      </c>
      <c r="H1190" t="s">
        <v>357</v>
      </c>
      <c r="I1190" t="s">
        <v>204</v>
      </c>
      <c r="J1190" s="1">
        <v>46476</v>
      </c>
      <c r="K1190" t="s">
        <v>711</v>
      </c>
      <c r="L1190">
        <v>891.83</v>
      </c>
      <c r="M1190">
        <v>891.83</v>
      </c>
      <c r="N1190" t="s">
        <v>890</v>
      </c>
      <c r="O1190" t="s">
        <v>4834</v>
      </c>
      <c r="P1190" t="s">
        <v>4776</v>
      </c>
      <c r="Q1190" t="s">
        <v>4901</v>
      </c>
      <c r="R1190" t="s">
        <v>4773</v>
      </c>
    </row>
    <row r="1191" spans="1:18" x14ac:dyDescent="0.3">
      <c r="A1191">
        <v>2629</v>
      </c>
      <c r="B1191" t="s">
        <v>1034</v>
      </c>
      <c r="C1191" t="s">
        <v>643</v>
      </c>
      <c r="D1191" t="s">
        <v>52</v>
      </c>
      <c r="E1191" s="1">
        <v>46079</v>
      </c>
      <c r="F1191" t="s">
        <v>4318</v>
      </c>
      <c r="G1191" t="s">
        <v>3858</v>
      </c>
      <c r="H1191" t="s">
        <v>642</v>
      </c>
      <c r="I1191" t="s">
        <v>204</v>
      </c>
      <c r="J1191" s="1">
        <v>46548</v>
      </c>
      <c r="K1191" t="s">
        <v>711</v>
      </c>
      <c r="L1191">
        <v>1</v>
      </c>
      <c r="M1191">
        <v>2300</v>
      </c>
      <c r="N1191" t="s">
        <v>710</v>
      </c>
      <c r="O1191" t="s">
        <v>4834</v>
      </c>
      <c r="P1191" t="s">
        <v>4776</v>
      </c>
      <c r="Q1191" t="s">
        <v>4901</v>
      </c>
    </row>
    <row r="1192" spans="1:18" x14ac:dyDescent="0.3">
      <c r="A1192">
        <v>175181</v>
      </c>
      <c r="B1192" t="s">
        <v>1034</v>
      </c>
      <c r="C1192" t="s">
        <v>415</v>
      </c>
      <c r="D1192" t="s">
        <v>60</v>
      </c>
      <c r="E1192" s="1">
        <v>46078</v>
      </c>
      <c r="F1192" t="s">
        <v>4333</v>
      </c>
      <c r="G1192" t="s">
        <v>3855</v>
      </c>
      <c r="H1192" t="s">
        <v>431</v>
      </c>
      <c r="I1192" t="s">
        <v>204</v>
      </c>
      <c r="J1192" s="1">
        <v>46386</v>
      </c>
      <c r="K1192" t="s">
        <v>717</v>
      </c>
      <c r="L1192">
        <v>10798</v>
      </c>
      <c r="M1192">
        <v>10798</v>
      </c>
      <c r="N1192" t="s">
        <v>814</v>
      </c>
      <c r="O1192" t="s">
        <v>1037</v>
      </c>
      <c r="P1192" t="s">
        <v>4807</v>
      </c>
      <c r="Q1192" t="s">
        <v>4852</v>
      </c>
      <c r="R1192" t="s">
        <v>4771</v>
      </c>
    </row>
    <row r="1193" spans="1:18" x14ac:dyDescent="0.3">
      <c r="A1193">
        <v>11409</v>
      </c>
      <c r="B1193" t="s">
        <v>4875</v>
      </c>
      <c r="C1193" t="s">
        <v>319</v>
      </c>
      <c r="D1193" t="s">
        <v>36</v>
      </c>
      <c r="E1193" s="1">
        <v>46078</v>
      </c>
      <c r="F1193" t="s">
        <v>4434</v>
      </c>
      <c r="G1193" t="s">
        <v>3834</v>
      </c>
      <c r="H1193" t="s">
        <v>336</v>
      </c>
      <c r="I1193" t="s">
        <v>204</v>
      </c>
      <c r="J1193" s="1">
        <v>46075</v>
      </c>
      <c r="K1193" t="s">
        <v>748</v>
      </c>
      <c r="L1193">
        <v>23185.01</v>
      </c>
      <c r="M1193">
        <v>23185.01</v>
      </c>
      <c r="N1193" t="s">
        <v>710</v>
      </c>
      <c r="O1193" t="s">
        <v>1040</v>
      </c>
      <c r="P1193" t="s">
        <v>4784</v>
      </c>
      <c r="Q1193" t="s">
        <v>4856</v>
      </c>
      <c r="R1193" t="s">
        <v>4771</v>
      </c>
    </row>
    <row r="1194" spans="1:18" x14ac:dyDescent="0.3">
      <c r="A1194">
        <v>31795</v>
      </c>
      <c r="B1194" t="s">
        <v>4874</v>
      </c>
      <c r="C1194" t="s">
        <v>261</v>
      </c>
      <c r="D1194" t="s">
        <v>167</v>
      </c>
      <c r="E1194" s="1">
        <v>46078</v>
      </c>
      <c r="F1194" t="s">
        <v>4402</v>
      </c>
      <c r="G1194" t="s">
        <v>2104</v>
      </c>
      <c r="H1194" t="s">
        <v>290</v>
      </c>
      <c r="I1194" t="s">
        <v>204</v>
      </c>
      <c r="J1194" s="1">
        <v>46264</v>
      </c>
      <c r="K1194" t="s">
        <v>720</v>
      </c>
      <c r="L1194">
        <v>10734.03</v>
      </c>
      <c r="M1194">
        <v>10734.03</v>
      </c>
      <c r="N1194" t="s">
        <v>710</v>
      </c>
      <c r="O1194" t="s">
        <v>4849</v>
      </c>
      <c r="P1194" t="s">
        <v>4804</v>
      </c>
      <c r="Q1194" t="s">
        <v>4855</v>
      </c>
      <c r="R1194" t="s">
        <v>4773</v>
      </c>
    </row>
    <row r="1195" spans="1:18" x14ac:dyDescent="0.3">
      <c r="A1195">
        <v>175188</v>
      </c>
      <c r="B1195" t="s">
        <v>4875</v>
      </c>
      <c r="C1195" t="s">
        <v>415</v>
      </c>
      <c r="D1195" t="s">
        <v>60</v>
      </c>
      <c r="E1195" s="1">
        <v>46078</v>
      </c>
      <c r="F1195" t="s">
        <v>4333</v>
      </c>
      <c r="G1195" t="s">
        <v>3856</v>
      </c>
      <c r="H1195" t="s">
        <v>414</v>
      </c>
      <c r="I1195" t="s">
        <v>204</v>
      </c>
      <c r="J1195" s="1">
        <v>46386</v>
      </c>
      <c r="K1195" t="s">
        <v>768</v>
      </c>
      <c r="L1195">
        <v>1610.01</v>
      </c>
      <c r="M1195">
        <v>1610.01</v>
      </c>
      <c r="N1195" t="s">
        <v>814</v>
      </c>
      <c r="O1195" t="s">
        <v>1037</v>
      </c>
      <c r="P1195" t="s">
        <v>4807</v>
      </c>
      <c r="Q1195" t="s">
        <v>4852</v>
      </c>
      <c r="R1195" t="s">
        <v>4771</v>
      </c>
    </row>
    <row r="1196" spans="1:18" x14ac:dyDescent="0.3">
      <c r="A1196">
        <v>175187</v>
      </c>
      <c r="B1196" t="s">
        <v>4874</v>
      </c>
      <c r="C1196" t="s">
        <v>415</v>
      </c>
      <c r="D1196" t="s">
        <v>60</v>
      </c>
      <c r="E1196" s="1">
        <v>46078</v>
      </c>
      <c r="F1196" t="s">
        <v>4333</v>
      </c>
      <c r="G1196" t="s">
        <v>3857</v>
      </c>
      <c r="H1196" t="s">
        <v>457</v>
      </c>
      <c r="I1196" t="s">
        <v>204</v>
      </c>
      <c r="J1196" s="1">
        <v>46387</v>
      </c>
      <c r="K1196" t="s">
        <v>762</v>
      </c>
      <c r="L1196">
        <v>2959.52</v>
      </c>
      <c r="M1196">
        <v>2959.52</v>
      </c>
      <c r="N1196" t="s">
        <v>814</v>
      </c>
      <c r="O1196" t="s">
        <v>1037</v>
      </c>
      <c r="P1196" t="s">
        <v>4807</v>
      </c>
      <c r="Q1196" t="s">
        <v>4852</v>
      </c>
      <c r="R1196" t="s">
        <v>4771</v>
      </c>
    </row>
    <row r="1197" spans="1:18" x14ac:dyDescent="0.3">
      <c r="A1197">
        <v>6357701</v>
      </c>
      <c r="B1197" t="s">
        <v>4874</v>
      </c>
      <c r="C1197" t="s">
        <v>433</v>
      </c>
      <c r="D1197" t="s">
        <v>168</v>
      </c>
      <c r="E1197" s="1">
        <v>46078</v>
      </c>
      <c r="F1197" t="s">
        <v>4319</v>
      </c>
      <c r="G1197" t="s">
        <v>3849</v>
      </c>
      <c r="H1197" t="s">
        <v>432</v>
      </c>
      <c r="I1197" t="s">
        <v>204</v>
      </c>
      <c r="J1197" s="1">
        <v>46473</v>
      </c>
      <c r="K1197" t="s">
        <v>762</v>
      </c>
      <c r="L1197">
        <v>1480</v>
      </c>
      <c r="M1197">
        <v>1363.94</v>
      </c>
      <c r="N1197" t="s">
        <v>710</v>
      </c>
      <c r="O1197" t="s">
        <v>4833</v>
      </c>
      <c r="P1197" t="s">
        <v>4802</v>
      </c>
      <c r="Q1197" t="s">
        <v>4852</v>
      </c>
      <c r="R1197" t="s">
        <v>4771</v>
      </c>
    </row>
    <row r="1198" spans="1:18" x14ac:dyDescent="0.3">
      <c r="A1198">
        <v>5368</v>
      </c>
      <c r="B1198" t="s">
        <v>4875</v>
      </c>
      <c r="C1198" t="s">
        <v>319</v>
      </c>
      <c r="D1198" t="s">
        <v>36</v>
      </c>
      <c r="E1198" s="1">
        <v>46078</v>
      </c>
      <c r="F1198" t="s">
        <v>4298</v>
      </c>
      <c r="G1198" t="s">
        <v>3833</v>
      </c>
      <c r="H1198" t="s">
        <v>336</v>
      </c>
      <c r="I1198" t="s">
        <v>204</v>
      </c>
      <c r="J1198" s="1">
        <v>46075</v>
      </c>
      <c r="K1198" t="s">
        <v>748</v>
      </c>
      <c r="L1198">
        <v>2</v>
      </c>
      <c r="M1198">
        <v>376.28</v>
      </c>
      <c r="N1198" t="s">
        <v>710</v>
      </c>
      <c r="O1198" t="s">
        <v>1040</v>
      </c>
      <c r="P1198" t="s">
        <v>4784</v>
      </c>
      <c r="Q1198" t="s">
        <v>4856</v>
      </c>
      <c r="R1198" t="s">
        <v>4771</v>
      </c>
    </row>
    <row r="1199" spans="1:18" x14ac:dyDescent="0.3">
      <c r="A1199">
        <v>380</v>
      </c>
      <c r="B1199" t="s">
        <v>4874</v>
      </c>
      <c r="C1199" t="s">
        <v>575</v>
      </c>
      <c r="D1199" t="s">
        <v>174</v>
      </c>
      <c r="E1199" s="1">
        <v>46077</v>
      </c>
      <c r="F1199" t="s">
        <v>4412</v>
      </c>
      <c r="G1199" t="s">
        <v>3793</v>
      </c>
      <c r="H1199" t="s">
        <v>574</v>
      </c>
      <c r="I1199" t="s">
        <v>204</v>
      </c>
      <c r="J1199" s="1">
        <v>46203</v>
      </c>
      <c r="K1199" t="s">
        <v>720</v>
      </c>
      <c r="L1199">
        <v>1</v>
      </c>
      <c r="M1199">
        <v>340</v>
      </c>
      <c r="N1199" t="s">
        <v>890</v>
      </c>
      <c r="O1199" t="s">
        <v>1039</v>
      </c>
      <c r="P1199" t="s">
        <v>4776</v>
      </c>
      <c r="Q1199" t="s">
        <v>4858</v>
      </c>
      <c r="R1199" t="s">
        <v>4771</v>
      </c>
    </row>
    <row r="1200" spans="1:18" x14ac:dyDescent="0.3">
      <c r="A1200">
        <v>116167</v>
      </c>
      <c r="B1200" t="s">
        <v>4874</v>
      </c>
      <c r="C1200" t="s">
        <v>227</v>
      </c>
      <c r="D1200" t="s">
        <v>191</v>
      </c>
      <c r="E1200" s="1">
        <v>46077</v>
      </c>
      <c r="F1200" t="s">
        <v>4387</v>
      </c>
      <c r="G1200" t="s">
        <v>3824</v>
      </c>
      <c r="H1200" t="s">
        <v>577</v>
      </c>
      <c r="I1200" t="s">
        <v>204</v>
      </c>
      <c r="J1200" s="1">
        <v>46493</v>
      </c>
      <c r="K1200" t="s">
        <v>762</v>
      </c>
      <c r="L1200">
        <v>37576.410000000003</v>
      </c>
      <c r="M1200">
        <v>37576.410000000003</v>
      </c>
      <c r="N1200" t="s">
        <v>809</v>
      </c>
      <c r="O1200" t="s">
        <v>4904</v>
      </c>
      <c r="P1200" t="s">
        <v>4792</v>
      </c>
      <c r="Q1200" t="s">
        <v>4904</v>
      </c>
      <c r="R1200" t="s">
        <v>4772</v>
      </c>
    </row>
    <row r="1201" spans="1:18" x14ac:dyDescent="0.3">
      <c r="A1201">
        <v>380</v>
      </c>
      <c r="B1201" t="s">
        <v>4874</v>
      </c>
      <c r="C1201" t="s">
        <v>575</v>
      </c>
      <c r="D1201" t="s">
        <v>174</v>
      </c>
      <c r="E1201" s="1">
        <v>46077</v>
      </c>
      <c r="F1201" t="s">
        <v>4428</v>
      </c>
      <c r="G1201" t="s">
        <v>3793</v>
      </c>
      <c r="H1201" t="s">
        <v>574</v>
      </c>
      <c r="I1201" t="s">
        <v>204</v>
      </c>
      <c r="J1201" s="1">
        <v>46203</v>
      </c>
      <c r="K1201" t="s">
        <v>720</v>
      </c>
      <c r="L1201">
        <v>1</v>
      </c>
      <c r="M1201">
        <v>1937.5</v>
      </c>
      <c r="N1201" t="s">
        <v>890</v>
      </c>
      <c r="O1201" t="s">
        <v>1039</v>
      </c>
      <c r="P1201" t="s">
        <v>4776</v>
      </c>
      <c r="Q1201" t="s">
        <v>4858</v>
      </c>
      <c r="R1201" t="s">
        <v>4771</v>
      </c>
    </row>
    <row r="1202" spans="1:18" x14ac:dyDescent="0.3">
      <c r="A1202">
        <v>165981</v>
      </c>
      <c r="B1202" t="s">
        <v>4874</v>
      </c>
      <c r="C1202" t="s">
        <v>214</v>
      </c>
      <c r="D1202" t="s">
        <v>94</v>
      </c>
      <c r="E1202" s="1">
        <v>46077</v>
      </c>
      <c r="F1202" t="s">
        <v>4295</v>
      </c>
      <c r="G1202" t="s">
        <v>3844</v>
      </c>
      <c r="H1202" t="s">
        <v>213</v>
      </c>
      <c r="I1202" t="s">
        <v>204</v>
      </c>
      <c r="J1202" s="1">
        <v>46309</v>
      </c>
      <c r="K1202" t="s">
        <v>720</v>
      </c>
      <c r="L1202">
        <v>1</v>
      </c>
      <c r="M1202">
        <v>20128.939999999999</v>
      </c>
      <c r="N1202" t="s">
        <v>710</v>
      </c>
      <c r="O1202" t="s">
        <v>4834</v>
      </c>
      <c r="P1202" t="s">
        <v>4776</v>
      </c>
      <c r="Q1202" t="s">
        <v>4858</v>
      </c>
      <c r="R1202" t="s">
        <v>4772</v>
      </c>
    </row>
    <row r="1203" spans="1:18" x14ac:dyDescent="0.3">
      <c r="A1203">
        <v>380</v>
      </c>
      <c r="B1203" t="s">
        <v>4874</v>
      </c>
      <c r="C1203" t="s">
        <v>575</v>
      </c>
      <c r="D1203" t="s">
        <v>174</v>
      </c>
      <c r="E1203" s="1">
        <v>46077</v>
      </c>
      <c r="F1203" t="s">
        <v>4428</v>
      </c>
      <c r="G1203" t="s">
        <v>3793</v>
      </c>
      <c r="H1203" t="s">
        <v>574</v>
      </c>
      <c r="I1203" t="s">
        <v>204</v>
      </c>
      <c r="J1203" s="1">
        <v>46203</v>
      </c>
      <c r="K1203" t="s">
        <v>720</v>
      </c>
      <c r="L1203">
        <v>1</v>
      </c>
      <c r="M1203">
        <v>251.88</v>
      </c>
      <c r="N1203" t="s">
        <v>890</v>
      </c>
      <c r="O1203" t="s">
        <v>1039</v>
      </c>
      <c r="P1203" t="s">
        <v>4776</v>
      </c>
      <c r="Q1203" t="s">
        <v>4858</v>
      </c>
      <c r="R1203" t="s">
        <v>4771</v>
      </c>
    </row>
    <row r="1204" spans="1:18" x14ac:dyDescent="0.3">
      <c r="A1204">
        <v>380</v>
      </c>
      <c r="B1204" t="s">
        <v>4874</v>
      </c>
      <c r="C1204" t="s">
        <v>575</v>
      </c>
      <c r="D1204" t="s">
        <v>174</v>
      </c>
      <c r="E1204" s="1">
        <v>46077</v>
      </c>
      <c r="F1204" t="s">
        <v>4427</v>
      </c>
      <c r="G1204" t="s">
        <v>3793</v>
      </c>
      <c r="H1204" t="s">
        <v>574</v>
      </c>
      <c r="I1204" t="s">
        <v>204</v>
      </c>
      <c r="J1204" s="1">
        <v>46203</v>
      </c>
      <c r="K1204" t="s">
        <v>720</v>
      </c>
      <c r="L1204">
        <v>1</v>
      </c>
      <c r="M1204">
        <v>7804.16</v>
      </c>
      <c r="N1204" t="s">
        <v>890</v>
      </c>
      <c r="O1204" t="s">
        <v>1039</v>
      </c>
      <c r="P1204" t="s">
        <v>4776</v>
      </c>
      <c r="Q1204" t="s">
        <v>4858</v>
      </c>
      <c r="R1204" t="s">
        <v>4771</v>
      </c>
    </row>
    <row r="1205" spans="1:18" x14ac:dyDescent="0.3">
      <c r="A1205">
        <v>834</v>
      </c>
      <c r="B1205" t="s">
        <v>1034</v>
      </c>
      <c r="C1205" t="s">
        <v>319</v>
      </c>
      <c r="D1205" t="s">
        <v>36</v>
      </c>
      <c r="E1205" s="1">
        <v>46077</v>
      </c>
      <c r="F1205" t="s">
        <v>4298</v>
      </c>
      <c r="G1205" t="s">
        <v>3814</v>
      </c>
      <c r="H1205" t="s">
        <v>318</v>
      </c>
      <c r="I1205" t="s">
        <v>204</v>
      </c>
      <c r="J1205" s="1">
        <v>46214</v>
      </c>
      <c r="K1205" t="s">
        <v>711</v>
      </c>
      <c r="L1205">
        <v>1070</v>
      </c>
      <c r="M1205">
        <v>1070.31</v>
      </c>
      <c r="N1205" t="s">
        <v>710</v>
      </c>
      <c r="O1205" t="s">
        <v>1036</v>
      </c>
      <c r="P1205" t="s">
        <v>4784</v>
      </c>
      <c r="Q1205" t="s">
        <v>4901</v>
      </c>
      <c r="R1205" t="s">
        <v>4771</v>
      </c>
    </row>
    <row r="1206" spans="1:18" x14ac:dyDescent="0.3">
      <c r="A1206">
        <v>4594</v>
      </c>
      <c r="B1206" t="s">
        <v>1034</v>
      </c>
      <c r="C1206" t="s">
        <v>319</v>
      </c>
      <c r="D1206" t="s">
        <v>36</v>
      </c>
      <c r="E1206" s="1">
        <v>46077</v>
      </c>
      <c r="F1206" t="s">
        <v>4298</v>
      </c>
      <c r="G1206" t="s">
        <v>3815</v>
      </c>
      <c r="H1206" t="s">
        <v>318</v>
      </c>
      <c r="I1206" t="s">
        <v>204</v>
      </c>
      <c r="J1206" s="1">
        <v>46214</v>
      </c>
      <c r="K1206" t="s">
        <v>711</v>
      </c>
      <c r="L1206">
        <v>941</v>
      </c>
      <c r="M1206">
        <v>940.7</v>
      </c>
      <c r="N1206" t="s">
        <v>710</v>
      </c>
      <c r="O1206" t="s">
        <v>1036</v>
      </c>
      <c r="P1206" t="s">
        <v>4784</v>
      </c>
      <c r="Q1206" t="s">
        <v>4901</v>
      </c>
      <c r="R1206" t="s">
        <v>4771</v>
      </c>
    </row>
    <row r="1207" spans="1:18" x14ac:dyDescent="0.3">
      <c r="A1207">
        <v>11404</v>
      </c>
      <c r="B1207" t="s">
        <v>1034</v>
      </c>
      <c r="C1207" t="s">
        <v>319</v>
      </c>
      <c r="D1207" t="s">
        <v>36</v>
      </c>
      <c r="E1207" s="1">
        <v>46077</v>
      </c>
      <c r="F1207" t="s">
        <v>4298</v>
      </c>
      <c r="G1207" t="s">
        <v>3816</v>
      </c>
      <c r="H1207" t="s">
        <v>318</v>
      </c>
      <c r="I1207" t="s">
        <v>204</v>
      </c>
      <c r="J1207" s="1">
        <v>46214</v>
      </c>
      <c r="K1207" t="s">
        <v>711</v>
      </c>
      <c r="L1207">
        <v>470</v>
      </c>
      <c r="M1207">
        <v>470.17</v>
      </c>
      <c r="N1207" t="s">
        <v>710</v>
      </c>
      <c r="O1207" t="s">
        <v>1036</v>
      </c>
      <c r="P1207" t="s">
        <v>4784</v>
      </c>
      <c r="Q1207" t="s">
        <v>4901</v>
      </c>
      <c r="R1207" t="s">
        <v>4771</v>
      </c>
    </row>
    <row r="1208" spans="1:18" x14ac:dyDescent="0.3">
      <c r="A1208">
        <v>62608</v>
      </c>
      <c r="B1208" t="s">
        <v>1034</v>
      </c>
      <c r="C1208" t="s">
        <v>666</v>
      </c>
      <c r="D1208" t="s">
        <v>66</v>
      </c>
      <c r="E1208" s="1">
        <v>46077</v>
      </c>
      <c r="F1208" t="s">
        <v>4381</v>
      </c>
      <c r="G1208" t="s">
        <v>3843</v>
      </c>
      <c r="H1208" t="s">
        <v>665</v>
      </c>
      <c r="I1208" t="s">
        <v>204</v>
      </c>
      <c r="J1208" s="1">
        <v>46296</v>
      </c>
      <c r="K1208" t="s">
        <v>717</v>
      </c>
      <c r="L1208">
        <v>1</v>
      </c>
      <c r="M1208">
        <v>799.95</v>
      </c>
      <c r="N1208" t="s">
        <v>998</v>
      </c>
      <c r="O1208" t="s">
        <v>1033</v>
      </c>
      <c r="P1208" t="s">
        <v>4776</v>
      </c>
      <c r="Q1208" t="s">
        <v>4852</v>
      </c>
      <c r="R1208" t="s">
        <v>807</v>
      </c>
    </row>
    <row r="1209" spans="1:18" x14ac:dyDescent="0.3">
      <c r="A1209">
        <v>78</v>
      </c>
      <c r="B1209" t="s">
        <v>1034</v>
      </c>
      <c r="C1209" t="s">
        <v>449</v>
      </c>
      <c r="D1209" t="s">
        <v>20</v>
      </c>
      <c r="E1209" s="1">
        <v>46077</v>
      </c>
      <c r="F1209" t="s">
        <v>4331</v>
      </c>
      <c r="G1209" t="s">
        <v>3838</v>
      </c>
      <c r="H1209" t="s">
        <v>448</v>
      </c>
      <c r="I1209" t="s">
        <v>204</v>
      </c>
      <c r="J1209" s="1">
        <v>46219</v>
      </c>
      <c r="K1209" t="s">
        <v>717</v>
      </c>
      <c r="L1209">
        <v>8319.86</v>
      </c>
      <c r="M1209">
        <v>8319.86</v>
      </c>
      <c r="N1209" t="s">
        <v>710</v>
      </c>
      <c r="O1209" t="s">
        <v>4902</v>
      </c>
      <c r="P1209" t="s">
        <v>4776</v>
      </c>
      <c r="Q1209" t="s">
        <v>4852</v>
      </c>
      <c r="R1209" t="s">
        <v>4771</v>
      </c>
    </row>
    <row r="1210" spans="1:18" x14ac:dyDescent="0.3">
      <c r="A1210">
        <v>1904456</v>
      </c>
      <c r="B1210" t="s">
        <v>1034</v>
      </c>
      <c r="C1210" t="s">
        <v>668</v>
      </c>
      <c r="D1210" t="s">
        <v>84</v>
      </c>
      <c r="E1210" s="1">
        <v>46076</v>
      </c>
      <c r="F1210" t="s">
        <v>4324</v>
      </c>
      <c r="G1210" t="s">
        <v>3803</v>
      </c>
      <c r="H1210" t="s">
        <v>671</v>
      </c>
      <c r="I1210" t="s">
        <v>204</v>
      </c>
      <c r="J1210" s="1">
        <v>46324</v>
      </c>
      <c r="K1210" t="s">
        <v>717</v>
      </c>
      <c r="L1210">
        <v>155062</v>
      </c>
      <c r="M1210">
        <v>155062</v>
      </c>
      <c r="N1210" t="s">
        <v>710</v>
      </c>
      <c r="O1210" t="s">
        <v>1037</v>
      </c>
      <c r="P1210" t="s">
        <v>4799</v>
      </c>
      <c r="Q1210" t="s">
        <v>4852</v>
      </c>
      <c r="R1210" t="s">
        <v>807</v>
      </c>
    </row>
    <row r="1211" spans="1:18" x14ac:dyDescent="0.3">
      <c r="A1211">
        <v>79890</v>
      </c>
      <c r="B1211" t="s">
        <v>4874</v>
      </c>
      <c r="C1211" t="s">
        <v>634</v>
      </c>
      <c r="D1211" t="s">
        <v>99</v>
      </c>
      <c r="E1211" s="1">
        <v>46076</v>
      </c>
      <c r="F1211" t="s">
        <v>4394</v>
      </c>
      <c r="G1211" t="s">
        <v>3839</v>
      </c>
      <c r="H1211" t="s">
        <v>633</v>
      </c>
      <c r="I1211" t="s">
        <v>204</v>
      </c>
      <c r="J1211" s="1">
        <v>46204</v>
      </c>
      <c r="K1211" t="s">
        <v>762</v>
      </c>
      <c r="L1211">
        <v>2560</v>
      </c>
      <c r="M1211">
        <v>2560</v>
      </c>
      <c r="N1211" t="s">
        <v>719</v>
      </c>
      <c r="O1211" t="s">
        <v>1037</v>
      </c>
      <c r="P1211" t="s">
        <v>4790</v>
      </c>
      <c r="Q1211" t="s">
        <v>4852</v>
      </c>
    </row>
    <row r="1212" spans="1:18" x14ac:dyDescent="0.3">
      <c r="A1212">
        <v>79890</v>
      </c>
      <c r="B1212" t="s">
        <v>4874</v>
      </c>
      <c r="C1212" t="s">
        <v>634</v>
      </c>
      <c r="D1212" t="s">
        <v>99</v>
      </c>
      <c r="E1212" s="1">
        <v>46076</v>
      </c>
      <c r="F1212" t="s">
        <v>4307</v>
      </c>
      <c r="G1212" t="s">
        <v>3839</v>
      </c>
      <c r="H1212" t="s">
        <v>633</v>
      </c>
      <c r="I1212" t="s">
        <v>204</v>
      </c>
      <c r="J1212" s="1">
        <v>46204</v>
      </c>
      <c r="K1212" t="s">
        <v>762</v>
      </c>
      <c r="L1212">
        <v>2560</v>
      </c>
      <c r="M1212">
        <v>39910.400000000001</v>
      </c>
      <c r="N1212" t="s">
        <v>719</v>
      </c>
      <c r="O1212" t="s">
        <v>1037</v>
      </c>
      <c r="P1212" t="s">
        <v>4790</v>
      </c>
      <c r="Q1212" t="s">
        <v>4852</v>
      </c>
    </row>
    <row r="1213" spans="1:18" x14ac:dyDescent="0.3">
      <c r="A1213">
        <v>79890</v>
      </c>
      <c r="B1213" t="s">
        <v>4874</v>
      </c>
      <c r="C1213" t="s">
        <v>634</v>
      </c>
      <c r="D1213" t="s">
        <v>99</v>
      </c>
      <c r="E1213" s="1">
        <v>46076</v>
      </c>
      <c r="F1213" t="s">
        <v>4369</v>
      </c>
      <c r="G1213" t="s">
        <v>3839</v>
      </c>
      <c r="H1213" t="s">
        <v>633</v>
      </c>
      <c r="I1213" t="s">
        <v>204</v>
      </c>
      <c r="J1213" s="1">
        <v>46204</v>
      </c>
      <c r="K1213" t="s">
        <v>762</v>
      </c>
      <c r="L1213">
        <v>26</v>
      </c>
      <c r="M1213">
        <v>501.54</v>
      </c>
      <c r="N1213" t="s">
        <v>719</v>
      </c>
      <c r="O1213" t="s">
        <v>1037</v>
      </c>
      <c r="P1213" t="s">
        <v>4790</v>
      </c>
      <c r="Q1213" t="s">
        <v>4852</v>
      </c>
    </row>
    <row r="1214" spans="1:18" x14ac:dyDescent="0.3">
      <c r="A1214">
        <v>79890</v>
      </c>
      <c r="B1214" t="s">
        <v>4874</v>
      </c>
      <c r="C1214" t="s">
        <v>634</v>
      </c>
      <c r="D1214" t="s">
        <v>99</v>
      </c>
      <c r="E1214" s="1">
        <v>46076</v>
      </c>
      <c r="F1214" t="s">
        <v>4422</v>
      </c>
      <c r="G1214" t="s">
        <v>3839</v>
      </c>
      <c r="H1214" t="s">
        <v>633</v>
      </c>
      <c r="I1214" t="s">
        <v>204</v>
      </c>
      <c r="J1214" s="1">
        <v>46204</v>
      </c>
      <c r="K1214" t="s">
        <v>762</v>
      </c>
      <c r="L1214">
        <v>50</v>
      </c>
      <c r="M1214">
        <v>293</v>
      </c>
      <c r="N1214" t="s">
        <v>719</v>
      </c>
      <c r="O1214" t="s">
        <v>1037</v>
      </c>
      <c r="P1214" t="s">
        <v>4790</v>
      </c>
      <c r="Q1214" t="s">
        <v>4852</v>
      </c>
    </row>
    <row r="1215" spans="1:18" x14ac:dyDescent="0.3">
      <c r="A1215">
        <v>79890</v>
      </c>
      <c r="B1215" t="s">
        <v>4874</v>
      </c>
      <c r="C1215" t="s">
        <v>634</v>
      </c>
      <c r="D1215" t="s">
        <v>99</v>
      </c>
      <c r="E1215" s="1">
        <v>46076</v>
      </c>
      <c r="F1215" t="s">
        <v>4424</v>
      </c>
      <c r="G1215" t="s">
        <v>3839</v>
      </c>
      <c r="H1215" t="s">
        <v>633</v>
      </c>
      <c r="I1215" t="s">
        <v>204</v>
      </c>
      <c r="J1215" s="1">
        <v>46204</v>
      </c>
      <c r="K1215" t="s">
        <v>762</v>
      </c>
      <c r="L1215">
        <v>9</v>
      </c>
      <c r="M1215">
        <v>101.25</v>
      </c>
      <c r="N1215" t="s">
        <v>719</v>
      </c>
      <c r="O1215" t="s">
        <v>1037</v>
      </c>
      <c r="P1215" t="s">
        <v>4790</v>
      </c>
      <c r="Q1215" t="s">
        <v>4852</v>
      </c>
    </row>
    <row r="1216" spans="1:18" x14ac:dyDescent="0.3">
      <c r="A1216">
        <v>79890</v>
      </c>
      <c r="B1216" t="s">
        <v>4874</v>
      </c>
      <c r="C1216" t="s">
        <v>634</v>
      </c>
      <c r="D1216" t="s">
        <v>99</v>
      </c>
      <c r="E1216" s="1">
        <v>46076</v>
      </c>
      <c r="F1216" t="s">
        <v>4310</v>
      </c>
      <c r="G1216" t="s">
        <v>3839</v>
      </c>
      <c r="H1216" t="s">
        <v>633</v>
      </c>
      <c r="I1216" t="s">
        <v>204</v>
      </c>
      <c r="J1216" s="1">
        <v>46204</v>
      </c>
      <c r="K1216" t="s">
        <v>762</v>
      </c>
      <c r="L1216">
        <v>183</v>
      </c>
      <c r="M1216">
        <v>669.78</v>
      </c>
      <c r="N1216" t="s">
        <v>719</v>
      </c>
      <c r="O1216" t="s">
        <v>1037</v>
      </c>
      <c r="P1216" t="s">
        <v>4790</v>
      </c>
      <c r="Q1216" t="s">
        <v>4852</v>
      </c>
    </row>
    <row r="1217" spans="1:18" x14ac:dyDescent="0.3">
      <c r="A1217">
        <v>79890</v>
      </c>
      <c r="B1217" t="s">
        <v>4874</v>
      </c>
      <c r="C1217" t="s">
        <v>634</v>
      </c>
      <c r="D1217" t="s">
        <v>99</v>
      </c>
      <c r="E1217" s="1">
        <v>46076</v>
      </c>
      <c r="F1217" t="s">
        <v>4308</v>
      </c>
      <c r="G1217" t="s">
        <v>3839</v>
      </c>
      <c r="H1217" t="s">
        <v>633</v>
      </c>
      <c r="I1217" t="s">
        <v>204</v>
      </c>
      <c r="J1217" s="1">
        <v>46204</v>
      </c>
      <c r="K1217" t="s">
        <v>762</v>
      </c>
      <c r="L1217">
        <v>104</v>
      </c>
      <c r="M1217">
        <v>506.48</v>
      </c>
      <c r="N1217" t="s">
        <v>719</v>
      </c>
      <c r="O1217" t="s">
        <v>1037</v>
      </c>
      <c r="P1217" t="s">
        <v>4790</v>
      </c>
      <c r="Q1217" t="s">
        <v>4852</v>
      </c>
    </row>
    <row r="1218" spans="1:18" x14ac:dyDescent="0.3">
      <c r="A1218">
        <v>1905434</v>
      </c>
      <c r="B1218" t="s">
        <v>4875</v>
      </c>
      <c r="C1218" t="s">
        <v>668</v>
      </c>
      <c r="D1218" t="s">
        <v>84</v>
      </c>
      <c r="E1218" s="1">
        <v>46076</v>
      </c>
      <c r="F1218" t="s">
        <v>4324</v>
      </c>
      <c r="G1218" t="s">
        <v>3805</v>
      </c>
      <c r="H1218" t="s">
        <v>670</v>
      </c>
      <c r="I1218" t="s">
        <v>204</v>
      </c>
      <c r="J1218" s="1">
        <v>46677</v>
      </c>
      <c r="K1218" t="s">
        <v>768</v>
      </c>
      <c r="L1218">
        <v>48426</v>
      </c>
      <c r="M1218">
        <v>48426</v>
      </c>
      <c r="N1218" t="s">
        <v>1000</v>
      </c>
      <c r="O1218" t="s">
        <v>1037</v>
      </c>
      <c r="P1218" t="s">
        <v>4799</v>
      </c>
      <c r="Q1218" t="s">
        <v>4852</v>
      </c>
      <c r="R1218" t="s">
        <v>807</v>
      </c>
    </row>
    <row r="1219" spans="1:18" x14ac:dyDescent="0.3">
      <c r="A1219">
        <v>1905452</v>
      </c>
      <c r="B1219" t="s">
        <v>4874</v>
      </c>
      <c r="C1219" t="s">
        <v>668</v>
      </c>
      <c r="D1219" t="s">
        <v>84</v>
      </c>
      <c r="E1219" s="1">
        <v>46076</v>
      </c>
      <c r="F1219" t="s">
        <v>4324</v>
      </c>
      <c r="G1219" t="s">
        <v>3804</v>
      </c>
      <c r="H1219" t="s">
        <v>667</v>
      </c>
      <c r="I1219" t="s">
        <v>204</v>
      </c>
      <c r="J1219" s="1">
        <v>46676</v>
      </c>
      <c r="K1219" t="s">
        <v>762</v>
      </c>
      <c r="L1219">
        <v>108030</v>
      </c>
      <c r="M1219">
        <v>108030</v>
      </c>
      <c r="N1219" t="s">
        <v>1000</v>
      </c>
      <c r="O1219" t="s">
        <v>1037</v>
      </c>
      <c r="P1219" t="s">
        <v>4799</v>
      </c>
      <c r="Q1219" t="s">
        <v>4852</v>
      </c>
      <c r="R1219" t="s">
        <v>807</v>
      </c>
    </row>
    <row r="1220" spans="1:18" x14ac:dyDescent="0.3">
      <c r="A1220">
        <v>17655</v>
      </c>
      <c r="B1220" t="s">
        <v>4874</v>
      </c>
      <c r="C1220" t="s">
        <v>598</v>
      </c>
      <c r="D1220" t="s">
        <v>128</v>
      </c>
      <c r="E1220" s="1">
        <v>46076</v>
      </c>
      <c r="F1220" t="s">
        <v>4336</v>
      </c>
      <c r="G1220" t="s">
        <v>3830</v>
      </c>
      <c r="H1220" t="s">
        <v>599</v>
      </c>
      <c r="I1220" t="s">
        <v>204</v>
      </c>
      <c r="J1220" s="1">
        <v>45869</v>
      </c>
      <c r="K1220" t="s">
        <v>762</v>
      </c>
      <c r="L1220">
        <v>1</v>
      </c>
      <c r="M1220">
        <v>3643.44</v>
      </c>
      <c r="N1220" t="s">
        <v>710</v>
      </c>
      <c r="O1220" t="s">
        <v>1037</v>
      </c>
      <c r="P1220" t="s">
        <v>4794</v>
      </c>
      <c r="Q1220" t="s">
        <v>4852</v>
      </c>
      <c r="R1220" t="s">
        <v>4772</v>
      </c>
    </row>
    <row r="1221" spans="1:18" x14ac:dyDescent="0.3">
      <c r="A1221">
        <v>16069</v>
      </c>
      <c r="B1221" t="s">
        <v>4874</v>
      </c>
      <c r="C1221" t="s">
        <v>594</v>
      </c>
      <c r="D1221" t="s">
        <v>27</v>
      </c>
      <c r="E1221" s="1">
        <v>46076</v>
      </c>
      <c r="F1221" t="s">
        <v>4323</v>
      </c>
      <c r="G1221" t="s">
        <v>3827</v>
      </c>
      <c r="H1221" t="s">
        <v>593</v>
      </c>
      <c r="I1221" t="s">
        <v>204</v>
      </c>
      <c r="J1221" s="1">
        <v>46204</v>
      </c>
      <c r="K1221" t="s">
        <v>762</v>
      </c>
      <c r="L1221">
        <v>425670.71</v>
      </c>
      <c r="M1221">
        <v>425670.71</v>
      </c>
      <c r="N1221" t="s">
        <v>814</v>
      </c>
      <c r="O1221" t="s">
        <v>1037</v>
      </c>
      <c r="P1221" t="s">
        <v>4794</v>
      </c>
      <c r="Q1221" t="s">
        <v>4852</v>
      </c>
      <c r="R1221" t="s">
        <v>4772</v>
      </c>
    </row>
    <row r="1222" spans="1:18" x14ac:dyDescent="0.3">
      <c r="A1222">
        <v>17663</v>
      </c>
      <c r="B1222" t="s">
        <v>1034</v>
      </c>
      <c r="C1222" t="s">
        <v>598</v>
      </c>
      <c r="D1222" t="s">
        <v>128</v>
      </c>
      <c r="E1222" s="1">
        <v>46076</v>
      </c>
      <c r="F1222" t="s">
        <v>4336</v>
      </c>
      <c r="G1222" t="s">
        <v>3831</v>
      </c>
      <c r="H1222" t="s">
        <v>597</v>
      </c>
      <c r="I1222" t="s">
        <v>204</v>
      </c>
      <c r="J1222" s="1">
        <v>45839</v>
      </c>
      <c r="K1222" t="s">
        <v>717</v>
      </c>
      <c r="L1222">
        <v>1</v>
      </c>
      <c r="M1222">
        <v>4262.2700000000004</v>
      </c>
      <c r="N1222" t="s">
        <v>710</v>
      </c>
      <c r="O1222" t="s">
        <v>1037</v>
      </c>
      <c r="P1222" t="s">
        <v>4794</v>
      </c>
      <c r="Q1222" t="s">
        <v>4852</v>
      </c>
      <c r="R1222" t="s">
        <v>4772</v>
      </c>
    </row>
    <row r="1223" spans="1:18" x14ac:dyDescent="0.3">
      <c r="A1223">
        <v>16078</v>
      </c>
      <c r="B1223" t="s">
        <v>1034</v>
      </c>
      <c r="C1223" t="s">
        <v>594</v>
      </c>
      <c r="D1223" t="s">
        <v>27</v>
      </c>
      <c r="E1223" s="1">
        <v>46076</v>
      </c>
      <c r="F1223" t="s">
        <v>4323</v>
      </c>
      <c r="G1223" t="s">
        <v>3828</v>
      </c>
      <c r="H1223" t="s">
        <v>595</v>
      </c>
      <c r="I1223" t="s">
        <v>204</v>
      </c>
      <c r="J1223" s="1">
        <v>46204</v>
      </c>
      <c r="K1223" t="s">
        <v>717</v>
      </c>
      <c r="L1223">
        <v>20014.669999999998</v>
      </c>
      <c r="M1223">
        <v>20014.669999999998</v>
      </c>
      <c r="N1223" t="s">
        <v>814</v>
      </c>
      <c r="O1223" t="s">
        <v>1037</v>
      </c>
      <c r="P1223" t="s">
        <v>4794</v>
      </c>
      <c r="Q1223" t="s">
        <v>4852</v>
      </c>
      <c r="R1223" t="s">
        <v>4772</v>
      </c>
    </row>
    <row r="1224" spans="1:18" x14ac:dyDescent="0.3">
      <c r="A1224">
        <v>344</v>
      </c>
      <c r="B1224" t="s">
        <v>1034</v>
      </c>
      <c r="C1224" t="s">
        <v>479</v>
      </c>
      <c r="D1224" t="s">
        <v>99</v>
      </c>
      <c r="E1224" s="1">
        <v>46076</v>
      </c>
      <c r="F1224" t="s">
        <v>4307</v>
      </c>
      <c r="G1224" t="s">
        <v>3841</v>
      </c>
      <c r="H1224" t="s">
        <v>478</v>
      </c>
      <c r="I1224" t="s">
        <v>204</v>
      </c>
      <c r="J1224" s="1">
        <v>46239</v>
      </c>
      <c r="K1224" t="s">
        <v>717</v>
      </c>
      <c r="L1224">
        <v>5574</v>
      </c>
      <c r="M1224">
        <v>68058.539999999994</v>
      </c>
      <c r="N1224" t="s">
        <v>710</v>
      </c>
      <c r="O1224" t="s">
        <v>1037</v>
      </c>
      <c r="P1224" t="s">
        <v>4790</v>
      </c>
      <c r="Q1224" t="s">
        <v>4852</v>
      </c>
      <c r="R1224" t="s">
        <v>4772</v>
      </c>
    </row>
    <row r="1225" spans="1:18" x14ac:dyDescent="0.3">
      <c r="A1225">
        <v>344</v>
      </c>
      <c r="B1225" t="s">
        <v>1034</v>
      </c>
      <c r="C1225" t="s">
        <v>479</v>
      </c>
      <c r="D1225" t="s">
        <v>99</v>
      </c>
      <c r="E1225" s="1">
        <v>46076</v>
      </c>
      <c r="F1225" t="s">
        <v>4308</v>
      </c>
      <c r="G1225" t="s">
        <v>3841</v>
      </c>
      <c r="H1225" t="s">
        <v>478</v>
      </c>
      <c r="I1225" t="s">
        <v>204</v>
      </c>
      <c r="J1225" s="1">
        <v>46239</v>
      </c>
      <c r="K1225" t="s">
        <v>717</v>
      </c>
      <c r="L1225">
        <v>3429</v>
      </c>
      <c r="M1225">
        <v>13578.84</v>
      </c>
      <c r="N1225" t="s">
        <v>710</v>
      </c>
      <c r="O1225" t="s">
        <v>1037</v>
      </c>
      <c r="P1225" t="s">
        <v>4790</v>
      </c>
      <c r="Q1225" t="s">
        <v>4852</v>
      </c>
      <c r="R1225" t="s">
        <v>4772</v>
      </c>
    </row>
    <row r="1226" spans="1:18" x14ac:dyDescent="0.3">
      <c r="A1226">
        <v>344</v>
      </c>
      <c r="B1226" t="s">
        <v>1034</v>
      </c>
      <c r="C1226" t="s">
        <v>479</v>
      </c>
      <c r="D1226" t="s">
        <v>99</v>
      </c>
      <c r="E1226" s="1">
        <v>46076</v>
      </c>
      <c r="F1226" t="s">
        <v>4310</v>
      </c>
      <c r="G1226" t="s">
        <v>3841</v>
      </c>
      <c r="H1226" t="s">
        <v>478</v>
      </c>
      <c r="I1226" t="s">
        <v>204</v>
      </c>
      <c r="J1226" s="1">
        <v>46239</v>
      </c>
      <c r="K1226" t="s">
        <v>717</v>
      </c>
      <c r="L1226">
        <v>50</v>
      </c>
      <c r="M1226">
        <v>177.5</v>
      </c>
      <c r="N1226" t="s">
        <v>710</v>
      </c>
      <c r="O1226" t="s">
        <v>1037</v>
      </c>
      <c r="P1226" t="s">
        <v>4790</v>
      </c>
      <c r="Q1226" t="s">
        <v>4852</v>
      </c>
      <c r="R1226" t="s">
        <v>4772</v>
      </c>
    </row>
    <row r="1227" spans="1:18" x14ac:dyDescent="0.3">
      <c r="A1227">
        <v>344</v>
      </c>
      <c r="B1227" t="s">
        <v>1034</v>
      </c>
      <c r="C1227" t="s">
        <v>479</v>
      </c>
      <c r="D1227" t="s">
        <v>99</v>
      </c>
      <c r="E1227" s="1">
        <v>46076</v>
      </c>
      <c r="F1227" t="s">
        <v>4329</v>
      </c>
      <c r="G1227" t="s">
        <v>3841</v>
      </c>
      <c r="H1227" t="s">
        <v>478</v>
      </c>
      <c r="I1227" t="s">
        <v>204</v>
      </c>
      <c r="J1227" s="1">
        <v>46239</v>
      </c>
      <c r="K1227" t="s">
        <v>717</v>
      </c>
      <c r="L1227">
        <v>13</v>
      </c>
      <c r="M1227">
        <v>146.77000000000001</v>
      </c>
      <c r="N1227" t="s">
        <v>710</v>
      </c>
      <c r="O1227" t="s">
        <v>1037</v>
      </c>
      <c r="P1227" t="s">
        <v>4790</v>
      </c>
      <c r="Q1227" t="s">
        <v>4852</v>
      </c>
      <c r="R1227" t="s">
        <v>4772</v>
      </c>
    </row>
    <row r="1228" spans="1:18" x14ac:dyDescent="0.3">
      <c r="A1228">
        <v>344</v>
      </c>
      <c r="B1228" t="s">
        <v>1034</v>
      </c>
      <c r="C1228" t="s">
        <v>479</v>
      </c>
      <c r="D1228" t="s">
        <v>99</v>
      </c>
      <c r="E1228" s="1">
        <v>46076</v>
      </c>
      <c r="F1228" t="s">
        <v>4372</v>
      </c>
      <c r="G1228" t="s">
        <v>3841</v>
      </c>
      <c r="H1228" t="s">
        <v>478</v>
      </c>
      <c r="I1228" t="s">
        <v>204</v>
      </c>
      <c r="J1228" s="1">
        <v>46239</v>
      </c>
      <c r="K1228" t="s">
        <v>717</v>
      </c>
      <c r="L1228">
        <v>56</v>
      </c>
      <c r="M1228">
        <v>477.12</v>
      </c>
      <c r="N1228" t="s">
        <v>710</v>
      </c>
      <c r="O1228" t="s">
        <v>1037</v>
      </c>
      <c r="P1228" t="s">
        <v>4790</v>
      </c>
      <c r="Q1228" t="s">
        <v>4852</v>
      </c>
      <c r="R1228" t="s">
        <v>4772</v>
      </c>
    </row>
    <row r="1229" spans="1:18" x14ac:dyDescent="0.3">
      <c r="A1229">
        <v>344</v>
      </c>
      <c r="B1229" t="s">
        <v>1034</v>
      </c>
      <c r="C1229" t="s">
        <v>479</v>
      </c>
      <c r="D1229" t="s">
        <v>99</v>
      </c>
      <c r="E1229" s="1">
        <v>46076</v>
      </c>
      <c r="F1229" t="s">
        <v>4312</v>
      </c>
      <c r="G1229" t="s">
        <v>3841</v>
      </c>
      <c r="H1229" t="s">
        <v>478</v>
      </c>
      <c r="I1229" t="s">
        <v>204</v>
      </c>
      <c r="J1229" s="1">
        <v>46239</v>
      </c>
      <c r="K1229" t="s">
        <v>717</v>
      </c>
      <c r="L1229">
        <v>56</v>
      </c>
      <c r="M1229">
        <v>266</v>
      </c>
      <c r="N1229" t="s">
        <v>710</v>
      </c>
      <c r="O1229" t="s">
        <v>1037</v>
      </c>
      <c r="P1229" t="s">
        <v>4790</v>
      </c>
      <c r="Q1229" t="s">
        <v>4852</v>
      </c>
      <c r="R1229" t="s">
        <v>4772</v>
      </c>
    </row>
    <row r="1230" spans="1:18" x14ac:dyDescent="0.3">
      <c r="A1230">
        <v>17671</v>
      </c>
      <c r="B1230" t="s">
        <v>4875</v>
      </c>
      <c r="C1230" t="s">
        <v>598</v>
      </c>
      <c r="D1230" t="s">
        <v>128</v>
      </c>
      <c r="E1230" s="1">
        <v>46076</v>
      </c>
      <c r="F1230" t="s">
        <v>4336</v>
      </c>
      <c r="G1230" t="s">
        <v>3832</v>
      </c>
      <c r="H1230" t="s">
        <v>600</v>
      </c>
      <c r="I1230" t="s">
        <v>204</v>
      </c>
      <c r="J1230" s="1">
        <v>45869</v>
      </c>
      <c r="K1230" t="s">
        <v>768</v>
      </c>
      <c r="L1230">
        <v>1</v>
      </c>
      <c r="M1230">
        <v>863.23</v>
      </c>
      <c r="N1230" t="s">
        <v>710</v>
      </c>
      <c r="O1230" t="s">
        <v>1037</v>
      </c>
      <c r="P1230" t="s">
        <v>4794</v>
      </c>
      <c r="Q1230" t="s">
        <v>4852</v>
      </c>
      <c r="R1230" t="s">
        <v>4772</v>
      </c>
    </row>
    <row r="1231" spans="1:18" x14ac:dyDescent="0.3">
      <c r="A1231">
        <v>2371</v>
      </c>
      <c r="B1231" t="s">
        <v>4874</v>
      </c>
      <c r="C1231" t="s">
        <v>424</v>
      </c>
      <c r="D1231" t="s">
        <v>132</v>
      </c>
      <c r="E1231" s="1">
        <v>46076</v>
      </c>
      <c r="F1231" t="s">
        <v>4386</v>
      </c>
      <c r="G1231" t="s">
        <v>3835</v>
      </c>
      <c r="H1231" t="s">
        <v>423</v>
      </c>
      <c r="I1231" t="s">
        <v>204</v>
      </c>
      <c r="J1231" s="1">
        <v>54878</v>
      </c>
      <c r="K1231" t="s">
        <v>845</v>
      </c>
      <c r="L1231">
        <v>1</v>
      </c>
      <c r="M1231">
        <v>2555</v>
      </c>
      <c r="N1231" t="s">
        <v>710</v>
      </c>
      <c r="O1231" t="s">
        <v>1042</v>
      </c>
      <c r="P1231" t="s">
        <v>1006</v>
      </c>
      <c r="Q1231" t="s">
        <v>4852</v>
      </c>
      <c r="R1231" t="s">
        <v>4771</v>
      </c>
    </row>
    <row r="1232" spans="1:18" x14ac:dyDescent="0.3">
      <c r="A1232">
        <v>16087</v>
      </c>
      <c r="B1232" t="s">
        <v>4875</v>
      </c>
      <c r="C1232" t="s">
        <v>594</v>
      </c>
      <c r="D1232" t="s">
        <v>27</v>
      </c>
      <c r="E1232" s="1">
        <v>46076</v>
      </c>
      <c r="F1232" t="s">
        <v>4323</v>
      </c>
      <c r="G1232" t="s">
        <v>3829</v>
      </c>
      <c r="H1232" t="s">
        <v>596</v>
      </c>
      <c r="I1232" t="s">
        <v>204</v>
      </c>
      <c r="J1232" s="1">
        <v>46204</v>
      </c>
      <c r="K1232" t="s">
        <v>768</v>
      </c>
      <c r="L1232">
        <v>1</v>
      </c>
      <c r="M1232">
        <v>14161.43</v>
      </c>
      <c r="N1232" t="s">
        <v>814</v>
      </c>
      <c r="O1232" t="s">
        <v>1037</v>
      </c>
      <c r="P1232" t="s">
        <v>4794</v>
      </c>
      <c r="Q1232" t="s">
        <v>4852</v>
      </c>
      <c r="R1232" t="s">
        <v>4772</v>
      </c>
    </row>
    <row r="1233" spans="1:18" x14ac:dyDescent="0.3">
      <c r="A1233">
        <v>66866467</v>
      </c>
      <c r="B1233" t="s">
        <v>4874</v>
      </c>
      <c r="C1233" t="s">
        <v>653</v>
      </c>
      <c r="D1233" t="s">
        <v>14</v>
      </c>
      <c r="E1233" s="1">
        <v>46073</v>
      </c>
      <c r="F1233" t="s">
        <v>4336</v>
      </c>
      <c r="G1233" t="s">
        <v>3826</v>
      </c>
      <c r="H1233" t="s">
        <v>652</v>
      </c>
      <c r="I1233" t="s">
        <v>204</v>
      </c>
      <c r="J1233" s="1">
        <v>46583</v>
      </c>
      <c r="K1233" t="s">
        <v>762</v>
      </c>
      <c r="L1233">
        <v>78304.25</v>
      </c>
      <c r="M1233">
        <v>78304.25</v>
      </c>
      <c r="N1233" t="s">
        <v>710</v>
      </c>
      <c r="O1233" t="s">
        <v>1037</v>
      </c>
      <c r="P1233" t="s">
        <v>4794</v>
      </c>
      <c r="Q1233" t="s">
        <v>4852</v>
      </c>
      <c r="R1233" t="s">
        <v>807</v>
      </c>
    </row>
    <row r="1234" spans="1:18" x14ac:dyDescent="0.3">
      <c r="A1234">
        <v>16182</v>
      </c>
      <c r="B1234" t="s">
        <v>4874</v>
      </c>
      <c r="C1234" t="s">
        <v>439</v>
      </c>
      <c r="D1234" t="s">
        <v>156</v>
      </c>
      <c r="E1234" s="1">
        <v>46073</v>
      </c>
      <c r="F1234" t="s">
        <v>4396</v>
      </c>
      <c r="G1234" t="s">
        <v>3822</v>
      </c>
      <c r="H1234" t="s">
        <v>438</v>
      </c>
      <c r="I1234" t="s">
        <v>204</v>
      </c>
      <c r="J1234" s="1">
        <v>46265</v>
      </c>
      <c r="K1234" t="s">
        <v>762</v>
      </c>
      <c r="L1234">
        <v>22382.07</v>
      </c>
      <c r="M1234">
        <v>22382.07</v>
      </c>
      <c r="N1234" t="s">
        <v>710</v>
      </c>
      <c r="O1234" t="s">
        <v>1037</v>
      </c>
      <c r="P1234" t="s">
        <v>4789</v>
      </c>
      <c r="Q1234" t="s">
        <v>4852</v>
      </c>
      <c r="R1234" t="s">
        <v>4771</v>
      </c>
    </row>
    <row r="1235" spans="1:18" x14ac:dyDescent="0.3">
      <c r="A1235">
        <v>3007</v>
      </c>
      <c r="B1235" t="s">
        <v>4874</v>
      </c>
      <c r="C1235" t="s">
        <v>469</v>
      </c>
      <c r="D1235" t="s">
        <v>124</v>
      </c>
      <c r="E1235" s="1">
        <v>46073</v>
      </c>
      <c r="F1235" t="s">
        <v>4361</v>
      </c>
      <c r="G1235" t="s">
        <v>3836</v>
      </c>
      <c r="H1235" t="s">
        <v>468</v>
      </c>
      <c r="I1235" t="s">
        <v>204</v>
      </c>
      <c r="J1235" s="1">
        <v>54878</v>
      </c>
      <c r="K1235" t="s">
        <v>762</v>
      </c>
      <c r="L1235">
        <v>1661</v>
      </c>
      <c r="M1235">
        <v>1661</v>
      </c>
      <c r="N1235" t="s">
        <v>719</v>
      </c>
      <c r="O1235" t="s">
        <v>4845</v>
      </c>
      <c r="P1235" t="s">
        <v>4776</v>
      </c>
      <c r="Q1235" t="s">
        <v>4845</v>
      </c>
      <c r="R1235" t="s">
        <v>4771</v>
      </c>
    </row>
    <row r="1236" spans="1:18" x14ac:dyDescent="0.3">
      <c r="A1236">
        <v>3</v>
      </c>
      <c r="B1236" t="s">
        <v>1034</v>
      </c>
      <c r="C1236" t="s">
        <v>516</v>
      </c>
      <c r="D1236" t="s">
        <v>12</v>
      </c>
      <c r="E1236" s="1">
        <v>46073</v>
      </c>
      <c r="F1236" t="s">
        <v>4337</v>
      </c>
      <c r="G1236" t="s">
        <v>3820</v>
      </c>
      <c r="H1236" t="s">
        <v>515</v>
      </c>
      <c r="I1236" t="s">
        <v>204</v>
      </c>
      <c r="J1236" s="1">
        <v>46489</v>
      </c>
      <c r="K1236" t="s">
        <v>711</v>
      </c>
      <c r="L1236">
        <v>2300</v>
      </c>
      <c r="M1236">
        <v>2300</v>
      </c>
      <c r="N1236" t="s">
        <v>884</v>
      </c>
      <c r="O1236" t="s">
        <v>1037</v>
      </c>
      <c r="P1236" t="s">
        <v>4776</v>
      </c>
      <c r="Q1236" t="s">
        <v>4852</v>
      </c>
      <c r="R1236" t="s">
        <v>4772</v>
      </c>
    </row>
    <row r="1237" spans="1:18" x14ac:dyDescent="0.3">
      <c r="A1237">
        <v>863234</v>
      </c>
      <c r="B1237" t="s">
        <v>1034</v>
      </c>
      <c r="C1237" t="s">
        <v>276</v>
      </c>
      <c r="D1237" t="s">
        <v>5</v>
      </c>
      <c r="E1237" s="1">
        <v>46073</v>
      </c>
      <c r="F1237" t="s">
        <v>4315</v>
      </c>
      <c r="G1237" t="s">
        <v>3819</v>
      </c>
      <c r="H1237" t="s">
        <v>275</v>
      </c>
      <c r="I1237" t="s">
        <v>204</v>
      </c>
      <c r="J1237" s="1">
        <v>46904</v>
      </c>
      <c r="K1237" t="s">
        <v>717</v>
      </c>
      <c r="L1237">
        <v>35917.589999999997</v>
      </c>
      <c r="M1237">
        <v>35917.589999999997</v>
      </c>
      <c r="N1237" t="s">
        <v>710</v>
      </c>
      <c r="O1237" t="s">
        <v>1037</v>
      </c>
      <c r="P1237" t="s">
        <v>4776</v>
      </c>
      <c r="Q1237" t="s">
        <v>4852</v>
      </c>
      <c r="R1237" t="s">
        <v>4773</v>
      </c>
    </row>
    <row r="1238" spans="1:18" x14ac:dyDescent="0.3">
      <c r="A1238">
        <v>43050</v>
      </c>
      <c r="B1238" t="s">
        <v>1034</v>
      </c>
      <c r="C1238" t="s">
        <v>327</v>
      </c>
      <c r="D1238" t="s">
        <v>159</v>
      </c>
      <c r="E1238" s="1">
        <v>46073</v>
      </c>
      <c r="F1238" t="s">
        <v>4295</v>
      </c>
      <c r="G1238" t="s">
        <v>3789</v>
      </c>
      <c r="H1238" t="s">
        <v>357</v>
      </c>
      <c r="I1238" t="s">
        <v>204</v>
      </c>
      <c r="J1238" s="1">
        <v>46476</v>
      </c>
      <c r="K1238" t="s">
        <v>711</v>
      </c>
      <c r="L1238">
        <v>2150</v>
      </c>
      <c r="M1238">
        <v>2150</v>
      </c>
      <c r="N1238" t="s">
        <v>890</v>
      </c>
      <c r="O1238" t="s">
        <v>4834</v>
      </c>
      <c r="P1238" t="s">
        <v>4776</v>
      </c>
      <c r="Q1238" t="s">
        <v>4901</v>
      </c>
      <c r="R1238" t="s">
        <v>4773</v>
      </c>
    </row>
    <row r="1239" spans="1:18" x14ac:dyDescent="0.3">
      <c r="A1239">
        <v>43049</v>
      </c>
      <c r="B1239" t="s">
        <v>1034</v>
      </c>
      <c r="C1239" t="s">
        <v>327</v>
      </c>
      <c r="D1239" t="s">
        <v>159</v>
      </c>
      <c r="E1239" s="1">
        <v>46073</v>
      </c>
      <c r="F1239" t="s">
        <v>4296</v>
      </c>
      <c r="G1239" t="s">
        <v>3788</v>
      </c>
      <c r="H1239" t="s">
        <v>357</v>
      </c>
      <c r="I1239" t="s">
        <v>204</v>
      </c>
      <c r="J1239" s="1">
        <v>46476</v>
      </c>
      <c r="K1239" t="s">
        <v>711</v>
      </c>
      <c r="L1239">
        <v>2589.65</v>
      </c>
      <c r="M1239">
        <v>2589.65</v>
      </c>
      <c r="N1239" t="s">
        <v>890</v>
      </c>
      <c r="O1239" t="s">
        <v>4834</v>
      </c>
      <c r="P1239" t="s">
        <v>4776</v>
      </c>
      <c r="Q1239" t="s">
        <v>4901</v>
      </c>
      <c r="R1239" t="s">
        <v>4773</v>
      </c>
    </row>
    <row r="1240" spans="1:18" x14ac:dyDescent="0.3">
      <c r="A1240">
        <v>142603</v>
      </c>
      <c r="B1240" t="s">
        <v>4874</v>
      </c>
      <c r="C1240" t="s">
        <v>664</v>
      </c>
      <c r="D1240" t="s">
        <v>83</v>
      </c>
      <c r="E1240" s="1">
        <v>46073</v>
      </c>
      <c r="F1240" t="s">
        <v>4399</v>
      </c>
      <c r="G1240" t="s">
        <v>3823</v>
      </c>
      <c r="H1240" t="s">
        <v>663</v>
      </c>
      <c r="I1240" t="s">
        <v>204</v>
      </c>
      <c r="J1240" s="1">
        <v>46660</v>
      </c>
      <c r="K1240" t="s">
        <v>762</v>
      </c>
      <c r="L1240">
        <v>59026.58</v>
      </c>
      <c r="M1240">
        <v>59026.58</v>
      </c>
      <c r="N1240" t="s">
        <v>710</v>
      </c>
      <c r="O1240" t="s">
        <v>1037</v>
      </c>
      <c r="P1240" t="s">
        <v>850</v>
      </c>
      <c r="Q1240" t="s">
        <v>4852</v>
      </c>
      <c r="R1240" t="s">
        <v>807</v>
      </c>
    </row>
    <row r="1241" spans="1:18" x14ac:dyDescent="0.3">
      <c r="A1241">
        <v>43054</v>
      </c>
      <c r="B1241" t="s">
        <v>1034</v>
      </c>
      <c r="C1241" t="s">
        <v>327</v>
      </c>
      <c r="D1241" t="s">
        <v>159</v>
      </c>
      <c r="E1241" s="1">
        <v>46073</v>
      </c>
      <c r="F1241" t="s">
        <v>4296</v>
      </c>
      <c r="G1241" t="s">
        <v>3786</v>
      </c>
      <c r="H1241" t="s">
        <v>357</v>
      </c>
      <c r="I1241" t="s">
        <v>204</v>
      </c>
      <c r="J1241" s="1">
        <v>46476</v>
      </c>
      <c r="K1241" t="s">
        <v>711</v>
      </c>
      <c r="L1241">
        <v>2150</v>
      </c>
      <c r="M1241">
        <v>2150</v>
      </c>
      <c r="N1241" t="s">
        <v>890</v>
      </c>
      <c r="O1241" t="s">
        <v>4834</v>
      </c>
      <c r="P1241" t="s">
        <v>4776</v>
      </c>
      <c r="Q1241" t="s">
        <v>4901</v>
      </c>
      <c r="R1241" t="s">
        <v>4773</v>
      </c>
    </row>
    <row r="1242" spans="1:18" x14ac:dyDescent="0.3">
      <c r="A1242">
        <v>43052</v>
      </c>
      <c r="B1242" t="s">
        <v>1034</v>
      </c>
      <c r="C1242" t="s">
        <v>327</v>
      </c>
      <c r="D1242" t="s">
        <v>159</v>
      </c>
      <c r="E1242" s="1">
        <v>46073</v>
      </c>
      <c r="F1242" t="s">
        <v>4295</v>
      </c>
      <c r="G1242" t="s">
        <v>3790</v>
      </c>
      <c r="H1242" t="s">
        <v>357</v>
      </c>
      <c r="I1242" t="s">
        <v>204</v>
      </c>
      <c r="J1242" s="1">
        <v>46476</v>
      </c>
      <c r="K1242" t="s">
        <v>711</v>
      </c>
      <c r="L1242">
        <v>2150</v>
      </c>
      <c r="M1242">
        <v>2150</v>
      </c>
      <c r="N1242" t="s">
        <v>890</v>
      </c>
      <c r="O1242" t="s">
        <v>4834</v>
      </c>
      <c r="P1242" t="s">
        <v>4776</v>
      </c>
      <c r="Q1242" t="s">
        <v>4901</v>
      </c>
      <c r="R1242" t="s">
        <v>4773</v>
      </c>
    </row>
    <row r="1243" spans="1:18" x14ac:dyDescent="0.3">
      <c r="A1243">
        <v>598836</v>
      </c>
      <c r="B1243" t="s">
        <v>4875</v>
      </c>
      <c r="C1243" t="s">
        <v>248</v>
      </c>
      <c r="D1243" t="s">
        <v>13</v>
      </c>
      <c r="E1243" s="1">
        <v>46073</v>
      </c>
      <c r="F1243" t="s">
        <v>4430</v>
      </c>
      <c r="G1243" t="s">
        <v>3677</v>
      </c>
      <c r="H1243" t="s">
        <v>351</v>
      </c>
      <c r="I1243" t="s">
        <v>204</v>
      </c>
      <c r="J1243" s="1">
        <v>54878</v>
      </c>
      <c r="K1243" t="s">
        <v>748</v>
      </c>
      <c r="L1243">
        <v>1450.04</v>
      </c>
      <c r="M1243">
        <v>1450.04</v>
      </c>
      <c r="N1243" t="s">
        <v>710</v>
      </c>
      <c r="O1243" t="s">
        <v>1040</v>
      </c>
      <c r="P1243" t="s">
        <v>4779</v>
      </c>
      <c r="Q1243" t="s">
        <v>4856</v>
      </c>
      <c r="R1243" t="s">
        <v>4773</v>
      </c>
    </row>
    <row r="1244" spans="1:18" x14ac:dyDescent="0.3">
      <c r="A1244">
        <v>598836</v>
      </c>
      <c r="B1244" t="s">
        <v>4875</v>
      </c>
      <c r="C1244" t="s">
        <v>248</v>
      </c>
      <c r="D1244" t="s">
        <v>13</v>
      </c>
      <c r="E1244" s="1">
        <v>46073</v>
      </c>
      <c r="F1244" t="s">
        <v>4430</v>
      </c>
      <c r="G1244" t="s">
        <v>3792</v>
      </c>
      <c r="H1244" t="s">
        <v>351</v>
      </c>
      <c r="I1244" t="s">
        <v>204</v>
      </c>
      <c r="J1244" s="1">
        <v>54878</v>
      </c>
      <c r="K1244" t="s">
        <v>748</v>
      </c>
      <c r="L1244">
        <v>108.75</v>
      </c>
      <c r="M1244">
        <v>108.75</v>
      </c>
      <c r="N1244" t="s">
        <v>710</v>
      </c>
      <c r="O1244" t="s">
        <v>1040</v>
      </c>
      <c r="P1244" t="s">
        <v>4779</v>
      </c>
      <c r="Q1244" t="s">
        <v>4856</v>
      </c>
      <c r="R1244" t="s">
        <v>4773</v>
      </c>
    </row>
    <row r="1245" spans="1:18" x14ac:dyDescent="0.3">
      <c r="A1245">
        <v>43051</v>
      </c>
      <c r="B1245" t="s">
        <v>1034</v>
      </c>
      <c r="C1245" t="s">
        <v>327</v>
      </c>
      <c r="D1245" t="s">
        <v>159</v>
      </c>
      <c r="E1245" s="1">
        <v>46073</v>
      </c>
      <c r="F1245" t="s">
        <v>4295</v>
      </c>
      <c r="G1245" t="s">
        <v>3791</v>
      </c>
      <c r="H1245" t="s">
        <v>357</v>
      </c>
      <c r="I1245" t="s">
        <v>204</v>
      </c>
      <c r="J1245" s="1">
        <v>46476</v>
      </c>
      <c r="K1245" t="s">
        <v>711</v>
      </c>
      <c r="L1245">
        <v>1838.03</v>
      </c>
      <c r="M1245">
        <v>1838.03</v>
      </c>
      <c r="N1245" t="s">
        <v>890</v>
      </c>
      <c r="O1245" t="s">
        <v>4834</v>
      </c>
      <c r="P1245" t="s">
        <v>4776</v>
      </c>
      <c r="Q1245" t="s">
        <v>4901</v>
      </c>
      <c r="R1245" t="s">
        <v>4773</v>
      </c>
    </row>
    <row r="1246" spans="1:18" x14ac:dyDescent="0.3">
      <c r="A1246">
        <v>2106</v>
      </c>
      <c r="B1246" t="s">
        <v>4875</v>
      </c>
      <c r="C1246" t="s">
        <v>314</v>
      </c>
      <c r="D1246" t="s">
        <v>39</v>
      </c>
      <c r="E1246" s="1">
        <v>46073</v>
      </c>
      <c r="F1246" t="s">
        <v>4347</v>
      </c>
      <c r="G1246" t="s">
        <v>3825</v>
      </c>
      <c r="H1246" t="s">
        <v>341</v>
      </c>
      <c r="I1246" t="s">
        <v>204</v>
      </c>
      <c r="J1246" s="1">
        <v>46266</v>
      </c>
      <c r="K1246" t="s">
        <v>748</v>
      </c>
      <c r="L1246">
        <v>1</v>
      </c>
      <c r="M1246">
        <v>1100</v>
      </c>
      <c r="N1246" t="s">
        <v>710</v>
      </c>
      <c r="O1246" t="s">
        <v>4834</v>
      </c>
      <c r="P1246" t="s">
        <v>4776</v>
      </c>
      <c r="Q1246" t="s">
        <v>4856</v>
      </c>
      <c r="R1246" t="s">
        <v>4773</v>
      </c>
    </row>
    <row r="1247" spans="1:18" x14ac:dyDescent="0.3">
      <c r="A1247">
        <v>16181</v>
      </c>
      <c r="B1247" t="s">
        <v>4876</v>
      </c>
      <c r="C1247" t="s">
        <v>439</v>
      </c>
      <c r="D1247" t="s">
        <v>156</v>
      </c>
      <c r="E1247" s="1">
        <v>46073</v>
      </c>
      <c r="F1247" t="s">
        <v>4396</v>
      </c>
      <c r="G1247" t="s">
        <v>3821</v>
      </c>
      <c r="H1247" t="s">
        <v>485</v>
      </c>
      <c r="I1247" t="s">
        <v>204</v>
      </c>
      <c r="J1247" s="1">
        <v>54878</v>
      </c>
      <c r="K1247" t="s">
        <v>839</v>
      </c>
      <c r="L1247">
        <v>5587.3</v>
      </c>
      <c r="M1247">
        <v>5587.3</v>
      </c>
      <c r="N1247" t="s">
        <v>710</v>
      </c>
      <c r="O1247" t="s">
        <v>1037</v>
      </c>
      <c r="P1247" t="s">
        <v>4776</v>
      </c>
      <c r="Q1247" t="s">
        <v>4852</v>
      </c>
      <c r="R1247" t="s">
        <v>4771</v>
      </c>
    </row>
    <row r="1248" spans="1:18" x14ac:dyDescent="0.3">
      <c r="A1248">
        <v>169466</v>
      </c>
      <c r="B1248" t="s">
        <v>4874</v>
      </c>
      <c r="C1248" t="s">
        <v>301</v>
      </c>
      <c r="D1248" t="s">
        <v>23</v>
      </c>
      <c r="E1248" s="1">
        <v>46072</v>
      </c>
      <c r="F1248" t="s">
        <v>4321</v>
      </c>
      <c r="G1248" t="s">
        <v>3809</v>
      </c>
      <c r="H1248" t="s">
        <v>300</v>
      </c>
      <c r="I1248" t="s">
        <v>204</v>
      </c>
      <c r="J1248" s="1">
        <v>46418</v>
      </c>
      <c r="K1248" t="s">
        <v>720</v>
      </c>
      <c r="L1248">
        <v>1</v>
      </c>
      <c r="M1248">
        <v>5208.8900000000003</v>
      </c>
      <c r="N1248" t="s">
        <v>710</v>
      </c>
      <c r="O1248" t="s">
        <v>1038</v>
      </c>
      <c r="P1248" t="s">
        <v>4782</v>
      </c>
      <c r="Q1248" t="s">
        <v>4858</v>
      </c>
      <c r="R1248" t="s">
        <v>4773</v>
      </c>
    </row>
    <row r="1249" spans="1:18" x14ac:dyDescent="0.3">
      <c r="A1249">
        <v>32710</v>
      </c>
      <c r="B1249" t="s">
        <v>4876</v>
      </c>
      <c r="C1249" t="s">
        <v>680</v>
      </c>
      <c r="D1249" t="s">
        <v>86</v>
      </c>
      <c r="E1249" s="1">
        <v>46072</v>
      </c>
      <c r="F1249" t="s">
        <v>4364</v>
      </c>
      <c r="G1249" t="s">
        <v>3694</v>
      </c>
      <c r="H1249" t="s">
        <v>679</v>
      </c>
      <c r="I1249" t="s">
        <v>204</v>
      </c>
      <c r="J1249" s="1">
        <v>47118</v>
      </c>
      <c r="K1249" t="s">
        <v>839</v>
      </c>
      <c r="L1249">
        <v>1</v>
      </c>
      <c r="M1249">
        <v>3793.84</v>
      </c>
      <c r="N1249" t="s">
        <v>710</v>
      </c>
      <c r="O1249" t="s">
        <v>4833</v>
      </c>
      <c r="P1249" t="s">
        <v>4800</v>
      </c>
      <c r="Q1249" t="s">
        <v>4852</v>
      </c>
      <c r="R1249" t="s">
        <v>807</v>
      </c>
    </row>
    <row r="1250" spans="1:18" x14ac:dyDescent="0.3">
      <c r="A1250">
        <v>32713</v>
      </c>
      <c r="B1250" t="s">
        <v>4876</v>
      </c>
      <c r="C1250" t="s">
        <v>680</v>
      </c>
      <c r="D1250" t="s">
        <v>86</v>
      </c>
      <c r="E1250" s="1">
        <v>46072</v>
      </c>
      <c r="F1250" t="s">
        <v>4402</v>
      </c>
      <c r="G1250" t="s">
        <v>3779</v>
      </c>
      <c r="H1250" t="s">
        <v>679</v>
      </c>
      <c r="I1250" t="s">
        <v>204</v>
      </c>
      <c r="J1250" s="1">
        <v>47118</v>
      </c>
      <c r="K1250" t="s">
        <v>839</v>
      </c>
      <c r="L1250">
        <v>1</v>
      </c>
      <c r="M1250">
        <v>47502.93</v>
      </c>
      <c r="N1250" t="s">
        <v>710</v>
      </c>
      <c r="O1250" t="s">
        <v>4833</v>
      </c>
      <c r="P1250" t="s">
        <v>4800</v>
      </c>
      <c r="Q1250" t="s">
        <v>4852</v>
      </c>
      <c r="R1250" t="s">
        <v>807</v>
      </c>
    </row>
    <row r="1251" spans="1:18" x14ac:dyDescent="0.3">
      <c r="A1251">
        <v>32714</v>
      </c>
      <c r="B1251" t="s">
        <v>4876</v>
      </c>
      <c r="C1251" t="s">
        <v>680</v>
      </c>
      <c r="D1251" t="s">
        <v>86</v>
      </c>
      <c r="E1251" s="1">
        <v>46072</v>
      </c>
      <c r="F1251" t="s">
        <v>4402</v>
      </c>
      <c r="G1251" t="s">
        <v>3694</v>
      </c>
      <c r="H1251" t="s">
        <v>679</v>
      </c>
      <c r="I1251" t="s">
        <v>204</v>
      </c>
      <c r="J1251" s="1">
        <v>47118</v>
      </c>
      <c r="K1251" t="s">
        <v>839</v>
      </c>
      <c r="L1251">
        <v>1</v>
      </c>
      <c r="M1251">
        <v>55683.23</v>
      </c>
      <c r="N1251" t="s">
        <v>710</v>
      </c>
      <c r="O1251" t="s">
        <v>4833</v>
      </c>
      <c r="P1251" t="s">
        <v>4800</v>
      </c>
      <c r="Q1251" t="s">
        <v>4852</v>
      </c>
      <c r="R1251" t="s">
        <v>807</v>
      </c>
    </row>
    <row r="1252" spans="1:18" x14ac:dyDescent="0.3">
      <c r="A1252">
        <v>2393</v>
      </c>
      <c r="B1252" t="s">
        <v>4874</v>
      </c>
      <c r="C1252" t="s">
        <v>616</v>
      </c>
      <c r="D1252" t="s">
        <v>152</v>
      </c>
      <c r="E1252" s="1">
        <v>46072</v>
      </c>
      <c r="F1252" t="s">
        <v>4338</v>
      </c>
      <c r="G1252" t="s">
        <v>3813</v>
      </c>
      <c r="H1252" t="s">
        <v>615</v>
      </c>
      <c r="I1252" t="s">
        <v>204</v>
      </c>
      <c r="J1252" s="1">
        <v>46327</v>
      </c>
      <c r="K1252" t="s">
        <v>720</v>
      </c>
      <c r="L1252">
        <v>1</v>
      </c>
      <c r="M1252">
        <v>92282.94</v>
      </c>
      <c r="N1252" t="s">
        <v>710</v>
      </c>
      <c r="O1252" t="s">
        <v>4834</v>
      </c>
      <c r="P1252" t="s">
        <v>4776</v>
      </c>
      <c r="Q1252" t="s">
        <v>4858</v>
      </c>
      <c r="R1252" t="s">
        <v>4772</v>
      </c>
    </row>
    <row r="1253" spans="1:18" x14ac:dyDescent="0.3">
      <c r="A1253">
        <v>200</v>
      </c>
      <c r="B1253" t="s">
        <v>4874</v>
      </c>
      <c r="C1253" t="s">
        <v>565</v>
      </c>
      <c r="D1253" t="s">
        <v>113</v>
      </c>
      <c r="E1253" s="1">
        <v>46072</v>
      </c>
      <c r="F1253" t="s">
        <v>4390</v>
      </c>
      <c r="G1253" t="s">
        <v>3800</v>
      </c>
      <c r="H1253" t="s">
        <v>564</v>
      </c>
      <c r="I1253" t="s">
        <v>204</v>
      </c>
      <c r="J1253" s="1">
        <v>46386</v>
      </c>
      <c r="K1253" t="s">
        <v>720</v>
      </c>
      <c r="L1253">
        <v>1</v>
      </c>
      <c r="M1253">
        <v>5200</v>
      </c>
      <c r="N1253" t="s">
        <v>710</v>
      </c>
      <c r="O1253" t="s">
        <v>1038</v>
      </c>
      <c r="P1253" t="s">
        <v>4777</v>
      </c>
      <c r="Q1253" t="s">
        <v>4858</v>
      </c>
      <c r="R1253" t="s">
        <v>4771</v>
      </c>
    </row>
    <row r="1254" spans="1:18" x14ac:dyDescent="0.3">
      <c r="A1254">
        <v>2082</v>
      </c>
      <c r="B1254" t="s">
        <v>1034</v>
      </c>
      <c r="C1254" t="s">
        <v>314</v>
      </c>
      <c r="D1254" t="s">
        <v>39</v>
      </c>
      <c r="E1254" s="1">
        <v>46072</v>
      </c>
      <c r="F1254" t="s">
        <v>4347</v>
      </c>
      <c r="G1254" t="s">
        <v>3762</v>
      </c>
      <c r="H1254" t="s">
        <v>313</v>
      </c>
      <c r="I1254" t="s">
        <v>204</v>
      </c>
      <c r="J1254" s="1">
        <v>46237</v>
      </c>
      <c r="K1254" t="s">
        <v>711</v>
      </c>
      <c r="L1254">
        <v>1</v>
      </c>
      <c r="M1254">
        <v>1150</v>
      </c>
      <c r="N1254" t="s">
        <v>710</v>
      </c>
      <c r="O1254" t="s">
        <v>4834</v>
      </c>
      <c r="P1254" t="s">
        <v>4779</v>
      </c>
      <c r="Q1254" t="s">
        <v>4901</v>
      </c>
      <c r="R1254" t="s">
        <v>4773</v>
      </c>
    </row>
    <row r="1255" spans="1:18" x14ac:dyDescent="0.3">
      <c r="A1255">
        <v>32715</v>
      </c>
      <c r="B1255" t="s">
        <v>4876</v>
      </c>
      <c r="C1255" t="s">
        <v>680</v>
      </c>
      <c r="D1255" t="s">
        <v>86</v>
      </c>
      <c r="E1255" s="1">
        <v>46072</v>
      </c>
      <c r="F1255" t="s">
        <v>4402</v>
      </c>
      <c r="G1255" t="s">
        <v>3694</v>
      </c>
      <c r="H1255" t="s">
        <v>679</v>
      </c>
      <c r="I1255" t="s">
        <v>204</v>
      </c>
      <c r="J1255" s="1">
        <v>47118</v>
      </c>
      <c r="K1255" t="s">
        <v>839</v>
      </c>
      <c r="L1255">
        <v>1</v>
      </c>
      <c r="M1255">
        <v>224021.31</v>
      </c>
      <c r="N1255" t="s">
        <v>710</v>
      </c>
      <c r="O1255" t="s">
        <v>4833</v>
      </c>
      <c r="P1255" t="s">
        <v>4800</v>
      </c>
      <c r="Q1255" t="s">
        <v>4852</v>
      </c>
      <c r="R1255" t="s">
        <v>807</v>
      </c>
    </row>
    <row r="1256" spans="1:18" x14ac:dyDescent="0.3">
      <c r="A1256">
        <v>360</v>
      </c>
      <c r="B1256" t="s">
        <v>4874</v>
      </c>
      <c r="C1256" t="s">
        <v>222</v>
      </c>
      <c r="D1256" t="s">
        <v>80</v>
      </c>
      <c r="E1256" s="1">
        <v>46071</v>
      </c>
      <c r="F1256" t="s">
        <v>4419</v>
      </c>
      <c r="G1256" t="s">
        <v>3774</v>
      </c>
      <c r="H1256" t="s">
        <v>223</v>
      </c>
      <c r="I1256" t="s">
        <v>204</v>
      </c>
      <c r="J1256" s="1">
        <v>46504</v>
      </c>
      <c r="K1256" t="s">
        <v>720</v>
      </c>
      <c r="L1256">
        <v>1</v>
      </c>
      <c r="M1256">
        <v>500</v>
      </c>
      <c r="N1256" t="s">
        <v>710</v>
      </c>
      <c r="O1256" t="s">
        <v>4834</v>
      </c>
      <c r="P1256" t="s">
        <v>4778</v>
      </c>
      <c r="Q1256" t="s">
        <v>4858</v>
      </c>
      <c r="R1256" t="s">
        <v>4773</v>
      </c>
    </row>
    <row r="1257" spans="1:18" x14ac:dyDescent="0.3">
      <c r="A1257">
        <v>30257</v>
      </c>
      <c r="B1257" t="s">
        <v>4874</v>
      </c>
      <c r="C1257" t="s">
        <v>592</v>
      </c>
      <c r="D1257" t="s">
        <v>8</v>
      </c>
      <c r="E1257" s="1">
        <v>46071</v>
      </c>
      <c r="F1257" t="s">
        <v>4352</v>
      </c>
      <c r="G1257" t="s">
        <v>3782</v>
      </c>
      <c r="H1257" t="s">
        <v>683</v>
      </c>
      <c r="I1257" t="s">
        <v>204</v>
      </c>
      <c r="J1257" s="1">
        <v>46387</v>
      </c>
      <c r="K1257" t="s">
        <v>762</v>
      </c>
      <c r="L1257">
        <v>1260</v>
      </c>
      <c r="M1257">
        <v>1260</v>
      </c>
      <c r="N1257" t="s">
        <v>890</v>
      </c>
      <c r="O1257" t="s">
        <v>4833</v>
      </c>
      <c r="P1257" t="s">
        <v>950</v>
      </c>
      <c r="Q1257" t="s">
        <v>4852</v>
      </c>
      <c r="R1257" t="s">
        <v>807</v>
      </c>
    </row>
    <row r="1258" spans="1:18" x14ac:dyDescent="0.3">
      <c r="A1258">
        <v>2365</v>
      </c>
      <c r="B1258" t="s">
        <v>4874</v>
      </c>
      <c r="C1258" t="s">
        <v>616</v>
      </c>
      <c r="D1258" t="s">
        <v>152</v>
      </c>
      <c r="E1258" s="1">
        <v>46071</v>
      </c>
      <c r="F1258" t="s">
        <v>4338</v>
      </c>
      <c r="G1258" t="s">
        <v>3812</v>
      </c>
      <c r="H1258" t="s">
        <v>615</v>
      </c>
      <c r="I1258" t="s">
        <v>204</v>
      </c>
      <c r="J1258" s="1">
        <v>46327</v>
      </c>
      <c r="K1258" t="s">
        <v>720</v>
      </c>
      <c r="L1258">
        <v>1</v>
      </c>
      <c r="M1258">
        <v>92282.94</v>
      </c>
      <c r="N1258" t="s">
        <v>710</v>
      </c>
      <c r="O1258" t="s">
        <v>4834</v>
      </c>
      <c r="P1258" t="s">
        <v>4776</v>
      </c>
      <c r="Q1258" t="s">
        <v>4858</v>
      </c>
      <c r="R1258" t="s">
        <v>4772</v>
      </c>
    </row>
    <row r="1259" spans="1:18" x14ac:dyDescent="0.3">
      <c r="A1259">
        <v>87670</v>
      </c>
      <c r="B1259" t="s">
        <v>4874</v>
      </c>
      <c r="C1259" t="s">
        <v>239</v>
      </c>
      <c r="D1259" t="s">
        <v>199</v>
      </c>
      <c r="E1259" s="1">
        <v>46071</v>
      </c>
      <c r="F1259" t="s">
        <v>4325</v>
      </c>
      <c r="G1259" t="s">
        <v>3806</v>
      </c>
      <c r="H1259" t="s">
        <v>268</v>
      </c>
      <c r="I1259" t="s">
        <v>204</v>
      </c>
      <c r="J1259" s="1">
        <v>46172</v>
      </c>
      <c r="K1259" t="s">
        <v>720</v>
      </c>
      <c r="L1259">
        <v>1</v>
      </c>
      <c r="M1259">
        <v>785.88</v>
      </c>
      <c r="N1259" t="s">
        <v>710</v>
      </c>
      <c r="O1259" t="s">
        <v>1038</v>
      </c>
      <c r="P1259" t="s">
        <v>4779</v>
      </c>
      <c r="Q1259" t="s">
        <v>4858</v>
      </c>
      <c r="R1259" t="s">
        <v>4771</v>
      </c>
    </row>
    <row r="1260" spans="1:18" x14ac:dyDescent="0.3">
      <c r="A1260">
        <v>654662</v>
      </c>
      <c r="B1260" t="s">
        <v>4875</v>
      </c>
      <c r="C1260" t="s">
        <v>333</v>
      </c>
      <c r="D1260" t="s">
        <v>29</v>
      </c>
      <c r="E1260" s="1">
        <v>46071</v>
      </c>
      <c r="F1260" t="s">
        <v>4317</v>
      </c>
      <c r="G1260" t="s">
        <v>3810</v>
      </c>
      <c r="H1260" t="s">
        <v>335</v>
      </c>
      <c r="I1260" t="s">
        <v>204</v>
      </c>
      <c r="J1260" s="1">
        <v>54878</v>
      </c>
      <c r="K1260" t="s">
        <v>748</v>
      </c>
      <c r="L1260">
        <v>686</v>
      </c>
      <c r="M1260">
        <v>685.6</v>
      </c>
      <c r="N1260" t="s">
        <v>710</v>
      </c>
      <c r="O1260" t="s">
        <v>1040</v>
      </c>
      <c r="P1260" t="s">
        <v>4776</v>
      </c>
      <c r="Q1260" t="s">
        <v>4856</v>
      </c>
      <c r="R1260" t="s">
        <v>4771</v>
      </c>
    </row>
    <row r="1261" spans="1:18" x14ac:dyDescent="0.3">
      <c r="A1261">
        <v>664964</v>
      </c>
      <c r="B1261" t="s">
        <v>4874</v>
      </c>
      <c r="C1261" t="s">
        <v>333</v>
      </c>
      <c r="D1261" t="s">
        <v>29</v>
      </c>
      <c r="E1261" s="1">
        <v>46071</v>
      </c>
      <c r="F1261" t="s">
        <v>4317</v>
      </c>
      <c r="G1261" t="s">
        <v>3802</v>
      </c>
      <c r="H1261" t="s">
        <v>460</v>
      </c>
      <c r="I1261" t="s">
        <v>204</v>
      </c>
      <c r="J1261" s="1">
        <v>54878</v>
      </c>
      <c r="K1261" t="s">
        <v>785</v>
      </c>
      <c r="L1261">
        <v>1</v>
      </c>
      <c r="M1261">
        <v>710.41</v>
      </c>
      <c r="N1261" t="s">
        <v>710</v>
      </c>
      <c r="O1261" t="s">
        <v>1038</v>
      </c>
      <c r="P1261" t="s">
        <v>4776</v>
      </c>
      <c r="Q1261" t="s">
        <v>4858</v>
      </c>
      <c r="R1261" t="s">
        <v>4771</v>
      </c>
    </row>
    <row r="1262" spans="1:18" x14ac:dyDescent="0.3">
      <c r="A1262">
        <v>360</v>
      </c>
      <c r="B1262" t="s">
        <v>4874</v>
      </c>
      <c r="C1262" t="s">
        <v>222</v>
      </c>
      <c r="D1262" t="s">
        <v>80</v>
      </c>
      <c r="E1262" s="1">
        <v>46071</v>
      </c>
      <c r="F1262" t="s">
        <v>4419</v>
      </c>
      <c r="G1262" t="s">
        <v>3774</v>
      </c>
      <c r="H1262" t="s">
        <v>223</v>
      </c>
      <c r="I1262" t="s">
        <v>204</v>
      </c>
      <c r="J1262" s="1">
        <v>46504</v>
      </c>
      <c r="K1262" t="s">
        <v>720</v>
      </c>
      <c r="L1262">
        <v>1</v>
      </c>
      <c r="M1262">
        <v>390</v>
      </c>
      <c r="N1262" t="s">
        <v>710</v>
      </c>
      <c r="O1262" t="s">
        <v>4834</v>
      </c>
      <c r="P1262" t="s">
        <v>4778</v>
      </c>
      <c r="Q1262" t="s">
        <v>4858</v>
      </c>
      <c r="R1262" t="s">
        <v>4773</v>
      </c>
    </row>
    <row r="1263" spans="1:18" x14ac:dyDescent="0.3">
      <c r="A1263">
        <v>99926</v>
      </c>
      <c r="B1263" t="s">
        <v>1035</v>
      </c>
      <c r="C1263" t="s">
        <v>239</v>
      </c>
      <c r="D1263" t="s">
        <v>199</v>
      </c>
      <c r="E1263" s="1">
        <v>46071</v>
      </c>
      <c r="F1263" t="s">
        <v>4325</v>
      </c>
      <c r="G1263" t="s">
        <v>3808</v>
      </c>
      <c r="H1263" t="s">
        <v>238</v>
      </c>
      <c r="I1263" t="s">
        <v>204</v>
      </c>
      <c r="J1263" s="1">
        <v>54878</v>
      </c>
      <c r="K1263" t="s">
        <v>754</v>
      </c>
      <c r="L1263">
        <v>1</v>
      </c>
      <c r="M1263">
        <v>87.32</v>
      </c>
      <c r="N1263" t="s">
        <v>710</v>
      </c>
      <c r="O1263" t="s">
        <v>4903</v>
      </c>
      <c r="P1263" t="s">
        <v>4779</v>
      </c>
      <c r="Q1263" t="s">
        <v>4858</v>
      </c>
      <c r="R1263" t="s">
        <v>4771</v>
      </c>
    </row>
    <row r="1264" spans="1:18" x14ac:dyDescent="0.3">
      <c r="A1264">
        <v>3026</v>
      </c>
      <c r="B1264" t="s">
        <v>4874</v>
      </c>
      <c r="C1264" t="s">
        <v>469</v>
      </c>
      <c r="D1264" t="s">
        <v>124</v>
      </c>
      <c r="E1264" s="1">
        <v>46071</v>
      </c>
      <c r="F1264" t="s">
        <v>4361</v>
      </c>
      <c r="G1264" t="s">
        <v>3799</v>
      </c>
      <c r="H1264" t="s">
        <v>468</v>
      </c>
      <c r="I1264" t="s">
        <v>204</v>
      </c>
      <c r="J1264" s="1">
        <v>54878</v>
      </c>
      <c r="K1264" t="s">
        <v>762</v>
      </c>
      <c r="L1264">
        <v>594</v>
      </c>
      <c r="M1264">
        <v>594</v>
      </c>
      <c r="N1264" t="s">
        <v>719</v>
      </c>
      <c r="O1264" t="s">
        <v>4845</v>
      </c>
      <c r="P1264" t="s">
        <v>4776</v>
      </c>
      <c r="Q1264" t="s">
        <v>4845</v>
      </c>
      <c r="R1264" t="s">
        <v>4771</v>
      </c>
    </row>
    <row r="1265" spans="1:18" x14ac:dyDescent="0.3">
      <c r="A1265">
        <v>33747</v>
      </c>
      <c r="B1265" t="s">
        <v>1035</v>
      </c>
      <c r="C1265" t="s">
        <v>239</v>
      </c>
      <c r="D1265" t="s">
        <v>199</v>
      </c>
      <c r="E1265" s="1">
        <v>46071</v>
      </c>
      <c r="F1265" t="s">
        <v>4325</v>
      </c>
      <c r="G1265" t="s">
        <v>3797</v>
      </c>
      <c r="H1265" t="s">
        <v>238</v>
      </c>
      <c r="I1265" t="s">
        <v>204</v>
      </c>
      <c r="J1265" s="1">
        <v>54878</v>
      </c>
      <c r="K1265" t="s">
        <v>754</v>
      </c>
      <c r="L1265">
        <v>1</v>
      </c>
      <c r="M1265">
        <v>87.32</v>
      </c>
      <c r="N1265" t="s">
        <v>710</v>
      </c>
      <c r="O1265" t="s">
        <v>4903</v>
      </c>
      <c r="P1265" t="s">
        <v>4779</v>
      </c>
      <c r="Q1265" t="s">
        <v>4858</v>
      </c>
      <c r="R1265" t="s">
        <v>4771</v>
      </c>
    </row>
    <row r="1266" spans="1:18" x14ac:dyDescent="0.3">
      <c r="A1266">
        <v>120543</v>
      </c>
      <c r="B1266" t="s">
        <v>1034</v>
      </c>
      <c r="C1266" t="s">
        <v>497</v>
      </c>
      <c r="D1266" t="s">
        <v>58</v>
      </c>
      <c r="E1266" s="1">
        <v>46071</v>
      </c>
      <c r="F1266" t="s">
        <v>4354</v>
      </c>
      <c r="G1266" t="s">
        <v>3794</v>
      </c>
      <c r="H1266" t="s">
        <v>496</v>
      </c>
      <c r="I1266" t="s">
        <v>204</v>
      </c>
      <c r="J1266" s="1">
        <v>46265</v>
      </c>
      <c r="K1266" t="s">
        <v>717</v>
      </c>
      <c r="L1266">
        <v>1</v>
      </c>
      <c r="M1266">
        <v>4397.3900000000003</v>
      </c>
      <c r="N1266" t="s">
        <v>710</v>
      </c>
      <c r="O1266" t="s">
        <v>4833</v>
      </c>
      <c r="P1266" t="s">
        <v>4776</v>
      </c>
      <c r="Q1266" t="s">
        <v>4852</v>
      </c>
      <c r="R1266" t="s">
        <v>4773</v>
      </c>
    </row>
    <row r="1267" spans="1:18" x14ac:dyDescent="0.3">
      <c r="A1267">
        <v>4</v>
      </c>
      <c r="B1267" t="s">
        <v>1034</v>
      </c>
      <c r="C1267" t="s">
        <v>686</v>
      </c>
      <c r="D1267" t="s">
        <v>116</v>
      </c>
      <c r="E1267" s="1">
        <v>46071</v>
      </c>
      <c r="F1267" t="s">
        <v>4385</v>
      </c>
      <c r="G1267" t="s">
        <v>3796</v>
      </c>
      <c r="H1267" t="s">
        <v>685</v>
      </c>
      <c r="I1267" t="s">
        <v>204</v>
      </c>
      <c r="J1267" s="1">
        <v>46418</v>
      </c>
      <c r="K1267" t="s">
        <v>717</v>
      </c>
      <c r="L1267">
        <v>1</v>
      </c>
      <c r="M1267">
        <v>1250</v>
      </c>
      <c r="N1267" t="s">
        <v>818</v>
      </c>
      <c r="O1267" t="s">
        <v>1037</v>
      </c>
      <c r="P1267" t="s">
        <v>4801</v>
      </c>
      <c r="Q1267" t="s">
        <v>4852</v>
      </c>
      <c r="R1267" t="s">
        <v>807</v>
      </c>
    </row>
    <row r="1268" spans="1:18" x14ac:dyDescent="0.3">
      <c r="A1268">
        <v>2394</v>
      </c>
      <c r="B1268" t="s">
        <v>1034</v>
      </c>
      <c r="C1268" t="s">
        <v>616</v>
      </c>
      <c r="D1268" t="s">
        <v>152</v>
      </c>
      <c r="E1268" s="1">
        <v>46071</v>
      </c>
      <c r="F1268" t="s">
        <v>4338</v>
      </c>
      <c r="G1268" t="s">
        <v>3798</v>
      </c>
      <c r="H1268" t="s">
        <v>621</v>
      </c>
      <c r="I1268" t="s">
        <v>204</v>
      </c>
      <c r="J1268" s="1">
        <v>46349</v>
      </c>
      <c r="K1268" t="s">
        <v>711</v>
      </c>
      <c r="L1268">
        <v>67259.55</v>
      </c>
      <c r="M1268">
        <v>67259.55</v>
      </c>
      <c r="N1268" t="s">
        <v>710</v>
      </c>
      <c r="O1268" t="s">
        <v>4904</v>
      </c>
      <c r="P1268" t="s">
        <v>4796</v>
      </c>
      <c r="Q1268" t="s">
        <v>4901</v>
      </c>
      <c r="R1268" t="s">
        <v>4772</v>
      </c>
    </row>
    <row r="1269" spans="1:18" x14ac:dyDescent="0.3">
      <c r="A1269">
        <v>2390</v>
      </c>
      <c r="B1269" t="s">
        <v>1034</v>
      </c>
      <c r="C1269" t="s">
        <v>616</v>
      </c>
      <c r="D1269" t="s">
        <v>152</v>
      </c>
      <c r="E1269" s="1">
        <v>46071</v>
      </c>
      <c r="F1269" t="s">
        <v>4338</v>
      </c>
      <c r="G1269" t="s">
        <v>3355</v>
      </c>
      <c r="H1269" t="s">
        <v>621</v>
      </c>
      <c r="I1269" t="s">
        <v>204</v>
      </c>
      <c r="J1269" s="1">
        <v>46349</v>
      </c>
      <c r="K1269" t="s">
        <v>711</v>
      </c>
      <c r="L1269">
        <v>67259.55</v>
      </c>
      <c r="M1269">
        <v>67259.55</v>
      </c>
      <c r="N1269" t="s">
        <v>710</v>
      </c>
      <c r="O1269" t="s">
        <v>4904</v>
      </c>
      <c r="P1269" t="s">
        <v>4796</v>
      </c>
      <c r="Q1269" t="s">
        <v>4901</v>
      </c>
      <c r="R1269" t="s">
        <v>4772</v>
      </c>
    </row>
    <row r="1270" spans="1:18" x14ac:dyDescent="0.3">
      <c r="A1270">
        <v>202635</v>
      </c>
      <c r="B1270" t="s">
        <v>1034</v>
      </c>
      <c r="C1270" t="s">
        <v>364</v>
      </c>
      <c r="D1270" t="s">
        <v>72</v>
      </c>
      <c r="E1270" s="1">
        <v>46071</v>
      </c>
      <c r="F1270" t="s">
        <v>4295</v>
      </c>
      <c r="G1270" t="s">
        <v>3742</v>
      </c>
      <c r="H1270" t="s">
        <v>363</v>
      </c>
      <c r="I1270" t="s">
        <v>209</v>
      </c>
      <c r="J1270" s="1">
        <v>46092</v>
      </c>
      <c r="K1270" t="s">
        <v>711</v>
      </c>
      <c r="L1270">
        <v>7788</v>
      </c>
      <c r="M1270">
        <v>7788</v>
      </c>
      <c r="N1270" t="s">
        <v>710</v>
      </c>
      <c r="O1270" t="s">
        <v>4834</v>
      </c>
      <c r="P1270" t="s">
        <v>4776</v>
      </c>
      <c r="Q1270" t="s">
        <v>4901</v>
      </c>
      <c r="R1270" t="s">
        <v>4773</v>
      </c>
    </row>
    <row r="1271" spans="1:18" x14ac:dyDescent="0.3">
      <c r="A1271">
        <v>661179</v>
      </c>
      <c r="B1271" t="s">
        <v>1034</v>
      </c>
      <c r="C1271" t="s">
        <v>333</v>
      </c>
      <c r="D1271" t="s">
        <v>29</v>
      </c>
      <c r="E1271" s="1">
        <v>46071</v>
      </c>
      <c r="F1271" t="s">
        <v>4317</v>
      </c>
      <c r="G1271" t="s">
        <v>3811</v>
      </c>
      <c r="H1271" t="s">
        <v>332</v>
      </c>
      <c r="I1271" t="s">
        <v>204</v>
      </c>
      <c r="J1271" s="1">
        <v>54878</v>
      </c>
      <c r="K1271" t="s">
        <v>711</v>
      </c>
      <c r="L1271">
        <v>708</v>
      </c>
      <c r="M1271">
        <v>708.08</v>
      </c>
      <c r="N1271" t="s">
        <v>710</v>
      </c>
      <c r="O1271" t="s">
        <v>1036</v>
      </c>
      <c r="P1271" t="s">
        <v>4776</v>
      </c>
      <c r="Q1271" t="s">
        <v>4901</v>
      </c>
      <c r="R1271" t="s">
        <v>4771</v>
      </c>
    </row>
    <row r="1272" spans="1:18" x14ac:dyDescent="0.3">
      <c r="A1272">
        <v>3754</v>
      </c>
      <c r="B1272" t="s">
        <v>1034</v>
      </c>
      <c r="C1272" t="s">
        <v>590</v>
      </c>
      <c r="D1272" t="s">
        <v>79</v>
      </c>
      <c r="E1272" s="1">
        <v>46071</v>
      </c>
      <c r="F1272" t="s">
        <v>4365</v>
      </c>
      <c r="G1272" t="s">
        <v>3801</v>
      </c>
      <c r="H1272" t="s">
        <v>589</v>
      </c>
      <c r="I1272" t="s">
        <v>204</v>
      </c>
      <c r="J1272" s="1">
        <v>46387</v>
      </c>
      <c r="K1272" t="s">
        <v>717</v>
      </c>
      <c r="L1272">
        <v>860</v>
      </c>
      <c r="M1272">
        <v>860</v>
      </c>
      <c r="N1272" t="s">
        <v>814</v>
      </c>
      <c r="O1272" t="s">
        <v>4845</v>
      </c>
      <c r="P1272" t="s">
        <v>4793</v>
      </c>
      <c r="Q1272" t="s">
        <v>4845</v>
      </c>
      <c r="R1272" t="s">
        <v>4773</v>
      </c>
    </row>
    <row r="1273" spans="1:18" x14ac:dyDescent="0.3">
      <c r="A1273">
        <v>360</v>
      </c>
      <c r="B1273" t="s">
        <v>4874</v>
      </c>
      <c r="C1273" t="s">
        <v>222</v>
      </c>
      <c r="D1273" t="s">
        <v>80</v>
      </c>
      <c r="E1273" s="1">
        <v>46071</v>
      </c>
      <c r="F1273" t="s">
        <v>4419</v>
      </c>
      <c r="G1273" t="s">
        <v>3774</v>
      </c>
      <c r="H1273" t="s">
        <v>223</v>
      </c>
      <c r="I1273" t="s">
        <v>204</v>
      </c>
      <c r="J1273" s="1">
        <v>46504</v>
      </c>
      <c r="K1273" t="s">
        <v>720</v>
      </c>
      <c r="L1273">
        <v>1</v>
      </c>
      <c r="M1273">
        <v>425</v>
      </c>
      <c r="N1273" t="s">
        <v>710</v>
      </c>
      <c r="O1273" t="s">
        <v>4834</v>
      </c>
      <c r="P1273" t="s">
        <v>4778</v>
      </c>
      <c r="Q1273" t="s">
        <v>4858</v>
      </c>
      <c r="R1273" t="s">
        <v>4773</v>
      </c>
    </row>
    <row r="1274" spans="1:18" x14ac:dyDescent="0.3">
      <c r="A1274">
        <v>30669</v>
      </c>
      <c r="B1274" t="s">
        <v>4874</v>
      </c>
      <c r="C1274" t="s">
        <v>592</v>
      </c>
      <c r="D1274" t="s">
        <v>8</v>
      </c>
      <c r="E1274" s="1">
        <v>46071</v>
      </c>
      <c r="F1274" t="s">
        <v>4363</v>
      </c>
      <c r="G1274" t="s">
        <v>3781</v>
      </c>
      <c r="H1274" t="s">
        <v>683</v>
      </c>
      <c r="I1274" t="s">
        <v>204</v>
      </c>
      <c r="J1274" s="1">
        <v>46387</v>
      </c>
      <c r="K1274" t="s">
        <v>762</v>
      </c>
      <c r="L1274">
        <v>750.24</v>
      </c>
      <c r="M1274">
        <v>750.24</v>
      </c>
      <c r="N1274" t="s">
        <v>890</v>
      </c>
      <c r="O1274" t="s">
        <v>4833</v>
      </c>
      <c r="P1274" t="s">
        <v>950</v>
      </c>
      <c r="Q1274" t="s">
        <v>4852</v>
      </c>
      <c r="R1274" t="s">
        <v>807</v>
      </c>
    </row>
    <row r="1275" spans="1:18" x14ac:dyDescent="0.3">
      <c r="A1275">
        <v>9531</v>
      </c>
      <c r="B1275" t="s">
        <v>1034</v>
      </c>
      <c r="C1275" t="s">
        <v>267</v>
      </c>
      <c r="D1275" t="s">
        <v>186</v>
      </c>
      <c r="E1275" s="1">
        <v>46066</v>
      </c>
      <c r="F1275" t="s">
        <v>4350</v>
      </c>
      <c r="G1275" t="s">
        <v>3783</v>
      </c>
      <c r="H1275" t="s">
        <v>266</v>
      </c>
      <c r="I1275" t="s">
        <v>204</v>
      </c>
      <c r="J1275" s="1">
        <v>46259</v>
      </c>
      <c r="K1275" t="s">
        <v>717</v>
      </c>
      <c r="L1275">
        <v>1</v>
      </c>
      <c r="M1275">
        <v>15462.72</v>
      </c>
      <c r="N1275" t="s">
        <v>710</v>
      </c>
      <c r="O1275" t="s">
        <v>1037</v>
      </c>
      <c r="P1275" t="s">
        <v>4780</v>
      </c>
      <c r="Q1275" t="s">
        <v>4852</v>
      </c>
      <c r="R1275" t="s">
        <v>4772</v>
      </c>
    </row>
    <row r="1276" spans="1:18" x14ac:dyDescent="0.3">
      <c r="A1276">
        <v>29</v>
      </c>
      <c r="B1276" t="s">
        <v>4875</v>
      </c>
      <c r="C1276" t="s">
        <v>322</v>
      </c>
      <c r="D1276" t="s">
        <v>158</v>
      </c>
      <c r="E1276" s="1">
        <v>46066</v>
      </c>
      <c r="F1276" t="s">
        <v>4433</v>
      </c>
      <c r="G1276" t="s">
        <v>3715</v>
      </c>
      <c r="H1276" t="s">
        <v>346</v>
      </c>
      <c r="I1276" t="s">
        <v>204</v>
      </c>
      <c r="J1276" s="1">
        <v>46310</v>
      </c>
      <c r="K1276" t="s">
        <v>748</v>
      </c>
      <c r="L1276">
        <v>1</v>
      </c>
      <c r="M1276">
        <v>17810</v>
      </c>
      <c r="N1276" t="s">
        <v>710</v>
      </c>
      <c r="O1276" t="s">
        <v>1040</v>
      </c>
      <c r="P1276" t="s">
        <v>4782</v>
      </c>
      <c r="Q1276" t="s">
        <v>4856</v>
      </c>
      <c r="R1276" t="s">
        <v>4773</v>
      </c>
    </row>
    <row r="1277" spans="1:18" x14ac:dyDescent="0.3">
      <c r="A1277">
        <v>9532</v>
      </c>
      <c r="B1277" t="s">
        <v>1034</v>
      </c>
      <c r="C1277" t="s">
        <v>267</v>
      </c>
      <c r="D1277" t="s">
        <v>186</v>
      </c>
      <c r="E1277" s="1">
        <v>46066</v>
      </c>
      <c r="F1277" t="s">
        <v>4350</v>
      </c>
      <c r="G1277" t="s">
        <v>3783</v>
      </c>
      <c r="H1277" t="s">
        <v>266</v>
      </c>
      <c r="I1277" t="s">
        <v>204</v>
      </c>
      <c r="J1277" s="1">
        <v>46259</v>
      </c>
      <c r="K1277" t="s">
        <v>717</v>
      </c>
      <c r="L1277">
        <v>1</v>
      </c>
      <c r="M1277">
        <v>6148.16</v>
      </c>
      <c r="N1277" t="s">
        <v>710</v>
      </c>
      <c r="O1277" t="s">
        <v>1037</v>
      </c>
      <c r="P1277" t="s">
        <v>4780</v>
      </c>
      <c r="Q1277" t="s">
        <v>4852</v>
      </c>
      <c r="R1277" t="s">
        <v>4772</v>
      </c>
    </row>
    <row r="1278" spans="1:18" x14ac:dyDescent="0.3">
      <c r="A1278">
        <v>9533</v>
      </c>
      <c r="B1278" t="s">
        <v>1034</v>
      </c>
      <c r="C1278" t="s">
        <v>267</v>
      </c>
      <c r="D1278" t="s">
        <v>186</v>
      </c>
      <c r="E1278" s="1">
        <v>46066</v>
      </c>
      <c r="F1278" t="s">
        <v>4350</v>
      </c>
      <c r="G1278" t="s">
        <v>3783</v>
      </c>
      <c r="H1278" t="s">
        <v>266</v>
      </c>
      <c r="I1278" t="s">
        <v>204</v>
      </c>
      <c r="J1278" s="1">
        <v>46259</v>
      </c>
      <c r="K1278" t="s">
        <v>717</v>
      </c>
      <c r="L1278">
        <v>1</v>
      </c>
      <c r="M1278">
        <v>18295.759999999998</v>
      </c>
      <c r="N1278" t="s">
        <v>710</v>
      </c>
      <c r="O1278" t="s">
        <v>1037</v>
      </c>
      <c r="P1278" t="s">
        <v>4780</v>
      </c>
      <c r="Q1278" t="s">
        <v>4852</v>
      </c>
      <c r="R1278" t="s">
        <v>4772</v>
      </c>
    </row>
    <row r="1279" spans="1:18" x14ac:dyDescent="0.3">
      <c r="A1279">
        <v>219</v>
      </c>
      <c r="B1279" t="s">
        <v>1034</v>
      </c>
      <c r="C1279" t="s">
        <v>267</v>
      </c>
      <c r="D1279" t="s">
        <v>186</v>
      </c>
      <c r="E1279" s="1">
        <v>46066</v>
      </c>
      <c r="F1279" t="s">
        <v>4349</v>
      </c>
      <c r="G1279" t="s">
        <v>3783</v>
      </c>
      <c r="H1279" t="s">
        <v>266</v>
      </c>
      <c r="I1279" t="s">
        <v>204</v>
      </c>
      <c r="J1279" s="1">
        <v>46259</v>
      </c>
      <c r="K1279" t="s">
        <v>717</v>
      </c>
      <c r="L1279">
        <v>1</v>
      </c>
      <c r="M1279">
        <v>41500.080000000002</v>
      </c>
      <c r="N1279" t="s">
        <v>710</v>
      </c>
      <c r="O1279" t="s">
        <v>1037</v>
      </c>
      <c r="P1279" t="s">
        <v>4780</v>
      </c>
      <c r="Q1279" t="s">
        <v>4852</v>
      </c>
      <c r="R1279" t="s">
        <v>4772</v>
      </c>
    </row>
    <row r="1280" spans="1:18" x14ac:dyDescent="0.3">
      <c r="A1280">
        <v>54</v>
      </c>
      <c r="B1280" t="s">
        <v>1034</v>
      </c>
      <c r="C1280" t="s">
        <v>312</v>
      </c>
      <c r="D1280" t="s">
        <v>73</v>
      </c>
      <c r="E1280" s="1">
        <v>46066</v>
      </c>
      <c r="F1280" t="s">
        <v>4300</v>
      </c>
      <c r="G1280" t="s">
        <v>3744</v>
      </c>
      <c r="H1280" t="s">
        <v>311</v>
      </c>
      <c r="I1280" t="s">
        <v>204</v>
      </c>
      <c r="J1280" s="1">
        <v>54878</v>
      </c>
      <c r="K1280" t="s">
        <v>711</v>
      </c>
      <c r="L1280">
        <v>2361</v>
      </c>
      <c r="M1280">
        <v>2361</v>
      </c>
      <c r="N1280" t="s">
        <v>719</v>
      </c>
      <c r="O1280" t="s">
        <v>4834</v>
      </c>
      <c r="P1280" t="s">
        <v>1006</v>
      </c>
      <c r="Q1280" t="s">
        <v>4901</v>
      </c>
      <c r="R1280" t="s">
        <v>4773</v>
      </c>
    </row>
    <row r="1281" spans="1:18" x14ac:dyDescent="0.3">
      <c r="A1281">
        <v>9529</v>
      </c>
      <c r="B1281" t="s">
        <v>1034</v>
      </c>
      <c r="C1281" t="s">
        <v>267</v>
      </c>
      <c r="D1281" t="s">
        <v>186</v>
      </c>
      <c r="E1281" s="1">
        <v>46066</v>
      </c>
      <c r="F1281" t="s">
        <v>4350</v>
      </c>
      <c r="G1281" t="s">
        <v>3783</v>
      </c>
      <c r="H1281" t="s">
        <v>266</v>
      </c>
      <c r="I1281" t="s">
        <v>204</v>
      </c>
      <c r="J1281" s="1">
        <v>46259</v>
      </c>
      <c r="K1281" t="s">
        <v>717</v>
      </c>
      <c r="L1281">
        <v>1</v>
      </c>
      <c r="M1281">
        <v>17605.28</v>
      </c>
      <c r="N1281" t="s">
        <v>710</v>
      </c>
      <c r="O1281" t="s">
        <v>1037</v>
      </c>
      <c r="P1281" t="s">
        <v>4780</v>
      </c>
      <c r="Q1281" t="s">
        <v>4852</v>
      </c>
      <c r="R1281" t="s">
        <v>4772</v>
      </c>
    </row>
    <row r="1282" spans="1:18" x14ac:dyDescent="0.3">
      <c r="A1282">
        <v>30</v>
      </c>
      <c r="B1282" t="s">
        <v>4875</v>
      </c>
      <c r="C1282" t="s">
        <v>322</v>
      </c>
      <c r="D1282" t="s">
        <v>158</v>
      </c>
      <c r="E1282" s="1">
        <v>46066</v>
      </c>
      <c r="F1282" t="s">
        <v>4431</v>
      </c>
      <c r="G1282" t="s">
        <v>3718</v>
      </c>
      <c r="H1282" t="s">
        <v>321</v>
      </c>
      <c r="I1282" t="s">
        <v>204</v>
      </c>
      <c r="J1282" s="1">
        <v>46310</v>
      </c>
      <c r="K1282" t="s">
        <v>748</v>
      </c>
      <c r="L1282">
        <v>1</v>
      </c>
      <c r="M1282">
        <v>13678.47</v>
      </c>
      <c r="N1282" t="s">
        <v>710</v>
      </c>
      <c r="O1282" t="s">
        <v>1040</v>
      </c>
      <c r="P1282" t="s">
        <v>4782</v>
      </c>
      <c r="Q1282" t="s">
        <v>4856</v>
      </c>
      <c r="R1282" t="s">
        <v>4773</v>
      </c>
    </row>
    <row r="1283" spans="1:18" x14ac:dyDescent="0.3">
      <c r="A1283">
        <v>9528</v>
      </c>
      <c r="B1283" t="s">
        <v>1034</v>
      </c>
      <c r="C1283" t="s">
        <v>267</v>
      </c>
      <c r="D1283" t="s">
        <v>186</v>
      </c>
      <c r="E1283" s="1">
        <v>46066</v>
      </c>
      <c r="F1283" t="s">
        <v>4350</v>
      </c>
      <c r="G1283" t="s">
        <v>3783</v>
      </c>
      <c r="H1283" t="s">
        <v>266</v>
      </c>
      <c r="I1283" t="s">
        <v>204</v>
      </c>
      <c r="J1283" s="1">
        <v>46259</v>
      </c>
      <c r="K1283" t="s">
        <v>717</v>
      </c>
      <c r="L1283">
        <v>1</v>
      </c>
      <c r="M1283">
        <v>21840</v>
      </c>
      <c r="N1283" t="s">
        <v>710</v>
      </c>
      <c r="O1283" t="s">
        <v>1037</v>
      </c>
      <c r="P1283" t="s">
        <v>4780</v>
      </c>
      <c r="Q1283" t="s">
        <v>4852</v>
      </c>
      <c r="R1283" t="s">
        <v>4772</v>
      </c>
    </row>
    <row r="1284" spans="1:18" x14ac:dyDescent="0.3">
      <c r="A1284">
        <v>64942</v>
      </c>
      <c r="B1284" t="s">
        <v>4874</v>
      </c>
      <c r="C1284" t="s">
        <v>437</v>
      </c>
      <c r="D1284" t="s">
        <v>150</v>
      </c>
      <c r="E1284" s="1">
        <v>46066</v>
      </c>
      <c r="F1284" t="s">
        <v>4395</v>
      </c>
      <c r="G1284" t="s">
        <v>3795</v>
      </c>
      <c r="H1284" t="s">
        <v>436</v>
      </c>
      <c r="I1284" t="s">
        <v>204</v>
      </c>
      <c r="J1284" s="1">
        <v>54878</v>
      </c>
      <c r="K1284" t="s">
        <v>762</v>
      </c>
      <c r="L1284">
        <v>673</v>
      </c>
      <c r="M1284">
        <v>673</v>
      </c>
      <c r="N1284" t="s">
        <v>719</v>
      </c>
      <c r="O1284" t="s">
        <v>1037</v>
      </c>
      <c r="P1284" t="s">
        <v>4788</v>
      </c>
      <c r="Q1284" t="s">
        <v>4852</v>
      </c>
      <c r="R1284" t="s">
        <v>4771</v>
      </c>
    </row>
    <row r="1285" spans="1:18" x14ac:dyDescent="0.3">
      <c r="A1285">
        <v>26883</v>
      </c>
      <c r="B1285" t="s">
        <v>4874</v>
      </c>
      <c r="C1285" t="s">
        <v>614</v>
      </c>
      <c r="D1285" t="s">
        <v>74</v>
      </c>
      <c r="E1285" s="1">
        <v>46066</v>
      </c>
      <c r="F1285" t="s">
        <v>4362</v>
      </c>
      <c r="G1285" t="s">
        <v>3494</v>
      </c>
      <c r="H1285" t="s">
        <v>613</v>
      </c>
      <c r="I1285" t="s">
        <v>204</v>
      </c>
      <c r="J1285" s="1">
        <v>46993</v>
      </c>
      <c r="K1285" t="s">
        <v>720</v>
      </c>
      <c r="L1285">
        <v>1</v>
      </c>
      <c r="M1285">
        <v>1515</v>
      </c>
      <c r="N1285" t="s">
        <v>710</v>
      </c>
      <c r="O1285" t="s">
        <v>1038</v>
      </c>
      <c r="P1285" t="s">
        <v>4779</v>
      </c>
      <c r="Q1285" t="s">
        <v>4858</v>
      </c>
      <c r="R1285" t="s">
        <v>4771</v>
      </c>
    </row>
    <row r="1286" spans="1:18" x14ac:dyDescent="0.3">
      <c r="A1286">
        <v>42407</v>
      </c>
      <c r="B1286" t="s">
        <v>4874</v>
      </c>
      <c r="C1286" t="s">
        <v>294</v>
      </c>
      <c r="D1286" t="s">
        <v>101</v>
      </c>
      <c r="E1286" s="1">
        <v>46066</v>
      </c>
      <c r="F1286" t="s">
        <v>4304</v>
      </c>
      <c r="G1286" t="s">
        <v>3777</v>
      </c>
      <c r="H1286" t="s">
        <v>293</v>
      </c>
      <c r="I1286" t="s">
        <v>204</v>
      </c>
      <c r="J1286" s="1">
        <v>46191</v>
      </c>
      <c r="K1286" t="s">
        <v>720</v>
      </c>
      <c r="L1286">
        <v>1</v>
      </c>
      <c r="M1286">
        <v>190</v>
      </c>
      <c r="N1286" t="s">
        <v>710</v>
      </c>
      <c r="O1286" t="s">
        <v>4834</v>
      </c>
      <c r="P1286" t="s">
        <v>4776</v>
      </c>
      <c r="Q1286" t="s">
        <v>4858</v>
      </c>
      <c r="R1286" t="s">
        <v>4773</v>
      </c>
    </row>
    <row r="1287" spans="1:18" x14ac:dyDescent="0.3">
      <c r="A1287">
        <v>9530</v>
      </c>
      <c r="B1287" t="s">
        <v>1034</v>
      </c>
      <c r="C1287" t="s">
        <v>267</v>
      </c>
      <c r="D1287" t="s">
        <v>186</v>
      </c>
      <c r="E1287" s="1">
        <v>46066</v>
      </c>
      <c r="F1287" t="s">
        <v>4350</v>
      </c>
      <c r="G1287" t="s">
        <v>3783</v>
      </c>
      <c r="H1287" t="s">
        <v>266</v>
      </c>
      <c r="I1287" t="s">
        <v>204</v>
      </c>
      <c r="J1287" s="1">
        <v>46259</v>
      </c>
      <c r="K1287" t="s">
        <v>717</v>
      </c>
      <c r="L1287">
        <v>1</v>
      </c>
      <c r="M1287">
        <v>48862.2</v>
      </c>
      <c r="N1287" t="s">
        <v>710</v>
      </c>
      <c r="O1287" t="s">
        <v>1037</v>
      </c>
      <c r="P1287" t="s">
        <v>4780</v>
      </c>
      <c r="Q1287" t="s">
        <v>4852</v>
      </c>
      <c r="R1287" t="s">
        <v>4772</v>
      </c>
    </row>
    <row r="1288" spans="1:18" x14ac:dyDescent="0.3">
      <c r="A1288">
        <v>91888</v>
      </c>
      <c r="B1288" t="s">
        <v>4875</v>
      </c>
      <c r="C1288" t="s">
        <v>319</v>
      </c>
      <c r="D1288" t="s">
        <v>36</v>
      </c>
      <c r="E1288" s="1">
        <v>46066</v>
      </c>
      <c r="F1288" t="s">
        <v>4434</v>
      </c>
      <c r="G1288" t="s">
        <v>3765</v>
      </c>
      <c r="H1288" t="s">
        <v>336</v>
      </c>
      <c r="I1288" t="s">
        <v>204</v>
      </c>
      <c r="J1288" s="1">
        <v>46075</v>
      </c>
      <c r="K1288" t="s">
        <v>748</v>
      </c>
      <c r="L1288">
        <v>27772.51</v>
      </c>
      <c r="M1288">
        <v>27772.51</v>
      </c>
      <c r="N1288" t="s">
        <v>710</v>
      </c>
      <c r="O1288" t="s">
        <v>1040</v>
      </c>
      <c r="P1288" t="s">
        <v>4784</v>
      </c>
      <c r="Q1288" t="s">
        <v>4856</v>
      </c>
      <c r="R1288" t="s">
        <v>4771</v>
      </c>
    </row>
    <row r="1289" spans="1:18" x14ac:dyDescent="0.3">
      <c r="A1289">
        <v>31</v>
      </c>
      <c r="B1289" t="s">
        <v>4875</v>
      </c>
      <c r="C1289" t="s">
        <v>322</v>
      </c>
      <c r="D1289" t="s">
        <v>158</v>
      </c>
      <c r="E1289" s="1">
        <v>46066</v>
      </c>
      <c r="F1289" t="s">
        <v>4432</v>
      </c>
      <c r="G1289" t="s">
        <v>3719</v>
      </c>
      <c r="H1289" t="s">
        <v>352</v>
      </c>
      <c r="I1289" t="s">
        <v>204</v>
      </c>
      <c r="J1289" s="1">
        <v>46310</v>
      </c>
      <c r="K1289" t="s">
        <v>748</v>
      </c>
      <c r="L1289">
        <v>1</v>
      </c>
      <c r="M1289">
        <v>2158.92</v>
      </c>
      <c r="N1289" t="s">
        <v>710</v>
      </c>
      <c r="O1289" t="s">
        <v>1040</v>
      </c>
      <c r="P1289" t="s">
        <v>4782</v>
      </c>
      <c r="Q1289" t="s">
        <v>4856</v>
      </c>
      <c r="R1289" t="s">
        <v>4773</v>
      </c>
    </row>
    <row r="1290" spans="1:18" x14ac:dyDescent="0.3">
      <c r="A1290">
        <v>19776</v>
      </c>
      <c r="B1290" t="s">
        <v>4874</v>
      </c>
      <c r="C1290" t="s">
        <v>212</v>
      </c>
      <c r="D1290" t="s">
        <v>62</v>
      </c>
      <c r="E1290" s="1">
        <v>46066</v>
      </c>
      <c r="F1290" t="s">
        <v>4318</v>
      </c>
      <c r="G1290" t="s">
        <v>3778</v>
      </c>
      <c r="H1290" t="s">
        <v>211</v>
      </c>
      <c r="I1290" t="s">
        <v>204</v>
      </c>
      <c r="J1290" s="1">
        <v>54878</v>
      </c>
      <c r="K1290" t="s">
        <v>720</v>
      </c>
      <c r="L1290">
        <v>1</v>
      </c>
      <c r="M1290">
        <v>1000</v>
      </c>
      <c r="N1290" t="s">
        <v>719</v>
      </c>
      <c r="O1290" t="s">
        <v>4834</v>
      </c>
      <c r="P1290" t="s">
        <v>4776</v>
      </c>
      <c r="Q1290" t="s">
        <v>4858</v>
      </c>
      <c r="R1290" t="s">
        <v>4771</v>
      </c>
    </row>
    <row r="1291" spans="1:18" x14ac:dyDescent="0.3">
      <c r="A1291">
        <v>169093</v>
      </c>
      <c r="B1291" t="s">
        <v>4874</v>
      </c>
      <c r="C1291" t="s">
        <v>301</v>
      </c>
      <c r="D1291" t="s">
        <v>23</v>
      </c>
      <c r="E1291" s="1">
        <v>46065</v>
      </c>
      <c r="F1291" t="s">
        <v>4321</v>
      </c>
      <c r="G1291" t="s">
        <v>3775</v>
      </c>
      <c r="H1291" t="s">
        <v>300</v>
      </c>
      <c r="I1291" t="s">
        <v>204</v>
      </c>
      <c r="J1291" s="1">
        <v>46418</v>
      </c>
      <c r="K1291" t="s">
        <v>720</v>
      </c>
      <c r="L1291">
        <v>1</v>
      </c>
      <c r="M1291">
        <v>4170.4799999999996</v>
      </c>
      <c r="N1291" t="s">
        <v>710</v>
      </c>
      <c r="O1291" t="s">
        <v>1038</v>
      </c>
      <c r="P1291" t="s">
        <v>4782</v>
      </c>
      <c r="Q1291" t="s">
        <v>4858</v>
      </c>
      <c r="R1291" t="s">
        <v>4773</v>
      </c>
    </row>
    <row r="1292" spans="1:18" x14ac:dyDescent="0.3">
      <c r="A1292">
        <v>5325</v>
      </c>
      <c r="B1292" t="s">
        <v>4874</v>
      </c>
      <c r="C1292" t="s">
        <v>422</v>
      </c>
      <c r="D1292" t="s">
        <v>37</v>
      </c>
      <c r="E1292" s="1">
        <v>46065</v>
      </c>
      <c r="F1292" t="s">
        <v>4306</v>
      </c>
      <c r="G1292" t="s">
        <v>3770</v>
      </c>
      <c r="H1292" t="s">
        <v>421</v>
      </c>
      <c r="I1292" t="s">
        <v>204</v>
      </c>
      <c r="J1292" s="1">
        <v>46080</v>
      </c>
      <c r="K1292" t="s">
        <v>762</v>
      </c>
      <c r="L1292">
        <v>800</v>
      </c>
      <c r="M1292">
        <v>800</v>
      </c>
      <c r="N1292" t="s">
        <v>710</v>
      </c>
      <c r="O1292" t="s">
        <v>4833</v>
      </c>
      <c r="P1292" t="s">
        <v>4786</v>
      </c>
      <c r="Q1292" t="s">
        <v>4852</v>
      </c>
      <c r="R1292" t="s">
        <v>4773</v>
      </c>
    </row>
    <row r="1293" spans="1:18" x14ac:dyDescent="0.3">
      <c r="A1293">
        <v>103093</v>
      </c>
      <c r="B1293" t="s">
        <v>1034</v>
      </c>
      <c r="C1293" t="s">
        <v>502</v>
      </c>
      <c r="D1293" t="s">
        <v>2</v>
      </c>
      <c r="E1293" s="1">
        <v>46065</v>
      </c>
      <c r="F1293" t="s">
        <v>4303</v>
      </c>
      <c r="G1293" t="s">
        <v>3769</v>
      </c>
      <c r="H1293" t="s">
        <v>501</v>
      </c>
      <c r="I1293" t="s">
        <v>204</v>
      </c>
      <c r="J1293" s="1">
        <v>54878</v>
      </c>
      <c r="K1293" t="s">
        <v>717</v>
      </c>
      <c r="L1293">
        <v>1901.56</v>
      </c>
      <c r="M1293">
        <v>1901.56</v>
      </c>
      <c r="N1293" t="s">
        <v>710</v>
      </c>
      <c r="O1293" t="s">
        <v>4833</v>
      </c>
      <c r="P1293" t="s">
        <v>4776</v>
      </c>
      <c r="Q1293" t="s">
        <v>4852</v>
      </c>
      <c r="R1293" t="s">
        <v>4774</v>
      </c>
    </row>
    <row r="1294" spans="1:18" x14ac:dyDescent="0.3">
      <c r="A1294">
        <v>426253</v>
      </c>
      <c r="B1294" t="s">
        <v>4875</v>
      </c>
      <c r="C1294" t="s">
        <v>338</v>
      </c>
      <c r="D1294" t="s">
        <v>31</v>
      </c>
      <c r="E1294" s="1">
        <v>46065</v>
      </c>
      <c r="F1294" t="s">
        <v>4299</v>
      </c>
      <c r="G1294" t="s">
        <v>3766</v>
      </c>
      <c r="H1294" t="s">
        <v>353</v>
      </c>
      <c r="I1294" t="s">
        <v>204</v>
      </c>
      <c r="J1294" s="1">
        <v>54878</v>
      </c>
      <c r="K1294" t="s">
        <v>748</v>
      </c>
      <c r="L1294">
        <v>5482</v>
      </c>
      <c r="M1294">
        <v>5481.97</v>
      </c>
      <c r="N1294" t="s">
        <v>710</v>
      </c>
      <c r="O1294" t="s">
        <v>1040</v>
      </c>
      <c r="P1294" t="s">
        <v>4785</v>
      </c>
      <c r="Q1294" t="s">
        <v>4856</v>
      </c>
      <c r="R1294" t="s">
        <v>4773</v>
      </c>
    </row>
    <row r="1295" spans="1:18" x14ac:dyDescent="0.3">
      <c r="A1295">
        <v>760</v>
      </c>
      <c r="B1295" t="s">
        <v>1034</v>
      </c>
      <c r="C1295" t="s">
        <v>319</v>
      </c>
      <c r="D1295" t="s">
        <v>36</v>
      </c>
      <c r="E1295" s="1">
        <v>46065</v>
      </c>
      <c r="F1295" t="s">
        <v>4298</v>
      </c>
      <c r="G1295" t="s">
        <v>3695</v>
      </c>
      <c r="H1295" t="s">
        <v>318</v>
      </c>
      <c r="I1295" t="s">
        <v>204</v>
      </c>
      <c r="J1295" s="1">
        <v>46214</v>
      </c>
      <c r="K1295" t="s">
        <v>711</v>
      </c>
      <c r="L1295">
        <v>772</v>
      </c>
      <c r="M1295">
        <v>772.31</v>
      </c>
      <c r="N1295" t="s">
        <v>710</v>
      </c>
      <c r="O1295" t="s">
        <v>1036</v>
      </c>
      <c r="P1295" t="s">
        <v>4784</v>
      </c>
      <c r="Q1295" t="s">
        <v>4901</v>
      </c>
      <c r="R1295" t="s">
        <v>4771</v>
      </c>
    </row>
    <row r="1296" spans="1:18" x14ac:dyDescent="0.3">
      <c r="A1296">
        <v>4191</v>
      </c>
      <c r="B1296" t="s">
        <v>1034</v>
      </c>
      <c r="C1296" t="s">
        <v>319</v>
      </c>
      <c r="D1296" t="s">
        <v>36</v>
      </c>
      <c r="E1296" s="1">
        <v>46065</v>
      </c>
      <c r="F1296" t="s">
        <v>4298</v>
      </c>
      <c r="G1296" t="s">
        <v>3684</v>
      </c>
      <c r="H1296" t="s">
        <v>318</v>
      </c>
      <c r="I1296" t="s">
        <v>204</v>
      </c>
      <c r="J1296" s="1">
        <v>46214</v>
      </c>
      <c r="K1296" t="s">
        <v>711</v>
      </c>
      <c r="L1296">
        <v>1129</v>
      </c>
      <c r="M1296">
        <v>1128.8399999999999</v>
      </c>
      <c r="N1296" t="s">
        <v>710</v>
      </c>
      <c r="O1296" t="s">
        <v>1036</v>
      </c>
      <c r="P1296" t="s">
        <v>4784</v>
      </c>
      <c r="Q1296" t="s">
        <v>4901</v>
      </c>
      <c r="R1296" t="s">
        <v>4771</v>
      </c>
    </row>
    <row r="1297" spans="1:18" x14ac:dyDescent="0.3">
      <c r="A1297">
        <v>108539</v>
      </c>
      <c r="B1297" t="s">
        <v>1034</v>
      </c>
      <c r="C1297" t="s">
        <v>495</v>
      </c>
      <c r="D1297" t="s">
        <v>44</v>
      </c>
      <c r="E1297" s="1">
        <v>46065</v>
      </c>
      <c r="F1297" t="s">
        <v>4303</v>
      </c>
      <c r="G1297" t="s">
        <v>3750</v>
      </c>
      <c r="H1297" t="s">
        <v>494</v>
      </c>
      <c r="I1297" t="s">
        <v>204</v>
      </c>
      <c r="J1297" s="1">
        <v>54878</v>
      </c>
      <c r="K1297" t="s">
        <v>717</v>
      </c>
      <c r="L1297">
        <v>2051.31</v>
      </c>
      <c r="M1297">
        <v>2051.31</v>
      </c>
      <c r="N1297" t="s">
        <v>710</v>
      </c>
      <c r="O1297" t="s">
        <v>4833</v>
      </c>
      <c r="P1297" t="s">
        <v>4776</v>
      </c>
      <c r="Q1297" t="s">
        <v>4852</v>
      </c>
      <c r="R1297" t="s">
        <v>4773</v>
      </c>
    </row>
    <row r="1298" spans="1:18" x14ac:dyDescent="0.3">
      <c r="A1298">
        <v>1229</v>
      </c>
      <c r="B1298" t="s">
        <v>4875</v>
      </c>
      <c r="C1298" t="s">
        <v>638</v>
      </c>
      <c r="D1298" t="s">
        <v>134</v>
      </c>
      <c r="E1298" s="1">
        <v>46065</v>
      </c>
      <c r="F1298" t="s">
        <v>4296</v>
      </c>
      <c r="G1298" t="s">
        <v>3680</v>
      </c>
      <c r="H1298" t="s">
        <v>639</v>
      </c>
      <c r="I1298" t="s">
        <v>204</v>
      </c>
      <c r="J1298" s="1">
        <v>46537</v>
      </c>
      <c r="K1298" t="s">
        <v>748</v>
      </c>
      <c r="L1298">
        <v>1301</v>
      </c>
      <c r="M1298">
        <v>1301</v>
      </c>
      <c r="N1298" t="s">
        <v>710</v>
      </c>
      <c r="O1298" t="s">
        <v>1040</v>
      </c>
      <c r="P1298" t="s">
        <v>4776</v>
      </c>
      <c r="Q1298" t="s">
        <v>4856</v>
      </c>
    </row>
    <row r="1299" spans="1:18" x14ac:dyDescent="0.3">
      <c r="A1299">
        <v>1843</v>
      </c>
      <c r="B1299" t="s">
        <v>4874</v>
      </c>
      <c r="C1299" t="s">
        <v>252</v>
      </c>
      <c r="D1299" t="s">
        <v>183</v>
      </c>
      <c r="E1299" s="1">
        <v>46065</v>
      </c>
      <c r="F1299" t="s">
        <v>4404</v>
      </c>
      <c r="G1299" t="s">
        <v>3526</v>
      </c>
      <c r="H1299" t="s">
        <v>251</v>
      </c>
      <c r="I1299" t="s">
        <v>204</v>
      </c>
      <c r="J1299" s="1">
        <v>46418</v>
      </c>
      <c r="K1299" t="s">
        <v>762</v>
      </c>
      <c r="L1299">
        <v>20790</v>
      </c>
      <c r="M1299">
        <v>20790</v>
      </c>
      <c r="N1299" t="s">
        <v>719</v>
      </c>
      <c r="O1299" t="s">
        <v>4904</v>
      </c>
      <c r="P1299" t="s">
        <v>4792</v>
      </c>
      <c r="Q1299" t="s">
        <v>4904</v>
      </c>
      <c r="R1299" t="s">
        <v>4773</v>
      </c>
    </row>
    <row r="1300" spans="1:18" x14ac:dyDescent="0.3">
      <c r="A1300">
        <v>1273</v>
      </c>
      <c r="B1300" t="s">
        <v>1034</v>
      </c>
      <c r="C1300" t="s">
        <v>638</v>
      </c>
      <c r="D1300" t="s">
        <v>134</v>
      </c>
      <c r="E1300" s="1">
        <v>46065</v>
      </c>
      <c r="F1300" t="s">
        <v>4296</v>
      </c>
      <c r="G1300" t="s">
        <v>3582</v>
      </c>
      <c r="H1300" t="s">
        <v>637</v>
      </c>
      <c r="I1300" t="s">
        <v>204</v>
      </c>
      <c r="J1300" s="1">
        <v>46537</v>
      </c>
      <c r="K1300" t="s">
        <v>711</v>
      </c>
      <c r="L1300">
        <v>1941</v>
      </c>
      <c r="M1300">
        <v>1941</v>
      </c>
      <c r="N1300" t="s">
        <v>710</v>
      </c>
      <c r="O1300" t="s">
        <v>1036</v>
      </c>
      <c r="P1300" t="s">
        <v>4776</v>
      </c>
      <c r="Q1300" t="s">
        <v>4901</v>
      </c>
    </row>
    <row r="1301" spans="1:18" x14ac:dyDescent="0.3">
      <c r="A1301">
        <v>219279</v>
      </c>
      <c r="B1301" t="s">
        <v>4874</v>
      </c>
      <c r="C1301" t="s">
        <v>441</v>
      </c>
      <c r="D1301" t="s">
        <v>38</v>
      </c>
      <c r="E1301" s="1">
        <v>46065</v>
      </c>
      <c r="F1301" t="s">
        <v>4393</v>
      </c>
      <c r="G1301" t="s">
        <v>3771</v>
      </c>
      <c r="H1301" t="s">
        <v>440</v>
      </c>
      <c r="I1301" t="s">
        <v>204</v>
      </c>
      <c r="J1301" s="1">
        <v>46191</v>
      </c>
      <c r="K1301" t="s">
        <v>762</v>
      </c>
      <c r="L1301">
        <v>11315</v>
      </c>
      <c r="M1301">
        <v>11315</v>
      </c>
      <c r="N1301" t="s">
        <v>710</v>
      </c>
      <c r="O1301" t="s">
        <v>4833</v>
      </c>
      <c r="P1301" t="s">
        <v>4786</v>
      </c>
      <c r="Q1301" t="s">
        <v>4852</v>
      </c>
      <c r="R1301" t="s">
        <v>4773</v>
      </c>
    </row>
    <row r="1302" spans="1:18" x14ac:dyDescent="0.3">
      <c r="A1302">
        <v>5197</v>
      </c>
      <c r="B1302" t="s">
        <v>4874</v>
      </c>
      <c r="C1302" t="s">
        <v>444</v>
      </c>
      <c r="D1302" t="s">
        <v>21</v>
      </c>
      <c r="E1302" s="1">
        <v>46065</v>
      </c>
      <c r="F1302" t="s">
        <v>4380</v>
      </c>
      <c r="G1302" t="s">
        <v>3773</v>
      </c>
      <c r="H1302" t="s">
        <v>443</v>
      </c>
      <c r="I1302" t="s">
        <v>209</v>
      </c>
      <c r="J1302" s="1">
        <v>54878</v>
      </c>
      <c r="K1302" t="s">
        <v>762</v>
      </c>
      <c r="L1302">
        <v>1</v>
      </c>
      <c r="M1302">
        <v>160</v>
      </c>
      <c r="N1302" t="s">
        <v>710</v>
      </c>
      <c r="O1302" t="s">
        <v>1037</v>
      </c>
      <c r="P1302" t="s">
        <v>4808</v>
      </c>
      <c r="Q1302" t="s">
        <v>4852</v>
      </c>
      <c r="R1302" t="s">
        <v>4772</v>
      </c>
    </row>
    <row r="1303" spans="1:18" x14ac:dyDescent="0.3">
      <c r="A1303">
        <v>11359</v>
      </c>
      <c r="B1303" t="s">
        <v>1034</v>
      </c>
      <c r="C1303" t="s">
        <v>624</v>
      </c>
      <c r="D1303" t="s">
        <v>68</v>
      </c>
      <c r="E1303" s="1">
        <v>46065</v>
      </c>
      <c r="F1303" t="s">
        <v>4367</v>
      </c>
      <c r="G1303" t="s">
        <v>3784</v>
      </c>
      <c r="H1303" t="s">
        <v>623</v>
      </c>
      <c r="I1303" t="s">
        <v>204</v>
      </c>
      <c r="J1303" s="1">
        <v>46017</v>
      </c>
      <c r="K1303" t="s">
        <v>839</v>
      </c>
      <c r="L1303">
        <v>1682</v>
      </c>
      <c r="M1303">
        <v>1682.08</v>
      </c>
      <c r="N1303" t="s">
        <v>710</v>
      </c>
      <c r="O1303" t="s">
        <v>1041</v>
      </c>
      <c r="P1303" t="s">
        <v>4776</v>
      </c>
      <c r="Q1303" t="s">
        <v>4852</v>
      </c>
      <c r="R1303" t="s">
        <v>4771</v>
      </c>
    </row>
    <row r="1304" spans="1:18" x14ac:dyDescent="0.3">
      <c r="A1304">
        <v>36542</v>
      </c>
      <c r="B1304" t="s">
        <v>1034</v>
      </c>
      <c r="C1304" t="s">
        <v>500</v>
      </c>
      <c r="D1304" t="s">
        <v>16</v>
      </c>
      <c r="E1304" s="1">
        <v>46065</v>
      </c>
      <c r="F1304" t="s">
        <v>4306</v>
      </c>
      <c r="G1304" t="s">
        <v>3772</v>
      </c>
      <c r="H1304" t="s">
        <v>499</v>
      </c>
      <c r="I1304" t="s">
        <v>204</v>
      </c>
      <c r="J1304" s="1">
        <v>54878</v>
      </c>
      <c r="K1304" t="s">
        <v>717</v>
      </c>
      <c r="L1304">
        <v>1633.45</v>
      </c>
      <c r="M1304">
        <v>1633.45</v>
      </c>
      <c r="N1304" t="s">
        <v>710</v>
      </c>
      <c r="O1304" t="s">
        <v>4833</v>
      </c>
      <c r="P1304" t="s">
        <v>4786</v>
      </c>
      <c r="Q1304" t="s">
        <v>4852</v>
      </c>
      <c r="R1304" t="s">
        <v>4773</v>
      </c>
    </row>
    <row r="1305" spans="1:18" x14ac:dyDescent="0.3">
      <c r="A1305">
        <v>2114045</v>
      </c>
      <c r="B1305" t="s">
        <v>4874</v>
      </c>
      <c r="C1305" t="s">
        <v>417</v>
      </c>
      <c r="D1305" t="s">
        <v>185</v>
      </c>
      <c r="E1305" s="1">
        <v>46064</v>
      </c>
      <c r="F1305" t="s">
        <v>4346</v>
      </c>
      <c r="G1305" t="s">
        <v>3711</v>
      </c>
      <c r="H1305" t="s">
        <v>461</v>
      </c>
      <c r="I1305" t="s">
        <v>204</v>
      </c>
      <c r="J1305" s="1">
        <v>54878</v>
      </c>
      <c r="K1305" t="s">
        <v>762</v>
      </c>
      <c r="L1305">
        <v>26566.04</v>
      </c>
      <c r="M1305">
        <v>26566.04</v>
      </c>
      <c r="N1305" t="s">
        <v>710</v>
      </c>
      <c r="O1305" t="s">
        <v>1037</v>
      </c>
      <c r="P1305" t="s">
        <v>4780</v>
      </c>
      <c r="Q1305" t="s">
        <v>4852</v>
      </c>
      <c r="R1305" t="s">
        <v>4771</v>
      </c>
    </row>
    <row r="1306" spans="1:18" x14ac:dyDescent="0.3">
      <c r="A1306">
        <v>26</v>
      </c>
      <c r="B1306" t="s">
        <v>4875</v>
      </c>
      <c r="C1306" t="s">
        <v>322</v>
      </c>
      <c r="D1306" t="s">
        <v>158</v>
      </c>
      <c r="E1306" s="1">
        <v>46064</v>
      </c>
      <c r="F1306" t="s">
        <v>4431</v>
      </c>
      <c r="G1306" t="s">
        <v>3675</v>
      </c>
      <c r="H1306" t="s">
        <v>321</v>
      </c>
      <c r="I1306" t="s">
        <v>204</v>
      </c>
      <c r="J1306" s="1">
        <v>46310</v>
      </c>
      <c r="K1306" t="s">
        <v>748</v>
      </c>
      <c r="L1306">
        <v>1</v>
      </c>
      <c r="M1306">
        <v>844.35</v>
      </c>
      <c r="N1306" t="s">
        <v>710</v>
      </c>
      <c r="O1306" t="s">
        <v>1040</v>
      </c>
      <c r="P1306" t="s">
        <v>4782</v>
      </c>
      <c r="Q1306" t="s">
        <v>4856</v>
      </c>
      <c r="R1306" t="s">
        <v>4773</v>
      </c>
    </row>
    <row r="1307" spans="1:18" x14ac:dyDescent="0.3">
      <c r="A1307">
        <v>40175</v>
      </c>
      <c r="B1307" t="s">
        <v>4874</v>
      </c>
      <c r="C1307" t="s">
        <v>447</v>
      </c>
      <c r="D1307" t="s">
        <v>57</v>
      </c>
      <c r="E1307" s="1">
        <v>46064</v>
      </c>
      <c r="F1307" t="s">
        <v>4383</v>
      </c>
      <c r="G1307" t="s">
        <v>3776</v>
      </c>
      <c r="H1307" t="s">
        <v>446</v>
      </c>
      <c r="I1307" t="s">
        <v>204</v>
      </c>
      <c r="J1307" s="1">
        <v>46203</v>
      </c>
      <c r="K1307" t="s">
        <v>762</v>
      </c>
      <c r="L1307">
        <v>793.23</v>
      </c>
      <c r="M1307">
        <v>793.23</v>
      </c>
      <c r="N1307" t="s">
        <v>710</v>
      </c>
      <c r="O1307" t="s">
        <v>1038</v>
      </c>
      <c r="P1307" t="s">
        <v>4776</v>
      </c>
      <c r="Q1307" t="s">
        <v>4858</v>
      </c>
      <c r="R1307" t="s">
        <v>4774</v>
      </c>
    </row>
    <row r="1308" spans="1:18" x14ac:dyDescent="0.3">
      <c r="A1308">
        <v>1379124</v>
      </c>
      <c r="B1308" t="s">
        <v>4874</v>
      </c>
      <c r="C1308" t="s">
        <v>472</v>
      </c>
      <c r="D1308" t="s">
        <v>48</v>
      </c>
      <c r="E1308" s="1">
        <v>46064</v>
      </c>
      <c r="F1308" t="s">
        <v>4315</v>
      </c>
      <c r="G1308" t="s">
        <v>3785</v>
      </c>
      <c r="H1308" t="s">
        <v>471</v>
      </c>
      <c r="I1308" t="s">
        <v>204</v>
      </c>
      <c r="J1308" s="1">
        <v>46270</v>
      </c>
      <c r="K1308" t="s">
        <v>762</v>
      </c>
      <c r="L1308">
        <v>537.80999999999995</v>
      </c>
      <c r="M1308">
        <v>537.80999999999995</v>
      </c>
      <c r="N1308" t="s">
        <v>710</v>
      </c>
      <c r="O1308" t="s">
        <v>4845</v>
      </c>
      <c r="P1308" t="s">
        <v>4776</v>
      </c>
      <c r="Q1308" t="s">
        <v>4845</v>
      </c>
      <c r="R1308" t="s">
        <v>4773</v>
      </c>
    </row>
    <row r="1309" spans="1:18" x14ac:dyDescent="0.3">
      <c r="A1309">
        <v>3888</v>
      </c>
      <c r="B1309" t="s">
        <v>4874</v>
      </c>
      <c r="C1309" t="s">
        <v>225</v>
      </c>
      <c r="D1309" t="s">
        <v>166</v>
      </c>
      <c r="E1309" s="1">
        <v>46064</v>
      </c>
      <c r="F1309" t="s">
        <v>4383</v>
      </c>
      <c r="G1309" t="s">
        <v>3748</v>
      </c>
      <c r="H1309" t="s">
        <v>224</v>
      </c>
      <c r="I1309" t="s">
        <v>204</v>
      </c>
      <c r="J1309" s="1">
        <v>54878</v>
      </c>
      <c r="K1309" t="s">
        <v>720</v>
      </c>
      <c r="L1309">
        <v>476.36</v>
      </c>
      <c r="M1309">
        <v>476.36</v>
      </c>
      <c r="N1309" t="s">
        <v>710</v>
      </c>
      <c r="O1309" t="s">
        <v>4849</v>
      </c>
      <c r="P1309" t="s">
        <v>4776</v>
      </c>
      <c r="Q1309" t="s">
        <v>4855</v>
      </c>
      <c r="R1309" t="s">
        <v>4773</v>
      </c>
    </row>
    <row r="1310" spans="1:18" x14ac:dyDescent="0.3">
      <c r="A1310">
        <v>1379146</v>
      </c>
      <c r="B1310" t="s">
        <v>4874</v>
      </c>
      <c r="C1310" t="s">
        <v>472</v>
      </c>
      <c r="D1310" t="s">
        <v>48</v>
      </c>
      <c r="E1310" s="1">
        <v>46064</v>
      </c>
      <c r="F1310" t="s">
        <v>4345</v>
      </c>
      <c r="G1310" t="s">
        <v>3785</v>
      </c>
      <c r="H1310" t="s">
        <v>471</v>
      </c>
      <c r="I1310" t="s">
        <v>204</v>
      </c>
      <c r="J1310" s="1">
        <v>46270</v>
      </c>
      <c r="K1310" t="s">
        <v>762</v>
      </c>
      <c r="L1310">
        <v>53.78</v>
      </c>
      <c r="M1310">
        <v>53.78</v>
      </c>
      <c r="N1310" t="s">
        <v>710</v>
      </c>
      <c r="O1310" t="s">
        <v>4845</v>
      </c>
      <c r="P1310" t="s">
        <v>4776</v>
      </c>
      <c r="Q1310" t="s">
        <v>4845</v>
      </c>
      <c r="R1310" t="s">
        <v>4773</v>
      </c>
    </row>
    <row r="1311" spans="1:18" x14ac:dyDescent="0.3">
      <c r="A1311">
        <v>11648</v>
      </c>
      <c r="B1311" t="s">
        <v>4874</v>
      </c>
      <c r="C1311" t="s">
        <v>690</v>
      </c>
      <c r="D1311" t="s">
        <v>65</v>
      </c>
      <c r="E1311" s="1">
        <v>46063</v>
      </c>
      <c r="F1311" t="s">
        <v>4386</v>
      </c>
      <c r="G1311" t="s">
        <v>3768</v>
      </c>
      <c r="H1311" t="s">
        <v>689</v>
      </c>
      <c r="I1311" t="s">
        <v>204</v>
      </c>
      <c r="J1311" s="1">
        <v>46423</v>
      </c>
      <c r="K1311" t="s">
        <v>762</v>
      </c>
      <c r="L1311">
        <v>1</v>
      </c>
      <c r="M1311">
        <v>1260</v>
      </c>
      <c r="N1311" t="s">
        <v>710</v>
      </c>
      <c r="O1311" t="s">
        <v>1042</v>
      </c>
      <c r="P1311" t="s">
        <v>1006</v>
      </c>
      <c r="Q1311" t="s">
        <v>4852</v>
      </c>
      <c r="R1311" t="s">
        <v>807</v>
      </c>
    </row>
    <row r="1312" spans="1:18" x14ac:dyDescent="0.3">
      <c r="A1312">
        <v>191759</v>
      </c>
      <c r="B1312" t="s">
        <v>4874</v>
      </c>
      <c r="C1312" t="s">
        <v>411</v>
      </c>
      <c r="D1312" t="s">
        <v>154</v>
      </c>
      <c r="E1312" s="1">
        <v>46063</v>
      </c>
      <c r="F1312" t="s">
        <v>4315</v>
      </c>
      <c r="G1312" t="s">
        <v>3751</v>
      </c>
      <c r="H1312" t="s">
        <v>410</v>
      </c>
      <c r="I1312" t="s">
        <v>204</v>
      </c>
      <c r="J1312" s="1">
        <v>46344</v>
      </c>
      <c r="K1312" t="s">
        <v>762</v>
      </c>
      <c r="L1312">
        <v>2216.94</v>
      </c>
      <c r="M1312">
        <v>2216.94</v>
      </c>
      <c r="N1312" t="s">
        <v>710</v>
      </c>
      <c r="O1312" t="s">
        <v>4833</v>
      </c>
      <c r="P1312" t="s">
        <v>4776</v>
      </c>
      <c r="Q1312" t="s">
        <v>4852</v>
      </c>
      <c r="R1312" t="s">
        <v>4773</v>
      </c>
    </row>
    <row r="1313" spans="1:18" x14ac:dyDescent="0.3">
      <c r="A1313">
        <v>191389</v>
      </c>
      <c r="B1313" t="s">
        <v>4874</v>
      </c>
      <c r="C1313" t="s">
        <v>411</v>
      </c>
      <c r="D1313" t="s">
        <v>154</v>
      </c>
      <c r="E1313" s="1">
        <v>46063</v>
      </c>
      <c r="F1313" t="s">
        <v>4345</v>
      </c>
      <c r="G1313" t="s">
        <v>3745</v>
      </c>
      <c r="H1313" t="s">
        <v>410</v>
      </c>
      <c r="I1313" t="s">
        <v>204</v>
      </c>
      <c r="J1313" s="1">
        <v>46344</v>
      </c>
      <c r="K1313" t="s">
        <v>762</v>
      </c>
      <c r="L1313">
        <v>16275.21</v>
      </c>
      <c r="M1313">
        <v>16275.21</v>
      </c>
      <c r="N1313" t="s">
        <v>710</v>
      </c>
      <c r="O1313" t="s">
        <v>4833</v>
      </c>
      <c r="P1313" t="s">
        <v>4776</v>
      </c>
      <c r="Q1313" t="s">
        <v>4852</v>
      </c>
      <c r="R1313" t="s">
        <v>4773</v>
      </c>
    </row>
    <row r="1314" spans="1:18" x14ac:dyDescent="0.3">
      <c r="A1314">
        <v>9534</v>
      </c>
      <c r="B1314" t="s">
        <v>4874</v>
      </c>
      <c r="C1314" t="s">
        <v>391</v>
      </c>
      <c r="D1314" t="s">
        <v>104</v>
      </c>
      <c r="E1314" s="1">
        <v>46063</v>
      </c>
      <c r="F1314" t="s">
        <v>4354</v>
      </c>
      <c r="G1314" t="s">
        <v>3708</v>
      </c>
      <c r="H1314" t="s">
        <v>390</v>
      </c>
      <c r="I1314" t="s">
        <v>204</v>
      </c>
      <c r="J1314" s="1">
        <v>54878</v>
      </c>
      <c r="K1314" t="s">
        <v>762</v>
      </c>
      <c r="L1314">
        <v>224.98</v>
      </c>
      <c r="M1314">
        <v>224.98</v>
      </c>
      <c r="N1314" t="s">
        <v>710</v>
      </c>
      <c r="O1314" t="s">
        <v>4833</v>
      </c>
      <c r="P1314" t="s">
        <v>4776</v>
      </c>
      <c r="Q1314" t="s">
        <v>4852</v>
      </c>
      <c r="R1314" t="s">
        <v>4773</v>
      </c>
    </row>
    <row r="1315" spans="1:18" x14ac:dyDescent="0.3">
      <c r="A1315">
        <v>3765</v>
      </c>
      <c r="B1315" t="s">
        <v>1034</v>
      </c>
      <c r="C1315" t="s">
        <v>319</v>
      </c>
      <c r="D1315" t="s">
        <v>36</v>
      </c>
      <c r="E1315" s="1">
        <v>46063</v>
      </c>
      <c r="F1315" t="s">
        <v>4298</v>
      </c>
      <c r="G1315" t="s">
        <v>3761</v>
      </c>
      <c r="H1315" t="s">
        <v>318</v>
      </c>
      <c r="I1315" t="s">
        <v>204</v>
      </c>
      <c r="J1315" s="1">
        <v>46214</v>
      </c>
      <c r="K1315" t="s">
        <v>711</v>
      </c>
      <c r="L1315">
        <v>1693</v>
      </c>
      <c r="M1315">
        <v>1693.26</v>
      </c>
      <c r="N1315" t="s">
        <v>710</v>
      </c>
      <c r="O1315" t="s">
        <v>1036</v>
      </c>
      <c r="P1315" t="s">
        <v>4784</v>
      </c>
      <c r="Q1315" t="s">
        <v>4901</v>
      </c>
      <c r="R1315" t="s">
        <v>4771</v>
      </c>
    </row>
    <row r="1316" spans="1:18" x14ac:dyDescent="0.3">
      <c r="A1316">
        <v>33742</v>
      </c>
      <c r="B1316" t="s">
        <v>1034</v>
      </c>
      <c r="C1316" t="s">
        <v>451</v>
      </c>
      <c r="D1316" t="s">
        <v>129</v>
      </c>
      <c r="E1316" s="1">
        <v>46063</v>
      </c>
      <c r="F1316" t="s">
        <v>4319</v>
      </c>
      <c r="G1316" t="s">
        <v>3759</v>
      </c>
      <c r="H1316" t="s">
        <v>662</v>
      </c>
      <c r="I1316" t="s">
        <v>204</v>
      </c>
      <c r="J1316" s="1">
        <v>46655</v>
      </c>
      <c r="K1316" t="s">
        <v>717</v>
      </c>
      <c r="L1316">
        <v>1692</v>
      </c>
      <c r="M1316">
        <v>1692.42</v>
      </c>
      <c r="N1316" t="s">
        <v>719</v>
      </c>
      <c r="O1316" t="s">
        <v>4833</v>
      </c>
      <c r="P1316" t="s">
        <v>4802</v>
      </c>
      <c r="Q1316" t="s">
        <v>4852</v>
      </c>
      <c r="R1316" t="s">
        <v>807</v>
      </c>
    </row>
    <row r="1317" spans="1:18" x14ac:dyDescent="0.3">
      <c r="A1317">
        <v>33831</v>
      </c>
      <c r="B1317" t="s">
        <v>1034</v>
      </c>
      <c r="C1317" t="s">
        <v>451</v>
      </c>
      <c r="D1317" t="s">
        <v>129</v>
      </c>
      <c r="E1317" s="1">
        <v>46063</v>
      </c>
      <c r="F1317" t="s">
        <v>4319</v>
      </c>
      <c r="G1317" t="s">
        <v>3759</v>
      </c>
      <c r="H1317" t="s">
        <v>662</v>
      </c>
      <c r="I1317" t="s">
        <v>204</v>
      </c>
      <c r="J1317" s="1">
        <v>46655</v>
      </c>
      <c r="K1317" t="s">
        <v>717</v>
      </c>
      <c r="L1317">
        <v>188</v>
      </c>
      <c r="M1317">
        <v>188.01</v>
      </c>
      <c r="N1317" t="s">
        <v>719</v>
      </c>
      <c r="O1317" t="s">
        <v>4833</v>
      </c>
      <c r="P1317" t="s">
        <v>4802</v>
      </c>
      <c r="Q1317" t="s">
        <v>4852</v>
      </c>
      <c r="R1317" t="s">
        <v>807</v>
      </c>
    </row>
    <row r="1318" spans="1:18" x14ac:dyDescent="0.3">
      <c r="A1318">
        <v>783</v>
      </c>
      <c r="B1318" t="s">
        <v>1034</v>
      </c>
      <c r="C1318" t="s">
        <v>319</v>
      </c>
      <c r="D1318" t="s">
        <v>36</v>
      </c>
      <c r="E1318" s="1">
        <v>46063</v>
      </c>
      <c r="F1318" t="s">
        <v>4298</v>
      </c>
      <c r="G1318" t="s">
        <v>3760</v>
      </c>
      <c r="H1318" t="s">
        <v>318</v>
      </c>
      <c r="I1318" t="s">
        <v>204</v>
      </c>
      <c r="J1318" s="1">
        <v>46214</v>
      </c>
      <c r="K1318" t="s">
        <v>711</v>
      </c>
      <c r="L1318">
        <v>782</v>
      </c>
      <c r="M1318">
        <v>782.24</v>
      </c>
      <c r="N1318" t="s">
        <v>710</v>
      </c>
      <c r="O1318" t="s">
        <v>1036</v>
      </c>
      <c r="P1318" t="s">
        <v>4784</v>
      </c>
      <c r="Q1318" t="s">
        <v>4901</v>
      </c>
      <c r="R1318" t="s">
        <v>4771</v>
      </c>
    </row>
    <row r="1319" spans="1:18" x14ac:dyDescent="0.3">
      <c r="A1319">
        <v>9534</v>
      </c>
      <c r="B1319" t="s">
        <v>4874</v>
      </c>
      <c r="C1319" t="s">
        <v>391</v>
      </c>
      <c r="D1319" t="s">
        <v>104</v>
      </c>
      <c r="E1319" s="1">
        <v>46063</v>
      </c>
      <c r="F1319" t="s">
        <v>4306</v>
      </c>
      <c r="G1319" t="s">
        <v>3708</v>
      </c>
      <c r="H1319" t="s">
        <v>390</v>
      </c>
      <c r="I1319" t="s">
        <v>204</v>
      </c>
      <c r="J1319" s="1">
        <v>54878</v>
      </c>
      <c r="K1319" t="s">
        <v>762</v>
      </c>
      <c r="L1319">
        <v>1435.1</v>
      </c>
      <c r="M1319">
        <v>1435.1</v>
      </c>
      <c r="N1319" t="s">
        <v>710</v>
      </c>
      <c r="O1319" t="s">
        <v>4833</v>
      </c>
      <c r="P1319" t="s">
        <v>4776</v>
      </c>
      <c r="Q1319" t="s">
        <v>4852</v>
      </c>
      <c r="R1319" t="s">
        <v>4773</v>
      </c>
    </row>
    <row r="1320" spans="1:18" x14ac:dyDescent="0.3">
      <c r="A1320">
        <v>7358</v>
      </c>
      <c r="B1320" t="s">
        <v>1035</v>
      </c>
      <c r="C1320" t="s">
        <v>230</v>
      </c>
      <c r="D1320" t="s">
        <v>85</v>
      </c>
      <c r="E1320" s="1">
        <v>46063</v>
      </c>
      <c r="F1320" t="s">
        <v>4409</v>
      </c>
      <c r="G1320" t="s">
        <v>3767</v>
      </c>
      <c r="H1320" t="s">
        <v>229</v>
      </c>
      <c r="I1320" t="s">
        <v>204</v>
      </c>
      <c r="J1320" s="1">
        <v>46203</v>
      </c>
      <c r="K1320" t="s">
        <v>744</v>
      </c>
      <c r="L1320">
        <v>1</v>
      </c>
      <c r="M1320">
        <v>306.33</v>
      </c>
      <c r="N1320" t="s">
        <v>710</v>
      </c>
      <c r="O1320" t="s">
        <v>1033</v>
      </c>
      <c r="P1320" t="s">
        <v>4781</v>
      </c>
      <c r="Q1320" t="s">
        <v>4852</v>
      </c>
      <c r="R1320" t="s">
        <v>4771</v>
      </c>
    </row>
    <row r="1321" spans="1:18" x14ac:dyDescent="0.3">
      <c r="A1321">
        <v>58399</v>
      </c>
      <c r="B1321" t="s">
        <v>4875</v>
      </c>
      <c r="C1321" t="s">
        <v>208</v>
      </c>
      <c r="D1321" t="s">
        <v>164</v>
      </c>
      <c r="E1321" s="1">
        <v>46063</v>
      </c>
      <c r="F1321" t="s">
        <v>4297</v>
      </c>
      <c r="G1321" t="s">
        <v>3681</v>
      </c>
      <c r="H1321" t="s">
        <v>605</v>
      </c>
      <c r="I1321" t="s">
        <v>204</v>
      </c>
      <c r="J1321" s="1">
        <v>46256</v>
      </c>
      <c r="K1321" t="s">
        <v>748</v>
      </c>
      <c r="L1321">
        <v>1</v>
      </c>
      <c r="M1321">
        <v>120</v>
      </c>
      <c r="N1321" t="s">
        <v>710</v>
      </c>
      <c r="O1321" t="s">
        <v>1040</v>
      </c>
      <c r="P1321" t="s">
        <v>4795</v>
      </c>
      <c r="Q1321" t="s">
        <v>4856</v>
      </c>
    </row>
    <row r="1322" spans="1:18" x14ac:dyDescent="0.3">
      <c r="A1322">
        <v>8123</v>
      </c>
      <c r="B1322" t="s">
        <v>4875</v>
      </c>
      <c r="C1322" t="s">
        <v>493</v>
      </c>
      <c r="D1322" t="s">
        <v>197</v>
      </c>
      <c r="E1322" s="1">
        <v>46063</v>
      </c>
      <c r="F1322" t="s">
        <v>4306</v>
      </c>
      <c r="G1322" t="s">
        <v>3747</v>
      </c>
      <c r="H1322" t="s">
        <v>492</v>
      </c>
      <c r="I1322" t="s">
        <v>204</v>
      </c>
      <c r="J1322" s="1">
        <v>54878</v>
      </c>
      <c r="K1322" t="s">
        <v>768</v>
      </c>
      <c r="L1322">
        <v>799</v>
      </c>
      <c r="M1322">
        <v>799</v>
      </c>
      <c r="N1322" t="s">
        <v>710</v>
      </c>
      <c r="O1322" t="s">
        <v>4833</v>
      </c>
      <c r="P1322" t="s">
        <v>4786</v>
      </c>
      <c r="Q1322" t="s">
        <v>4852</v>
      </c>
      <c r="R1322" t="s">
        <v>4773</v>
      </c>
    </row>
    <row r="1323" spans="1:18" x14ac:dyDescent="0.3">
      <c r="A1323">
        <v>33781</v>
      </c>
      <c r="B1323" t="s">
        <v>1034</v>
      </c>
      <c r="C1323" t="s">
        <v>451</v>
      </c>
      <c r="D1323" t="s">
        <v>129</v>
      </c>
      <c r="E1323" s="1">
        <v>46063</v>
      </c>
      <c r="F1323" t="s">
        <v>4319</v>
      </c>
      <c r="G1323" t="s">
        <v>3759</v>
      </c>
      <c r="H1323" t="s">
        <v>662</v>
      </c>
      <c r="I1323" t="s">
        <v>204</v>
      </c>
      <c r="J1323" s="1">
        <v>46655</v>
      </c>
      <c r="K1323" t="s">
        <v>717</v>
      </c>
      <c r="L1323">
        <v>2618</v>
      </c>
      <c r="M1323">
        <v>2618.17</v>
      </c>
      <c r="N1323" t="s">
        <v>719</v>
      </c>
      <c r="O1323" t="s">
        <v>4833</v>
      </c>
      <c r="P1323" t="s">
        <v>4802</v>
      </c>
      <c r="Q1323" t="s">
        <v>4852</v>
      </c>
      <c r="R1323" t="s">
        <v>807</v>
      </c>
    </row>
    <row r="1324" spans="1:18" x14ac:dyDescent="0.3">
      <c r="A1324">
        <v>7357</v>
      </c>
      <c r="B1324" t="s">
        <v>1035</v>
      </c>
      <c r="C1324" t="s">
        <v>230</v>
      </c>
      <c r="D1324" t="s">
        <v>85</v>
      </c>
      <c r="E1324" s="1">
        <v>46063</v>
      </c>
      <c r="F1324" t="s">
        <v>4409</v>
      </c>
      <c r="G1324" t="s">
        <v>3767</v>
      </c>
      <c r="H1324" t="s">
        <v>229</v>
      </c>
      <c r="I1324" t="s">
        <v>204</v>
      </c>
      <c r="J1324" s="1">
        <v>46203</v>
      </c>
      <c r="K1324" t="s">
        <v>744</v>
      </c>
      <c r="L1324">
        <v>1</v>
      </c>
      <c r="M1324">
        <v>437.46</v>
      </c>
      <c r="N1324" t="s">
        <v>710</v>
      </c>
      <c r="O1324" t="s">
        <v>1033</v>
      </c>
      <c r="P1324" t="s">
        <v>4781</v>
      </c>
      <c r="Q1324" t="s">
        <v>4852</v>
      </c>
      <c r="R1324" t="s">
        <v>4771</v>
      </c>
    </row>
    <row r="1325" spans="1:18" x14ac:dyDescent="0.3">
      <c r="A1325">
        <v>81</v>
      </c>
      <c r="B1325" t="s">
        <v>1034</v>
      </c>
      <c r="C1325" t="s">
        <v>216</v>
      </c>
      <c r="D1325" t="s">
        <v>141</v>
      </c>
      <c r="E1325" s="1">
        <v>46062</v>
      </c>
      <c r="F1325" t="s">
        <v>4305</v>
      </c>
      <c r="G1325" t="s">
        <v>3685</v>
      </c>
      <c r="H1325" t="s">
        <v>528</v>
      </c>
      <c r="I1325" t="s">
        <v>204</v>
      </c>
      <c r="J1325" s="1">
        <v>55243</v>
      </c>
      <c r="K1325" t="s">
        <v>711</v>
      </c>
      <c r="L1325">
        <v>1200</v>
      </c>
      <c r="M1325">
        <v>1200</v>
      </c>
      <c r="N1325" t="s">
        <v>710</v>
      </c>
      <c r="O1325" t="s">
        <v>4844</v>
      </c>
      <c r="P1325" t="s">
        <v>4776</v>
      </c>
      <c r="Q1325" t="s">
        <v>4901</v>
      </c>
      <c r="R1325" t="s">
        <v>4771</v>
      </c>
    </row>
    <row r="1326" spans="1:18" x14ac:dyDescent="0.3">
      <c r="A1326">
        <v>111970</v>
      </c>
      <c r="B1326" t="s">
        <v>4874</v>
      </c>
      <c r="C1326" t="s">
        <v>379</v>
      </c>
      <c r="D1326" t="s">
        <v>131</v>
      </c>
      <c r="E1326" s="1">
        <v>46062</v>
      </c>
      <c r="F1326" t="s">
        <v>4315</v>
      </c>
      <c r="G1326" t="s">
        <v>3757</v>
      </c>
      <c r="H1326" t="s">
        <v>378</v>
      </c>
      <c r="I1326" t="s">
        <v>204</v>
      </c>
      <c r="J1326" s="1">
        <v>54878</v>
      </c>
      <c r="K1326" t="s">
        <v>762</v>
      </c>
      <c r="L1326">
        <v>68.510000000000005</v>
      </c>
      <c r="M1326">
        <v>68.510000000000005</v>
      </c>
      <c r="N1326" t="s">
        <v>710</v>
      </c>
      <c r="O1326" t="s">
        <v>4833</v>
      </c>
      <c r="P1326" t="s">
        <v>4776</v>
      </c>
      <c r="Q1326" t="s">
        <v>4852</v>
      </c>
      <c r="R1326" t="s">
        <v>4773</v>
      </c>
    </row>
    <row r="1327" spans="1:18" x14ac:dyDescent="0.3">
      <c r="A1327">
        <v>1963</v>
      </c>
      <c r="B1327" t="s">
        <v>4874</v>
      </c>
      <c r="C1327" t="s">
        <v>647</v>
      </c>
      <c r="D1327" t="s">
        <v>130</v>
      </c>
      <c r="E1327" s="1">
        <v>46062</v>
      </c>
      <c r="F1327" t="s">
        <v>4363</v>
      </c>
      <c r="G1327" t="s">
        <v>3749</v>
      </c>
      <c r="H1327" t="s">
        <v>646</v>
      </c>
      <c r="I1327" t="s">
        <v>204</v>
      </c>
      <c r="J1327" s="1">
        <v>46522</v>
      </c>
      <c r="K1327" t="s">
        <v>762</v>
      </c>
      <c r="L1327">
        <v>2081.4</v>
      </c>
      <c r="M1327">
        <v>2081.4</v>
      </c>
      <c r="N1327" t="s">
        <v>890</v>
      </c>
      <c r="O1327" t="s">
        <v>1044</v>
      </c>
      <c r="P1327" t="s">
        <v>4776</v>
      </c>
      <c r="Q1327" t="s">
        <v>4852</v>
      </c>
    </row>
    <row r="1328" spans="1:18" x14ac:dyDescent="0.3">
      <c r="A1328">
        <v>250246</v>
      </c>
      <c r="B1328" t="s">
        <v>4874</v>
      </c>
      <c r="C1328" t="s">
        <v>298</v>
      </c>
      <c r="D1328" t="s">
        <v>11</v>
      </c>
      <c r="E1328" s="1">
        <v>46062</v>
      </c>
      <c r="F1328" t="s">
        <v>4297</v>
      </c>
      <c r="G1328" t="s">
        <v>3764</v>
      </c>
      <c r="H1328" t="s">
        <v>297</v>
      </c>
      <c r="I1328" t="s">
        <v>204</v>
      </c>
      <c r="J1328" s="1">
        <v>54878</v>
      </c>
      <c r="K1328" t="s">
        <v>720</v>
      </c>
      <c r="L1328">
        <v>1</v>
      </c>
      <c r="M1328">
        <v>1225.32</v>
      </c>
      <c r="N1328" t="s">
        <v>710</v>
      </c>
      <c r="O1328" t="s">
        <v>1038</v>
      </c>
      <c r="P1328" t="s">
        <v>4779</v>
      </c>
      <c r="Q1328" t="s">
        <v>4858</v>
      </c>
      <c r="R1328" t="s">
        <v>4771</v>
      </c>
    </row>
    <row r="1329" spans="1:18" x14ac:dyDescent="0.3">
      <c r="A1329">
        <v>598282</v>
      </c>
      <c r="B1329" t="s">
        <v>4874</v>
      </c>
      <c r="C1329" t="s">
        <v>248</v>
      </c>
      <c r="D1329" t="s">
        <v>13</v>
      </c>
      <c r="E1329" s="1">
        <v>46062</v>
      </c>
      <c r="F1329" t="s">
        <v>4297</v>
      </c>
      <c r="G1329" t="s">
        <v>3763</v>
      </c>
      <c r="H1329" t="s">
        <v>247</v>
      </c>
      <c r="I1329" t="s">
        <v>204</v>
      </c>
      <c r="J1329" s="1">
        <v>54878</v>
      </c>
      <c r="K1329" t="s">
        <v>720</v>
      </c>
      <c r="L1329">
        <v>1</v>
      </c>
      <c r="M1329">
        <v>573.72</v>
      </c>
      <c r="N1329" t="s">
        <v>710</v>
      </c>
      <c r="O1329" t="s">
        <v>1038</v>
      </c>
      <c r="P1329" t="s">
        <v>4779</v>
      </c>
      <c r="Q1329" t="s">
        <v>4858</v>
      </c>
      <c r="R1329" t="s">
        <v>4773</v>
      </c>
    </row>
    <row r="1330" spans="1:18" x14ac:dyDescent="0.3">
      <c r="A1330">
        <v>7</v>
      </c>
      <c r="B1330" t="s">
        <v>1034</v>
      </c>
      <c r="C1330" t="s">
        <v>658</v>
      </c>
      <c r="D1330" t="s">
        <v>192</v>
      </c>
      <c r="E1330" s="1">
        <v>46062</v>
      </c>
      <c r="F1330" t="s">
        <v>4377</v>
      </c>
      <c r="G1330" t="s">
        <v>3645</v>
      </c>
      <c r="H1330" t="s">
        <v>657</v>
      </c>
      <c r="I1330" t="s">
        <v>204</v>
      </c>
      <c r="J1330" s="1">
        <v>46218</v>
      </c>
      <c r="K1330" t="s">
        <v>711</v>
      </c>
      <c r="L1330">
        <v>1</v>
      </c>
      <c r="M1330">
        <v>2150</v>
      </c>
      <c r="N1330" t="s">
        <v>710</v>
      </c>
      <c r="O1330" t="s">
        <v>4834</v>
      </c>
      <c r="P1330" t="s">
        <v>4776</v>
      </c>
      <c r="Q1330" t="s">
        <v>4901</v>
      </c>
      <c r="R1330" t="s">
        <v>807</v>
      </c>
    </row>
    <row r="1331" spans="1:18" x14ac:dyDescent="0.3">
      <c r="A1331">
        <v>8</v>
      </c>
      <c r="B1331" t="s">
        <v>1034</v>
      </c>
      <c r="C1331" t="s">
        <v>658</v>
      </c>
      <c r="D1331" t="s">
        <v>192</v>
      </c>
      <c r="E1331" s="1">
        <v>46062</v>
      </c>
      <c r="F1331" t="s">
        <v>4377</v>
      </c>
      <c r="G1331" t="s">
        <v>3720</v>
      </c>
      <c r="H1331" t="s">
        <v>657</v>
      </c>
      <c r="I1331" t="s">
        <v>204</v>
      </c>
      <c r="J1331" s="1">
        <v>46218</v>
      </c>
      <c r="K1331" t="s">
        <v>711</v>
      </c>
      <c r="L1331">
        <v>1</v>
      </c>
      <c r="M1331">
        <v>2150</v>
      </c>
      <c r="N1331" t="s">
        <v>710</v>
      </c>
      <c r="O1331" t="s">
        <v>4834</v>
      </c>
      <c r="P1331" t="s">
        <v>4776</v>
      </c>
      <c r="Q1331" t="s">
        <v>4901</v>
      </c>
      <c r="R1331" t="s">
        <v>807</v>
      </c>
    </row>
    <row r="1332" spans="1:18" x14ac:dyDescent="0.3">
      <c r="A1332">
        <v>1982</v>
      </c>
      <c r="B1332" t="s">
        <v>4874</v>
      </c>
      <c r="C1332" t="s">
        <v>647</v>
      </c>
      <c r="D1332" t="s">
        <v>130</v>
      </c>
      <c r="E1332" s="1">
        <v>46062</v>
      </c>
      <c r="F1332" t="s">
        <v>4363</v>
      </c>
      <c r="G1332" t="s">
        <v>3749</v>
      </c>
      <c r="H1332" t="s">
        <v>646</v>
      </c>
      <c r="I1332" t="s">
        <v>204</v>
      </c>
      <c r="J1332" s="1">
        <v>46522</v>
      </c>
      <c r="K1332" t="s">
        <v>762</v>
      </c>
      <c r="L1332">
        <v>13659</v>
      </c>
      <c r="M1332">
        <v>13659</v>
      </c>
      <c r="N1332" t="s">
        <v>890</v>
      </c>
      <c r="O1332" t="s">
        <v>1044</v>
      </c>
      <c r="P1332" t="s">
        <v>4776</v>
      </c>
      <c r="Q1332" t="s">
        <v>4852</v>
      </c>
    </row>
    <row r="1333" spans="1:18" x14ac:dyDescent="0.3">
      <c r="A1333">
        <v>2391</v>
      </c>
      <c r="B1333" t="s">
        <v>4875</v>
      </c>
      <c r="C1333" t="s">
        <v>616</v>
      </c>
      <c r="D1333" t="s">
        <v>152</v>
      </c>
      <c r="E1333" s="1">
        <v>46060</v>
      </c>
      <c r="F1333" t="s">
        <v>4338</v>
      </c>
      <c r="G1333" t="s">
        <v>3669</v>
      </c>
      <c r="H1333" t="s">
        <v>622</v>
      </c>
      <c r="I1333" t="s">
        <v>204</v>
      </c>
      <c r="J1333" s="1">
        <v>46351</v>
      </c>
      <c r="K1333" t="s">
        <v>748</v>
      </c>
      <c r="L1333">
        <v>28600.99</v>
      </c>
      <c r="M1333">
        <v>28600.99</v>
      </c>
      <c r="N1333" t="s">
        <v>710</v>
      </c>
      <c r="O1333" t="s">
        <v>4904</v>
      </c>
      <c r="P1333" t="s">
        <v>4796</v>
      </c>
      <c r="Q1333" t="s">
        <v>4856</v>
      </c>
      <c r="R1333" t="s">
        <v>4772</v>
      </c>
    </row>
    <row r="1334" spans="1:18" x14ac:dyDescent="0.3">
      <c r="A1334">
        <v>238</v>
      </c>
      <c r="B1334" t="s">
        <v>1034</v>
      </c>
      <c r="C1334" t="s">
        <v>675</v>
      </c>
      <c r="D1334" t="s">
        <v>177</v>
      </c>
      <c r="E1334" s="1">
        <v>46060</v>
      </c>
      <c r="F1334" t="s">
        <v>4380</v>
      </c>
      <c r="G1334" t="s">
        <v>3758</v>
      </c>
      <c r="H1334" t="s">
        <v>676</v>
      </c>
      <c r="I1334" t="s">
        <v>204</v>
      </c>
      <c r="J1334" s="1">
        <v>46356</v>
      </c>
      <c r="K1334" t="s">
        <v>768</v>
      </c>
      <c r="L1334">
        <v>105</v>
      </c>
      <c r="M1334">
        <v>105</v>
      </c>
      <c r="N1334" t="s">
        <v>818</v>
      </c>
      <c r="O1334" t="s">
        <v>1037</v>
      </c>
      <c r="P1334" t="s">
        <v>4776</v>
      </c>
      <c r="Q1334" t="s">
        <v>4852</v>
      </c>
      <c r="R1334" t="s">
        <v>807</v>
      </c>
    </row>
    <row r="1335" spans="1:18" x14ac:dyDescent="0.3">
      <c r="A1335">
        <v>343</v>
      </c>
      <c r="B1335" t="s">
        <v>1034</v>
      </c>
      <c r="C1335" t="s">
        <v>479</v>
      </c>
      <c r="D1335" t="s">
        <v>99</v>
      </c>
      <c r="E1335" s="1">
        <v>46059</v>
      </c>
      <c r="F1335" t="s">
        <v>4310</v>
      </c>
      <c r="G1335" t="s">
        <v>3726</v>
      </c>
      <c r="H1335" t="s">
        <v>478</v>
      </c>
      <c r="I1335" t="s">
        <v>204</v>
      </c>
      <c r="J1335" s="1">
        <v>46239</v>
      </c>
      <c r="K1335" t="s">
        <v>717</v>
      </c>
      <c r="L1335">
        <v>22</v>
      </c>
      <c r="M1335">
        <v>78.099999999999994</v>
      </c>
      <c r="N1335" t="s">
        <v>710</v>
      </c>
      <c r="O1335" t="s">
        <v>1037</v>
      </c>
      <c r="P1335" t="s">
        <v>4790</v>
      </c>
      <c r="Q1335" t="s">
        <v>4852</v>
      </c>
      <c r="R1335" t="s">
        <v>4772</v>
      </c>
    </row>
    <row r="1336" spans="1:18" x14ac:dyDescent="0.3">
      <c r="A1336">
        <v>343</v>
      </c>
      <c r="B1336" t="s">
        <v>1034</v>
      </c>
      <c r="C1336" t="s">
        <v>479</v>
      </c>
      <c r="D1336" t="s">
        <v>99</v>
      </c>
      <c r="E1336" s="1">
        <v>46059</v>
      </c>
      <c r="F1336" t="s">
        <v>4307</v>
      </c>
      <c r="G1336" t="s">
        <v>3726</v>
      </c>
      <c r="H1336" t="s">
        <v>478</v>
      </c>
      <c r="I1336" t="s">
        <v>204</v>
      </c>
      <c r="J1336" s="1">
        <v>46239</v>
      </c>
      <c r="K1336" t="s">
        <v>717</v>
      </c>
      <c r="L1336">
        <v>3939</v>
      </c>
      <c r="M1336">
        <v>48095.19</v>
      </c>
      <c r="N1336" t="s">
        <v>710</v>
      </c>
      <c r="O1336" t="s">
        <v>1037</v>
      </c>
      <c r="P1336" t="s">
        <v>4790</v>
      </c>
      <c r="Q1336" t="s">
        <v>4852</v>
      </c>
      <c r="R1336" t="s">
        <v>4772</v>
      </c>
    </row>
    <row r="1337" spans="1:18" x14ac:dyDescent="0.3">
      <c r="A1337">
        <v>53135</v>
      </c>
      <c r="B1337" t="s">
        <v>1034</v>
      </c>
      <c r="C1337" t="s">
        <v>609</v>
      </c>
      <c r="D1337" t="s">
        <v>182</v>
      </c>
      <c r="E1337" s="1">
        <v>46059</v>
      </c>
      <c r="F1337" t="s">
        <v>4336</v>
      </c>
      <c r="G1337" t="s">
        <v>3701</v>
      </c>
      <c r="H1337" t="s">
        <v>608</v>
      </c>
      <c r="I1337" t="s">
        <v>204</v>
      </c>
      <c r="J1337" s="1">
        <v>46281</v>
      </c>
      <c r="K1337" t="s">
        <v>717</v>
      </c>
      <c r="L1337">
        <v>1</v>
      </c>
      <c r="M1337">
        <v>48163.89</v>
      </c>
      <c r="N1337" t="s">
        <v>719</v>
      </c>
      <c r="O1337" t="s">
        <v>1037</v>
      </c>
      <c r="P1337" t="s">
        <v>4794</v>
      </c>
      <c r="Q1337" t="s">
        <v>4852</v>
      </c>
      <c r="R1337" t="s">
        <v>4772</v>
      </c>
    </row>
    <row r="1338" spans="1:18" x14ac:dyDescent="0.3">
      <c r="A1338">
        <v>343</v>
      </c>
      <c r="B1338" t="s">
        <v>1034</v>
      </c>
      <c r="C1338" t="s">
        <v>479</v>
      </c>
      <c r="D1338" t="s">
        <v>99</v>
      </c>
      <c r="E1338" s="1">
        <v>46059</v>
      </c>
      <c r="F1338" t="s">
        <v>4312</v>
      </c>
      <c r="G1338" t="s">
        <v>3726</v>
      </c>
      <c r="H1338" t="s">
        <v>478</v>
      </c>
      <c r="I1338" t="s">
        <v>204</v>
      </c>
      <c r="J1338" s="1">
        <v>46239</v>
      </c>
      <c r="K1338" t="s">
        <v>717</v>
      </c>
      <c r="L1338">
        <v>22</v>
      </c>
      <c r="M1338">
        <v>104.5</v>
      </c>
      <c r="N1338" t="s">
        <v>710</v>
      </c>
      <c r="O1338" t="s">
        <v>1037</v>
      </c>
      <c r="P1338" t="s">
        <v>4790</v>
      </c>
      <c r="Q1338" t="s">
        <v>4852</v>
      </c>
      <c r="R1338" t="s">
        <v>4772</v>
      </c>
    </row>
    <row r="1339" spans="1:18" x14ac:dyDescent="0.3">
      <c r="A1339">
        <v>343</v>
      </c>
      <c r="B1339" t="s">
        <v>1034</v>
      </c>
      <c r="C1339" t="s">
        <v>479</v>
      </c>
      <c r="D1339" t="s">
        <v>99</v>
      </c>
      <c r="E1339" s="1">
        <v>46059</v>
      </c>
      <c r="F1339" t="s">
        <v>4372</v>
      </c>
      <c r="G1339" t="s">
        <v>3726</v>
      </c>
      <c r="H1339" t="s">
        <v>478</v>
      </c>
      <c r="I1339" t="s">
        <v>204</v>
      </c>
      <c r="J1339" s="1">
        <v>46239</v>
      </c>
      <c r="K1339" t="s">
        <v>717</v>
      </c>
      <c r="L1339">
        <v>241</v>
      </c>
      <c r="M1339">
        <v>2053.3200000000002</v>
      </c>
      <c r="N1339" t="s">
        <v>710</v>
      </c>
      <c r="O1339" t="s">
        <v>1037</v>
      </c>
      <c r="P1339" t="s">
        <v>4790</v>
      </c>
      <c r="Q1339" t="s">
        <v>4852</v>
      </c>
      <c r="R1339" t="s">
        <v>4772</v>
      </c>
    </row>
    <row r="1340" spans="1:18" x14ac:dyDescent="0.3">
      <c r="A1340">
        <v>341</v>
      </c>
      <c r="B1340" t="s">
        <v>1034</v>
      </c>
      <c r="C1340" t="s">
        <v>479</v>
      </c>
      <c r="D1340" t="s">
        <v>99</v>
      </c>
      <c r="E1340" s="1">
        <v>46059</v>
      </c>
      <c r="F1340" t="s">
        <v>4375</v>
      </c>
      <c r="G1340" t="s">
        <v>3725</v>
      </c>
      <c r="H1340" t="s">
        <v>478</v>
      </c>
      <c r="I1340" t="s">
        <v>204</v>
      </c>
      <c r="J1340" s="1">
        <v>46239</v>
      </c>
      <c r="K1340" t="s">
        <v>717</v>
      </c>
      <c r="L1340">
        <v>2</v>
      </c>
      <c r="M1340">
        <v>23.96</v>
      </c>
      <c r="N1340" t="s">
        <v>710</v>
      </c>
      <c r="O1340" t="s">
        <v>1037</v>
      </c>
      <c r="P1340" t="s">
        <v>4790</v>
      </c>
      <c r="Q1340" t="s">
        <v>4852</v>
      </c>
      <c r="R1340" t="s">
        <v>4772</v>
      </c>
    </row>
    <row r="1341" spans="1:18" x14ac:dyDescent="0.3">
      <c r="A1341">
        <v>341</v>
      </c>
      <c r="B1341" t="s">
        <v>1034</v>
      </c>
      <c r="C1341" t="s">
        <v>479</v>
      </c>
      <c r="D1341" t="s">
        <v>99</v>
      </c>
      <c r="E1341" s="1">
        <v>46059</v>
      </c>
      <c r="F1341" t="s">
        <v>4376</v>
      </c>
      <c r="G1341" t="s">
        <v>3725</v>
      </c>
      <c r="H1341" t="s">
        <v>478</v>
      </c>
      <c r="I1341" t="s">
        <v>204</v>
      </c>
      <c r="J1341" s="1">
        <v>46239</v>
      </c>
      <c r="K1341" t="s">
        <v>717</v>
      </c>
      <c r="L1341">
        <v>3</v>
      </c>
      <c r="M1341">
        <v>35.94</v>
      </c>
      <c r="N1341" t="s">
        <v>710</v>
      </c>
      <c r="O1341" t="s">
        <v>1037</v>
      </c>
      <c r="P1341" t="s">
        <v>4790</v>
      </c>
      <c r="Q1341" t="s">
        <v>4852</v>
      </c>
      <c r="R1341" t="s">
        <v>4772</v>
      </c>
    </row>
    <row r="1342" spans="1:18" x14ac:dyDescent="0.3">
      <c r="A1342">
        <v>341</v>
      </c>
      <c r="B1342" t="s">
        <v>1034</v>
      </c>
      <c r="C1342" t="s">
        <v>479</v>
      </c>
      <c r="D1342" t="s">
        <v>99</v>
      </c>
      <c r="E1342" s="1">
        <v>46059</v>
      </c>
      <c r="F1342" t="s">
        <v>4373</v>
      </c>
      <c r="G1342" t="s">
        <v>3725</v>
      </c>
      <c r="H1342" t="s">
        <v>478</v>
      </c>
      <c r="I1342" t="s">
        <v>204</v>
      </c>
      <c r="J1342" s="1">
        <v>46239</v>
      </c>
      <c r="K1342" t="s">
        <v>717</v>
      </c>
      <c r="L1342">
        <v>14</v>
      </c>
      <c r="M1342">
        <v>215.88</v>
      </c>
      <c r="N1342" t="s">
        <v>710</v>
      </c>
      <c r="O1342" t="s">
        <v>1037</v>
      </c>
      <c r="P1342" t="s">
        <v>4790</v>
      </c>
      <c r="Q1342" t="s">
        <v>4852</v>
      </c>
      <c r="R1342" t="s">
        <v>4772</v>
      </c>
    </row>
    <row r="1343" spans="1:18" x14ac:dyDescent="0.3">
      <c r="A1343">
        <v>341</v>
      </c>
      <c r="B1343" t="s">
        <v>1034</v>
      </c>
      <c r="C1343" t="s">
        <v>479</v>
      </c>
      <c r="D1343" t="s">
        <v>99</v>
      </c>
      <c r="E1343" s="1">
        <v>46059</v>
      </c>
      <c r="F1343" t="s">
        <v>4374</v>
      </c>
      <c r="G1343" t="s">
        <v>3725</v>
      </c>
      <c r="H1343" t="s">
        <v>478</v>
      </c>
      <c r="I1343" t="s">
        <v>204</v>
      </c>
      <c r="J1343" s="1">
        <v>46239</v>
      </c>
      <c r="K1343" t="s">
        <v>717</v>
      </c>
      <c r="L1343">
        <v>2</v>
      </c>
      <c r="M1343">
        <v>45.06</v>
      </c>
      <c r="N1343" t="s">
        <v>710</v>
      </c>
      <c r="O1343" t="s">
        <v>1037</v>
      </c>
      <c r="P1343" t="s">
        <v>4790</v>
      </c>
      <c r="Q1343" t="s">
        <v>4852</v>
      </c>
      <c r="R1343" t="s">
        <v>4772</v>
      </c>
    </row>
    <row r="1344" spans="1:18" x14ac:dyDescent="0.3">
      <c r="A1344">
        <v>343</v>
      </c>
      <c r="B1344" t="s">
        <v>1034</v>
      </c>
      <c r="C1344" t="s">
        <v>479</v>
      </c>
      <c r="D1344" t="s">
        <v>99</v>
      </c>
      <c r="E1344" s="1">
        <v>46059</v>
      </c>
      <c r="F1344" t="s">
        <v>4308</v>
      </c>
      <c r="G1344" t="s">
        <v>3726</v>
      </c>
      <c r="H1344" t="s">
        <v>478</v>
      </c>
      <c r="I1344" t="s">
        <v>204</v>
      </c>
      <c r="J1344" s="1">
        <v>46239</v>
      </c>
      <c r="K1344" t="s">
        <v>717</v>
      </c>
      <c r="L1344">
        <v>2556</v>
      </c>
      <c r="M1344">
        <v>10121.76</v>
      </c>
      <c r="N1344" t="s">
        <v>710</v>
      </c>
      <c r="O1344" t="s">
        <v>1037</v>
      </c>
      <c r="P1344" t="s">
        <v>4790</v>
      </c>
      <c r="Q1344" t="s">
        <v>4852</v>
      </c>
      <c r="R1344" t="s">
        <v>4772</v>
      </c>
    </row>
    <row r="1345" spans="1:18" x14ac:dyDescent="0.3">
      <c r="A1345">
        <v>5963</v>
      </c>
      <c r="B1345" t="s">
        <v>1034</v>
      </c>
      <c r="C1345" t="s">
        <v>399</v>
      </c>
      <c r="D1345" t="s">
        <v>97</v>
      </c>
      <c r="E1345" s="1">
        <v>46059</v>
      </c>
      <c r="F1345" t="s">
        <v>4301</v>
      </c>
      <c r="G1345" t="s">
        <v>3753</v>
      </c>
      <c r="H1345" t="s">
        <v>398</v>
      </c>
      <c r="I1345" t="s">
        <v>204</v>
      </c>
      <c r="J1345" s="1">
        <v>46274</v>
      </c>
      <c r="K1345" t="s">
        <v>717</v>
      </c>
      <c r="L1345">
        <v>1</v>
      </c>
      <c r="M1345">
        <v>21070.42</v>
      </c>
      <c r="N1345" t="s">
        <v>710</v>
      </c>
      <c r="O1345" t="s">
        <v>4902</v>
      </c>
      <c r="P1345" t="s">
        <v>4776</v>
      </c>
      <c r="Q1345" t="s">
        <v>4852</v>
      </c>
      <c r="R1345" t="s">
        <v>4773</v>
      </c>
    </row>
    <row r="1346" spans="1:18" x14ac:dyDescent="0.3">
      <c r="A1346">
        <v>79742</v>
      </c>
      <c r="B1346" t="s">
        <v>4874</v>
      </c>
      <c r="C1346" t="s">
        <v>634</v>
      </c>
      <c r="D1346" t="s">
        <v>99</v>
      </c>
      <c r="E1346" s="1">
        <v>46059</v>
      </c>
      <c r="F1346" t="s">
        <v>4398</v>
      </c>
      <c r="G1346" t="s">
        <v>3728</v>
      </c>
      <c r="H1346" t="s">
        <v>633</v>
      </c>
      <c r="I1346" t="s">
        <v>204</v>
      </c>
      <c r="J1346" s="1">
        <v>46204</v>
      </c>
      <c r="K1346" t="s">
        <v>762</v>
      </c>
      <c r="L1346">
        <v>50</v>
      </c>
      <c r="M1346">
        <v>5</v>
      </c>
      <c r="N1346" t="s">
        <v>719</v>
      </c>
      <c r="O1346" t="s">
        <v>1037</v>
      </c>
      <c r="P1346" t="s">
        <v>4790</v>
      </c>
      <c r="Q1346" t="s">
        <v>4852</v>
      </c>
    </row>
    <row r="1347" spans="1:18" x14ac:dyDescent="0.3">
      <c r="A1347">
        <v>50940</v>
      </c>
      <c r="B1347" t="s">
        <v>1034</v>
      </c>
      <c r="C1347" t="s">
        <v>609</v>
      </c>
      <c r="D1347" t="s">
        <v>182</v>
      </c>
      <c r="E1347" s="1">
        <v>46059</v>
      </c>
      <c r="F1347" t="s">
        <v>4336</v>
      </c>
      <c r="G1347" t="s">
        <v>3700</v>
      </c>
      <c r="H1347" t="s">
        <v>608</v>
      </c>
      <c r="I1347" t="s">
        <v>204</v>
      </c>
      <c r="J1347" s="1">
        <v>46281</v>
      </c>
      <c r="K1347" t="s">
        <v>717</v>
      </c>
      <c r="L1347">
        <v>1</v>
      </c>
      <c r="M1347">
        <v>230048.06</v>
      </c>
      <c r="N1347" t="s">
        <v>719</v>
      </c>
      <c r="O1347" t="s">
        <v>1037</v>
      </c>
      <c r="P1347" t="s">
        <v>4794</v>
      </c>
      <c r="Q1347" t="s">
        <v>4852</v>
      </c>
      <c r="R1347" t="s">
        <v>4772</v>
      </c>
    </row>
    <row r="1348" spans="1:18" x14ac:dyDescent="0.3">
      <c r="A1348">
        <v>39507</v>
      </c>
      <c r="B1348" t="s">
        <v>4874</v>
      </c>
      <c r="C1348" t="s">
        <v>426</v>
      </c>
      <c r="D1348" t="s">
        <v>54</v>
      </c>
      <c r="E1348" s="1">
        <v>46059</v>
      </c>
      <c r="F1348" t="s">
        <v>4409</v>
      </c>
      <c r="G1348" t="s">
        <v>3737</v>
      </c>
      <c r="H1348" t="s">
        <v>425</v>
      </c>
      <c r="I1348" t="s">
        <v>204</v>
      </c>
      <c r="J1348" s="1">
        <v>46752</v>
      </c>
      <c r="K1348" t="s">
        <v>785</v>
      </c>
      <c r="L1348">
        <v>1</v>
      </c>
      <c r="M1348">
        <v>107564.26</v>
      </c>
      <c r="N1348" t="s">
        <v>710</v>
      </c>
      <c r="O1348" t="s">
        <v>1038</v>
      </c>
      <c r="P1348" t="s">
        <v>4787</v>
      </c>
      <c r="Q1348" t="s">
        <v>4858</v>
      </c>
      <c r="R1348" t="s">
        <v>4771</v>
      </c>
    </row>
    <row r="1349" spans="1:18" x14ac:dyDescent="0.3">
      <c r="A1349">
        <v>79742</v>
      </c>
      <c r="B1349" t="s">
        <v>4874</v>
      </c>
      <c r="C1349" t="s">
        <v>634</v>
      </c>
      <c r="D1349" t="s">
        <v>99</v>
      </c>
      <c r="E1349" s="1">
        <v>46059</v>
      </c>
      <c r="F1349" t="s">
        <v>4307</v>
      </c>
      <c r="G1349" t="s">
        <v>3728</v>
      </c>
      <c r="H1349" t="s">
        <v>633</v>
      </c>
      <c r="I1349" t="s">
        <v>204</v>
      </c>
      <c r="J1349" s="1">
        <v>46204</v>
      </c>
      <c r="K1349" t="s">
        <v>762</v>
      </c>
      <c r="L1349">
        <v>2118</v>
      </c>
      <c r="M1349">
        <v>33019.620000000003</v>
      </c>
      <c r="N1349" t="s">
        <v>719</v>
      </c>
      <c r="O1349" t="s">
        <v>1037</v>
      </c>
      <c r="P1349" t="s">
        <v>4790</v>
      </c>
      <c r="Q1349" t="s">
        <v>4852</v>
      </c>
    </row>
    <row r="1350" spans="1:18" x14ac:dyDescent="0.3">
      <c r="A1350">
        <v>3763</v>
      </c>
      <c r="B1350" t="s">
        <v>4875</v>
      </c>
      <c r="C1350" t="s">
        <v>319</v>
      </c>
      <c r="D1350" t="s">
        <v>36</v>
      </c>
      <c r="E1350" s="1">
        <v>46059</v>
      </c>
      <c r="F1350" t="s">
        <v>4298</v>
      </c>
      <c r="G1350" t="s">
        <v>3741</v>
      </c>
      <c r="H1350" t="s">
        <v>336</v>
      </c>
      <c r="I1350" t="s">
        <v>204</v>
      </c>
      <c r="J1350" s="1">
        <v>46075</v>
      </c>
      <c r="K1350" t="s">
        <v>748</v>
      </c>
      <c r="L1350">
        <v>4</v>
      </c>
      <c r="M1350">
        <v>752.56</v>
      </c>
      <c r="N1350" t="s">
        <v>710</v>
      </c>
      <c r="O1350" t="s">
        <v>1040</v>
      </c>
      <c r="P1350" t="s">
        <v>4784</v>
      </c>
      <c r="Q1350" t="s">
        <v>4856</v>
      </c>
      <c r="R1350" t="s">
        <v>4771</v>
      </c>
    </row>
    <row r="1351" spans="1:18" x14ac:dyDescent="0.3">
      <c r="A1351">
        <v>53134</v>
      </c>
      <c r="B1351" t="s">
        <v>4875</v>
      </c>
      <c r="C1351" t="s">
        <v>609</v>
      </c>
      <c r="D1351" t="s">
        <v>182</v>
      </c>
      <c r="E1351" s="1">
        <v>46059</v>
      </c>
      <c r="F1351" t="s">
        <v>4336</v>
      </c>
      <c r="G1351" t="s">
        <v>3703</v>
      </c>
      <c r="H1351" t="s">
        <v>610</v>
      </c>
      <c r="I1351" t="s">
        <v>204</v>
      </c>
      <c r="J1351" s="1">
        <v>46282</v>
      </c>
      <c r="K1351" t="s">
        <v>768</v>
      </c>
      <c r="L1351">
        <v>1</v>
      </c>
      <c r="M1351">
        <v>9069.82</v>
      </c>
      <c r="N1351" t="s">
        <v>710</v>
      </c>
      <c r="O1351" t="s">
        <v>1037</v>
      </c>
      <c r="P1351" t="s">
        <v>4794</v>
      </c>
      <c r="Q1351" t="s">
        <v>4852</v>
      </c>
      <c r="R1351" t="s">
        <v>4772</v>
      </c>
    </row>
    <row r="1352" spans="1:18" x14ac:dyDescent="0.3">
      <c r="A1352">
        <v>50939</v>
      </c>
      <c r="B1352" t="s">
        <v>4875</v>
      </c>
      <c r="C1352" t="s">
        <v>609</v>
      </c>
      <c r="D1352" t="s">
        <v>182</v>
      </c>
      <c r="E1352" s="1">
        <v>46059</v>
      </c>
      <c r="F1352" t="s">
        <v>4336</v>
      </c>
      <c r="G1352" t="s">
        <v>3702</v>
      </c>
      <c r="H1352" t="s">
        <v>610</v>
      </c>
      <c r="I1352" t="s">
        <v>204</v>
      </c>
      <c r="J1352" s="1">
        <v>46282</v>
      </c>
      <c r="K1352" t="s">
        <v>768</v>
      </c>
      <c r="L1352">
        <v>1</v>
      </c>
      <c r="M1352">
        <v>63321.81</v>
      </c>
      <c r="N1352" t="s">
        <v>710</v>
      </c>
      <c r="O1352" t="s">
        <v>1037</v>
      </c>
      <c r="P1352" t="s">
        <v>4794</v>
      </c>
      <c r="Q1352" t="s">
        <v>4852</v>
      </c>
      <c r="R1352" t="s">
        <v>4772</v>
      </c>
    </row>
    <row r="1353" spans="1:18" x14ac:dyDescent="0.3">
      <c r="A1353">
        <v>79742</v>
      </c>
      <c r="B1353" t="s">
        <v>4874</v>
      </c>
      <c r="C1353" t="s">
        <v>634</v>
      </c>
      <c r="D1353" t="s">
        <v>99</v>
      </c>
      <c r="E1353" s="1">
        <v>46059</v>
      </c>
      <c r="F1353" t="s">
        <v>4394</v>
      </c>
      <c r="G1353" t="s">
        <v>3728</v>
      </c>
      <c r="H1353" t="s">
        <v>633</v>
      </c>
      <c r="I1353" t="s">
        <v>204</v>
      </c>
      <c r="J1353" s="1">
        <v>46204</v>
      </c>
      <c r="K1353" t="s">
        <v>762</v>
      </c>
      <c r="L1353">
        <v>2118</v>
      </c>
      <c r="M1353">
        <v>2118</v>
      </c>
      <c r="N1353" t="s">
        <v>719</v>
      </c>
      <c r="O1353" t="s">
        <v>1037</v>
      </c>
      <c r="P1353" t="s">
        <v>4790</v>
      </c>
      <c r="Q1353" t="s">
        <v>4852</v>
      </c>
    </row>
    <row r="1354" spans="1:18" x14ac:dyDescent="0.3">
      <c r="A1354">
        <v>79742</v>
      </c>
      <c r="B1354" t="s">
        <v>4874</v>
      </c>
      <c r="C1354" t="s">
        <v>634</v>
      </c>
      <c r="D1354" t="s">
        <v>99</v>
      </c>
      <c r="E1354" s="1">
        <v>46059</v>
      </c>
      <c r="F1354" t="s">
        <v>4308</v>
      </c>
      <c r="G1354" t="s">
        <v>3728</v>
      </c>
      <c r="H1354" t="s">
        <v>633</v>
      </c>
      <c r="I1354" t="s">
        <v>204</v>
      </c>
      <c r="J1354" s="1">
        <v>46204</v>
      </c>
      <c r="K1354" t="s">
        <v>762</v>
      </c>
      <c r="L1354">
        <v>98</v>
      </c>
      <c r="M1354">
        <v>477.26</v>
      </c>
      <c r="N1354" t="s">
        <v>719</v>
      </c>
      <c r="O1354" t="s">
        <v>1037</v>
      </c>
      <c r="P1354" t="s">
        <v>4790</v>
      </c>
      <c r="Q1354" t="s">
        <v>4852</v>
      </c>
    </row>
    <row r="1355" spans="1:18" x14ac:dyDescent="0.3">
      <c r="A1355">
        <v>79742</v>
      </c>
      <c r="B1355" t="s">
        <v>4874</v>
      </c>
      <c r="C1355" t="s">
        <v>634</v>
      </c>
      <c r="D1355" t="s">
        <v>99</v>
      </c>
      <c r="E1355" s="1">
        <v>46059</v>
      </c>
      <c r="F1355" t="s">
        <v>4310</v>
      </c>
      <c r="G1355" t="s">
        <v>3728</v>
      </c>
      <c r="H1355" t="s">
        <v>633</v>
      </c>
      <c r="I1355" t="s">
        <v>204</v>
      </c>
      <c r="J1355" s="1">
        <v>46204</v>
      </c>
      <c r="K1355" t="s">
        <v>762</v>
      </c>
      <c r="L1355">
        <v>108</v>
      </c>
      <c r="M1355">
        <v>395.28</v>
      </c>
      <c r="N1355" t="s">
        <v>719</v>
      </c>
      <c r="O1355" t="s">
        <v>1037</v>
      </c>
      <c r="P1355" t="s">
        <v>4790</v>
      </c>
      <c r="Q1355" t="s">
        <v>4852</v>
      </c>
    </row>
    <row r="1356" spans="1:18" x14ac:dyDescent="0.3">
      <c r="A1356">
        <v>79742</v>
      </c>
      <c r="B1356" t="s">
        <v>4874</v>
      </c>
      <c r="C1356" t="s">
        <v>634</v>
      </c>
      <c r="D1356" t="s">
        <v>99</v>
      </c>
      <c r="E1356" s="1">
        <v>46059</v>
      </c>
      <c r="F1356" t="s">
        <v>4329</v>
      </c>
      <c r="G1356" t="s">
        <v>3728</v>
      </c>
      <c r="H1356" t="s">
        <v>633</v>
      </c>
      <c r="I1356" t="s">
        <v>204</v>
      </c>
      <c r="J1356" s="1">
        <v>46204</v>
      </c>
      <c r="K1356" t="s">
        <v>762</v>
      </c>
      <c r="L1356">
        <v>42</v>
      </c>
      <c r="M1356">
        <v>558.17999999999995</v>
      </c>
      <c r="N1356" t="s">
        <v>719</v>
      </c>
      <c r="O1356" t="s">
        <v>1037</v>
      </c>
      <c r="P1356" t="s">
        <v>4790</v>
      </c>
      <c r="Q1356" t="s">
        <v>4852</v>
      </c>
    </row>
    <row r="1357" spans="1:18" x14ac:dyDescent="0.3">
      <c r="A1357">
        <v>79742</v>
      </c>
      <c r="B1357" t="s">
        <v>4874</v>
      </c>
      <c r="C1357" t="s">
        <v>634</v>
      </c>
      <c r="D1357" t="s">
        <v>99</v>
      </c>
      <c r="E1357" s="1">
        <v>46059</v>
      </c>
      <c r="F1357" t="s">
        <v>4397</v>
      </c>
      <c r="G1357" t="s">
        <v>3728</v>
      </c>
      <c r="H1357" t="s">
        <v>633</v>
      </c>
      <c r="I1357" t="s">
        <v>204</v>
      </c>
      <c r="J1357" s="1">
        <v>46204</v>
      </c>
      <c r="K1357" t="s">
        <v>762</v>
      </c>
      <c r="L1357">
        <v>50</v>
      </c>
      <c r="M1357">
        <v>5</v>
      </c>
      <c r="N1357" t="s">
        <v>719</v>
      </c>
      <c r="O1357" t="s">
        <v>1037</v>
      </c>
      <c r="P1357" t="s">
        <v>4790</v>
      </c>
      <c r="Q1357" t="s">
        <v>4852</v>
      </c>
    </row>
    <row r="1358" spans="1:18" x14ac:dyDescent="0.3">
      <c r="A1358">
        <v>7433</v>
      </c>
      <c r="B1358" t="s">
        <v>4874</v>
      </c>
      <c r="C1358" t="s">
        <v>628</v>
      </c>
      <c r="D1358" t="s">
        <v>25</v>
      </c>
      <c r="E1358" s="1">
        <v>46059</v>
      </c>
      <c r="F1358" t="s">
        <v>4415</v>
      </c>
      <c r="G1358" t="s">
        <v>3686</v>
      </c>
      <c r="H1358" t="s">
        <v>627</v>
      </c>
      <c r="I1358" t="s">
        <v>209</v>
      </c>
      <c r="J1358" s="1">
        <v>46476</v>
      </c>
      <c r="K1358" t="s">
        <v>720</v>
      </c>
      <c r="L1358">
        <v>1</v>
      </c>
      <c r="M1358">
        <v>380</v>
      </c>
      <c r="N1358" t="s">
        <v>710</v>
      </c>
      <c r="O1358" t="s">
        <v>1038</v>
      </c>
      <c r="P1358" t="s">
        <v>4776</v>
      </c>
      <c r="Q1358" t="s">
        <v>4858</v>
      </c>
      <c r="R1358" t="s">
        <v>4771</v>
      </c>
    </row>
    <row r="1359" spans="1:18" x14ac:dyDescent="0.3">
      <c r="A1359">
        <v>3521</v>
      </c>
      <c r="B1359" t="s">
        <v>4874</v>
      </c>
      <c r="C1359" t="s">
        <v>612</v>
      </c>
      <c r="D1359" t="s">
        <v>102</v>
      </c>
      <c r="E1359" s="1">
        <v>46059</v>
      </c>
      <c r="F1359" t="s">
        <v>4300</v>
      </c>
      <c r="G1359" t="s">
        <v>3732</v>
      </c>
      <c r="H1359" t="s">
        <v>611</v>
      </c>
      <c r="I1359" t="s">
        <v>209</v>
      </c>
      <c r="J1359" s="1">
        <v>45961</v>
      </c>
      <c r="K1359" t="s">
        <v>720</v>
      </c>
      <c r="L1359">
        <v>1</v>
      </c>
      <c r="M1359">
        <v>20748</v>
      </c>
      <c r="N1359" t="s">
        <v>710</v>
      </c>
      <c r="O1359" t="s">
        <v>1037</v>
      </c>
      <c r="P1359" t="s">
        <v>4777</v>
      </c>
      <c r="Q1359" t="s">
        <v>4852</v>
      </c>
      <c r="R1359" t="s">
        <v>4773</v>
      </c>
    </row>
    <row r="1360" spans="1:18" x14ac:dyDescent="0.3">
      <c r="A1360">
        <v>399431</v>
      </c>
      <c r="B1360" t="s">
        <v>4874</v>
      </c>
      <c r="C1360" t="s">
        <v>250</v>
      </c>
      <c r="D1360" t="s">
        <v>55</v>
      </c>
      <c r="E1360" s="1">
        <v>46059</v>
      </c>
      <c r="F1360" t="s">
        <v>4391</v>
      </c>
      <c r="G1360" t="s">
        <v>3756</v>
      </c>
      <c r="H1360" t="s">
        <v>249</v>
      </c>
      <c r="I1360" t="s">
        <v>204</v>
      </c>
      <c r="J1360" s="1">
        <v>54878</v>
      </c>
      <c r="K1360" t="s">
        <v>720</v>
      </c>
      <c r="L1360">
        <v>1</v>
      </c>
      <c r="M1360">
        <v>643.59</v>
      </c>
      <c r="N1360" t="s">
        <v>719</v>
      </c>
      <c r="O1360" t="s">
        <v>1038</v>
      </c>
      <c r="P1360" t="s">
        <v>4778</v>
      </c>
      <c r="Q1360" t="s">
        <v>4858</v>
      </c>
      <c r="R1360" t="s">
        <v>4771</v>
      </c>
    </row>
    <row r="1361" spans="1:18" x14ac:dyDescent="0.3">
      <c r="A1361">
        <v>1912</v>
      </c>
      <c r="B1361" t="s">
        <v>1034</v>
      </c>
      <c r="C1361" t="s">
        <v>314</v>
      </c>
      <c r="D1361" t="s">
        <v>39</v>
      </c>
      <c r="E1361" s="1">
        <v>46059</v>
      </c>
      <c r="F1361" t="s">
        <v>4347</v>
      </c>
      <c r="G1361" t="s">
        <v>3755</v>
      </c>
      <c r="H1361" t="s">
        <v>313</v>
      </c>
      <c r="I1361" t="s">
        <v>204</v>
      </c>
      <c r="J1361" s="1">
        <v>46237</v>
      </c>
      <c r="K1361" t="s">
        <v>711</v>
      </c>
      <c r="L1361">
        <v>1</v>
      </c>
      <c r="M1361">
        <v>1150</v>
      </c>
      <c r="N1361" t="s">
        <v>710</v>
      </c>
      <c r="O1361" t="s">
        <v>4834</v>
      </c>
      <c r="P1361" t="s">
        <v>4779</v>
      </c>
      <c r="Q1361" t="s">
        <v>4901</v>
      </c>
      <c r="R1361" t="s">
        <v>4773</v>
      </c>
    </row>
    <row r="1362" spans="1:18" x14ac:dyDescent="0.3">
      <c r="A1362">
        <v>19362646</v>
      </c>
      <c r="B1362" t="s">
        <v>1034</v>
      </c>
      <c r="C1362" t="s">
        <v>678</v>
      </c>
      <c r="D1362" t="s">
        <v>181</v>
      </c>
      <c r="E1362" s="1">
        <v>46059</v>
      </c>
      <c r="F1362" t="s">
        <v>4382</v>
      </c>
      <c r="G1362" t="s">
        <v>3754</v>
      </c>
      <c r="H1362" t="s">
        <v>677</v>
      </c>
      <c r="I1362" t="s">
        <v>204</v>
      </c>
      <c r="J1362" s="1">
        <v>46387</v>
      </c>
      <c r="K1362" t="s">
        <v>717</v>
      </c>
      <c r="L1362">
        <v>1</v>
      </c>
      <c r="M1362">
        <v>30662.799999999999</v>
      </c>
      <c r="N1362" t="s">
        <v>719</v>
      </c>
      <c r="O1362" t="s">
        <v>1037</v>
      </c>
      <c r="P1362" t="s">
        <v>4794</v>
      </c>
      <c r="Q1362" t="s">
        <v>4852</v>
      </c>
      <c r="R1362" t="s">
        <v>807</v>
      </c>
    </row>
    <row r="1363" spans="1:18" x14ac:dyDescent="0.3">
      <c r="A1363">
        <v>79742</v>
      </c>
      <c r="B1363" t="s">
        <v>4874</v>
      </c>
      <c r="C1363" t="s">
        <v>634</v>
      </c>
      <c r="D1363" t="s">
        <v>99</v>
      </c>
      <c r="E1363" s="1">
        <v>46059</v>
      </c>
      <c r="F1363" t="s">
        <v>4422</v>
      </c>
      <c r="G1363" t="s">
        <v>3728</v>
      </c>
      <c r="H1363" t="s">
        <v>633</v>
      </c>
      <c r="I1363" t="s">
        <v>204</v>
      </c>
      <c r="J1363" s="1">
        <v>46204</v>
      </c>
      <c r="K1363" t="s">
        <v>762</v>
      </c>
      <c r="L1363">
        <v>12</v>
      </c>
      <c r="M1363">
        <v>70.319999999999993</v>
      </c>
      <c r="N1363" t="s">
        <v>719</v>
      </c>
      <c r="O1363" t="s">
        <v>1037</v>
      </c>
      <c r="P1363" t="s">
        <v>4790</v>
      </c>
      <c r="Q1363" t="s">
        <v>4852</v>
      </c>
    </row>
    <row r="1364" spans="1:18" x14ac:dyDescent="0.3">
      <c r="A1364">
        <v>3083</v>
      </c>
      <c r="B1364" t="s">
        <v>4874</v>
      </c>
      <c r="C1364" t="s">
        <v>630</v>
      </c>
      <c r="D1364" t="s">
        <v>145</v>
      </c>
      <c r="E1364" s="1">
        <v>46058</v>
      </c>
      <c r="F1364" t="s">
        <v>4300</v>
      </c>
      <c r="G1364" t="s">
        <v>3746</v>
      </c>
      <c r="H1364" t="s">
        <v>629</v>
      </c>
      <c r="I1364" t="s">
        <v>204</v>
      </c>
      <c r="J1364" s="1">
        <v>46264</v>
      </c>
      <c r="K1364" t="s">
        <v>720</v>
      </c>
      <c r="L1364">
        <v>1</v>
      </c>
      <c r="M1364">
        <v>18000</v>
      </c>
      <c r="N1364" t="s">
        <v>710</v>
      </c>
      <c r="O1364" t="s">
        <v>4849</v>
      </c>
      <c r="P1364" t="s">
        <v>4777</v>
      </c>
      <c r="Q1364" t="s">
        <v>4855</v>
      </c>
      <c r="R1364" t="s">
        <v>4771</v>
      </c>
    </row>
    <row r="1365" spans="1:18" x14ac:dyDescent="0.3">
      <c r="A1365">
        <v>6376</v>
      </c>
      <c r="B1365" t="s">
        <v>1034</v>
      </c>
      <c r="C1365" t="s">
        <v>208</v>
      </c>
      <c r="D1365" t="s">
        <v>164</v>
      </c>
      <c r="E1365" s="1">
        <v>46058</v>
      </c>
      <c r="F1365" t="s">
        <v>4342</v>
      </c>
      <c r="G1365" t="s">
        <v>3743</v>
      </c>
      <c r="H1365" t="s">
        <v>604</v>
      </c>
      <c r="I1365" t="s">
        <v>204</v>
      </c>
      <c r="J1365" s="1">
        <v>46256</v>
      </c>
      <c r="K1365" t="s">
        <v>711</v>
      </c>
      <c r="L1365">
        <v>680</v>
      </c>
      <c r="M1365">
        <v>680</v>
      </c>
      <c r="N1365" t="s">
        <v>710</v>
      </c>
      <c r="O1365" t="s">
        <v>1036</v>
      </c>
      <c r="P1365" t="s">
        <v>4784</v>
      </c>
      <c r="Q1365" t="s">
        <v>4901</v>
      </c>
    </row>
    <row r="1366" spans="1:18" x14ac:dyDescent="0.3">
      <c r="A1366">
        <v>403537</v>
      </c>
      <c r="B1366" t="s">
        <v>1034</v>
      </c>
      <c r="C1366" t="s">
        <v>435</v>
      </c>
      <c r="D1366" t="s">
        <v>30</v>
      </c>
      <c r="E1366" s="1">
        <v>46058</v>
      </c>
      <c r="F1366" t="s">
        <v>4351</v>
      </c>
      <c r="G1366" t="s">
        <v>3739</v>
      </c>
      <c r="H1366" t="s">
        <v>434</v>
      </c>
      <c r="I1366" t="s">
        <v>204</v>
      </c>
      <c r="J1366" s="1">
        <v>46752</v>
      </c>
      <c r="K1366" t="s">
        <v>785</v>
      </c>
      <c r="L1366">
        <v>1</v>
      </c>
      <c r="M1366">
        <v>150973.71</v>
      </c>
      <c r="N1366" t="s">
        <v>998</v>
      </c>
      <c r="O1366" t="s">
        <v>1038</v>
      </c>
      <c r="P1366" t="s">
        <v>4787</v>
      </c>
      <c r="Q1366" t="s">
        <v>4858</v>
      </c>
      <c r="R1366" t="s">
        <v>4771</v>
      </c>
    </row>
    <row r="1367" spans="1:18" x14ac:dyDescent="0.3">
      <c r="A1367">
        <v>6376</v>
      </c>
      <c r="B1367" t="s">
        <v>1034</v>
      </c>
      <c r="C1367" t="s">
        <v>208</v>
      </c>
      <c r="D1367" t="s">
        <v>164</v>
      </c>
      <c r="E1367" s="1">
        <v>46058</v>
      </c>
      <c r="F1367" t="s">
        <v>4341</v>
      </c>
      <c r="G1367" t="s">
        <v>3743</v>
      </c>
      <c r="H1367" t="s">
        <v>604</v>
      </c>
      <c r="I1367" t="s">
        <v>204</v>
      </c>
      <c r="J1367" s="1">
        <v>46256</v>
      </c>
      <c r="K1367" t="s">
        <v>711</v>
      </c>
      <c r="L1367">
        <v>1280</v>
      </c>
      <c r="M1367">
        <v>1280</v>
      </c>
      <c r="N1367" t="s">
        <v>710</v>
      </c>
      <c r="O1367" t="s">
        <v>1036</v>
      </c>
      <c r="P1367" t="s">
        <v>4784</v>
      </c>
      <c r="Q1367" t="s">
        <v>4901</v>
      </c>
    </row>
    <row r="1368" spans="1:18" x14ac:dyDescent="0.3">
      <c r="A1368">
        <v>6376</v>
      </c>
      <c r="B1368" t="s">
        <v>1034</v>
      </c>
      <c r="C1368" t="s">
        <v>208</v>
      </c>
      <c r="D1368" t="s">
        <v>164</v>
      </c>
      <c r="E1368" s="1">
        <v>46058</v>
      </c>
      <c r="F1368" t="s">
        <v>4343</v>
      </c>
      <c r="G1368" t="s">
        <v>3743</v>
      </c>
      <c r="H1368" t="s">
        <v>604</v>
      </c>
      <c r="I1368" t="s">
        <v>204</v>
      </c>
      <c r="J1368" s="1">
        <v>46256</v>
      </c>
      <c r="K1368" t="s">
        <v>711</v>
      </c>
      <c r="L1368">
        <v>140</v>
      </c>
      <c r="M1368">
        <v>140</v>
      </c>
      <c r="N1368" t="s">
        <v>710</v>
      </c>
      <c r="O1368" t="s">
        <v>1036</v>
      </c>
      <c r="P1368" t="s">
        <v>4784</v>
      </c>
      <c r="Q1368" t="s">
        <v>4901</v>
      </c>
    </row>
    <row r="1369" spans="1:18" x14ac:dyDescent="0.3">
      <c r="A1369">
        <v>123</v>
      </c>
      <c r="B1369" t="s">
        <v>4874</v>
      </c>
      <c r="C1369" t="s">
        <v>607</v>
      </c>
      <c r="D1369" t="s">
        <v>81</v>
      </c>
      <c r="E1369" s="1">
        <v>46058</v>
      </c>
      <c r="F1369" t="s">
        <v>4357</v>
      </c>
      <c r="G1369" t="s">
        <v>3723</v>
      </c>
      <c r="H1369" t="s">
        <v>606</v>
      </c>
      <c r="I1369" t="s">
        <v>204</v>
      </c>
      <c r="J1369" s="1">
        <v>46387</v>
      </c>
      <c r="K1369" t="s">
        <v>720</v>
      </c>
      <c r="L1369">
        <v>1</v>
      </c>
      <c r="M1369">
        <v>33799.980000000003</v>
      </c>
      <c r="N1369" t="s">
        <v>710</v>
      </c>
      <c r="O1369" t="s">
        <v>1038</v>
      </c>
      <c r="P1369" t="s">
        <v>4777</v>
      </c>
      <c r="Q1369" t="s">
        <v>4858</v>
      </c>
      <c r="R1369" t="s">
        <v>4773</v>
      </c>
    </row>
    <row r="1370" spans="1:18" x14ac:dyDescent="0.3">
      <c r="A1370">
        <v>403843</v>
      </c>
      <c r="B1370" t="s">
        <v>4874</v>
      </c>
      <c r="C1370" t="s">
        <v>435</v>
      </c>
      <c r="D1370" t="s">
        <v>30</v>
      </c>
      <c r="E1370" s="1">
        <v>46058</v>
      </c>
      <c r="F1370" t="s">
        <v>4351</v>
      </c>
      <c r="G1370" t="s">
        <v>3738</v>
      </c>
      <c r="H1370" t="s">
        <v>434</v>
      </c>
      <c r="I1370" t="s">
        <v>204</v>
      </c>
      <c r="J1370" s="1">
        <v>46752</v>
      </c>
      <c r="K1370" t="s">
        <v>785</v>
      </c>
      <c r="L1370">
        <v>1</v>
      </c>
      <c r="M1370">
        <v>149454.68</v>
      </c>
      <c r="N1370" t="s">
        <v>998</v>
      </c>
      <c r="O1370" t="s">
        <v>1038</v>
      </c>
      <c r="P1370" t="s">
        <v>4787</v>
      </c>
      <c r="Q1370" t="s">
        <v>4858</v>
      </c>
      <c r="R1370" t="s">
        <v>4771</v>
      </c>
    </row>
    <row r="1371" spans="1:18" x14ac:dyDescent="0.3">
      <c r="A1371">
        <v>147</v>
      </c>
      <c r="B1371" t="s">
        <v>1034</v>
      </c>
      <c r="C1371" t="s">
        <v>618</v>
      </c>
      <c r="D1371" t="s">
        <v>112</v>
      </c>
      <c r="E1371" s="1">
        <v>46058</v>
      </c>
      <c r="F1371" t="s">
        <v>4361</v>
      </c>
      <c r="G1371" t="s">
        <v>3724</v>
      </c>
      <c r="H1371" t="s">
        <v>617</v>
      </c>
      <c r="I1371" t="s">
        <v>204</v>
      </c>
      <c r="J1371" s="1">
        <v>46347</v>
      </c>
      <c r="K1371" t="s">
        <v>711</v>
      </c>
      <c r="L1371">
        <v>545</v>
      </c>
      <c r="M1371">
        <v>545</v>
      </c>
      <c r="N1371" t="s">
        <v>818</v>
      </c>
      <c r="O1371" t="s">
        <v>1036</v>
      </c>
      <c r="P1371" t="s">
        <v>4776</v>
      </c>
      <c r="Q1371" t="s">
        <v>4901</v>
      </c>
      <c r="R1371" t="s">
        <v>4771</v>
      </c>
    </row>
    <row r="1372" spans="1:18" x14ac:dyDescent="0.3">
      <c r="A1372">
        <v>58680</v>
      </c>
      <c r="B1372" t="s">
        <v>1034</v>
      </c>
      <c r="C1372" t="s">
        <v>790</v>
      </c>
      <c r="D1372" t="s">
        <v>19</v>
      </c>
      <c r="E1372" s="1">
        <v>46058</v>
      </c>
      <c r="F1372" t="s">
        <v>4348</v>
      </c>
      <c r="G1372" t="s">
        <v>3717</v>
      </c>
      <c r="H1372" t="s">
        <v>287</v>
      </c>
      <c r="I1372" t="s">
        <v>209</v>
      </c>
      <c r="J1372" s="1">
        <v>54878</v>
      </c>
      <c r="K1372" t="s">
        <v>711</v>
      </c>
      <c r="L1372">
        <v>2950</v>
      </c>
      <c r="M1372">
        <v>2950</v>
      </c>
      <c r="N1372" t="s">
        <v>710</v>
      </c>
      <c r="O1372" t="s">
        <v>1037</v>
      </c>
      <c r="P1372" t="s">
        <v>4781</v>
      </c>
      <c r="Q1372" t="s">
        <v>4852</v>
      </c>
      <c r="R1372" t="s">
        <v>4771</v>
      </c>
    </row>
    <row r="1373" spans="1:18" x14ac:dyDescent="0.3">
      <c r="A1373">
        <v>148</v>
      </c>
      <c r="B1373" t="s">
        <v>1034</v>
      </c>
      <c r="C1373" t="s">
        <v>618</v>
      </c>
      <c r="D1373" t="s">
        <v>112</v>
      </c>
      <c r="E1373" s="1">
        <v>46058</v>
      </c>
      <c r="F1373" t="s">
        <v>4361</v>
      </c>
      <c r="G1373" t="s">
        <v>3730</v>
      </c>
      <c r="H1373" t="s">
        <v>617</v>
      </c>
      <c r="I1373" t="s">
        <v>204</v>
      </c>
      <c r="J1373" s="1">
        <v>46347</v>
      </c>
      <c r="K1373" t="s">
        <v>711</v>
      </c>
      <c r="L1373">
        <v>735</v>
      </c>
      <c r="M1373">
        <v>735</v>
      </c>
      <c r="N1373" t="s">
        <v>818</v>
      </c>
      <c r="O1373" t="s">
        <v>1036</v>
      </c>
      <c r="P1373" t="s">
        <v>4776</v>
      </c>
      <c r="Q1373" t="s">
        <v>4901</v>
      </c>
      <c r="R1373" t="s">
        <v>4771</v>
      </c>
    </row>
    <row r="1374" spans="1:18" x14ac:dyDescent="0.3">
      <c r="A1374">
        <v>1</v>
      </c>
      <c r="B1374" t="s">
        <v>4875</v>
      </c>
      <c r="C1374" t="s">
        <v>651</v>
      </c>
      <c r="D1374" t="s">
        <v>46</v>
      </c>
      <c r="E1374" s="1">
        <v>46058</v>
      </c>
      <c r="F1374" t="s">
        <v>4435</v>
      </c>
      <c r="G1374" t="s">
        <v>3660</v>
      </c>
      <c r="H1374" t="s">
        <v>650</v>
      </c>
      <c r="I1374" t="s">
        <v>204</v>
      </c>
      <c r="J1374" s="1">
        <v>46173</v>
      </c>
      <c r="K1374" t="s">
        <v>748</v>
      </c>
      <c r="L1374">
        <v>1</v>
      </c>
      <c r="M1374">
        <v>3580</v>
      </c>
      <c r="N1374" t="s">
        <v>710</v>
      </c>
      <c r="O1374" t="s">
        <v>1040</v>
      </c>
      <c r="P1374" t="s">
        <v>4779</v>
      </c>
      <c r="Q1374" t="s">
        <v>4856</v>
      </c>
    </row>
    <row r="1375" spans="1:18" x14ac:dyDescent="0.3">
      <c r="A1375">
        <v>65</v>
      </c>
      <c r="B1375" t="s">
        <v>4875</v>
      </c>
      <c r="C1375" t="s">
        <v>561</v>
      </c>
      <c r="D1375" t="s">
        <v>121</v>
      </c>
      <c r="E1375" s="1">
        <v>46058</v>
      </c>
      <c r="F1375" t="s">
        <v>4390</v>
      </c>
      <c r="G1375" t="s">
        <v>3664</v>
      </c>
      <c r="H1375" t="s">
        <v>560</v>
      </c>
      <c r="I1375" t="s">
        <v>204</v>
      </c>
      <c r="J1375" s="1">
        <v>46732</v>
      </c>
      <c r="K1375" t="s">
        <v>748</v>
      </c>
      <c r="L1375">
        <v>1</v>
      </c>
      <c r="M1375">
        <v>14100</v>
      </c>
      <c r="N1375" t="s">
        <v>818</v>
      </c>
      <c r="O1375" t="s">
        <v>1040</v>
      </c>
      <c r="P1375" t="s">
        <v>4777</v>
      </c>
      <c r="Q1375" t="s">
        <v>4856</v>
      </c>
      <c r="R1375" t="s">
        <v>4771</v>
      </c>
    </row>
    <row r="1376" spans="1:18" x14ac:dyDescent="0.3">
      <c r="A1376">
        <v>403578</v>
      </c>
      <c r="B1376" t="s">
        <v>4875</v>
      </c>
      <c r="C1376" t="s">
        <v>435</v>
      </c>
      <c r="D1376" t="s">
        <v>30</v>
      </c>
      <c r="E1376" s="1">
        <v>46058</v>
      </c>
      <c r="F1376" t="s">
        <v>4351</v>
      </c>
      <c r="G1376" t="s">
        <v>3740</v>
      </c>
      <c r="H1376" t="s">
        <v>434</v>
      </c>
      <c r="I1376" t="s">
        <v>204</v>
      </c>
      <c r="J1376" s="1">
        <v>46752</v>
      </c>
      <c r="K1376" t="s">
        <v>785</v>
      </c>
      <c r="L1376">
        <v>1</v>
      </c>
      <c r="M1376">
        <v>52173.68</v>
      </c>
      <c r="N1376" t="s">
        <v>998</v>
      </c>
      <c r="O1376" t="s">
        <v>1038</v>
      </c>
      <c r="P1376" t="s">
        <v>4787</v>
      </c>
      <c r="Q1376" t="s">
        <v>4858</v>
      </c>
      <c r="R1376" t="s">
        <v>4771</v>
      </c>
    </row>
    <row r="1377" spans="1:18" x14ac:dyDescent="0.3">
      <c r="A1377">
        <v>2582</v>
      </c>
      <c r="B1377" t="s">
        <v>4875</v>
      </c>
      <c r="C1377" t="s">
        <v>278</v>
      </c>
      <c r="D1377" t="s">
        <v>17</v>
      </c>
      <c r="E1377" s="1">
        <v>46058</v>
      </c>
      <c r="F1377" t="s">
        <v>4340</v>
      </c>
      <c r="G1377" t="s">
        <v>3662</v>
      </c>
      <c r="H1377" t="s">
        <v>277</v>
      </c>
      <c r="I1377" t="s">
        <v>204</v>
      </c>
      <c r="J1377" s="1">
        <v>54878</v>
      </c>
      <c r="K1377" t="s">
        <v>748</v>
      </c>
      <c r="L1377">
        <v>600</v>
      </c>
      <c r="M1377">
        <v>600</v>
      </c>
      <c r="N1377" t="s">
        <v>710</v>
      </c>
      <c r="O1377" t="s">
        <v>1040</v>
      </c>
      <c r="P1377" t="s">
        <v>4776</v>
      </c>
      <c r="Q1377" t="s">
        <v>4856</v>
      </c>
      <c r="R1377" t="s">
        <v>4771</v>
      </c>
    </row>
    <row r="1378" spans="1:18" x14ac:dyDescent="0.3">
      <c r="A1378">
        <v>1897</v>
      </c>
      <c r="B1378" t="s">
        <v>4875</v>
      </c>
      <c r="C1378" t="s">
        <v>314</v>
      </c>
      <c r="D1378" t="s">
        <v>39</v>
      </c>
      <c r="E1378" s="1">
        <v>46058</v>
      </c>
      <c r="F1378" t="s">
        <v>4347</v>
      </c>
      <c r="G1378" t="s">
        <v>3601</v>
      </c>
      <c r="H1378" t="s">
        <v>341</v>
      </c>
      <c r="I1378" t="s">
        <v>204</v>
      </c>
      <c r="J1378" s="1">
        <v>46266</v>
      </c>
      <c r="K1378" t="s">
        <v>748</v>
      </c>
      <c r="L1378">
        <v>1</v>
      </c>
      <c r="M1378">
        <v>1100</v>
      </c>
      <c r="N1378" t="s">
        <v>710</v>
      </c>
      <c r="O1378" t="s">
        <v>4834</v>
      </c>
      <c r="P1378" t="s">
        <v>4776</v>
      </c>
      <c r="Q1378" t="s">
        <v>4856</v>
      </c>
      <c r="R1378" t="s">
        <v>4773</v>
      </c>
    </row>
    <row r="1379" spans="1:18" x14ac:dyDescent="0.3">
      <c r="A1379">
        <v>8</v>
      </c>
      <c r="B1379" t="s">
        <v>1034</v>
      </c>
      <c r="C1379" t="s">
        <v>507</v>
      </c>
      <c r="D1379" t="s">
        <v>18</v>
      </c>
      <c r="E1379" s="1">
        <v>46058</v>
      </c>
      <c r="F1379" t="s">
        <v>4322</v>
      </c>
      <c r="G1379" t="s">
        <v>3752</v>
      </c>
      <c r="H1379" t="s">
        <v>506</v>
      </c>
      <c r="I1379" t="s">
        <v>204</v>
      </c>
      <c r="J1379" s="1">
        <v>46741</v>
      </c>
      <c r="K1379" t="s">
        <v>711</v>
      </c>
      <c r="L1379">
        <v>14000</v>
      </c>
      <c r="M1379">
        <v>14000</v>
      </c>
      <c r="N1379" t="s">
        <v>710</v>
      </c>
      <c r="O1379" t="s">
        <v>1036</v>
      </c>
      <c r="P1379" t="s">
        <v>4777</v>
      </c>
      <c r="Q1379" t="s">
        <v>4901</v>
      </c>
      <c r="R1379" t="s">
        <v>4773</v>
      </c>
    </row>
    <row r="1380" spans="1:18" x14ac:dyDescent="0.3">
      <c r="A1380">
        <v>433989</v>
      </c>
      <c r="B1380" t="s">
        <v>1034</v>
      </c>
      <c r="C1380" t="s">
        <v>452</v>
      </c>
      <c r="D1380" t="s">
        <v>171</v>
      </c>
      <c r="E1380" s="1">
        <v>46058</v>
      </c>
      <c r="F1380" t="s">
        <v>4319</v>
      </c>
      <c r="G1380" t="s">
        <v>3687</v>
      </c>
      <c r="H1380" t="s">
        <v>512</v>
      </c>
      <c r="I1380" t="s">
        <v>209</v>
      </c>
      <c r="J1380" s="1">
        <v>45138</v>
      </c>
      <c r="K1380" t="s">
        <v>762</v>
      </c>
      <c r="L1380">
        <v>235</v>
      </c>
      <c r="M1380">
        <v>235.21</v>
      </c>
      <c r="N1380" t="s">
        <v>710</v>
      </c>
      <c r="O1380" t="s">
        <v>4833</v>
      </c>
      <c r="P1380" t="s">
        <v>4802</v>
      </c>
      <c r="Q1380" t="s">
        <v>4852</v>
      </c>
      <c r="R1380" t="s">
        <v>4771</v>
      </c>
    </row>
    <row r="1381" spans="1:18" x14ac:dyDescent="0.3">
      <c r="A1381">
        <v>78</v>
      </c>
      <c r="B1381" t="s">
        <v>1034</v>
      </c>
      <c r="C1381" t="s">
        <v>216</v>
      </c>
      <c r="D1381" t="s">
        <v>141</v>
      </c>
      <c r="E1381" s="1">
        <v>46058</v>
      </c>
      <c r="F1381" t="s">
        <v>4305</v>
      </c>
      <c r="G1381" t="s">
        <v>3657</v>
      </c>
      <c r="H1381" t="s">
        <v>528</v>
      </c>
      <c r="I1381" t="s">
        <v>204</v>
      </c>
      <c r="J1381" s="1">
        <v>55243</v>
      </c>
      <c r="K1381" t="s">
        <v>711</v>
      </c>
      <c r="L1381">
        <v>400</v>
      </c>
      <c r="M1381">
        <v>400</v>
      </c>
      <c r="N1381" t="s">
        <v>710</v>
      </c>
      <c r="O1381" t="s">
        <v>4844</v>
      </c>
      <c r="P1381" t="s">
        <v>4776</v>
      </c>
      <c r="Q1381" t="s">
        <v>4901</v>
      </c>
      <c r="R1381" t="s">
        <v>4771</v>
      </c>
    </row>
    <row r="1382" spans="1:18" x14ac:dyDescent="0.3">
      <c r="A1382">
        <v>3</v>
      </c>
      <c r="B1382" t="s">
        <v>1034</v>
      </c>
      <c r="C1382" t="s">
        <v>686</v>
      </c>
      <c r="D1382" t="s">
        <v>116</v>
      </c>
      <c r="E1382" s="1">
        <v>46058</v>
      </c>
      <c r="F1382" t="s">
        <v>4385</v>
      </c>
      <c r="G1382" t="s">
        <v>3714</v>
      </c>
      <c r="H1382" t="s">
        <v>685</v>
      </c>
      <c r="I1382" t="s">
        <v>204</v>
      </c>
      <c r="J1382" s="1">
        <v>46418</v>
      </c>
      <c r="K1382" t="s">
        <v>717</v>
      </c>
      <c r="L1382">
        <v>1</v>
      </c>
      <c r="M1382">
        <v>1425</v>
      </c>
      <c r="N1382" t="s">
        <v>818</v>
      </c>
      <c r="O1382" t="s">
        <v>1037</v>
      </c>
      <c r="P1382" t="s">
        <v>4801</v>
      </c>
      <c r="Q1382" t="s">
        <v>4852</v>
      </c>
      <c r="R1382" t="s">
        <v>807</v>
      </c>
    </row>
    <row r="1383" spans="1:18" x14ac:dyDescent="0.3">
      <c r="A1383">
        <v>101</v>
      </c>
      <c r="B1383" t="s">
        <v>1034</v>
      </c>
      <c r="C1383" t="s">
        <v>641</v>
      </c>
      <c r="D1383" t="s">
        <v>26</v>
      </c>
      <c r="E1383" s="1">
        <v>46057</v>
      </c>
      <c r="F1383" t="s">
        <v>4370</v>
      </c>
      <c r="G1383" t="s">
        <v>3682</v>
      </c>
      <c r="H1383" t="s">
        <v>640</v>
      </c>
      <c r="I1383" t="s">
        <v>204</v>
      </c>
      <c r="J1383" s="1">
        <v>46142</v>
      </c>
      <c r="K1383" t="s">
        <v>717</v>
      </c>
      <c r="L1383">
        <v>15227.09</v>
      </c>
      <c r="M1383">
        <v>15227.09</v>
      </c>
      <c r="N1383" t="s">
        <v>710</v>
      </c>
      <c r="O1383" t="s">
        <v>1042</v>
      </c>
      <c r="P1383" t="s">
        <v>1006</v>
      </c>
      <c r="Q1383" t="s">
        <v>4852</v>
      </c>
    </row>
    <row r="1384" spans="1:18" x14ac:dyDescent="0.3">
      <c r="A1384">
        <v>4106059</v>
      </c>
      <c r="B1384" t="s">
        <v>1034</v>
      </c>
      <c r="C1384" t="s">
        <v>417</v>
      </c>
      <c r="D1384" t="s">
        <v>185</v>
      </c>
      <c r="E1384" s="1">
        <v>46057</v>
      </c>
      <c r="F1384" t="s">
        <v>4335</v>
      </c>
      <c r="G1384" t="s">
        <v>3710</v>
      </c>
      <c r="H1384" t="s">
        <v>416</v>
      </c>
      <c r="I1384" t="s">
        <v>204</v>
      </c>
      <c r="J1384" s="1">
        <v>54878</v>
      </c>
      <c r="K1384" t="s">
        <v>717</v>
      </c>
      <c r="L1384">
        <v>1286.9000000000001</v>
      </c>
      <c r="M1384">
        <v>1286.9000000000001</v>
      </c>
      <c r="N1384" t="s">
        <v>710</v>
      </c>
      <c r="O1384" t="s">
        <v>1037</v>
      </c>
      <c r="P1384" t="s">
        <v>4780</v>
      </c>
      <c r="Q1384" t="s">
        <v>4852</v>
      </c>
      <c r="R1384" t="s">
        <v>4771</v>
      </c>
    </row>
    <row r="1385" spans="1:18" x14ac:dyDescent="0.3">
      <c r="A1385">
        <v>506</v>
      </c>
      <c r="B1385" t="s">
        <v>1034</v>
      </c>
      <c r="C1385" t="s">
        <v>203</v>
      </c>
      <c r="D1385" t="s">
        <v>118</v>
      </c>
      <c r="E1385" s="1">
        <v>46057</v>
      </c>
      <c r="F1385" t="s">
        <v>4353</v>
      </c>
      <c r="G1385" t="s">
        <v>3693</v>
      </c>
      <c r="H1385" t="s">
        <v>202</v>
      </c>
      <c r="I1385" t="s">
        <v>204</v>
      </c>
      <c r="J1385" s="1">
        <v>46387</v>
      </c>
      <c r="K1385" t="s">
        <v>717</v>
      </c>
      <c r="L1385">
        <v>30.64</v>
      </c>
      <c r="M1385">
        <v>30.64</v>
      </c>
      <c r="N1385" t="s">
        <v>710</v>
      </c>
      <c r="O1385" t="s">
        <v>1037</v>
      </c>
      <c r="P1385" t="s">
        <v>4776</v>
      </c>
      <c r="Q1385" t="s">
        <v>4852</v>
      </c>
      <c r="R1385" t="s">
        <v>4772</v>
      </c>
    </row>
    <row r="1386" spans="1:18" x14ac:dyDescent="0.3">
      <c r="A1386">
        <v>3925</v>
      </c>
      <c r="B1386" t="s">
        <v>1034</v>
      </c>
      <c r="C1386" t="s">
        <v>535</v>
      </c>
      <c r="D1386" t="s">
        <v>148</v>
      </c>
      <c r="E1386" s="1">
        <v>46057</v>
      </c>
      <c r="F1386" t="s">
        <v>4355</v>
      </c>
      <c r="G1386" t="s">
        <v>3516</v>
      </c>
      <c r="H1386" t="s">
        <v>681</v>
      </c>
      <c r="I1386" t="s">
        <v>204</v>
      </c>
      <c r="J1386" s="1">
        <v>46295</v>
      </c>
      <c r="K1386" t="s">
        <v>711</v>
      </c>
      <c r="L1386">
        <v>1</v>
      </c>
      <c r="M1386">
        <v>4500</v>
      </c>
      <c r="N1386" t="s">
        <v>890</v>
      </c>
      <c r="O1386" t="s">
        <v>4844</v>
      </c>
      <c r="P1386" t="s">
        <v>4779</v>
      </c>
      <c r="Q1386" t="s">
        <v>4845</v>
      </c>
      <c r="R1386" t="s">
        <v>807</v>
      </c>
    </row>
    <row r="1387" spans="1:18" x14ac:dyDescent="0.3">
      <c r="A1387">
        <v>202616027</v>
      </c>
      <c r="B1387" t="s">
        <v>1034</v>
      </c>
      <c r="C1387" t="s">
        <v>522</v>
      </c>
      <c r="D1387" t="s">
        <v>50</v>
      </c>
      <c r="E1387" s="1">
        <v>46057</v>
      </c>
      <c r="F1387" t="s">
        <v>4352</v>
      </c>
      <c r="G1387" t="s">
        <v>3692</v>
      </c>
      <c r="H1387" t="s">
        <v>521</v>
      </c>
      <c r="I1387" t="s">
        <v>204</v>
      </c>
      <c r="J1387" s="1">
        <v>46387</v>
      </c>
      <c r="K1387" t="s">
        <v>717</v>
      </c>
      <c r="L1387">
        <v>562.80999999999995</v>
      </c>
      <c r="M1387">
        <v>562.80999999999995</v>
      </c>
      <c r="N1387" t="s">
        <v>884</v>
      </c>
      <c r="O1387" t="s">
        <v>1037</v>
      </c>
      <c r="P1387" t="s">
        <v>4776</v>
      </c>
      <c r="Q1387" t="s">
        <v>4852</v>
      </c>
      <c r="R1387" t="s">
        <v>4773</v>
      </c>
    </row>
    <row r="1388" spans="1:18" x14ac:dyDescent="0.3">
      <c r="A1388">
        <v>7331</v>
      </c>
      <c r="B1388" t="s">
        <v>1034</v>
      </c>
      <c r="C1388" t="s">
        <v>230</v>
      </c>
      <c r="D1388" t="s">
        <v>85</v>
      </c>
      <c r="E1388" s="1">
        <v>46057</v>
      </c>
      <c r="F1388" t="s">
        <v>4348</v>
      </c>
      <c r="G1388" t="s">
        <v>3735</v>
      </c>
      <c r="H1388" t="s">
        <v>570</v>
      </c>
      <c r="I1388" t="s">
        <v>204</v>
      </c>
      <c r="J1388" s="1">
        <v>46418</v>
      </c>
      <c r="K1388" t="s">
        <v>717</v>
      </c>
      <c r="L1388">
        <v>1</v>
      </c>
      <c r="M1388">
        <v>508195.8</v>
      </c>
      <c r="N1388" t="s">
        <v>719</v>
      </c>
      <c r="O1388" t="s">
        <v>1033</v>
      </c>
      <c r="P1388" t="s">
        <v>4781</v>
      </c>
      <c r="Q1388" t="s">
        <v>4852</v>
      </c>
      <c r="R1388" t="s">
        <v>4771</v>
      </c>
    </row>
    <row r="1389" spans="1:18" x14ac:dyDescent="0.3">
      <c r="A1389">
        <v>2113737</v>
      </c>
      <c r="B1389" t="s">
        <v>1034</v>
      </c>
      <c r="C1389" t="s">
        <v>417</v>
      </c>
      <c r="D1389" t="s">
        <v>185</v>
      </c>
      <c r="E1389" s="1">
        <v>46057</v>
      </c>
      <c r="F1389" t="s">
        <v>4346</v>
      </c>
      <c r="G1389" t="s">
        <v>3710</v>
      </c>
      <c r="H1389" t="s">
        <v>416</v>
      </c>
      <c r="I1389" t="s">
        <v>204</v>
      </c>
      <c r="J1389" s="1">
        <v>54878</v>
      </c>
      <c r="K1389" t="s">
        <v>717</v>
      </c>
      <c r="L1389">
        <v>5240.2</v>
      </c>
      <c r="M1389">
        <v>5240.2</v>
      </c>
      <c r="N1389" t="s">
        <v>710</v>
      </c>
      <c r="O1389" t="s">
        <v>1037</v>
      </c>
      <c r="P1389" t="s">
        <v>4780</v>
      </c>
      <c r="Q1389" t="s">
        <v>4852</v>
      </c>
      <c r="R1389" t="s">
        <v>4771</v>
      </c>
    </row>
    <row r="1390" spans="1:18" x14ac:dyDescent="0.3">
      <c r="A1390">
        <v>1816962</v>
      </c>
      <c r="B1390" t="s">
        <v>1034</v>
      </c>
      <c r="C1390" t="s">
        <v>668</v>
      </c>
      <c r="D1390" t="s">
        <v>84</v>
      </c>
      <c r="E1390" s="1">
        <v>46057</v>
      </c>
      <c r="F1390" t="s">
        <v>4384</v>
      </c>
      <c r="G1390" t="s">
        <v>3705</v>
      </c>
      <c r="H1390" t="s">
        <v>669</v>
      </c>
      <c r="I1390" t="s">
        <v>204</v>
      </c>
      <c r="J1390" s="1">
        <v>46326</v>
      </c>
      <c r="K1390" t="s">
        <v>717</v>
      </c>
      <c r="L1390">
        <v>17758.400000000001</v>
      </c>
      <c r="M1390">
        <v>17758.400000000001</v>
      </c>
      <c r="N1390" t="s">
        <v>1000</v>
      </c>
      <c r="O1390" t="s">
        <v>1037</v>
      </c>
      <c r="P1390" t="s">
        <v>4799</v>
      </c>
      <c r="Q1390" t="s">
        <v>4852</v>
      </c>
      <c r="R1390" t="s">
        <v>807</v>
      </c>
    </row>
    <row r="1391" spans="1:18" x14ac:dyDescent="0.3">
      <c r="A1391">
        <v>3926</v>
      </c>
      <c r="B1391" t="s">
        <v>1034</v>
      </c>
      <c r="C1391" t="s">
        <v>535</v>
      </c>
      <c r="D1391" t="s">
        <v>148</v>
      </c>
      <c r="E1391" s="1">
        <v>46057</v>
      </c>
      <c r="F1391" t="s">
        <v>4355</v>
      </c>
      <c r="G1391" t="s">
        <v>3516</v>
      </c>
      <c r="H1391" t="s">
        <v>681</v>
      </c>
      <c r="I1391" t="s">
        <v>204</v>
      </c>
      <c r="J1391" s="1">
        <v>46295</v>
      </c>
      <c r="K1391" t="s">
        <v>711</v>
      </c>
      <c r="L1391">
        <v>1</v>
      </c>
      <c r="M1391">
        <v>3300</v>
      </c>
      <c r="N1391" t="s">
        <v>890</v>
      </c>
      <c r="O1391" t="s">
        <v>4844</v>
      </c>
      <c r="P1391" t="s">
        <v>4779</v>
      </c>
      <c r="Q1391" t="s">
        <v>4845</v>
      </c>
      <c r="R1391" t="s">
        <v>807</v>
      </c>
    </row>
    <row r="1392" spans="1:18" x14ac:dyDescent="0.3">
      <c r="A1392">
        <v>10948</v>
      </c>
      <c r="B1392" t="s">
        <v>4874</v>
      </c>
      <c r="C1392" t="s">
        <v>546</v>
      </c>
      <c r="D1392" t="s">
        <v>75</v>
      </c>
      <c r="E1392" s="1">
        <v>46057</v>
      </c>
      <c r="F1392" t="s">
        <v>4355</v>
      </c>
      <c r="G1392" t="s">
        <v>3721</v>
      </c>
      <c r="H1392" t="s">
        <v>581</v>
      </c>
      <c r="I1392" t="s">
        <v>204</v>
      </c>
      <c r="J1392" s="1">
        <v>46233</v>
      </c>
      <c r="K1392" t="s">
        <v>720</v>
      </c>
      <c r="L1392">
        <v>1</v>
      </c>
      <c r="M1392">
        <v>3090.55</v>
      </c>
      <c r="N1392" t="s">
        <v>814</v>
      </c>
      <c r="O1392" t="s">
        <v>1038</v>
      </c>
      <c r="P1392" t="s">
        <v>4779</v>
      </c>
      <c r="Q1392" t="s">
        <v>4858</v>
      </c>
      <c r="R1392" t="s">
        <v>4773</v>
      </c>
    </row>
    <row r="1393" spans="1:18" x14ac:dyDescent="0.3">
      <c r="A1393">
        <v>3920</v>
      </c>
      <c r="B1393" t="s">
        <v>4875</v>
      </c>
      <c r="C1393" t="s">
        <v>535</v>
      </c>
      <c r="D1393" t="s">
        <v>148</v>
      </c>
      <c r="E1393" s="1">
        <v>46057</v>
      </c>
      <c r="F1393" t="s">
        <v>4297</v>
      </c>
      <c r="G1393" t="s">
        <v>3670</v>
      </c>
      <c r="H1393" t="s">
        <v>654</v>
      </c>
      <c r="I1393" t="s">
        <v>204</v>
      </c>
      <c r="J1393" s="1">
        <v>46227</v>
      </c>
      <c r="K1393" t="s">
        <v>748</v>
      </c>
      <c r="L1393">
        <v>1</v>
      </c>
      <c r="M1393">
        <v>5500</v>
      </c>
      <c r="N1393" t="s">
        <v>954</v>
      </c>
      <c r="O1393" t="s">
        <v>1040</v>
      </c>
      <c r="P1393" t="s">
        <v>4779</v>
      </c>
      <c r="Q1393" t="s">
        <v>4856</v>
      </c>
      <c r="R1393" t="s">
        <v>807</v>
      </c>
    </row>
    <row r="1394" spans="1:18" x14ac:dyDescent="0.3">
      <c r="A1394">
        <v>10950</v>
      </c>
      <c r="B1394" t="s">
        <v>4874</v>
      </c>
      <c r="C1394" t="s">
        <v>546</v>
      </c>
      <c r="D1394" t="s">
        <v>75</v>
      </c>
      <c r="E1394" s="1">
        <v>46057</v>
      </c>
      <c r="F1394" t="s">
        <v>4355</v>
      </c>
      <c r="G1394" t="s">
        <v>3721</v>
      </c>
      <c r="H1394" t="s">
        <v>581</v>
      </c>
      <c r="I1394" t="s">
        <v>204</v>
      </c>
      <c r="J1394" s="1">
        <v>46233</v>
      </c>
      <c r="K1394" t="s">
        <v>720</v>
      </c>
      <c r="L1394">
        <v>1</v>
      </c>
      <c r="M1394">
        <v>3650</v>
      </c>
      <c r="N1394" t="s">
        <v>814</v>
      </c>
      <c r="O1394" t="s">
        <v>1038</v>
      </c>
      <c r="P1394" t="s">
        <v>4779</v>
      </c>
      <c r="Q1394" t="s">
        <v>4858</v>
      </c>
      <c r="R1394" t="s">
        <v>4773</v>
      </c>
    </row>
    <row r="1395" spans="1:18" x14ac:dyDescent="0.3">
      <c r="A1395">
        <v>12495</v>
      </c>
      <c r="B1395" t="s">
        <v>4874</v>
      </c>
      <c r="C1395" t="s">
        <v>237</v>
      </c>
      <c r="D1395" t="s">
        <v>4</v>
      </c>
      <c r="E1395" s="1">
        <v>46057</v>
      </c>
      <c r="F1395" t="s">
        <v>4368</v>
      </c>
      <c r="G1395" t="s">
        <v>3722</v>
      </c>
      <c r="H1395" t="s">
        <v>236</v>
      </c>
      <c r="I1395" t="s">
        <v>204</v>
      </c>
      <c r="J1395" s="1">
        <v>54878</v>
      </c>
      <c r="K1395" t="s">
        <v>720</v>
      </c>
      <c r="L1395">
        <v>1</v>
      </c>
      <c r="M1395">
        <v>5271</v>
      </c>
      <c r="N1395" t="s">
        <v>710</v>
      </c>
      <c r="O1395" t="s">
        <v>1038</v>
      </c>
      <c r="P1395" t="s">
        <v>4776</v>
      </c>
      <c r="Q1395" t="s">
        <v>4858</v>
      </c>
      <c r="R1395" t="s">
        <v>4771</v>
      </c>
    </row>
    <row r="1396" spans="1:18" x14ac:dyDescent="0.3">
      <c r="A1396">
        <v>4106371</v>
      </c>
      <c r="B1396" t="s">
        <v>4874</v>
      </c>
      <c r="C1396" t="s">
        <v>417</v>
      </c>
      <c r="D1396" t="s">
        <v>185</v>
      </c>
      <c r="E1396" s="1">
        <v>46057</v>
      </c>
      <c r="F1396" t="s">
        <v>4335</v>
      </c>
      <c r="G1396" t="s">
        <v>3711</v>
      </c>
      <c r="H1396" t="s">
        <v>461</v>
      </c>
      <c r="I1396" t="s">
        <v>204</v>
      </c>
      <c r="J1396" s="1">
        <v>54878</v>
      </c>
      <c r="K1396" t="s">
        <v>762</v>
      </c>
      <c r="L1396">
        <v>5117.2700000000004</v>
      </c>
      <c r="M1396">
        <v>5117.2700000000004</v>
      </c>
      <c r="N1396" t="s">
        <v>710</v>
      </c>
      <c r="O1396" t="s">
        <v>1037</v>
      </c>
      <c r="P1396" t="s">
        <v>4780</v>
      </c>
      <c r="Q1396" t="s">
        <v>4852</v>
      </c>
      <c r="R1396" t="s">
        <v>4771</v>
      </c>
    </row>
    <row r="1397" spans="1:18" x14ac:dyDescent="0.3">
      <c r="A1397">
        <v>7343</v>
      </c>
      <c r="B1397" t="s">
        <v>4874</v>
      </c>
      <c r="C1397" t="s">
        <v>484</v>
      </c>
      <c r="D1397" t="s">
        <v>140</v>
      </c>
      <c r="E1397" s="1">
        <v>46057</v>
      </c>
      <c r="F1397" t="s">
        <v>4345</v>
      </c>
      <c r="G1397" t="s">
        <v>3731</v>
      </c>
      <c r="H1397" t="s">
        <v>483</v>
      </c>
      <c r="I1397" t="s">
        <v>204</v>
      </c>
      <c r="J1397" s="1">
        <v>46508</v>
      </c>
      <c r="K1397" t="s">
        <v>762</v>
      </c>
      <c r="L1397">
        <v>49120</v>
      </c>
      <c r="M1397">
        <v>49120</v>
      </c>
      <c r="N1397" t="s">
        <v>710</v>
      </c>
      <c r="O1397" t="s">
        <v>4833</v>
      </c>
      <c r="P1397" t="s">
        <v>4776</v>
      </c>
      <c r="Q1397" t="s">
        <v>4852</v>
      </c>
      <c r="R1397" t="s">
        <v>4773</v>
      </c>
    </row>
    <row r="1398" spans="1:18" x14ac:dyDescent="0.3">
      <c r="A1398">
        <v>5824</v>
      </c>
      <c r="B1398" t="s">
        <v>4874</v>
      </c>
      <c r="C1398" t="s">
        <v>401</v>
      </c>
      <c r="D1398" t="s">
        <v>187</v>
      </c>
      <c r="E1398" s="1">
        <v>46057</v>
      </c>
      <c r="F1398" t="s">
        <v>4345</v>
      </c>
      <c r="G1398" t="s">
        <v>3729</v>
      </c>
      <c r="H1398" t="s">
        <v>400</v>
      </c>
      <c r="I1398" t="s">
        <v>204</v>
      </c>
      <c r="J1398" s="1">
        <v>54878</v>
      </c>
      <c r="K1398" t="s">
        <v>762</v>
      </c>
      <c r="L1398">
        <v>390</v>
      </c>
      <c r="M1398">
        <v>390</v>
      </c>
      <c r="N1398" t="s">
        <v>710</v>
      </c>
      <c r="O1398" t="s">
        <v>4833</v>
      </c>
      <c r="P1398" t="s">
        <v>4776</v>
      </c>
      <c r="Q1398" t="s">
        <v>4852</v>
      </c>
      <c r="R1398" t="s">
        <v>4773</v>
      </c>
    </row>
    <row r="1399" spans="1:18" x14ac:dyDescent="0.3">
      <c r="A1399">
        <v>58728</v>
      </c>
      <c r="B1399" t="s">
        <v>4874</v>
      </c>
      <c r="C1399" t="s">
        <v>433</v>
      </c>
      <c r="D1399" t="s">
        <v>168</v>
      </c>
      <c r="E1399" s="1">
        <v>46057</v>
      </c>
      <c r="F1399" t="s">
        <v>4319</v>
      </c>
      <c r="G1399" t="s">
        <v>3727</v>
      </c>
      <c r="H1399" t="s">
        <v>432</v>
      </c>
      <c r="I1399" t="s">
        <v>204</v>
      </c>
      <c r="J1399" s="1">
        <v>46473</v>
      </c>
      <c r="K1399" t="s">
        <v>762</v>
      </c>
      <c r="L1399">
        <v>4949</v>
      </c>
      <c r="M1399">
        <v>4948.67</v>
      </c>
      <c r="N1399" t="s">
        <v>710</v>
      </c>
      <c r="O1399" t="s">
        <v>4833</v>
      </c>
      <c r="P1399" t="s">
        <v>4802</v>
      </c>
      <c r="Q1399" t="s">
        <v>4852</v>
      </c>
      <c r="R1399" t="s">
        <v>4771</v>
      </c>
    </row>
    <row r="1400" spans="1:18" x14ac:dyDescent="0.3">
      <c r="A1400">
        <v>1815919</v>
      </c>
      <c r="B1400" t="s">
        <v>4874</v>
      </c>
      <c r="C1400" t="s">
        <v>668</v>
      </c>
      <c r="D1400" t="s">
        <v>84</v>
      </c>
      <c r="E1400" s="1">
        <v>46057</v>
      </c>
      <c r="F1400" t="s">
        <v>4384</v>
      </c>
      <c r="G1400" t="s">
        <v>3704</v>
      </c>
      <c r="H1400" t="s">
        <v>667</v>
      </c>
      <c r="I1400" t="s">
        <v>204</v>
      </c>
      <c r="J1400" s="1">
        <v>46676</v>
      </c>
      <c r="K1400" t="s">
        <v>762</v>
      </c>
      <c r="L1400">
        <v>22650</v>
      </c>
      <c r="M1400">
        <v>22650</v>
      </c>
      <c r="N1400" t="s">
        <v>1000</v>
      </c>
      <c r="O1400" t="s">
        <v>1037</v>
      </c>
      <c r="P1400" t="s">
        <v>4799</v>
      </c>
      <c r="Q1400" t="s">
        <v>4852</v>
      </c>
      <c r="R1400" t="s">
        <v>807</v>
      </c>
    </row>
    <row r="1401" spans="1:18" x14ac:dyDescent="0.3">
      <c r="A1401">
        <v>115668</v>
      </c>
      <c r="B1401" t="s">
        <v>4874</v>
      </c>
      <c r="C1401" t="s">
        <v>227</v>
      </c>
      <c r="D1401" t="s">
        <v>191</v>
      </c>
      <c r="E1401" s="1">
        <v>46057</v>
      </c>
      <c r="F1401" t="s">
        <v>4387</v>
      </c>
      <c r="G1401" t="s">
        <v>3689</v>
      </c>
      <c r="H1401" t="s">
        <v>577</v>
      </c>
      <c r="I1401" t="s">
        <v>204</v>
      </c>
      <c r="J1401" s="1">
        <v>46493</v>
      </c>
      <c r="K1401" t="s">
        <v>762</v>
      </c>
      <c r="L1401">
        <v>33060.36</v>
      </c>
      <c r="M1401">
        <v>33060.36</v>
      </c>
      <c r="N1401" t="s">
        <v>809</v>
      </c>
      <c r="O1401" t="s">
        <v>4904</v>
      </c>
      <c r="P1401" t="s">
        <v>4792</v>
      </c>
      <c r="Q1401" t="s">
        <v>4904</v>
      </c>
      <c r="R1401" t="s">
        <v>4772</v>
      </c>
    </row>
    <row r="1402" spans="1:18" x14ac:dyDescent="0.3">
      <c r="A1402">
        <v>75</v>
      </c>
      <c r="B1402" t="s">
        <v>4874</v>
      </c>
      <c r="C1402" t="s">
        <v>688</v>
      </c>
      <c r="D1402" t="s">
        <v>3</v>
      </c>
      <c r="E1402" s="1">
        <v>46057</v>
      </c>
      <c r="F1402" t="s">
        <v>4426</v>
      </c>
      <c r="G1402" t="s">
        <v>3691</v>
      </c>
      <c r="H1402" t="s">
        <v>687</v>
      </c>
      <c r="I1402" t="s">
        <v>204</v>
      </c>
      <c r="J1402" s="1">
        <v>46418</v>
      </c>
      <c r="K1402" t="s">
        <v>762</v>
      </c>
      <c r="L1402">
        <v>650</v>
      </c>
      <c r="M1402">
        <v>88998</v>
      </c>
      <c r="N1402" t="s">
        <v>932</v>
      </c>
      <c r="O1402" t="s">
        <v>4833</v>
      </c>
      <c r="P1402" t="s">
        <v>4860</v>
      </c>
      <c r="Q1402" t="s">
        <v>4852</v>
      </c>
      <c r="R1402" t="s">
        <v>807</v>
      </c>
    </row>
    <row r="1403" spans="1:18" x14ac:dyDescent="0.3">
      <c r="A1403">
        <v>7327</v>
      </c>
      <c r="B1403" t="s">
        <v>4874</v>
      </c>
      <c r="C1403" t="s">
        <v>230</v>
      </c>
      <c r="D1403" t="s">
        <v>85</v>
      </c>
      <c r="E1403" s="1">
        <v>46057</v>
      </c>
      <c r="F1403" t="s">
        <v>4348</v>
      </c>
      <c r="G1403" t="s">
        <v>3734</v>
      </c>
      <c r="H1403" t="s">
        <v>299</v>
      </c>
      <c r="I1403" t="s">
        <v>204</v>
      </c>
      <c r="J1403" s="1">
        <v>46536</v>
      </c>
      <c r="K1403" t="s">
        <v>762</v>
      </c>
      <c r="L1403">
        <v>198518.11</v>
      </c>
      <c r="M1403">
        <v>198518.11</v>
      </c>
      <c r="N1403" t="s">
        <v>710</v>
      </c>
      <c r="O1403" t="s">
        <v>1033</v>
      </c>
      <c r="P1403" t="s">
        <v>4781</v>
      </c>
      <c r="Q1403" t="s">
        <v>4852</v>
      </c>
      <c r="R1403" t="s">
        <v>4771</v>
      </c>
    </row>
    <row r="1404" spans="1:18" x14ac:dyDescent="0.3">
      <c r="A1404">
        <v>7347</v>
      </c>
      <c r="B1404" t="s">
        <v>4874</v>
      </c>
      <c r="C1404" t="s">
        <v>230</v>
      </c>
      <c r="D1404" t="s">
        <v>85</v>
      </c>
      <c r="E1404" s="1">
        <v>46057</v>
      </c>
      <c r="F1404" t="s">
        <v>4421</v>
      </c>
      <c r="G1404" t="s">
        <v>3733</v>
      </c>
      <c r="H1404" t="s">
        <v>299</v>
      </c>
      <c r="I1404" t="s">
        <v>204</v>
      </c>
      <c r="J1404" s="1">
        <v>46536</v>
      </c>
      <c r="K1404" t="s">
        <v>762</v>
      </c>
      <c r="L1404">
        <v>12939.3</v>
      </c>
      <c r="M1404">
        <v>12939.3</v>
      </c>
      <c r="N1404" t="s">
        <v>710</v>
      </c>
      <c r="O1404" t="s">
        <v>1033</v>
      </c>
      <c r="P1404" t="s">
        <v>4781</v>
      </c>
      <c r="Q1404" t="s">
        <v>4852</v>
      </c>
      <c r="R1404" t="s">
        <v>4771</v>
      </c>
    </row>
    <row r="1405" spans="1:18" x14ac:dyDescent="0.3">
      <c r="A1405">
        <v>303350</v>
      </c>
      <c r="B1405" t="s">
        <v>4874</v>
      </c>
      <c r="C1405" t="s">
        <v>389</v>
      </c>
      <c r="D1405" t="s">
        <v>32</v>
      </c>
      <c r="E1405" s="1">
        <v>46057</v>
      </c>
      <c r="F1405" t="s">
        <v>4299</v>
      </c>
      <c r="G1405" t="s">
        <v>3736</v>
      </c>
      <c r="H1405" t="s">
        <v>388</v>
      </c>
      <c r="I1405" t="s">
        <v>204</v>
      </c>
      <c r="J1405" s="1">
        <v>46752</v>
      </c>
      <c r="K1405" t="s">
        <v>785</v>
      </c>
      <c r="L1405">
        <v>1</v>
      </c>
      <c r="M1405">
        <v>44953.84</v>
      </c>
      <c r="N1405" t="s">
        <v>710</v>
      </c>
      <c r="O1405" t="s">
        <v>1038</v>
      </c>
      <c r="P1405" t="s">
        <v>4785</v>
      </c>
      <c r="Q1405" t="s">
        <v>4858</v>
      </c>
      <c r="R1405" t="s">
        <v>4771</v>
      </c>
    </row>
    <row r="1406" spans="1:18" x14ac:dyDescent="0.3">
      <c r="A1406">
        <v>51</v>
      </c>
      <c r="B1406" t="s">
        <v>4876</v>
      </c>
      <c r="C1406" t="s">
        <v>476</v>
      </c>
      <c r="D1406" t="s">
        <v>195</v>
      </c>
      <c r="E1406" s="1">
        <v>46057</v>
      </c>
      <c r="F1406" t="s">
        <v>4401</v>
      </c>
      <c r="G1406" t="s">
        <v>3716</v>
      </c>
      <c r="H1406" t="s">
        <v>475</v>
      </c>
      <c r="I1406" t="s">
        <v>204</v>
      </c>
      <c r="J1406" s="1">
        <v>54878</v>
      </c>
      <c r="K1406" t="s">
        <v>839</v>
      </c>
      <c r="L1406">
        <v>39330</v>
      </c>
      <c r="M1406">
        <v>39330</v>
      </c>
      <c r="N1406" t="s">
        <v>710</v>
      </c>
      <c r="O1406" t="s">
        <v>1042</v>
      </c>
      <c r="P1406" t="s">
        <v>1006</v>
      </c>
      <c r="Q1406" t="s">
        <v>4852</v>
      </c>
      <c r="R1406" t="s">
        <v>4771</v>
      </c>
    </row>
    <row r="1407" spans="1:18" x14ac:dyDescent="0.3">
      <c r="A1407">
        <v>2113702</v>
      </c>
      <c r="B1407" t="s">
        <v>4875</v>
      </c>
      <c r="C1407" t="s">
        <v>417</v>
      </c>
      <c r="D1407" t="s">
        <v>185</v>
      </c>
      <c r="E1407" s="1">
        <v>46057</v>
      </c>
      <c r="F1407" t="s">
        <v>4346</v>
      </c>
      <c r="G1407" t="s">
        <v>3709</v>
      </c>
      <c r="H1407" t="s">
        <v>684</v>
      </c>
      <c r="I1407" t="s">
        <v>204</v>
      </c>
      <c r="J1407" s="1">
        <v>55243</v>
      </c>
      <c r="K1407" t="s">
        <v>768</v>
      </c>
      <c r="L1407">
        <v>1</v>
      </c>
      <c r="M1407">
        <v>1054.4000000000001</v>
      </c>
      <c r="N1407" t="s">
        <v>710</v>
      </c>
      <c r="O1407" t="s">
        <v>1037</v>
      </c>
      <c r="P1407" t="s">
        <v>4810</v>
      </c>
      <c r="Q1407" t="s">
        <v>4852</v>
      </c>
      <c r="R1407" t="s">
        <v>807</v>
      </c>
    </row>
    <row r="1408" spans="1:18" x14ac:dyDescent="0.3">
      <c r="A1408">
        <v>1816974</v>
      </c>
      <c r="B1408" t="s">
        <v>4875</v>
      </c>
      <c r="C1408" t="s">
        <v>668</v>
      </c>
      <c r="D1408" t="s">
        <v>84</v>
      </c>
      <c r="E1408" s="1">
        <v>46057</v>
      </c>
      <c r="F1408" t="s">
        <v>4384</v>
      </c>
      <c r="G1408" t="s">
        <v>3707</v>
      </c>
      <c r="H1408" t="s">
        <v>670</v>
      </c>
      <c r="I1408" t="s">
        <v>204</v>
      </c>
      <c r="J1408" s="1">
        <v>46677</v>
      </c>
      <c r="K1408" t="s">
        <v>768</v>
      </c>
      <c r="L1408">
        <v>2200</v>
      </c>
      <c r="M1408">
        <v>2200</v>
      </c>
      <c r="N1408" t="s">
        <v>1000</v>
      </c>
      <c r="O1408" t="s">
        <v>1037</v>
      </c>
      <c r="P1408" t="s">
        <v>4799</v>
      </c>
      <c r="Q1408" t="s">
        <v>4852</v>
      </c>
      <c r="R1408" t="s">
        <v>807</v>
      </c>
    </row>
    <row r="1409" spans="1:18" x14ac:dyDescent="0.3">
      <c r="A1409">
        <v>168878</v>
      </c>
      <c r="B1409" t="s">
        <v>4875</v>
      </c>
      <c r="C1409" t="s">
        <v>301</v>
      </c>
      <c r="D1409" t="s">
        <v>23</v>
      </c>
      <c r="E1409" s="1">
        <v>46057</v>
      </c>
      <c r="F1409" t="s">
        <v>4321</v>
      </c>
      <c r="G1409" t="s">
        <v>3671</v>
      </c>
      <c r="H1409" t="s">
        <v>342</v>
      </c>
      <c r="I1409" t="s">
        <v>204</v>
      </c>
      <c r="J1409" s="1">
        <v>46285</v>
      </c>
      <c r="K1409" t="s">
        <v>748</v>
      </c>
      <c r="L1409">
        <v>5127.5200000000004</v>
      </c>
      <c r="M1409">
        <v>5127.51</v>
      </c>
      <c r="N1409" t="s">
        <v>710</v>
      </c>
      <c r="O1409" t="s">
        <v>1040</v>
      </c>
      <c r="P1409" t="s">
        <v>4782</v>
      </c>
      <c r="Q1409" t="s">
        <v>4856</v>
      </c>
      <c r="R1409" t="s">
        <v>4773</v>
      </c>
    </row>
    <row r="1410" spans="1:18" x14ac:dyDescent="0.3">
      <c r="A1410">
        <v>4106028</v>
      </c>
      <c r="B1410" t="s">
        <v>4875</v>
      </c>
      <c r="C1410" t="s">
        <v>417</v>
      </c>
      <c r="D1410" t="s">
        <v>185</v>
      </c>
      <c r="E1410" s="1">
        <v>46057</v>
      </c>
      <c r="F1410" t="s">
        <v>4335</v>
      </c>
      <c r="G1410" t="s">
        <v>3709</v>
      </c>
      <c r="H1410" t="s">
        <v>684</v>
      </c>
      <c r="I1410" t="s">
        <v>204</v>
      </c>
      <c r="J1410" s="1">
        <v>55243</v>
      </c>
      <c r="K1410" t="s">
        <v>768</v>
      </c>
      <c r="L1410">
        <v>1</v>
      </c>
      <c r="M1410">
        <v>481.67</v>
      </c>
      <c r="N1410" t="s">
        <v>710</v>
      </c>
      <c r="O1410" t="s">
        <v>1037</v>
      </c>
      <c r="P1410" t="s">
        <v>4810</v>
      </c>
      <c r="Q1410" t="s">
        <v>4852</v>
      </c>
      <c r="R1410" t="s">
        <v>807</v>
      </c>
    </row>
    <row r="1411" spans="1:18" x14ac:dyDescent="0.3">
      <c r="A1411">
        <v>1113</v>
      </c>
      <c r="B1411" t="s">
        <v>1034</v>
      </c>
      <c r="C1411" t="s">
        <v>585</v>
      </c>
      <c r="D1411" t="s">
        <v>179</v>
      </c>
      <c r="E1411" s="1">
        <v>46056</v>
      </c>
      <c r="F1411" t="s">
        <v>4306</v>
      </c>
      <c r="G1411" t="s">
        <v>3712</v>
      </c>
      <c r="H1411" t="s">
        <v>584</v>
      </c>
      <c r="I1411" t="s">
        <v>204</v>
      </c>
      <c r="J1411" s="1">
        <v>46477</v>
      </c>
      <c r="K1411" t="s">
        <v>717</v>
      </c>
      <c r="L1411">
        <v>1</v>
      </c>
      <c r="M1411">
        <v>1139.9000000000001</v>
      </c>
      <c r="N1411" t="s">
        <v>719</v>
      </c>
      <c r="O1411" t="s">
        <v>4833</v>
      </c>
      <c r="P1411" t="s">
        <v>4786</v>
      </c>
      <c r="Q1411" t="s">
        <v>4852</v>
      </c>
      <c r="R1411" t="s">
        <v>4771</v>
      </c>
    </row>
    <row r="1412" spans="1:18" x14ac:dyDescent="0.3">
      <c r="A1412">
        <v>42946</v>
      </c>
      <c r="B1412" t="s">
        <v>4875</v>
      </c>
      <c r="C1412" t="s">
        <v>327</v>
      </c>
      <c r="D1412" t="s">
        <v>159</v>
      </c>
      <c r="E1412" s="1">
        <v>46056</v>
      </c>
      <c r="F1412" t="s">
        <v>4295</v>
      </c>
      <c r="G1412" t="s">
        <v>3648</v>
      </c>
      <c r="H1412" t="s">
        <v>326</v>
      </c>
      <c r="I1412" t="s">
        <v>204</v>
      </c>
      <c r="J1412" s="1">
        <v>54878</v>
      </c>
      <c r="K1412" t="s">
        <v>748</v>
      </c>
      <c r="L1412">
        <v>1750</v>
      </c>
      <c r="M1412">
        <v>1750</v>
      </c>
      <c r="N1412" t="s">
        <v>719</v>
      </c>
      <c r="O1412" t="s">
        <v>4834</v>
      </c>
      <c r="P1412" t="s">
        <v>4776</v>
      </c>
      <c r="Q1412" t="s">
        <v>4856</v>
      </c>
      <c r="R1412" t="s">
        <v>4773</v>
      </c>
    </row>
    <row r="1413" spans="1:18" x14ac:dyDescent="0.3">
      <c r="A1413">
        <v>20</v>
      </c>
      <c r="B1413" t="s">
        <v>4875</v>
      </c>
      <c r="C1413" t="s">
        <v>322</v>
      </c>
      <c r="D1413" t="s">
        <v>158</v>
      </c>
      <c r="E1413" s="1">
        <v>46056</v>
      </c>
      <c r="F1413" t="s">
        <v>4431</v>
      </c>
      <c r="G1413" t="s">
        <v>3603</v>
      </c>
      <c r="H1413" t="s">
        <v>321</v>
      </c>
      <c r="I1413" t="s">
        <v>204</v>
      </c>
      <c r="J1413" s="1">
        <v>46310</v>
      </c>
      <c r="K1413" t="s">
        <v>748</v>
      </c>
      <c r="L1413">
        <v>1</v>
      </c>
      <c r="M1413">
        <v>4481.55</v>
      </c>
      <c r="N1413" t="s">
        <v>710</v>
      </c>
      <c r="O1413" t="s">
        <v>1040</v>
      </c>
      <c r="P1413" t="s">
        <v>4782</v>
      </c>
      <c r="Q1413" t="s">
        <v>4856</v>
      </c>
      <c r="R1413" t="s">
        <v>4773</v>
      </c>
    </row>
    <row r="1414" spans="1:18" x14ac:dyDescent="0.3">
      <c r="A1414">
        <v>273</v>
      </c>
      <c r="B1414" t="s">
        <v>1034</v>
      </c>
      <c r="C1414" t="s">
        <v>325</v>
      </c>
      <c r="D1414" t="s">
        <v>193</v>
      </c>
      <c r="E1414" s="1">
        <v>46056</v>
      </c>
      <c r="F1414" t="s">
        <v>4297</v>
      </c>
      <c r="G1414" t="s">
        <v>3605</v>
      </c>
      <c r="H1414" t="s">
        <v>324</v>
      </c>
      <c r="I1414" t="s">
        <v>204</v>
      </c>
      <c r="J1414" s="1">
        <v>54878</v>
      </c>
      <c r="K1414" t="s">
        <v>711</v>
      </c>
      <c r="L1414">
        <v>3900</v>
      </c>
      <c r="M1414">
        <v>3900</v>
      </c>
      <c r="N1414" t="s">
        <v>710</v>
      </c>
      <c r="O1414" t="s">
        <v>4844</v>
      </c>
      <c r="P1414" t="s">
        <v>4779</v>
      </c>
      <c r="Q1414" t="s">
        <v>4901</v>
      </c>
      <c r="R1414" t="s">
        <v>4773</v>
      </c>
    </row>
    <row r="1415" spans="1:18" x14ac:dyDescent="0.3">
      <c r="A1415">
        <v>19</v>
      </c>
      <c r="B1415" t="s">
        <v>4875</v>
      </c>
      <c r="C1415" t="s">
        <v>322</v>
      </c>
      <c r="D1415" t="s">
        <v>158</v>
      </c>
      <c r="E1415" s="1">
        <v>46056</v>
      </c>
      <c r="F1415" t="s">
        <v>4433</v>
      </c>
      <c r="G1415" t="s">
        <v>3602</v>
      </c>
      <c r="H1415" t="s">
        <v>346</v>
      </c>
      <c r="I1415" t="s">
        <v>204</v>
      </c>
      <c r="J1415" s="1">
        <v>46310</v>
      </c>
      <c r="K1415" t="s">
        <v>748</v>
      </c>
      <c r="L1415">
        <v>1</v>
      </c>
      <c r="M1415">
        <v>10830</v>
      </c>
      <c r="N1415" t="s">
        <v>710</v>
      </c>
      <c r="O1415" t="s">
        <v>1040</v>
      </c>
      <c r="P1415" t="s">
        <v>4782</v>
      </c>
      <c r="Q1415" t="s">
        <v>4856</v>
      </c>
      <c r="R1415" t="s">
        <v>4773</v>
      </c>
    </row>
    <row r="1416" spans="1:18" x14ac:dyDescent="0.3">
      <c r="A1416">
        <v>21</v>
      </c>
      <c r="B1416" t="s">
        <v>4875</v>
      </c>
      <c r="C1416" t="s">
        <v>322</v>
      </c>
      <c r="D1416" t="s">
        <v>158</v>
      </c>
      <c r="E1416" s="1">
        <v>46056</v>
      </c>
      <c r="F1416" t="s">
        <v>4432</v>
      </c>
      <c r="G1416" t="s">
        <v>3604</v>
      </c>
      <c r="H1416" t="s">
        <v>352</v>
      </c>
      <c r="I1416" t="s">
        <v>204</v>
      </c>
      <c r="J1416" s="1">
        <v>46310</v>
      </c>
      <c r="K1416" t="s">
        <v>748</v>
      </c>
      <c r="L1416">
        <v>1</v>
      </c>
      <c r="M1416">
        <v>1079.46</v>
      </c>
      <c r="N1416" t="s">
        <v>710</v>
      </c>
      <c r="O1416" t="s">
        <v>1040</v>
      </c>
      <c r="P1416" t="s">
        <v>4782</v>
      </c>
      <c r="Q1416" t="s">
        <v>4856</v>
      </c>
      <c r="R1416" t="s">
        <v>4773</v>
      </c>
    </row>
    <row r="1417" spans="1:18" x14ac:dyDescent="0.3">
      <c r="A1417">
        <v>7321</v>
      </c>
      <c r="B1417" t="s">
        <v>4874</v>
      </c>
      <c r="C1417" t="s">
        <v>387</v>
      </c>
      <c r="D1417" t="s">
        <v>42</v>
      </c>
      <c r="E1417" s="1">
        <v>46056</v>
      </c>
      <c r="F1417" t="s">
        <v>4345</v>
      </c>
      <c r="G1417" t="s">
        <v>3699</v>
      </c>
      <c r="H1417" t="s">
        <v>386</v>
      </c>
      <c r="I1417" t="s">
        <v>204</v>
      </c>
      <c r="J1417" s="1">
        <v>54878</v>
      </c>
      <c r="K1417" t="s">
        <v>762</v>
      </c>
      <c r="L1417">
        <v>1887</v>
      </c>
      <c r="M1417">
        <v>1887</v>
      </c>
      <c r="N1417" t="s">
        <v>719</v>
      </c>
      <c r="O1417" t="s">
        <v>4833</v>
      </c>
      <c r="P1417" t="s">
        <v>4776</v>
      </c>
      <c r="Q1417" t="s">
        <v>4852</v>
      </c>
      <c r="R1417" t="s">
        <v>4773</v>
      </c>
    </row>
    <row r="1418" spans="1:18" x14ac:dyDescent="0.3">
      <c r="A1418">
        <v>759316</v>
      </c>
      <c r="B1418" t="s">
        <v>4874</v>
      </c>
      <c r="C1418" t="s">
        <v>409</v>
      </c>
      <c r="D1418" t="s">
        <v>28</v>
      </c>
      <c r="E1418" s="1">
        <v>46056</v>
      </c>
      <c r="F1418" t="s">
        <v>4388</v>
      </c>
      <c r="G1418" t="s">
        <v>3706</v>
      </c>
      <c r="H1418" t="s">
        <v>408</v>
      </c>
      <c r="I1418" t="s">
        <v>204</v>
      </c>
      <c r="J1418" s="1">
        <v>54878</v>
      </c>
      <c r="K1418" t="s">
        <v>762</v>
      </c>
      <c r="L1418">
        <v>25182</v>
      </c>
      <c r="M1418">
        <v>25182.48</v>
      </c>
      <c r="N1418" t="s">
        <v>710</v>
      </c>
      <c r="O1418" t="s">
        <v>4833</v>
      </c>
      <c r="P1418" t="s">
        <v>4776</v>
      </c>
      <c r="Q1418" t="s">
        <v>4852</v>
      </c>
      <c r="R1418" t="s">
        <v>4773</v>
      </c>
    </row>
    <row r="1419" spans="1:18" x14ac:dyDescent="0.3">
      <c r="A1419">
        <v>1299</v>
      </c>
      <c r="B1419" t="s">
        <v>4874</v>
      </c>
      <c r="C1419" t="s">
        <v>305</v>
      </c>
      <c r="D1419" t="s">
        <v>59</v>
      </c>
      <c r="E1419" s="1">
        <v>46056</v>
      </c>
      <c r="F1419" t="s">
        <v>4359</v>
      </c>
      <c r="G1419" t="s">
        <v>3661</v>
      </c>
      <c r="H1419" t="s">
        <v>304</v>
      </c>
      <c r="I1419" t="s">
        <v>204</v>
      </c>
      <c r="J1419" s="1">
        <v>46481</v>
      </c>
      <c r="K1419" t="s">
        <v>720</v>
      </c>
      <c r="L1419">
        <v>1</v>
      </c>
      <c r="M1419">
        <v>1996.36</v>
      </c>
      <c r="N1419" t="s">
        <v>809</v>
      </c>
      <c r="O1419" t="s">
        <v>1038</v>
      </c>
      <c r="P1419" t="s">
        <v>4783</v>
      </c>
      <c r="Q1419" t="s">
        <v>4858</v>
      </c>
      <c r="R1419" t="s">
        <v>4771</v>
      </c>
    </row>
    <row r="1420" spans="1:18" x14ac:dyDescent="0.3">
      <c r="A1420">
        <v>1585275</v>
      </c>
      <c r="B1420" t="s">
        <v>4874</v>
      </c>
      <c r="C1420" t="s">
        <v>407</v>
      </c>
      <c r="D1420" t="s">
        <v>170</v>
      </c>
      <c r="E1420" s="1">
        <v>46056</v>
      </c>
      <c r="F1420" t="s">
        <v>4388</v>
      </c>
      <c r="G1420" t="s">
        <v>3698</v>
      </c>
      <c r="H1420" t="s">
        <v>406</v>
      </c>
      <c r="I1420" t="s">
        <v>204</v>
      </c>
      <c r="J1420" s="1">
        <v>46387</v>
      </c>
      <c r="K1420" t="s">
        <v>762</v>
      </c>
      <c r="L1420">
        <v>39472</v>
      </c>
      <c r="M1420">
        <v>39472.120000000003</v>
      </c>
      <c r="N1420" t="s">
        <v>710</v>
      </c>
      <c r="O1420" t="s">
        <v>4833</v>
      </c>
      <c r="P1420" t="s">
        <v>4776</v>
      </c>
      <c r="Q1420" t="s">
        <v>4852</v>
      </c>
      <c r="R1420" t="s">
        <v>4771</v>
      </c>
    </row>
    <row r="1421" spans="1:18" x14ac:dyDescent="0.3">
      <c r="A1421">
        <v>55</v>
      </c>
      <c r="B1421" t="s">
        <v>4875</v>
      </c>
      <c r="C1421" t="s">
        <v>312</v>
      </c>
      <c r="D1421" t="s">
        <v>73</v>
      </c>
      <c r="E1421" s="1">
        <v>46056</v>
      </c>
      <c r="F1421" t="s">
        <v>4300</v>
      </c>
      <c r="G1421" t="s">
        <v>3676</v>
      </c>
      <c r="H1421" t="s">
        <v>365</v>
      </c>
      <c r="I1421" t="s">
        <v>204</v>
      </c>
      <c r="J1421" s="1">
        <v>46418</v>
      </c>
      <c r="K1421" t="s">
        <v>748</v>
      </c>
      <c r="L1421">
        <v>2361</v>
      </c>
      <c r="M1421">
        <v>2361</v>
      </c>
      <c r="N1421" t="s">
        <v>710</v>
      </c>
      <c r="O1421" t="s">
        <v>4834</v>
      </c>
      <c r="P1421" t="s">
        <v>1006</v>
      </c>
      <c r="Q1421" t="s">
        <v>4856</v>
      </c>
      <c r="R1421" t="s">
        <v>4773</v>
      </c>
    </row>
    <row r="1422" spans="1:18" x14ac:dyDescent="0.3">
      <c r="A1422">
        <v>3452</v>
      </c>
      <c r="B1422" t="s">
        <v>4874</v>
      </c>
      <c r="C1422" t="s">
        <v>572</v>
      </c>
      <c r="D1422" t="s">
        <v>43</v>
      </c>
      <c r="E1422" s="1">
        <v>46056</v>
      </c>
      <c r="F1422" t="s">
        <v>4321</v>
      </c>
      <c r="G1422" t="s">
        <v>3688</v>
      </c>
      <c r="H1422" t="s">
        <v>571</v>
      </c>
      <c r="I1422" t="s">
        <v>204</v>
      </c>
      <c r="J1422" s="1">
        <v>46387</v>
      </c>
      <c r="K1422" t="s">
        <v>720</v>
      </c>
      <c r="L1422">
        <v>1</v>
      </c>
      <c r="M1422">
        <v>850</v>
      </c>
      <c r="N1422" t="s">
        <v>814</v>
      </c>
      <c r="O1422" t="s">
        <v>1038</v>
      </c>
      <c r="P1422" t="s">
        <v>4782</v>
      </c>
      <c r="Q1422" t="s">
        <v>4858</v>
      </c>
      <c r="R1422" t="s">
        <v>4771</v>
      </c>
    </row>
    <row r="1423" spans="1:18" x14ac:dyDescent="0.3">
      <c r="A1423">
        <v>42949</v>
      </c>
      <c r="B1423" t="s">
        <v>4875</v>
      </c>
      <c r="C1423" t="s">
        <v>327</v>
      </c>
      <c r="D1423" t="s">
        <v>159</v>
      </c>
      <c r="E1423" s="1">
        <v>46056</v>
      </c>
      <c r="F1423" t="s">
        <v>4295</v>
      </c>
      <c r="G1423" t="s">
        <v>3647</v>
      </c>
      <c r="H1423" t="s">
        <v>326</v>
      </c>
      <c r="I1423" t="s">
        <v>204</v>
      </c>
      <c r="J1423" s="1">
        <v>54878</v>
      </c>
      <c r="K1423" t="s">
        <v>748</v>
      </c>
      <c r="L1423">
        <v>2551.1</v>
      </c>
      <c r="M1423">
        <v>2551.1</v>
      </c>
      <c r="N1423" t="s">
        <v>719</v>
      </c>
      <c r="O1423" t="s">
        <v>4834</v>
      </c>
      <c r="P1423" t="s">
        <v>4776</v>
      </c>
      <c r="Q1423" t="s">
        <v>4856</v>
      </c>
      <c r="R1423" t="s">
        <v>4773</v>
      </c>
    </row>
    <row r="1424" spans="1:18" x14ac:dyDescent="0.3">
      <c r="A1424">
        <v>1114</v>
      </c>
      <c r="B1424" t="s">
        <v>4875</v>
      </c>
      <c r="C1424" t="s">
        <v>585</v>
      </c>
      <c r="D1424" t="s">
        <v>179</v>
      </c>
      <c r="E1424" s="1">
        <v>46056</v>
      </c>
      <c r="F1424" t="s">
        <v>4306</v>
      </c>
      <c r="G1424" t="s">
        <v>3713</v>
      </c>
      <c r="H1424" t="s">
        <v>586</v>
      </c>
      <c r="I1424" t="s">
        <v>204</v>
      </c>
      <c r="J1424" s="1">
        <v>46477</v>
      </c>
      <c r="K1424" t="s">
        <v>768</v>
      </c>
      <c r="L1424">
        <v>1</v>
      </c>
      <c r="M1424">
        <v>1139.9000000000001</v>
      </c>
      <c r="N1424" t="s">
        <v>719</v>
      </c>
      <c r="O1424" t="s">
        <v>4833</v>
      </c>
      <c r="P1424" t="s">
        <v>4786</v>
      </c>
      <c r="Q1424" t="s">
        <v>4852</v>
      </c>
      <c r="R1424" t="s">
        <v>4771</v>
      </c>
    </row>
    <row r="1425" spans="1:18" x14ac:dyDescent="0.3">
      <c r="A1425">
        <v>7293</v>
      </c>
      <c r="B1425" t="s">
        <v>1035</v>
      </c>
      <c r="C1425" t="s">
        <v>230</v>
      </c>
      <c r="D1425" t="s">
        <v>85</v>
      </c>
      <c r="E1425" s="1">
        <v>46055</v>
      </c>
      <c r="F1425" t="s">
        <v>4348</v>
      </c>
      <c r="G1425" t="s">
        <v>3696</v>
      </c>
      <c r="H1425" t="s">
        <v>229</v>
      </c>
      <c r="I1425" t="s">
        <v>204</v>
      </c>
      <c r="J1425" s="1">
        <v>46203</v>
      </c>
      <c r="K1425" t="s">
        <v>744</v>
      </c>
      <c r="L1425">
        <v>1</v>
      </c>
      <c r="M1425">
        <v>3718.59</v>
      </c>
      <c r="N1425" t="s">
        <v>710</v>
      </c>
      <c r="O1425" t="s">
        <v>1033</v>
      </c>
      <c r="P1425" t="s">
        <v>4781</v>
      </c>
      <c r="Q1425" t="s">
        <v>4852</v>
      </c>
      <c r="R1425" t="s">
        <v>4771</v>
      </c>
    </row>
    <row r="1426" spans="1:18" x14ac:dyDescent="0.3">
      <c r="A1426">
        <v>7321</v>
      </c>
      <c r="B1426" t="s">
        <v>1035</v>
      </c>
      <c r="C1426" t="s">
        <v>230</v>
      </c>
      <c r="D1426" t="s">
        <v>85</v>
      </c>
      <c r="E1426" s="1">
        <v>46055</v>
      </c>
      <c r="F1426" t="s">
        <v>4348</v>
      </c>
      <c r="G1426" t="s">
        <v>3697</v>
      </c>
      <c r="H1426" t="s">
        <v>229</v>
      </c>
      <c r="I1426" t="s">
        <v>204</v>
      </c>
      <c r="J1426" s="1">
        <v>46203</v>
      </c>
      <c r="K1426" t="s">
        <v>744</v>
      </c>
      <c r="L1426">
        <v>1</v>
      </c>
      <c r="M1426">
        <v>48517.85</v>
      </c>
      <c r="N1426" t="s">
        <v>710</v>
      </c>
      <c r="O1426" t="s">
        <v>1033</v>
      </c>
      <c r="P1426" t="s">
        <v>4781</v>
      </c>
      <c r="Q1426" t="s">
        <v>4852</v>
      </c>
      <c r="R1426" t="s">
        <v>4771</v>
      </c>
    </row>
    <row r="1427" spans="1:18" x14ac:dyDescent="0.3">
      <c r="A1427">
        <v>7302</v>
      </c>
      <c r="B1427" t="s">
        <v>1035</v>
      </c>
      <c r="C1427" t="s">
        <v>230</v>
      </c>
      <c r="D1427" t="s">
        <v>85</v>
      </c>
      <c r="E1427" s="1">
        <v>46055</v>
      </c>
      <c r="F1427" t="s">
        <v>4348</v>
      </c>
      <c r="G1427" t="s">
        <v>3696</v>
      </c>
      <c r="H1427" t="s">
        <v>229</v>
      </c>
      <c r="I1427" t="s">
        <v>204</v>
      </c>
      <c r="J1427" s="1">
        <v>46203</v>
      </c>
      <c r="K1427" t="s">
        <v>744</v>
      </c>
      <c r="L1427">
        <v>1</v>
      </c>
      <c r="M1427">
        <v>4265.59</v>
      </c>
      <c r="N1427" t="s">
        <v>710</v>
      </c>
      <c r="O1427" t="s">
        <v>1033</v>
      </c>
      <c r="P1427" t="s">
        <v>4781</v>
      </c>
      <c r="Q1427" t="s">
        <v>4852</v>
      </c>
      <c r="R1427" t="s">
        <v>4771</v>
      </c>
    </row>
    <row r="1428" spans="1:18" x14ac:dyDescent="0.3">
      <c r="A1428">
        <v>208</v>
      </c>
      <c r="B1428" t="s">
        <v>4874</v>
      </c>
      <c r="C1428" t="s">
        <v>222</v>
      </c>
      <c r="D1428" t="s">
        <v>80</v>
      </c>
      <c r="E1428" s="1">
        <v>46055</v>
      </c>
      <c r="F1428" t="s">
        <v>4419</v>
      </c>
      <c r="G1428" t="s">
        <v>3690</v>
      </c>
      <c r="H1428" t="s">
        <v>223</v>
      </c>
      <c r="I1428" t="s">
        <v>204</v>
      </c>
      <c r="J1428" s="1">
        <v>46504</v>
      </c>
      <c r="K1428" t="s">
        <v>720</v>
      </c>
      <c r="L1428">
        <v>1</v>
      </c>
      <c r="M1428">
        <v>390</v>
      </c>
      <c r="N1428" t="s">
        <v>710</v>
      </c>
      <c r="O1428" t="s">
        <v>4834</v>
      </c>
      <c r="P1428" t="s">
        <v>4778</v>
      </c>
      <c r="Q1428" t="s">
        <v>4858</v>
      </c>
      <c r="R1428" t="s">
        <v>4773</v>
      </c>
    </row>
    <row r="1429" spans="1:18" x14ac:dyDescent="0.3">
      <c r="A1429">
        <v>208</v>
      </c>
      <c r="B1429" t="s">
        <v>4874</v>
      </c>
      <c r="C1429" t="s">
        <v>222</v>
      </c>
      <c r="D1429" t="s">
        <v>80</v>
      </c>
      <c r="E1429" s="1">
        <v>46055</v>
      </c>
      <c r="F1429" t="s">
        <v>4419</v>
      </c>
      <c r="G1429" t="s">
        <v>3690</v>
      </c>
      <c r="H1429" t="s">
        <v>223</v>
      </c>
      <c r="I1429" t="s">
        <v>204</v>
      </c>
      <c r="J1429" s="1">
        <v>46504</v>
      </c>
      <c r="K1429" t="s">
        <v>720</v>
      </c>
      <c r="L1429">
        <v>1</v>
      </c>
      <c r="M1429">
        <v>500</v>
      </c>
      <c r="N1429" t="s">
        <v>710</v>
      </c>
      <c r="O1429" t="s">
        <v>4834</v>
      </c>
      <c r="P1429" t="s">
        <v>4778</v>
      </c>
      <c r="Q1429" t="s">
        <v>4858</v>
      </c>
      <c r="R1429" t="s">
        <v>4773</v>
      </c>
    </row>
    <row r="1430" spans="1:18" x14ac:dyDescent="0.3">
      <c r="A1430">
        <v>3255</v>
      </c>
      <c r="B1430" t="s">
        <v>4874</v>
      </c>
      <c r="C1430" t="s">
        <v>533</v>
      </c>
      <c r="D1430" t="s">
        <v>103</v>
      </c>
      <c r="E1430" s="1">
        <v>46055</v>
      </c>
      <c r="F1430" t="s">
        <v>4416</v>
      </c>
      <c r="G1430" t="s">
        <v>3556</v>
      </c>
      <c r="H1430" t="s">
        <v>532</v>
      </c>
      <c r="I1430" t="s">
        <v>204</v>
      </c>
      <c r="J1430" s="1">
        <v>46568</v>
      </c>
      <c r="K1430" t="s">
        <v>892</v>
      </c>
      <c r="L1430">
        <v>12367.55</v>
      </c>
      <c r="M1430">
        <v>12367.55</v>
      </c>
      <c r="N1430" t="s">
        <v>710</v>
      </c>
      <c r="O1430" t="s">
        <v>4811</v>
      </c>
      <c r="P1430" t="s">
        <v>4776</v>
      </c>
      <c r="Q1430" t="s">
        <v>4859</v>
      </c>
      <c r="R1430" t="s">
        <v>4771</v>
      </c>
    </row>
    <row r="1431" spans="1:18" x14ac:dyDescent="0.3">
      <c r="A1431">
        <v>208776</v>
      </c>
      <c r="B1431" t="s">
        <v>4874</v>
      </c>
      <c r="C1431" t="s">
        <v>467</v>
      </c>
      <c r="D1431" t="s">
        <v>175</v>
      </c>
      <c r="E1431" s="1">
        <v>46055</v>
      </c>
      <c r="F1431" t="s">
        <v>4315</v>
      </c>
      <c r="G1431" t="s">
        <v>3665</v>
      </c>
      <c r="H1431" t="s">
        <v>466</v>
      </c>
      <c r="I1431" t="s">
        <v>204</v>
      </c>
      <c r="J1431" s="1">
        <v>46266</v>
      </c>
      <c r="K1431" t="s">
        <v>762</v>
      </c>
      <c r="L1431">
        <v>1</v>
      </c>
      <c r="M1431">
        <v>16567.98</v>
      </c>
      <c r="N1431" t="s">
        <v>710</v>
      </c>
      <c r="O1431" t="s">
        <v>4845</v>
      </c>
      <c r="P1431" t="s">
        <v>4776</v>
      </c>
      <c r="Q1431" t="s">
        <v>4845</v>
      </c>
      <c r="R1431" t="s">
        <v>4773</v>
      </c>
    </row>
    <row r="1432" spans="1:18" x14ac:dyDescent="0.3">
      <c r="A1432">
        <v>17702</v>
      </c>
      <c r="B1432" t="s">
        <v>1034</v>
      </c>
      <c r="C1432" t="s">
        <v>359</v>
      </c>
      <c r="D1432" t="s">
        <v>53</v>
      </c>
      <c r="E1432" s="1">
        <v>46055</v>
      </c>
      <c r="F1432" t="s">
        <v>4305</v>
      </c>
      <c r="G1432" t="s">
        <v>3517</v>
      </c>
      <c r="H1432" t="s">
        <v>358</v>
      </c>
      <c r="I1432" t="s">
        <v>204</v>
      </c>
      <c r="J1432" s="1">
        <v>54878</v>
      </c>
      <c r="K1432" t="s">
        <v>711</v>
      </c>
      <c r="L1432">
        <v>1</v>
      </c>
      <c r="M1432">
        <v>1450</v>
      </c>
      <c r="N1432" t="s">
        <v>710</v>
      </c>
      <c r="O1432" t="s">
        <v>1036</v>
      </c>
      <c r="P1432" t="s">
        <v>4776</v>
      </c>
      <c r="Q1432" t="s">
        <v>4901</v>
      </c>
      <c r="R1432" t="s">
        <v>4773</v>
      </c>
    </row>
    <row r="1433" spans="1:18" x14ac:dyDescent="0.3">
      <c r="A1433">
        <v>7322</v>
      </c>
      <c r="B1433" t="s">
        <v>1035</v>
      </c>
      <c r="C1433" t="s">
        <v>230</v>
      </c>
      <c r="D1433" t="s">
        <v>85</v>
      </c>
      <c r="E1433" s="1">
        <v>46055</v>
      </c>
      <c r="F1433" t="s">
        <v>4348</v>
      </c>
      <c r="G1433" t="s">
        <v>3697</v>
      </c>
      <c r="H1433" t="s">
        <v>229</v>
      </c>
      <c r="I1433" t="s">
        <v>204</v>
      </c>
      <c r="J1433" s="1">
        <v>46203</v>
      </c>
      <c r="K1433" t="s">
        <v>744</v>
      </c>
      <c r="L1433">
        <v>1</v>
      </c>
      <c r="M1433">
        <v>20119.8</v>
      </c>
      <c r="N1433" t="s">
        <v>710</v>
      </c>
      <c r="O1433" t="s">
        <v>1033</v>
      </c>
      <c r="P1433" t="s">
        <v>4781</v>
      </c>
      <c r="Q1433" t="s">
        <v>4852</v>
      </c>
      <c r="R1433" t="s">
        <v>4771</v>
      </c>
    </row>
    <row r="1434" spans="1:18" x14ac:dyDescent="0.3">
      <c r="A1434">
        <v>208</v>
      </c>
      <c r="B1434" t="s">
        <v>4874</v>
      </c>
      <c r="C1434" t="s">
        <v>222</v>
      </c>
      <c r="D1434" t="s">
        <v>80</v>
      </c>
      <c r="E1434" s="1">
        <v>46055</v>
      </c>
      <c r="F1434" t="s">
        <v>4419</v>
      </c>
      <c r="G1434" t="s">
        <v>3690</v>
      </c>
      <c r="H1434" t="s">
        <v>223</v>
      </c>
      <c r="I1434" t="s">
        <v>204</v>
      </c>
      <c r="J1434" s="1">
        <v>46504</v>
      </c>
      <c r="K1434" t="s">
        <v>720</v>
      </c>
      <c r="L1434">
        <v>1</v>
      </c>
      <c r="M1434">
        <v>425</v>
      </c>
      <c r="N1434" t="s">
        <v>710</v>
      </c>
      <c r="O1434" t="s">
        <v>4834</v>
      </c>
      <c r="P1434" t="s">
        <v>4778</v>
      </c>
      <c r="Q1434" t="s">
        <v>4858</v>
      </c>
      <c r="R1434" t="s">
        <v>4773</v>
      </c>
    </row>
    <row r="1435" spans="1:18" x14ac:dyDescent="0.3">
      <c r="A1435">
        <v>17757</v>
      </c>
      <c r="B1435" t="s">
        <v>1034</v>
      </c>
      <c r="C1435" t="s">
        <v>632</v>
      </c>
      <c r="D1435" t="s">
        <v>41</v>
      </c>
      <c r="E1435" s="1">
        <v>46055</v>
      </c>
      <c r="F1435" t="s">
        <v>4352</v>
      </c>
      <c r="G1435" t="s">
        <v>3580</v>
      </c>
      <c r="H1435" t="s">
        <v>631</v>
      </c>
      <c r="I1435" t="s">
        <v>204</v>
      </c>
      <c r="J1435" s="1">
        <v>50860</v>
      </c>
      <c r="K1435" t="s">
        <v>717</v>
      </c>
      <c r="L1435">
        <v>1</v>
      </c>
      <c r="M1435">
        <v>6240</v>
      </c>
      <c r="N1435" t="s">
        <v>710</v>
      </c>
      <c r="O1435" t="s">
        <v>4833</v>
      </c>
      <c r="P1435" t="s">
        <v>4776</v>
      </c>
      <c r="Q1435" t="s">
        <v>4852</v>
      </c>
      <c r="R1435" t="s">
        <v>4771</v>
      </c>
    </row>
    <row r="1436" spans="1:18" x14ac:dyDescent="0.3">
      <c r="A1436">
        <v>7426</v>
      </c>
      <c r="B1436" t="s">
        <v>4874</v>
      </c>
      <c r="C1436" t="s">
        <v>628</v>
      </c>
      <c r="D1436" t="s">
        <v>25</v>
      </c>
      <c r="E1436" s="1">
        <v>46052</v>
      </c>
      <c r="F1436" t="s">
        <v>4415</v>
      </c>
      <c r="G1436" t="s">
        <v>3686</v>
      </c>
      <c r="H1436" t="s">
        <v>627</v>
      </c>
      <c r="I1436" t="s">
        <v>209</v>
      </c>
      <c r="J1436" s="1">
        <v>46476</v>
      </c>
      <c r="K1436" t="s">
        <v>720</v>
      </c>
      <c r="L1436">
        <v>1</v>
      </c>
      <c r="M1436">
        <v>380</v>
      </c>
      <c r="N1436" t="s">
        <v>710</v>
      </c>
      <c r="O1436" t="s">
        <v>1038</v>
      </c>
      <c r="P1436" t="s">
        <v>4776</v>
      </c>
      <c r="Q1436" t="s">
        <v>4858</v>
      </c>
      <c r="R1436" t="s">
        <v>4771</v>
      </c>
    </row>
    <row r="1437" spans="1:18" x14ac:dyDescent="0.3">
      <c r="A1437">
        <v>2</v>
      </c>
      <c r="B1437" t="s">
        <v>1034</v>
      </c>
      <c r="C1437" t="s">
        <v>656</v>
      </c>
      <c r="D1437" t="s">
        <v>56</v>
      </c>
      <c r="E1437" s="1">
        <v>46052</v>
      </c>
      <c r="F1437" t="s">
        <v>4383</v>
      </c>
      <c r="G1437" t="s">
        <v>3678</v>
      </c>
      <c r="H1437" t="s">
        <v>655</v>
      </c>
      <c r="I1437" t="s">
        <v>204</v>
      </c>
      <c r="J1437" s="1">
        <v>46600</v>
      </c>
      <c r="K1437" t="s">
        <v>711</v>
      </c>
      <c r="L1437">
        <v>5024.43</v>
      </c>
      <c r="M1437">
        <v>5024.43</v>
      </c>
      <c r="N1437" t="s">
        <v>814</v>
      </c>
      <c r="O1437" t="s">
        <v>1036</v>
      </c>
      <c r="P1437" t="s">
        <v>4776</v>
      </c>
      <c r="Q1437" t="s">
        <v>4901</v>
      </c>
      <c r="R1437" t="s">
        <v>807</v>
      </c>
    </row>
    <row r="1438" spans="1:18" x14ac:dyDescent="0.3">
      <c r="A1438">
        <v>4</v>
      </c>
      <c r="B1438" t="s">
        <v>1034</v>
      </c>
      <c r="C1438" t="s">
        <v>507</v>
      </c>
      <c r="D1438" t="s">
        <v>18</v>
      </c>
      <c r="E1438" s="1">
        <v>46052</v>
      </c>
      <c r="F1438" t="s">
        <v>4322</v>
      </c>
      <c r="G1438" t="s">
        <v>1297</v>
      </c>
      <c r="H1438" t="s">
        <v>506</v>
      </c>
      <c r="I1438" t="s">
        <v>204</v>
      </c>
      <c r="J1438" s="1">
        <v>46741</v>
      </c>
      <c r="K1438" t="s">
        <v>711</v>
      </c>
      <c r="L1438">
        <v>6300</v>
      </c>
      <c r="M1438">
        <v>6300</v>
      </c>
      <c r="N1438" t="s">
        <v>710</v>
      </c>
      <c r="O1438" t="s">
        <v>1036</v>
      </c>
      <c r="P1438" t="s">
        <v>4777</v>
      </c>
      <c r="Q1438" t="s">
        <v>4901</v>
      </c>
      <c r="R1438" t="s">
        <v>4773</v>
      </c>
    </row>
    <row r="1439" spans="1:18" x14ac:dyDescent="0.3">
      <c r="A1439">
        <v>17606</v>
      </c>
      <c r="B1439" t="s">
        <v>1034</v>
      </c>
      <c r="C1439" t="s">
        <v>632</v>
      </c>
      <c r="D1439" t="s">
        <v>41</v>
      </c>
      <c r="E1439" s="1">
        <v>46052</v>
      </c>
      <c r="F1439" t="s">
        <v>4352</v>
      </c>
      <c r="G1439" t="s">
        <v>3580</v>
      </c>
      <c r="H1439" t="s">
        <v>631</v>
      </c>
      <c r="I1439" t="s">
        <v>204</v>
      </c>
      <c r="J1439" s="1">
        <v>50860</v>
      </c>
      <c r="K1439" t="s">
        <v>717</v>
      </c>
      <c r="L1439">
        <v>1</v>
      </c>
      <c r="M1439">
        <v>6240</v>
      </c>
      <c r="N1439" t="s">
        <v>710</v>
      </c>
      <c r="O1439" t="s">
        <v>4833</v>
      </c>
      <c r="P1439" t="s">
        <v>4776</v>
      </c>
      <c r="Q1439" t="s">
        <v>4852</v>
      </c>
      <c r="R1439" t="s">
        <v>4771</v>
      </c>
    </row>
    <row r="1440" spans="1:18" x14ac:dyDescent="0.3">
      <c r="A1440">
        <v>7426</v>
      </c>
      <c r="B1440" t="s">
        <v>4874</v>
      </c>
      <c r="C1440" t="s">
        <v>628</v>
      </c>
      <c r="D1440" t="s">
        <v>25</v>
      </c>
      <c r="E1440" s="1">
        <v>46052</v>
      </c>
      <c r="F1440" t="s">
        <v>4415</v>
      </c>
      <c r="G1440" t="s">
        <v>3686</v>
      </c>
      <c r="H1440" t="s">
        <v>627</v>
      </c>
      <c r="I1440" t="s">
        <v>209</v>
      </c>
      <c r="J1440" s="1">
        <v>46476</v>
      </c>
      <c r="K1440" t="s">
        <v>720</v>
      </c>
      <c r="L1440">
        <v>1</v>
      </c>
      <c r="M1440">
        <v>380</v>
      </c>
      <c r="N1440" t="s">
        <v>710</v>
      </c>
      <c r="O1440" t="s">
        <v>1038</v>
      </c>
      <c r="P1440" t="s">
        <v>4776</v>
      </c>
      <c r="Q1440" t="s">
        <v>4858</v>
      </c>
      <c r="R1440" t="s">
        <v>4771</v>
      </c>
    </row>
    <row r="1441" spans="1:18" x14ac:dyDescent="0.3">
      <c r="A1441">
        <v>7425</v>
      </c>
      <c r="B1441" t="s">
        <v>4874</v>
      </c>
      <c r="C1441" t="s">
        <v>628</v>
      </c>
      <c r="D1441" t="s">
        <v>25</v>
      </c>
      <c r="E1441" s="1">
        <v>46052</v>
      </c>
      <c r="F1441" t="s">
        <v>4415</v>
      </c>
      <c r="G1441" t="s">
        <v>3606</v>
      </c>
      <c r="H1441" t="s">
        <v>627</v>
      </c>
      <c r="I1441" t="s">
        <v>209</v>
      </c>
      <c r="J1441" s="1">
        <v>46476</v>
      </c>
      <c r="K1441" t="s">
        <v>720</v>
      </c>
      <c r="L1441">
        <v>1</v>
      </c>
      <c r="M1441">
        <v>380</v>
      </c>
      <c r="N1441" t="s">
        <v>710</v>
      </c>
      <c r="O1441" t="s">
        <v>1038</v>
      </c>
      <c r="P1441" t="s">
        <v>4776</v>
      </c>
      <c r="Q1441" t="s">
        <v>4858</v>
      </c>
      <c r="R1441" t="s">
        <v>4771</v>
      </c>
    </row>
    <row r="1442" spans="1:18" x14ac:dyDescent="0.3">
      <c r="A1442">
        <v>79665</v>
      </c>
      <c r="B1442" t="s">
        <v>4874</v>
      </c>
      <c r="C1442" t="s">
        <v>634</v>
      </c>
      <c r="D1442" t="s">
        <v>99</v>
      </c>
      <c r="E1442" s="1">
        <v>46051</v>
      </c>
      <c r="F1442" t="s">
        <v>4310</v>
      </c>
      <c r="G1442" t="s">
        <v>3674</v>
      </c>
      <c r="H1442" t="s">
        <v>633</v>
      </c>
      <c r="I1442" t="s">
        <v>204</v>
      </c>
      <c r="J1442" s="1">
        <v>46204</v>
      </c>
      <c r="K1442" t="s">
        <v>762</v>
      </c>
      <c r="L1442">
        <v>48</v>
      </c>
      <c r="M1442">
        <v>175.68</v>
      </c>
      <c r="N1442" t="s">
        <v>719</v>
      </c>
      <c r="O1442" t="s">
        <v>1037</v>
      </c>
      <c r="P1442" t="s">
        <v>4790</v>
      </c>
      <c r="Q1442" t="s">
        <v>4852</v>
      </c>
    </row>
    <row r="1443" spans="1:18" x14ac:dyDescent="0.3">
      <c r="A1443">
        <v>79665</v>
      </c>
      <c r="B1443" t="s">
        <v>4874</v>
      </c>
      <c r="C1443" t="s">
        <v>634</v>
      </c>
      <c r="D1443" t="s">
        <v>99</v>
      </c>
      <c r="E1443" s="1">
        <v>46051</v>
      </c>
      <c r="F1443" t="s">
        <v>4394</v>
      </c>
      <c r="G1443" t="s">
        <v>3674</v>
      </c>
      <c r="H1443" t="s">
        <v>633</v>
      </c>
      <c r="I1443" t="s">
        <v>204</v>
      </c>
      <c r="J1443" s="1">
        <v>46204</v>
      </c>
      <c r="K1443" t="s">
        <v>762</v>
      </c>
      <c r="L1443">
        <v>1160</v>
      </c>
      <c r="M1443">
        <v>1160</v>
      </c>
      <c r="N1443" t="s">
        <v>719</v>
      </c>
      <c r="O1443" t="s">
        <v>1037</v>
      </c>
      <c r="P1443" t="s">
        <v>4790</v>
      </c>
      <c r="Q1443" t="s">
        <v>4852</v>
      </c>
    </row>
    <row r="1444" spans="1:18" x14ac:dyDescent="0.3">
      <c r="A1444">
        <v>79665</v>
      </c>
      <c r="B1444" t="s">
        <v>4874</v>
      </c>
      <c r="C1444" t="s">
        <v>634</v>
      </c>
      <c r="D1444" t="s">
        <v>99</v>
      </c>
      <c r="E1444" s="1">
        <v>46051</v>
      </c>
      <c r="F1444" t="s">
        <v>4307</v>
      </c>
      <c r="G1444" t="s">
        <v>3674</v>
      </c>
      <c r="H1444" t="s">
        <v>633</v>
      </c>
      <c r="I1444" t="s">
        <v>204</v>
      </c>
      <c r="J1444" s="1">
        <v>46204</v>
      </c>
      <c r="K1444" t="s">
        <v>762</v>
      </c>
      <c r="L1444">
        <v>1160</v>
      </c>
      <c r="M1444">
        <v>18084.400000000001</v>
      </c>
      <c r="N1444" t="s">
        <v>719</v>
      </c>
      <c r="O1444" t="s">
        <v>1037</v>
      </c>
      <c r="P1444" t="s">
        <v>4790</v>
      </c>
      <c r="Q1444" t="s">
        <v>4852</v>
      </c>
    </row>
    <row r="1445" spans="1:18" x14ac:dyDescent="0.3">
      <c r="A1445">
        <v>79665</v>
      </c>
      <c r="B1445" t="s">
        <v>4874</v>
      </c>
      <c r="C1445" t="s">
        <v>634</v>
      </c>
      <c r="D1445" t="s">
        <v>99</v>
      </c>
      <c r="E1445" s="1">
        <v>46051</v>
      </c>
      <c r="F1445" t="s">
        <v>4308</v>
      </c>
      <c r="G1445" t="s">
        <v>3674</v>
      </c>
      <c r="H1445" t="s">
        <v>633</v>
      </c>
      <c r="I1445" t="s">
        <v>204</v>
      </c>
      <c r="J1445" s="1">
        <v>46204</v>
      </c>
      <c r="K1445" t="s">
        <v>762</v>
      </c>
      <c r="L1445">
        <v>59</v>
      </c>
      <c r="M1445">
        <v>287.33</v>
      </c>
      <c r="N1445" t="s">
        <v>719</v>
      </c>
      <c r="O1445" t="s">
        <v>1037</v>
      </c>
      <c r="P1445" t="s">
        <v>4790</v>
      </c>
      <c r="Q1445" t="s">
        <v>4852</v>
      </c>
    </row>
    <row r="1446" spans="1:18" x14ac:dyDescent="0.3">
      <c r="A1446">
        <v>202622</v>
      </c>
      <c r="B1446" t="s">
        <v>1034</v>
      </c>
      <c r="C1446" t="s">
        <v>364</v>
      </c>
      <c r="D1446" t="s">
        <v>72</v>
      </c>
      <c r="E1446" s="1">
        <v>46051</v>
      </c>
      <c r="F1446" t="s">
        <v>4295</v>
      </c>
      <c r="G1446" t="s">
        <v>3573</v>
      </c>
      <c r="H1446" t="s">
        <v>363</v>
      </c>
      <c r="I1446" t="s">
        <v>209</v>
      </c>
      <c r="J1446" s="1">
        <v>46092</v>
      </c>
      <c r="K1446" t="s">
        <v>711</v>
      </c>
      <c r="L1446">
        <v>7788</v>
      </c>
      <c r="M1446">
        <v>7788</v>
      </c>
      <c r="N1446" t="s">
        <v>710</v>
      </c>
      <c r="O1446" t="s">
        <v>4834</v>
      </c>
      <c r="P1446" t="s">
        <v>4776</v>
      </c>
      <c r="Q1446" t="s">
        <v>4901</v>
      </c>
      <c r="R1446" t="s">
        <v>4773</v>
      </c>
    </row>
    <row r="1447" spans="1:18" x14ac:dyDescent="0.3">
      <c r="A1447">
        <v>2580</v>
      </c>
      <c r="B1447" t="s">
        <v>1034</v>
      </c>
      <c r="C1447" t="s">
        <v>278</v>
      </c>
      <c r="D1447" t="s">
        <v>17</v>
      </c>
      <c r="E1447" s="1">
        <v>46051</v>
      </c>
      <c r="F1447" t="s">
        <v>4340</v>
      </c>
      <c r="G1447" t="s">
        <v>3659</v>
      </c>
      <c r="H1447" t="s">
        <v>510</v>
      </c>
      <c r="I1447" t="s">
        <v>204</v>
      </c>
      <c r="J1447" s="1">
        <v>46599</v>
      </c>
      <c r="K1447" t="s">
        <v>711</v>
      </c>
      <c r="L1447">
        <v>1</v>
      </c>
      <c r="M1447">
        <v>600</v>
      </c>
      <c r="N1447" t="s">
        <v>710</v>
      </c>
      <c r="O1447" t="s">
        <v>1036</v>
      </c>
      <c r="P1447" t="s">
        <v>4776</v>
      </c>
      <c r="Q1447" t="s">
        <v>4901</v>
      </c>
      <c r="R1447" t="s">
        <v>4771</v>
      </c>
    </row>
    <row r="1448" spans="1:18" x14ac:dyDescent="0.3">
      <c r="A1448">
        <v>340</v>
      </c>
      <c r="B1448" t="s">
        <v>1034</v>
      </c>
      <c r="C1448" t="s">
        <v>479</v>
      </c>
      <c r="D1448" t="s">
        <v>99</v>
      </c>
      <c r="E1448" s="1">
        <v>46050</v>
      </c>
      <c r="F1448" t="s">
        <v>4307</v>
      </c>
      <c r="G1448" t="s">
        <v>3673</v>
      </c>
      <c r="H1448" t="s">
        <v>478</v>
      </c>
      <c r="I1448" t="s">
        <v>204</v>
      </c>
      <c r="J1448" s="1">
        <v>46239</v>
      </c>
      <c r="K1448" t="s">
        <v>717</v>
      </c>
      <c r="L1448">
        <v>1703</v>
      </c>
      <c r="M1448">
        <v>20793.63</v>
      </c>
      <c r="N1448" t="s">
        <v>710</v>
      </c>
      <c r="O1448" t="s">
        <v>1037</v>
      </c>
      <c r="P1448" t="s">
        <v>4790</v>
      </c>
      <c r="Q1448" t="s">
        <v>4852</v>
      </c>
      <c r="R1448" t="s">
        <v>4772</v>
      </c>
    </row>
    <row r="1449" spans="1:18" x14ac:dyDescent="0.3">
      <c r="A1449">
        <v>39025</v>
      </c>
      <c r="B1449" t="s">
        <v>4875</v>
      </c>
      <c r="C1449" t="s">
        <v>530</v>
      </c>
      <c r="D1449" t="s">
        <v>24</v>
      </c>
      <c r="E1449" s="1">
        <v>46050</v>
      </c>
      <c r="F1449" t="s">
        <v>4297</v>
      </c>
      <c r="G1449" t="s">
        <v>3655</v>
      </c>
      <c r="H1449" t="s">
        <v>529</v>
      </c>
      <c r="I1449" t="s">
        <v>204</v>
      </c>
      <c r="J1449" s="1">
        <v>46477</v>
      </c>
      <c r="K1449" t="s">
        <v>748</v>
      </c>
      <c r="L1449">
        <v>1</v>
      </c>
      <c r="M1449">
        <v>8033.45</v>
      </c>
      <c r="N1449" t="s">
        <v>710</v>
      </c>
      <c r="O1449" t="s">
        <v>1040</v>
      </c>
      <c r="P1449" t="s">
        <v>4779</v>
      </c>
      <c r="Q1449" t="s">
        <v>4856</v>
      </c>
      <c r="R1449" t="s">
        <v>4773</v>
      </c>
    </row>
    <row r="1450" spans="1:18" x14ac:dyDescent="0.3">
      <c r="A1450">
        <v>340</v>
      </c>
      <c r="B1450" t="s">
        <v>1034</v>
      </c>
      <c r="C1450" t="s">
        <v>479</v>
      </c>
      <c r="D1450" t="s">
        <v>99</v>
      </c>
      <c r="E1450" s="1">
        <v>46050</v>
      </c>
      <c r="F1450" t="s">
        <v>4372</v>
      </c>
      <c r="G1450" t="s">
        <v>3673</v>
      </c>
      <c r="H1450" t="s">
        <v>478</v>
      </c>
      <c r="I1450" t="s">
        <v>204</v>
      </c>
      <c r="J1450" s="1">
        <v>46239</v>
      </c>
      <c r="K1450" t="s">
        <v>717</v>
      </c>
      <c r="L1450">
        <v>36</v>
      </c>
      <c r="M1450">
        <v>306.72000000000003</v>
      </c>
      <c r="N1450" t="s">
        <v>710</v>
      </c>
      <c r="O1450" t="s">
        <v>1037</v>
      </c>
      <c r="P1450" t="s">
        <v>4790</v>
      </c>
      <c r="Q1450" t="s">
        <v>4852</v>
      </c>
      <c r="R1450" t="s">
        <v>4772</v>
      </c>
    </row>
    <row r="1451" spans="1:18" x14ac:dyDescent="0.3">
      <c r="A1451">
        <v>2355</v>
      </c>
      <c r="B1451" t="s">
        <v>1034</v>
      </c>
      <c r="C1451" t="s">
        <v>616</v>
      </c>
      <c r="D1451" t="s">
        <v>152</v>
      </c>
      <c r="E1451" s="1">
        <v>46050</v>
      </c>
      <c r="F1451" t="s">
        <v>4338</v>
      </c>
      <c r="G1451" t="s">
        <v>3656</v>
      </c>
      <c r="H1451" t="s">
        <v>621</v>
      </c>
      <c r="I1451" t="s">
        <v>204</v>
      </c>
      <c r="J1451" s="1">
        <v>46349</v>
      </c>
      <c r="K1451" t="s">
        <v>711</v>
      </c>
      <c r="L1451">
        <v>67259.55</v>
      </c>
      <c r="M1451">
        <v>67259.55</v>
      </c>
      <c r="N1451" t="s">
        <v>710</v>
      </c>
      <c r="O1451" t="s">
        <v>4904</v>
      </c>
      <c r="P1451" t="s">
        <v>4796</v>
      </c>
      <c r="Q1451" t="s">
        <v>4901</v>
      </c>
      <c r="R1451" t="s">
        <v>4772</v>
      </c>
    </row>
    <row r="1452" spans="1:18" x14ac:dyDescent="0.3">
      <c r="A1452">
        <v>340</v>
      </c>
      <c r="B1452" t="s">
        <v>1034</v>
      </c>
      <c r="C1452" t="s">
        <v>479</v>
      </c>
      <c r="D1452" t="s">
        <v>99</v>
      </c>
      <c r="E1452" s="1">
        <v>46050</v>
      </c>
      <c r="F1452" t="s">
        <v>4308</v>
      </c>
      <c r="G1452" t="s">
        <v>3673</v>
      </c>
      <c r="H1452" t="s">
        <v>478</v>
      </c>
      <c r="I1452" t="s">
        <v>204</v>
      </c>
      <c r="J1452" s="1">
        <v>46239</v>
      </c>
      <c r="K1452" t="s">
        <v>717</v>
      </c>
      <c r="L1452">
        <v>1190</v>
      </c>
      <c r="M1452">
        <v>4712.3999999999996</v>
      </c>
      <c r="N1452" t="s">
        <v>710</v>
      </c>
      <c r="O1452" t="s">
        <v>1037</v>
      </c>
      <c r="P1452" t="s">
        <v>4790</v>
      </c>
      <c r="Q1452" t="s">
        <v>4852</v>
      </c>
      <c r="R1452" t="s">
        <v>4772</v>
      </c>
    </row>
    <row r="1453" spans="1:18" x14ac:dyDescent="0.3">
      <c r="A1453">
        <v>815</v>
      </c>
      <c r="B1453" t="s">
        <v>1034</v>
      </c>
      <c r="C1453" t="s">
        <v>603</v>
      </c>
      <c r="D1453" t="s">
        <v>69</v>
      </c>
      <c r="E1453" s="1">
        <v>46050</v>
      </c>
      <c r="F1453" t="s">
        <v>4345</v>
      </c>
      <c r="G1453" t="s">
        <v>3545</v>
      </c>
      <c r="H1453" t="s">
        <v>602</v>
      </c>
      <c r="I1453" t="s">
        <v>209</v>
      </c>
      <c r="J1453" s="1">
        <v>46276</v>
      </c>
      <c r="K1453" t="s">
        <v>720</v>
      </c>
      <c r="L1453">
        <v>1</v>
      </c>
      <c r="M1453">
        <v>2413.6799999999998</v>
      </c>
      <c r="N1453" t="s">
        <v>954</v>
      </c>
      <c r="O1453" t="s">
        <v>4834</v>
      </c>
      <c r="P1453" t="s">
        <v>952</v>
      </c>
      <c r="Q1453" t="s">
        <v>4901</v>
      </c>
      <c r="R1453" t="s">
        <v>4771</v>
      </c>
    </row>
    <row r="1454" spans="1:18" x14ac:dyDescent="0.3">
      <c r="A1454">
        <v>169383</v>
      </c>
      <c r="B1454" t="s">
        <v>4874</v>
      </c>
      <c r="C1454" t="s">
        <v>415</v>
      </c>
      <c r="D1454" t="s">
        <v>60</v>
      </c>
      <c r="E1454" s="1">
        <v>46050</v>
      </c>
      <c r="F1454" t="s">
        <v>4333</v>
      </c>
      <c r="G1454" t="s">
        <v>3666</v>
      </c>
      <c r="H1454" t="s">
        <v>457</v>
      </c>
      <c r="I1454" t="s">
        <v>204</v>
      </c>
      <c r="J1454" s="1">
        <v>46387</v>
      </c>
      <c r="K1454" t="s">
        <v>762</v>
      </c>
      <c r="L1454">
        <v>2745.65</v>
      </c>
      <c r="M1454">
        <v>2745.65</v>
      </c>
      <c r="N1454" t="s">
        <v>814</v>
      </c>
      <c r="O1454" t="s">
        <v>1037</v>
      </c>
      <c r="P1454" t="s">
        <v>4807</v>
      </c>
      <c r="Q1454" t="s">
        <v>4852</v>
      </c>
      <c r="R1454" t="s">
        <v>4771</v>
      </c>
    </row>
    <row r="1455" spans="1:18" x14ac:dyDescent="0.3">
      <c r="A1455">
        <v>169384</v>
      </c>
      <c r="B1455" t="s">
        <v>4875</v>
      </c>
      <c r="C1455" t="s">
        <v>415</v>
      </c>
      <c r="D1455" t="s">
        <v>60</v>
      </c>
      <c r="E1455" s="1">
        <v>46050</v>
      </c>
      <c r="F1455" t="s">
        <v>4333</v>
      </c>
      <c r="G1455" t="s">
        <v>3667</v>
      </c>
      <c r="H1455" t="s">
        <v>414</v>
      </c>
      <c r="I1455" t="s">
        <v>204</v>
      </c>
      <c r="J1455" s="1">
        <v>46386</v>
      </c>
      <c r="K1455" t="s">
        <v>768</v>
      </c>
      <c r="L1455">
        <v>1764.44</v>
      </c>
      <c r="M1455">
        <v>1764.44</v>
      </c>
      <c r="N1455" t="s">
        <v>814</v>
      </c>
      <c r="O1455" t="s">
        <v>1037</v>
      </c>
      <c r="P1455" t="s">
        <v>4807</v>
      </c>
      <c r="Q1455" t="s">
        <v>4852</v>
      </c>
      <c r="R1455" t="s">
        <v>4771</v>
      </c>
    </row>
    <row r="1456" spans="1:18" x14ac:dyDescent="0.3">
      <c r="A1456">
        <v>62</v>
      </c>
      <c r="B1456" t="s">
        <v>1034</v>
      </c>
      <c r="C1456" t="s">
        <v>449</v>
      </c>
      <c r="D1456" t="s">
        <v>20</v>
      </c>
      <c r="E1456" s="1">
        <v>46049</v>
      </c>
      <c r="F1456" t="s">
        <v>4331</v>
      </c>
      <c r="G1456" t="s">
        <v>3663</v>
      </c>
      <c r="H1456" t="s">
        <v>448</v>
      </c>
      <c r="I1456" t="s">
        <v>204</v>
      </c>
      <c r="J1456" s="1">
        <v>46219</v>
      </c>
      <c r="K1456" t="s">
        <v>717</v>
      </c>
      <c r="L1456">
        <v>9490.7999999999993</v>
      </c>
      <c r="M1456">
        <v>9490.7999999999993</v>
      </c>
      <c r="N1456" t="s">
        <v>710</v>
      </c>
      <c r="O1456" t="s">
        <v>4902</v>
      </c>
      <c r="P1456" t="s">
        <v>4776</v>
      </c>
      <c r="Q1456" t="s">
        <v>4852</v>
      </c>
      <c r="R1456" t="s">
        <v>4771</v>
      </c>
    </row>
    <row r="1457" spans="1:18" x14ac:dyDescent="0.3">
      <c r="A1457">
        <v>2364</v>
      </c>
      <c r="B1457" t="s">
        <v>4875</v>
      </c>
      <c r="C1457" t="s">
        <v>616</v>
      </c>
      <c r="D1457" t="s">
        <v>152</v>
      </c>
      <c r="E1457" s="1">
        <v>46049</v>
      </c>
      <c r="F1457" t="s">
        <v>4338</v>
      </c>
      <c r="G1457" t="s">
        <v>3435</v>
      </c>
      <c r="H1457" t="s">
        <v>622</v>
      </c>
      <c r="I1457" t="s">
        <v>204</v>
      </c>
      <c r="J1457" s="1">
        <v>46351</v>
      </c>
      <c r="K1457" t="s">
        <v>748</v>
      </c>
      <c r="L1457">
        <v>28600.99</v>
      </c>
      <c r="M1457">
        <v>28600.99</v>
      </c>
      <c r="N1457" t="s">
        <v>710</v>
      </c>
      <c r="O1457" t="s">
        <v>4904</v>
      </c>
      <c r="P1457" t="s">
        <v>4796</v>
      </c>
      <c r="Q1457" t="s">
        <v>4856</v>
      </c>
      <c r="R1457" t="s">
        <v>4772</v>
      </c>
    </row>
    <row r="1458" spans="1:18" x14ac:dyDescent="0.3">
      <c r="A1458">
        <v>206445</v>
      </c>
      <c r="B1458" t="s">
        <v>4874</v>
      </c>
      <c r="C1458" t="s">
        <v>467</v>
      </c>
      <c r="D1458" t="s">
        <v>175</v>
      </c>
      <c r="E1458" s="1">
        <v>46049</v>
      </c>
      <c r="F1458" t="s">
        <v>4315</v>
      </c>
      <c r="G1458" t="s">
        <v>3665</v>
      </c>
      <c r="H1458" t="s">
        <v>466</v>
      </c>
      <c r="I1458" t="s">
        <v>204</v>
      </c>
      <c r="J1458" s="1">
        <v>46266</v>
      </c>
      <c r="K1458" t="s">
        <v>762</v>
      </c>
      <c r="L1458">
        <v>1</v>
      </c>
      <c r="M1458">
        <v>16567.98</v>
      </c>
      <c r="N1458" t="s">
        <v>710</v>
      </c>
      <c r="O1458" t="s">
        <v>4845</v>
      </c>
      <c r="P1458" t="s">
        <v>4776</v>
      </c>
      <c r="Q1458" t="s">
        <v>4845</v>
      </c>
      <c r="R1458" t="s">
        <v>4773</v>
      </c>
    </row>
    <row r="1459" spans="1:18" x14ac:dyDescent="0.3">
      <c r="A1459">
        <v>725</v>
      </c>
      <c r="B1459" t="s">
        <v>1034</v>
      </c>
      <c r="C1459" t="s">
        <v>319</v>
      </c>
      <c r="D1459" t="s">
        <v>36</v>
      </c>
      <c r="E1459" s="1">
        <v>46049</v>
      </c>
      <c r="F1459" t="s">
        <v>4298</v>
      </c>
      <c r="G1459" t="s">
        <v>3672</v>
      </c>
      <c r="H1459" t="s">
        <v>318</v>
      </c>
      <c r="I1459" t="s">
        <v>204</v>
      </c>
      <c r="J1459" s="1">
        <v>46214</v>
      </c>
      <c r="K1459" t="s">
        <v>711</v>
      </c>
      <c r="L1459">
        <v>886</v>
      </c>
      <c r="M1459">
        <v>885.71</v>
      </c>
      <c r="N1459" t="s">
        <v>710</v>
      </c>
      <c r="O1459" t="s">
        <v>1036</v>
      </c>
      <c r="P1459" t="s">
        <v>4784</v>
      </c>
      <c r="Q1459" t="s">
        <v>4901</v>
      </c>
      <c r="R1459" t="s">
        <v>4771</v>
      </c>
    </row>
    <row r="1460" spans="1:18" x14ac:dyDescent="0.3">
      <c r="A1460">
        <v>137700</v>
      </c>
      <c r="B1460" t="s">
        <v>1034</v>
      </c>
      <c r="C1460" t="s">
        <v>463</v>
      </c>
      <c r="D1460" t="s">
        <v>147</v>
      </c>
      <c r="E1460" s="1">
        <v>46049</v>
      </c>
      <c r="F1460" t="s">
        <v>4334</v>
      </c>
      <c r="G1460" t="s">
        <v>3683</v>
      </c>
      <c r="H1460" t="s">
        <v>462</v>
      </c>
      <c r="I1460" t="s">
        <v>204</v>
      </c>
      <c r="J1460" s="1">
        <v>46752</v>
      </c>
      <c r="K1460" t="s">
        <v>717</v>
      </c>
      <c r="L1460">
        <v>1082.6300000000001</v>
      </c>
      <c r="M1460">
        <v>1082.6300000000001</v>
      </c>
      <c r="N1460" t="s">
        <v>719</v>
      </c>
      <c r="O1460" t="s">
        <v>1033</v>
      </c>
      <c r="P1460" t="s">
        <v>4776</v>
      </c>
      <c r="Q1460" t="s">
        <v>4852</v>
      </c>
      <c r="R1460" t="s">
        <v>4771</v>
      </c>
    </row>
    <row r="1461" spans="1:18" x14ac:dyDescent="0.3">
      <c r="A1461">
        <v>2620</v>
      </c>
      <c r="B1461" t="s">
        <v>1034</v>
      </c>
      <c r="C1461" t="s">
        <v>643</v>
      </c>
      <c r="D1461" t="s">
        <v>52</v>
      </c>
      <c r="E1461" s="1">
        <v>46049</v>
      </c>
      <c r="F1461" t="s">
        <v>4318</v>
      </c>
      <c r="G1461" t="s">
        <v>3641</v>
      </c>
      <c r="H1461" t="s">
        <v>642</v>
      </c>
      <c r="I1461" t="s">
        <v>204</v>
      </c>
      <c r="J1461" s="1">
        <v>46548</v>
      </c>
      <c r="K1461" t="s">
        <v>711</v>
      </c>
      <c r="L1461">
        <v>1</v>
      </c>
      <c r="M1461">
        <v>2300</v>
      </c>
      <c r="N1461" t="s">
        <v>710</v>
      </c>
      <c r="O1461" t="s">
        <v>4834</v>
      </c>
      <c r="P1461" t="s">
        <v>4776</v>
      </c>
      <c r="Q1461" t="s">
        <v>4901</v>
      </c>
    </row>
    <row r="1462" spans="1:18" x14ac:dyDescent="0.3">
      <c r="A1462">
        <v>169379</v>
      </c>
      <c r="B1462" t="s">
        <v>1034</v>
      </c>
      <c r="C1462" t="s">
        <v>415</v>
      </c>
      <c r="D1462" t="s">
        <v>60</v>
      </c>
      <c r="E1462" s="1">
        <v>46048</v>
      </c>
      <c r="F1462" t="s">
        <v>4333</v>
      </c>
      <c r="G1462" t="s">
        <v>3668</v>
      </c>
      <c r="H1462" t="s">
        <v>431</v>
      </c>
      <c r="I1462" t="s">
        <v>204</v>
      </c>
      <c r="J1462" s="1">
        <v>46386</v>
      </c>
      <c r="K1462" t="s">
        <v>717</v>
      </c>
      <c r="L1462">
        <v>10129.799999999999</v>
      </c>
      <c r="M1462">
        <v>10129.799999999999</v>
      </c>
      <c r="N1462" t="s">
        <v>814</v>
      </c>
      <c r="O1462" t="s">
        <v>1037</v>
      </c>
      <c r="P1462" t="s">
        <v>4807</v>
      </c>
      <c r="Q1462" t="s">
        <v>4852</v>
      </c>
      <c r="R1462" t="s">
        <v>4771</v>
      </c>
    </row>
    <row r="1463" spans="1:18" x14ac:dyDescent="0.3">
      <c r="A1463">
        <v>190</v>
      </c>
      <c r="B1463" t="s">
        <v>1034</v>
      </c>
      <c r="C1463" t="s">
        <v>267</v>
      </c>
      <c r="D1463" t="s">
        <v>186</v>
      </c>
      <c r="E1463" s="1">
        <v>46048</v>
      </c>
      <c r="F1463" t="s">
        <v>4349</v>
      </c>
      <c r="G1463" t="s">
        <v>3658</v>
      </c>
      <c r="H1463" t="s">
        <v>266</v>
      </c>
      <c r="I1463" t="s">
        <v>204</v>
      </c>
      <c r="J1463" s="1">
        <v>46259</v>
      </c>
      <c r="K1463" t="s">
        <v>717</v>
      </c>
      <c r="L1463">
        <v>1</v>
      </c>
      <c r="M1463">
        <v>33238.49</v>
      </c>
      <c r="N1463" t="s">
        <v>710</v>
      </c>
      <c r="O1463" t="s">
        <v>1037</v>
      </c>
      <c r="P1463" t="s">
        <v>4780</v>
      </c>
      <c r="Q1463" t="s">
        <v>4852</v>
      </c>
      <c r="R1463" t="s">
        <v>4772</v>
      </c>
    </row>
    <row r="1464" spans="1:18" x14ac:dyDescent="0.3">
      <c r="A1464">
        <v>228881</v>
      </c>
      <c r="B1464" t="s">
        <v>1034</v>
      </c>
      <c r="C1464" t="s">
        <v>338</v>
      </c>
      <c r="D1464" t="s">
        <v>31</v>
      </c>
      <c r="E1464" s="1">
        <v>46048</v>
      </c>
      <c r="F1464" t="s">
        <v>4299</v>
      </c>
      <c r="G1464" t="s">
        <v>2900</v>
      </c>
      <c r="H1464" t="s">
        <v>337</v>
      </c>
      <c r="I1464" t="s">
        <v>204</v>
      </c>
      <c r="J1464" s="1">
        <v>54878</v>
      </c>
      <c r="K1464" t="s">
        <v>711</v>
      </c>
      <c r="L1464">
        <v>22760</v>
      </c>
      <c r="M1464">
        <v>22760.1</v>
      </c>
      <c r="N1464" t="s">
        <v>710</v>
      </c>
      <c r="O1464" t="s">
        <v>1036</v>
      </c>
      <c r="P1464" t="s">
        <v>4785</v>
      </c>
      <c r="Q1464" t="s">
        <v>4901</v>
      </c>
      <c r="R1464" t="s">
        <v>4773</v>
      </c>
    </row>
    <row r="1465" spans="1:18" x14ac:dyDescent="0.3">
      <c r="A1465">
        <v>7414</v>
      </c>
      <c r="B1465" t="s">
        <v>4874</v>
      </c>
      <c r="C1465" t="s">
        <v>628</v>
      </c>
      <c r="D1465" t="s">
        <v>25</v>
      </c>
      <c r="E1465" s="1">
        <v>46048</v>
      </c>
      <c r="F1465" t="s">
        <v>4415</v>
      </c>
      <c r="G1465" t="s">
        <v>3606</v>
      </c>
      <c r="H1465" t="s">
        <v>627</v>
      </c>
      <c r="I1465" t="s">
        <v>209</v>
      </c>
      <c r="J1465" s="1">
        <v>46476</v>
      </c>
      <c r="K1465" t="s">
        <v>720</v>
      </c>
      <c r="L1465">
        <v>1</v>
      </c>
      <c r="M1465">
        <v>380</v>
      </c>
      <c r="N1465" t="s">
        <v>710</v>
      </c>
      <c r="O1465" t="s">
        <v>1038</v>
      </c>
      <c r="P1465" t="s">
        <v>4776</v>
      </c>
      <c r="Q1465" t="s">
        <v>4858</v>
      </c>
      <c r="R1465" t="s">
        <v>4771</v>
      </c>
    </row>
    <row r="1466" spans="1:18" x14ac:dyDescent="0.3">
      <c r="A1466">
        <v>67156</v>
      </c>
      <c r="B1466" t="s">
        <v>4874</v>
      </c>
      <c r="C1466" t="s">
        <v>514</v>
      </c>
      <c r="D1466" t="s">
        <v>47</v>
      </c>
      <c r="E1466" s="1">
        <v>46048</v>
      </c>
      <c r="F1466" t="s">
        <v>4362</v>
      </c>
      <c r="G1466" t="s">
        <v>3650</v>
      </c>
      <c r="H1466" t="s">
        <v>513</v>
      </c>
      <c r="I1466" t="s">
        <v>204</v>
      </c>
      <c r="J1466" s="1">
        <v>46386</v>
      </c>
      <c r="K1466" t="s">
        <v>762</v>
      </c>
      <c r="L1466">
        <v>5660</v>
      </c>
      <c r="M1466">
        <v>5660</v>
      </c>
      <c r="N1466" t="s">
        <v>710</v>
      </c>
      <c r="O1466" t="s">
        <v>4833</v>
      </c>
      <c r="P1466" t="s">
        <v>4779</v>
      </c>
      <c r="Q1466" t="s">
        <v>4852</v>
      </c>
    </row>
    <row r="1467" spans="1:18" x14ac:dyDescent="0.3">
      <c r="A1467">
        <v>7414</v>
      </c>
      <c r="B1467" t="s">
        <v>4874</v>
      </c>
      <c r="C1467" t="s">
        <v>628</v>
      </c>
      <c r="D1467" t="s">
        <v>25</v>
      </c>
      <c r="E1467" s="1">
        <v>46048</v>
      </c>
      <c r="F1467" t="s">
        <v>4415</v>
      </c>
      <c r="G1467" t="s">
        <v>3606</v>
      </c>
      <c r="H1467" t="s">
        <v>627</v>
      </c>
      <c r="I1467" t="s">
        <v>209</v>
      </c>
      <c r="J1467" s="1">
        <v>46476</v>
      </c>
      <c r="K1467" t="s">
        <v>720</v>
      </c>
      <c r="L1467">
        <v>1</v>
      </c>
      <c r="M1467">
        <v>380</v>
      </c>
      <c r="N1467" t="s">
        <v>710</v>
      </c>
      <c r="O1467" t="s">
        <v>1038</v>
      </c>
      <c r="P1467" t="s">
        <v>4776</v>
      </c>
      <c r="Q1467" t="s">
        <v>4858</v>
      </c>
      <c r="R1467" t="s">
        <v>4771</v>
      </c>
    </row>
    <row r="1468" spans="1:18" x14ac:dyDescent="0.3">
      <c r="A1468">
        <v>40017</v>
      </c>
      <c r="B1468" t="s">
        <v>1034</v>
      </c>
      <c r="C1468" t="s">
        <v>338</v>
      </c>
      <c r="D1468" t="s">
        <v>31</v>
      </c>
      <c r="E1468" s="1">
        <v>46048</v>
      </c>
      <c r="F1468" t="s">
        <v>4299</v>
      </c>
      <c r="G1468" t="s">
        <v>3566</v>
      </c>
      <c r="H1468" t="s">
        <v>337</v>
      </c>
      <c r="I1468" t="s">
        <v>204</v>
      </c>
      <c r="J1468" s="1">
        <v>54878</v>
      </c>
      <c r="K1468" t="s">
        <v>711</v>
      </c>
      <c r="L1468">
        <v>16004</v>
      </c>
      <c r="M1468">
        <v>16003.5</v>
      </c>
      <c r="N1468" t="s">
        <v>710</v>
      </c>
      <c r="O1468" t="s">
        <v>1036</v>
      </c>
      <c r="P1468" t="s">
        <v>4785</v>
      </c>
      <c r="Q1468" t="s">
        <v>4901</v>
      </c>
      <c r="R1468" t="s">
        <v>4773</v>
      </c>
    </row>
    <row r="1469" spans="1:18" x14ac:dyDescent="0.3">
      <c r="A1469">
        <v>7414</v>
      </c>
      <c r="B1469" t="s">
        <v>4874</v>
      </c>
      <c r="C1469" t="s">
        <v>628</v>
      </c>
      <c r="D1469" t="s">
        <v>25</v>
      </c>
      <c r="E1469" s="1">
        <v>46048</v>
      </c>
      <c r="F1469" t="s">
        <v>4415</v>
      </c>
      <c r="G1469" t="s">
        <v>3606</v>
      </c>
      <c r="H1469" t="s">
        <v>627</v>
      </c>
      <c r="I1469" t="s">
        <v>209</v>
      </c>
      <c r="J1469" s="1">
        <v>46476</v>
      </c>
      <c r="K1469" t="s">
        <v>720</v>
      </c>
      <c r="L1469">
        <v>1</v>
      </c>
      <c r="M1469">
        <v>380</v>
      </c>
      <c r="N1469" t="s">
        <v>710</v>
      </c>
      <c r="O1469" t="s">
        <v>1038</v>
      </c>
      <c r="P1469" t="s">
        <v>4776</v>
      </c>
      <c r="Q1469" t="s">
        <v>4858</v>
      </c>
      <c r="R1469" t="s">
        <v>4771</v>
      </c>
    </row>
    <row r="1470" spans="1:18" x14ac:dyDescent="0.3">
      <c r="A1470">
        <v>9458</v>
      </c>
      <c r="B1470" t="s">
        <v>1034</v>
      </c>
      <c r="C1470" t="s">
        <v>267</v>
      </c>
      <c r="D1470" t="s">
        <v>186</v>
      </c>
      <c r="E1470" s="1">
        <v>46048</v>
      </c>
      <c r="F1470" t="s">
        <v>4350</v>
      </c>
      <c r="G1470" t="s">
        <v>3658</v>
      </c>
      <c r="H1470" t="s">
        <v>266</v>
      </c>
      <c r="I1470" t="s">
        <v>204</v>
      </c>
      <c r="J1470" s="1">
        <v>46259</v>
      </c>
      <c r="K1470" t="s">
        <v>717</v>
      </c>
      <c r="L1470">
        <v>1</v>
      </c>
      <c r="M1470">
        <v>16474.36</v>
      </c>
      <c r="N1470" t="s">
        <v>710</v>
      </c>
      <c r="O1470" t="s">
        <v>1037</v>
      </c>
      <c r="P1470" t="s">
        <v>4780</v>
      </c>
      <c r="Q1470" t="s">
        <v>4852</v>
      </c>
      <c r="R1470" t="s">
        <v>4772</v>
      </c>
    </row>
    <row r="1471" spans="1:18" x14ac:dyDescent="0.3">
      <c r="A1471">
        <v>9447</v>
      </c>
      <c r="B1471" t="s">
        <v>1034</v>
      </c>
      <c r="C1471" t="s">
        <v>267</v>
      </c>
      <c r="D1471" t="s">
        <v>186</v>
      </c>
      <c r="E1471" s="1">
        <v>46048</v>
      </c>
      <c r="F1471" t="s">
        <v>4350</v>
      </c>
      <c r="G1471" t="s">
        <v>3658</v>
      </c>
      <c r="H1471" t="s">
        <v>266</v>
      </c>
      <c r="I1471" t="s">
        <v>204</v>
      </c>
      <c r="J1471" s="1">
        <v>46259</v>
      </c>
      <c r="K1471" t="s">
        <v>717</v>
      </c>
      <c r="L1471">
        <v>1</v>
      </c>
      <c r="M1471">
        <v>15604.68</v>
      </c>
      <c r="N1471" t="s">
        <v>710</v>
      </c>
      <c r="O1471" t="s">
        <v>1037</v>
      </c>
      <c r="P1471" t="s">
        <v>4780</v>
      </c>
      <c r="Q1471" t="s">
        <v>4852</v>
      </c>
      <c r="R1471" t="s">
        <v>4772</v>
      </c>
    </row>
    <row r="1472" spans="1:18" x14ac:dyDescent="0.3">
      <c r="A1472">
        <v>9446</v>
      </c>
      <c r="B1472" t="s">
        <v>1034</v>
      </c>
      <c r="C1472" t="s">
        <v>267</v>
      </c>
      <c r="D1472" t="s">
        <v>186</v>
      </c>
      <c r="E1472" s="1">
        <v>46048</v>
      </c>
      <c r="F1472" t="s">
        <v>4350</v>
      </c>
      <c r="G1472" t="s">
        <v>3658</v>
      </c>
      <c r="H1472" t="s">
        <v>266</v>
      </c>
      <c r="I1472" t="s">
        <v>204</v>
      </c>
      <c r="J1472" s="1">
        <v>46259</v>
      </c>
      <c r="K1472" t="s">
        <v>717</v>
      </c>
      <c r="L1472">
        <v>1</v>
      </c>
      <c r="M1472">
        <v>6340.29</v>
      </c>
      <c r="N1472" t="s">
        <v>710</v>
      </c>
      <c r="O1472" t="s">
        <v>1037</v>
      </c>
      <c r="P1472" t="s">
        <v>4780</v>
      </c>
      <c r="Q1472" t="s">
        <v>4852</v>
      </c>
      <c r="R1472" t="s">
        <v>4772</v>
      </c>
    </row>
    <row r="1473" spans="1:18" x14ac:dyDescent="0.3">
      <c r="A1473">
        <v>52</v>
      </c>
      <c r="B1473" t="s">
        <v>1034</v>
      </c>
      <c r="C1473" t="s">
        <v>552</v>
      </c>
      <c r="D1473" t="s">
        <v>190</v>
      </c>
      <c r="E1473" s="1">
        <v>46048</v>
      </c>
      <c r="F1473" t="s">
        <v>4339</v>
      </c>
      <c r="G1473" t="s">
        <v>3626</v>
      </c>
      <c r="H1473" t="s">
        <v>583</v>
      </c>
      <c r="I1473" t="s">
        <v>204</v>
      </c>
      <c r="J1473" s="1">
        <v>46441</v>
      </c>
      <c r="K1473" t="s">
        <v>717</v>
      </c>
      <c r="L1473">
        <v>64252.04</v>
      </c>
      <c r="M1473">
        <v>64252.04</v>
      </c>
      <c r="N1473" t="s">
        <v>710</v>
      </c>
      <c r="O1473" t="s">
        <v>4904</v>
      </c>
      <c r="P1473" t="s">
        <v>4792</v>
      </c>
      <c r="Q1473" t="s">
        <v>4904</v>
      </c>
      <c r="R1473" t="s">
        <v>4772</v>
      </c>
    </row>
    <row r="1474" spans="1:18" x14ac:dyDescent="0.3">
      <c r="A1474">
        <v>258</v>
      </c>
      <c r="B1474" t="s">
        <v>4875</v>
      </c>
      <c r="C1474" t="s">
        <v>550</v>
      </c>
      <c r="D1474" t="s">
        <v>189</v>
      </c>
      <c r="E1474" s="1">
        <v>46048</v>
      </c>
      <c r="F1474" t="s">
        <v>4338</v>
      </c>
      <c r="G1474" t="s">
        <v>3608</v>
      </c>
      <c r="H1474" t="s">
        <v>569</v>
      </c>
      <c r="I1474" t="s">
        <v>204</v>
      </c>
      <c r="J1474" s="1">
        <v>46599</v>
      </c>
      <c r="K1474" t="s">
        <v>768</v>
      </c>
      <c r="L1474">
        <v>23437.4</v>
      </c>
      <c r="M1474">
        <v>23437.4</v>
      </c>
      <c r="N1474" t="s">
        <v>710</v>
      </c>
      <c r="O1474" t="s">
        <v>4904</v>
      </c>
      <c r="P1474" t="s">
        <v>4792</v>
      </c>
      <c r="Q1474" t="s">
        <v>4904</v>
      </c>
      <c r="R1474" t="s">
        <v>4772</v>
      </c>
    </row>
    <row r="1475" spans="1:18" x14ac:dyDescent="0.3">
      <c r="A1475">
        <v>9448</v>
      </c>
      <c r="B1475" t="s">
        <v>1034</v>
      </c>
      <c r="C1475" t="s">
        <v>267</v>
      </c>
      <c r="D1475" t="s">
        <v>186</v>
      </c>
      <c r="E1475" s="1">
        <v>46048</v>
      </c>
      <c r="F1475" t="s">
        <v>4350</v>
      </c>
      <c r="G1475" t="s">
        <v>3658</v>
      </c>
      <c r="H1475" t="s">
        <v>266</v>
      </c>
      <c r="I1475" t="s">
        <v>204</v>
      </c>
      <c r="J1475" s="1">
        <v>46259</v>
      </c>
      <c r="K1475" t="s">
        <v>717</v>
      </c>
      <c r="L1475">
        <v>1</v>
      </c>
      <c r="M1475">
        <v>44133.599999999999</v>
      </c>
      <c r="N1475" t="s">
        <v>710</v>
      </c>
      <c r="O1475" t="s">
        <v>1037</v>
      </c>
      <c r="P1475" t="s">
        <v>4780</v>
      </c>
      <c r="Q1475" t="s">
        <v>4852</v>
      </c>
      <c r="R1475" t="s">
        <v>4772</v>
      </c>
    </row>
    <row r="1476" spans="1:18" x14ac:dyDescent="0.3">
      <c r="A1476">
        <v>9450</v>
      </c>
      <c r="B1476" t="s">
        <v>1034</v>
      </c>
      <c r="C1476" t="s">
        <v>267</v>
      </c>
      <c r="D1476" t="s">
        <v>186</v>
      </c>
      <c r="E1476" s="1">
        <v>46048</v>
      </c>
      <c r="F1476" t="s">
        <v>4350</v>
      </c>
      <c r="G1476" t="s">
        <v>3658</v>
      </c>
      <c r="H1476" t="s">
        <v>266</v>
      </c>
      <c r="I1476" t="s">
        <v>204</v>
      </c>
      <c r="J1476" s="1">
        <v>46259</v>
      </c>
      <c r="K1476" t="s">
        <v>717</v>
      </c>
      <c r="L1476">
        <v>1</v>
      </c>
      <c r="M1476">
        <v>12517.44</v>
      </c>
      <c r="N1476" t="s">
        <v>710</v>
      </c>
      <c r="O1476" t="s">
        <v>1037</v>
      </c>
      <c r="P1476" t="s">
        <v>4780</v>
      </c>
      <c r="Q1476" t="s">
        <v>4852</v>
      </c>
      <c r="R1476" t="s">
        <v>4772</v>
      </c>
    </row>
    <row r="1477" spans="1:18" x14ac:dyDescent="0.3">
      <c r="A1477">
        <v>9451</v>
      </c>
      <c r="B1477" t="s">
        <v>1034</v>
      </c>
      <c r="C1477" t="s">
        <v>267</v>
      </c>
      <c r="D1477" t="s">
        <v>186</v>
      </c>
      <c r="E1477" s="1">
        <v>46048</v>
      </c>
      <c r="F1477" t="s">
        <v>4350</v>
      </c>
      <c r="G1477" t="s">
        <v>3658</v>
      </c>
      <c r="H1477" t="s">
        <v>266</v>
      </c>
      <c r="I1477" t="s">
        <v>204</v>
      </c>
      <c r="J1477" s="1">
        <v>46259</v>
      </c>
      <c r="K1477" t="s">
        <v>717</v>
      </c>
      <c r="L1477">
        <v>1</v>
      </c>
      <c r="M1477">
        <v>15600</v>
      </c>
      <c r="N1477" t="s">
        <v>710</v>
      </c>
      <c r="O1477" t="s">
        <v>1037</v>
      </c>
      <c r="P1477" t="s">
        <v>4780</v>
      </c>
      <c r="Q1477" t="s">
        <v>4852</v>
      </c>
      <c r="R1477" t="s">
        <v>4772</v>
      </c>
    </row>
    <row r="1478" spans="1:18" x14ac:dyDescent="0.3">
      <c r="A1478">
        <v>1341385</v>
      </c>
      <c r="B1478" t="s">
        <v>4874</v>
      </c>
      <c r="C1478" t="s">
        <v>472</v>
      </c>
      <c r="D1478" t="s">
        <v>48</v>
      </c>
      <c r="E1478" s="1">
        <v>46045</v>
      </c>
      <c r="F1478" t="s">
        <v>4315</v>
      </c>
      <c r="G1478" t="s">
        <v>3585</v>
      </c>
      <c r="H1478" t="s">
        <v>471</v>
      </c>
      <c r="I1478" t="s">
        <v>204</v>
      </c>
      <c r="J1478" s="1">
        <v>46270</v>
      </c>
      <c r="K1478" t="s">
        <v>762</v>
      </c>
      <c r="L1478">
        <v>537.80999999999995</v>
      </c>
      <c r="M1478">
        <v>537.80999999999995</v>
      </c>
      <c r="N1478" t="s">
        <v>710</v>
      </c>
      <c r="O1478" t="s">
        <v>4845</v>
      </c>
      <c r="P1478" t="s">
        <v>4776</v>
      </c>
      <c r="Q1478" t="s">
        <v>4845</v>
      </c>
      <c r="R1478" t="s">
        <v>4773</v>
      </c>
    </row>
    <row r="1479" spans="1:18" x14ac:dyDescent="0.3">
      <c r="A1479">
        <v>1341389</v>
      </c>
      <c r="B1479" t="s">
        <v>4874</v>
      </c>
      <c r="C1479" t="s">
        <v>472</v>
      </c>
      <c r="D1479" t="s">
        <v>48</v>
      </c>
      <c r="E1479" s="1">
        <v>46045</v>
      </c>
      <c r="F1479" t="s">
        <v>4345</v>
      </c>
      <c r="G1479" t="s">
        <v>3585</v>
      </c>
      <c r="H1479" t="s">
        <v>471</v>
      </c>
      <c r="I1479" t="s">
        <v>204</v>
      </c>
      <c r="J1479" s="1">
        <v>46270</v>
      </c>
      <c r="K1479" t="s">
        <v>762</v>
      </c>
      <c r="L1479">
        <v>53.78</v>
      </c>
      <c r="M1479">
        <v>53.78</v>
      </c>
      <c r="N1479" t="s">
        <v>710</v>
      </c>
      <c r="O1479" t="s">
        <v>4845</v>
      </c>
      <c r="P1479" t="s">
        <v>4776</v>
      </c>
      <c r="Q1479" t="s">
        <v>4845</v>
      </c>
      <c r="R1479" t="s">
        <v>4773</v>
      </c>
    </row>
    <row r="1480" spans="1:18" x14ac:dyDescent="0.3">
      <c r="A1480">
        <v>4</v>
      </c>
      <c r="B1480" t="s">
        <v>1034</v>
      </c>
      <c r="C1480" t="s">
        <v>658</v>
      </c>
      <c r="D1480" t="s">
        <v>192</v>
      </c>
      <c r="E1480" s="1">
        <v>46044</v>
      </c>
      <c r="F1480" t="s">
        <v>4377</v>
      </c>
      <c r="G1480" t="s">
        <v>3595</v>
      </c>
      <c r="H1480" t="s">
        <v>657</v>
      </c>
      <c r="I1480" t="s">
        <v>204</v>
      </c>
      <c r="J1480" s="1">
        <v>46218</v>
      </c>
      <c r="K1480" t="s">
        <v>711</v>
      </c>
      <c r="L1480">
        <v>1</v>
      </c>
      <c r="M1480">
        <v>2150</v>
      </c>
      <c r="N1480" t="s">
        <v>710</v>
      </c>
      <c r="O1480" t="s">
        <v>4834</v>
      </c>
      <c r="P1480" t="s">
        <v>4776</v>
      </c>
      <c r="Q1480" t="s">
        <v>4901</v>
      </c>
      <c r="R1480" t="s">
        <v>807</v>
      </c>
    </row>
    <row r="1481" spans="1:18" x14ac:dyDescent="0.3">
      <c r="A1481">
        <v>7316</v>
      </c>
      <c r="B1481" t="s">
        <v>1035</v>
      </c>
      <c r="C1481" t="s">
        <v>230</v>
      </c>
      <c r="D1481" t="s">
        <v>85</v>
      </c>
      <c r="E1481" s="1">
        <v>46044</v>
      </c>
      <c r="F1481" t="s">
        <v>4436</v>
      </c>
      <c r="G1481" t="s">
        <v>3617</v>
      </c>
      <c r="H1481" t="s">
        <v>229</v>
      </c>
      <c r="I1481" t="s">
        <v>204</v>
      </c>
      <c r="J1481" s="1">
        <v>46203</v>
      </c>
      <c r="K1481" t="s">
        <v>744</v>
      </c>
      <c r="L1481">
        <v>1</v>
      </c>
      <c r="M1481">
        <v>1072.1199999999999</v>
      </c>
      <c r="N1481" t="s">
        <v>710</v>
      </c>
      <c r="O1481" t="s">
        <v>1033</v>
      </c>
      <c r="P1481" t="s">
        <v>4781</v>
      </c>
      <c r="Q1481" t="s">
        <v>4852</v>
      </c>
      <c r="R1481" t="s">
        <v>4771</v>
      </c>
    </row>
    <row r="1482" spans="1:18" x14ac:dyDescent="0.3">
      <c r="A1482">
        <v>5166</v>
      </c>
      <c r="B1482" t="s">
        <v>1034</v>
      </c>
      <c r="C1482" t="s">
        <v>319</v>
      </c>
      <c r="D1482" t="s">
        <v>36</v>
      </c>
      <c r="E1482" s="1">
        <v>46044</v>
      </c>
      <c r="F1482" t="s">
        <v>4298</v>
      </c>
      <c r="G1482" t="s">
        <v>3646</v>
      </c>
      <c r="H1482" t="s">
        <v>318</v>
      </c>
      <c r="I1482" t="s">
        <v>204</v>
      </c>
      <c r="J1482" s="1">
        <v>46214</v>
      </c>
      <c r="K1482" t="s">
        <v>711</v>
      </c>
      <c r="L1482">
        <v>2258</v>
      </c>
      <c r="M1482">
        <v>2257.6799999999998</v>
      </c>
      <c r="N1482" t="s">
        <v>710</v>
      </c>
      <c r="O1482" t="s">
        <v>1036</v>
      </c>
      <c r="P1482" t="s">
        <v>4784</v>
      </c>
      <c r="Q1482" t="s">
        <v>4901</v>
      </c>
      <c r="R1482" t="s">
        <v>4771</v>
      </c>
    </row>
    <row r="1483" spans="1:18" x14ac:dyDescent="0.3">
      <c r="A1483">
        <v>42878</v>
      </c>
      <c r="B1483" t="s">
        <v>1034</v>
      </c>
      <c r="C1483" t="s">
        <v>327</v>
      </c>
      <c r="D1483" t="s">
        <v>159</v>
      </c>
      <c r="E1483" s="1">
        <v>46044</v>
      </c>
      <c r="F1483" t="s">
        <v>4295</v>
      </c>
      <c r="G1483" t="s">
        <v>3630</v>
      </c>
      <c r="H1483" t="s">
        <v>357</v>
      </c>
      <c r="I1483" t="s">
        <v>204</v>
      </c>
      <c r="J1483" s="1">
        <v>46476</v>
      </c>
      <c r="K1483" t="s">
        <v>711</v>
      </c>
      <c r="L1483">
        <v>2150</v>
      </c>
      <c r="M1483">
        <v>2150</v>
      </c>
      <c r="N1483" t="s">
        <v>890</v>
      </c>
      <c r="O1483" t="s">
        <v>4834</v>
      </c>
      <c r="P1483" t="s">
        <v>4776</v>
      </c>
      <c r="Q1483" t="s">
        <v>4901</v>
      </c>
      <c r="R1483" t="s">
        <v>4773</v>
      </c>
    </row>
    <row r="1484" spans="1:18" x14ac:dyDescent="0.3">
      <c r="A1484">
        <v>42879</v>
      </c>
      <c r="B1484" t="s">
        <v>1034</v>
      </c>
      <c r="C1484" t="s">
        <v>327</v>
      </c>
      <c r="D1484" t="s">
        <v>159</v>
      </c>
      <c r="E1484" s="1">
        <v>46044</v>
      </c>
      <c r="F1484" t="s">
        <v>4295</v>
      </c>
      <c r="G1484" t="s">
        <v>3631</v>
      </c>
      <c r="H1484" t="s">
        <v>357</v>
      </c>
      <c r="I1484" t="s">
        <v>204</v>
      </c>
      <c r="J1484" s="1">
        <v>46476</v>
      </c>
      <c r="K1484" t="s">
        <v>711</v>
      </c>
      <c r="L1484">
        <v>1209.5999999999999</v>
      </c>
      <c r="M1484">
        <v>1209.5999999999999</v>
      </c>
      <c r="N1484" t="s">
        <v>890</v>
      </c>
      <c r="O1484" t="s">
        <v>4834</v>
      </c>
      <c r="P1484" t="s">
        <v>4776</v>
      </c>
      <c r="Q1484" t="s">
        <v>4901</v>
      </c>
      <c r="R1484" t="s">
        <v>4773</v>
      </c>
    </row>
    <row r="1485" spans="1:18" x14ac:dyDescent="0.3">
      <c r="A1485">
        <v>58122</v>
      </c>
      <c r="B1485" t="s">
        <v>4874</v>
      </c>
      <c r="C1485" t="s">
        <v>664</v>
      </c>
      <c r="D1485" t="s">
        <v>83</v>
      </c>
      <c r="E1485" s="1">
        <v>46044</v>
      </c>
      <c r="F1485" t="s">
        <v>4399</v>
      </c>
      <c r="G1485" t="s">
        <v>3642</v>
      </c>
      <c r="H1485" t="s">
        <v>663</v>
      </c>
      <c r="I1485" t="s">
        <v>204</v>
      </c>
      <c r="J1485" s="1">
        <v>46660</v>
      </c>
      <c r="K1485" t="s">
        <v>762</v>
      </c>
      <c r="L1485">
        <v>57808.12</v>
      </c>
      <c r="M1485">
        <v>57808.12</v>
      </c>
      <c r="N1485" t="s">
        <v>710</v>
      </c>
      <c r="O1485" t="s">
        <v>1037</v>
      </c>
      <c r="P1485" t="s">
        <v>850</v>
      </c>
      <c r="Q1485" t="s">
        <v>4852</v>
      </c>
      <c r="R1485" t="s">
        <v>807</v>
      </c>
    </row>
    <row r="1486" spans="1:18" x14ac:dyDescent="0.3">
      <c r="A1486">
        <v>7310</v>
      </c>
      <c r="B1486" t="s">
        <v>1035</v>
      </c>
      <c r="C1486" t="s">
        <v>230</v>
      </c>
      <c r="D1486" t="s">
        <v>85</v>
      </c>
      <c r="E1486" s="1">
        <v>46044</v>
      </c>
      <c r="F1486" t="s">
        <v>4436</v>
      </c>
      <c r="G1486" t="s">
        <v>3617</v>
      </c>
      <c r="H1486" t="s">
        <v>229</v>
      </c>
      <c r="I1486" t="s">
        <v>204</v>
      </c>
      <c r="J1486" s="1">
        <v>46203</v>
      </c>
      <c r="K1486" t="s">
        <v>744</v>
      </c>
      <c r="L1486">
        <v>1</v>
      </c>
      <c r="M1486">
        <v>1605.77</v>
      </c>
      <c r="N1486" t="s">
        <v>710</v>
      </c>
      <c r="O1486" t="s">
        <v>1033</v>
      </c>
      <c r="P1486" t="s">
        <v>4781</v>
      </c>
      <c r="Q1486" t="s">
        <v>4852</v>
      </c>
      <c r="R1486" t="s">
        <v>4771</v>
      </c>
    </row>
    <row r="1487" spans="1:18" x14ac:dyDescent="0.3">
      <c r="A1487">
        <v>7308</v>
      </c>
      <c r="B1487" t="s">
        <v>1035</v>
      </c>
      <c r="C1487" t="s">
        <v>230</v>
      </c>
      <c r="D1487" t="s">
        <v>85</v>
      </c>
      <c r="E1487" s="1">
        <v>46044</v>
      </c>
      <c r="F1487" t="s">
        <v>4299</v>
      </c>
      <c r="G1487" t="s">
        <v>3583</v>
      </c>
      <c r="H1487" t="s">
        <v>229</v>
      </c>
      <c r="I1487" t="s">
        <v>204</v>
      </c>
      <c r="J1487" s="1">
        <v>46203</v>
      </c>
      <c r="K1487" t="s">
        <v>744</v>
      </c>
      <c r="L1487">
        <v>1</v>
      </c>
      <c r="M1487">
        <v>108.87</v>
      </c>
      <c r="N1487" t="s">
        <v>710</v>
      </c>
      <c r="O1487" t="s">
        <v>1033</v>
      </c>
      <c r="P1487" t="s">
        <v>4781</v>
      </c>
      <c r="Q1487" t="s">
        <v>4852</v>
      </c>
      <c r="R1487" t="s">
        <v>4771</v>
      </c>
    </row>
    <row r="1488" spans="1:18" x14ac:dyDescent="0.3">
      <c r="A1488">
        <v>7307</v>
      </c>
      <c r="B1488" t="s">
        <v>1035</v>
      </c>
      <c r="C1488" t="s">
        <v>230</v>
      </c>
      <c r="D1488" t="s">
        <v>85</v>
      </c>
      <c r="E1488" s="1">
        <v>46044</v>
      </c>
      <c r="F1488" t="s">
        <v>4299</v>
      </c>
      <c r="G1488" t="s">
        <v>3583</v>
      </c>
      <c r="H1488" t="s">
        <v>229</v>
      </c>
      <c r="I1488" t="s">
        <v>204</v>
      </c>
      <c r="J1488" s="1">
        <v>46203</v>
      </c>
      <c r="K1488" t="s">
        <v>744</v>
      </c>
      <c r="L1488">
        <v>1</v>
      </c>
      <c r="M1488">
        <v>84.35</v>
      </c>
      <c r="N1488" t="s">
        <v>710</v>
      </c>
      <c r="O1488" t="s">
        <v>1033</v>
      </c>
      <c r="P1488" t="s">
        <v>4781</v>
      </c>
      <c r="Q1488" t="s">
        <v>4852</v>
      </c>
      <c r="R1488" t="s">
        <v>4771</v>
      </c>
    </row>
    <row r="1489" spans="1:18" x14ac:dyDescent="0.3">
      <c r="A1489">
        <v>7300</v>
      </c>
      <c r="B1489" t="s">
        <v>1035</v>
      </c>
      <c r="C1489" t="s">
        <v>230</v>
      </c>
      <c r="D1489" t="s">
        <v>85</v>
      </c>
      <c r="E1489" s="1">
        <v>46044</v>
      </c>
      <c r="F1489" t="s">
        <v>4409</v>
      </c>
      <c r="G1489" t="s">
        <v>3583</v>
      </c>
      <c r="H1489" t="s">
        <v>229</v>
      </c>
      <c r="I1489" t="s">
        <v>204</v>
      </c>
      <c r="J1489" s="1">
        <v>46203</v>
      </c>
      <c r="K1489" t="s">
        <v>744</v>
      </c>
      <c r="L1489">
        <v>1</v>
      </c>
      <c r="M1489">
        <v>310.82</v>
      </c>
      <c r="N1489" t="s">
        <v>710</v>
      </c>
      <c r="O1489" t="s">
        <v>1033</v>
      </c>
      <c r="P1489" t="s">
        <v>4781</v>
      </c>
      <c r="Q1489" t="s">
        <v>4852</v>
      </c>
      <c r="R1489" t="s">
        <v>4771</v>
      </c>
    </row>
    <row r="1490" spans="1:18" x14ac:dyDescent="0.3">
      <c r="A1490">
        <v>7299</v>
      </c>
      <c r="B1490" t="s">
        <v>1035</v>
      </c>
      <c r="C1490" t="s">
        <v>230</v>
      </c>
      <c r="D1490" t="s">
        <v>85</v>
      </c>
      <c r="E1490" s="1">
        <v>46044</v>
      </c>
      <c r="F1490" t="s">
        <v>4409</v>
      </c>
      <c r="G1490" t="s">
        <v>3583</v>
      </c>
      <c r="H1490" t="s">
        <v>229</v>
      </c>
      <c r="I1490" t="s">
        <v>204</v>
      </c>
      <c r="J1490" s="1">
        <v>46203</v>
      </c>
      <c r="K1490" t="s">
        <v>744</v>
      </c>
      <c r="L1490">
        <v>1</v>
      </c>
      <c r="M1490">
        <v>495.14</v>
      </c>
      <c r="N1490" t="s">
        <v>710</v>
      </c>
      <c r="O1490" t="s">
        <v>1033</v>
      </c>
      <c r="P1490" t="s">
        <v>4781</v>
      </c>
      <c r="Q1490" t="s">
        <v>4852</v>
      </c>
      <c r="R1490" t="s">
        <v>4771</v>
      </c>
    </row>
    <row r="1491" spans="1:18" x14ac:dyDescent="0.3">
      <c r="A1491">
        <v>20859</v>
      </c>
      <c r="B1491" t="s">
        <v>1035</v>
      </c>
      <c r="C1491" t="s">
        <v>239</v>
      </c>
      <c r="D1491" t="s">
        <v>199</v>
      </c>
      <c r="E1491" s="1">
        <v>46044</v>
      </c>
      <c r="F1491" t="s">
        <v>4325</v>
      </c>
      <c r="G1491" t="s">
        <v>3643</v>
      </c>
      <c r="H1491" t="s">
        <v>238</v>
      </c>
      <c r="I1491" t="s">
        <v>204</v>
      </c>
      <c r="J1491" s="1">
        <v>54878</v>
      </c>
      <c r="K1491" t="s">
        <v>754</v>
      </c>
      <c r="L1491">
        <v>1</v>
      </c>
      <c r="M1491">
        <v>87.32</v>
      </c>
      <c r="N1491" t="s">
        <v>710</v>
      </c>
      <c r="O1491" t="s">
        <v>4903</v>
      </c>
      <c r="P1491" t="s">
        <v>4779</v>
      </c>
      <c r="Q1491" t="s">
        <v>4858</v>
      </c>
      <c r="R1491" t="s">
        <v>4771</v>
      </c>
    </row>
    <row r="1492" spans="1:18" x14ac:dyDescent="0.3">
      <c r="A1492">
        <v>7346</v>
      </c>
      <c r="B1492" t="s">
        <v>1035</v>
      </c>
      <c r="C1492" t="s">
        <v>230</v>
      </c>
      <c r="D1492" t="s">
        <v>85</v>
      </c>
      <c r="E1492" s="1">
        <v>46044</v>
      </c>
      <c r="F1492" t="s">
        <v>4421</v>
      </c>
      <c r="G1492" t="s">
        <v>3632</v>
      </c>
      <c r="H1492" t="s">
        <v>229</v>
      </c>
      <c r="I1492" t="s">
        <v>204</v>
      </c>
      <c r="J1492" s="1">
        <v>46203</v>
      </c>
      <c r="K1492" t="s">
        <v>744</v>
      </c>
      <c r="L1492">
        <v>1</v>
      </c>
      <c r="M1492">
        <v>4089.16</v>
      </c>
      <c r="N1492" t="s">
        <v>710</v>
      </c>
      <c r="O1492" t="s">
        <v>1033</v>
      </c>
      <c r="P1492" t="s">
        <v>4781</v>
      </c>
      <c r="Q1492" t="s">
        <v>4852</v>
      </c>
      <c r="R1492" t="s">
        <v>4771</v>
      </c>
    </row>
    <row r="1493" spans="1:18" x14ac:dyDescent="0.3">
      <c r="A1493">
        <v>7345</v>
      </c>
      <c r="B1493" t="s">
        <v>1035</v>
      </c>
      <c r="C1493" t="s">
        <v>230</v>
      </c>
      <c r="D1493" t="s">
        <v>85</v>
      </c>
      <c r="E1493" s="1">
        <v>46044</v>
      </c>
      <c r="F1493" t="s">
        <v>4348</v>
      </c>
      <c r="G1493" t="s">
        <v>3632</v>
      </c>
      <c r="H1493" t="s">
        <v>229</v>
      </c>
      <c r="I1493" t="s">
        <v>204</v>
      </c>
      <c r="J1493" s="1">
        <v>46203</v>
      </c>
      <c r="K1493" t="s">
        <v>744</v>
      </c>
      <c r="L1493">
        <v>1</v>
      </c>
      <c r="M1493">
        <v>9503.19</v>
      </c>
      <c r="N1493" t="s">
        <v>710</v>
      </c>
      <c r="O1493" t="s">
        <v>1033</v>
      </c>
      <c r="P1493" t="s">
        <v>4781</v>
      </c>
      <c r="Q1493" t="s">
        <v>4852</v>
      </c>
      <c r="R1493" t="s">
        <v>4771</v>
      </c>
    </row>
    <row r="1494" spans="1:18" x14ac:dyDescent="0.3">
      <c r="A1494">
        <v>33</v>
      </c>
      <c r="B1494" t="s">
        <v>4875</v>
      </c>
      <c r="C1494" t="s">
        <v>312</v>
      </c>
      <c r="D1494" t="s">
        <v>73</v>
      </c>
      <c r="E1494" s="1">
        <v>46044</v>
      </c>
      <c r="F1494" t="s">
        <v>4300</v>
      </c>
      <c r="G1494" t="s">
        <v>3440</v>
      </c>
      <c r="H1494" t="s">
        <v>365</v>
      </c>
      <c r="I1494" t="s">
        <v>204</v>
      </c>
      <c r="J1494" s="1">
        <v>46418</v>
      </c>
      <c r="K1494" t="s">
        <v>748</v>
      </c>
      <c r="L1494">
        <v>2361</v>
      </c>
      <c r="M1494">
        <v>2361</v>
      </c>
      <c r="N1494" t="s">
        <v>710</v>
      </c>
      <c r="O1494" t="s">
        <v>4834</v>
      </c>
      <c r="P1494" t="s">
        <v>1006</v>
      </c>
      <c r="Q1494" t="s">
        <v>4856</v>
      </c>
      <c r="R1494" t="s">
        <v>4773</v>
      </c>
    </row>
    <row r="1495" spans="1:18" x14ac:dyDescent="0.3">
      <c r="A1495">
        <v>38581</v>
      </c>
      <c r="B1495" t="s">
        <v>4875</v>
      </c>
      <c r="C1495" t="s">
        <v>530</v>
      </c>
      <c r="D1495" t="s">
        <v>24</v>
      </c>
      <c r="E1495" s="1">
        <v>46044</v>
      </c>
      <c r="F1495" t="s">
        <v>4297</v>
      </c>
      <c r="G1495" t="s">
        <v>3597</v>
      </c>
      <c r="H1495" t="s">
        <v>529</v>
      </c>
      <c r="I1495" t="s">
        <v>204</v>
      </c>
      <c r="J1495" s="1">
        <v>46477</v>
      </c>
      <c r="K1495" t="s">
        <v>748</v>
      </c>
      <c r="L1495">
        <v>1</v>
      </c>
      <c r="M1495">
        <v>8033.45</v>
      </c>
      <c r="N1495" t="s">
        <v>710</v>
      </c>
      <c r="O1495" t="s">
        <v>1040</v>
      </c>
      <c r="P1495" t="s">
        <v>4779</v>
      </c>
      <c r="Q1495" t="s">
        <v>4856</v>
      </c>
      <c r="R1495" t="s">
        <v>4773</v>
      </c>
    </row>
    <row r="1496" spans="1:18" x14ac:dyDescent="0.3">
      <c r="A1496">
        <v>7335</v>
      </c>
      <c r="B1496" t="s">
        <v>1035</v>
      </c>
      <c r="C1496" t="s">
        <v>230</v>
      </c>
      <c r="D1496" t="s">
        <v>85</v>
      </c>
      <c r="E1496" s="1">
        <v>46044</v>
      </c>
      <c r="F1496" t="s">
        <v>4421</v>
      </c>
      <c r="G1496" t="s">
        <v>3632</v>
      </c>
      <c r="H1496" t="s">
        <v>229</v>
      </c>
      <c r="I1496" t="s">
        <v>204</v>
      </c>
      <c r="J1496" s="1">
        <v>46203</v>
      </c>
      <c r="K1496" t="s">
        <v>744</v>
      </c>
      <c r="L1496">
        <v>1</v>
      </c>
      <c r="M1496">
        <v>5456.94</v>
      </c>
      <c r="N1496" t="s">
        <v>710</v>
      </c>
      <c r="O1496" t="s">
        <v>1033</v>
      </c>
      <c r="P1496" t="s">
        <v>4781</v>
      </c>
      <c r="Q1496" t="s">
        <v>4852</v>
      </c>
      <c r="R1496" t="s">
        <v>4771</v>
      </c>
    </row>
    <row r="1497" spans="1:18" x14ac:dyDescent="0.3">
      <c r="A1497">
        <v>7334</v>
      </c>
      <c r="B1497" t="s">
        <v>1035</v>
      </c>
      <c r="C1497" t="s">
        <v>230</v>
      </c>
      <c r="D1497" t="s">
        <v>85</v>
      </c>
      <c r="E1497" s="1">
        <v>46044</v>
      </c>
      <c r="F1497" t="s">
        <v>4348</v>
      </c>
      <c r="G1497" t="s">
        <v>3632</v>
      </c>
      <c r="H1497" t="s">
        <v>229</v>
      </c>
      <c r="I1497" t="s">
        <v>204</v>
      </c>
      <c r="J1497" s="1">
        <v>46203</v>
      </c>
      <c r="K1497" t="s">
        <v>744</v>
      </c>
      <c r="L1497">
        <v>1</v>
      </c>
      <c r="M1497">
        <v>12110.4</v>
      </c>
      <c r="N1497" t="s">
        <v>710</v>
      </c>
      <c r="O1497" t="s">
        <v>1033</v>
      </c>
      <c r="P1497" t="s">
        <v>4781</v>
      </c>
      <c r="Q1497" t="s">
        <v>4852</v>
      </c>
      <c r="R1497" t="s">
        <v>4771</v>
      </c>
    </row>
    <row r="1498" spans="1:18" x14ac:dyDescent="0.3">
      <c r="A1498">
        <v>63636</v>
      </c>
      <c r="B1498" t="s">
        <v>4874</v>
      </c>
      <c r="C1498" t="s">
        <v>437</v>
      </c>
      <c r="D1498" t="s">
        <v>150</v>
      </c>
      <c r="E1498" s="1">
        <v>46044</v>
      </c>
      <c r="F1498" t="s">
        <v>4395</v>
      </c>
      <c r="G1498" t="s">
        <v>3652</v>
      </c>
      <c r="H1498" t="s">
        <v>436</v>
      </c>
      <c r="I1498" t="s">
        <v>204</v>
      </c>
      <c r="J1498" s="1">
        <v>54878</v>
      </c>
      <c r="K1498" t="s">
        <v>762</v>
      </c>
      <c r="L1498">
        <v>760</v>
      </c>
      <c r="M1498">
        <v>760</v>
      </c>
      <c r="N1498" t="s">
        <v>719</v>
      </c>
      <c r="O1498" t="s">
        <v>1037</v>
      </c>
      <c r="P1498" t="s">
        <v>4788</v>
      </c>
      <c r="Q1498" t="s">
        <v>4852</v>
      </c>
      <c r="R1498" t="s">
        <v>4771</v>
      </c>
    </row>
    <row r="1499" spans="1:18" x14ac:dyDescent="0.3">
      <c r="A1499">
        <v>4733734</v>
      </c>
      <c r="B1499" t="s">
        <v>4874</v>
      </c>
      <c r="C1499" t="s">
        <v>433</v>
      </c>
      <c r="D1499" t="s">
        <v>168</v>
      </c>
      <c r="E1499" s="1">
        <v>46044</v>
      </c>
      <c r="F1499" t="s">
        <v>4319</v>
      </c>
      <c r="G1499" t="s">
        <v>3651</v>
      </c>
      <c r="H1499" t="s">
        <v>432</v>
      </c>
      <c r="I1499" t="s">
        <v>204</v>
      </c>
      <c r="J1499" s="1">
        <v>46473</v>
      </c>
      <c r="K1499" t="s">
        <v>762</v>
      </c>
      <c r="L1499">
        <v>1364</v>
      </c>
      <c r="M1499">
        <v>1363.94</v>
      </c>
      <c r="N1499" t="s">
        <v>710</v>
      </c>
      <c r="O1499" t="s">
        <v>4833</v>
      </c>
      <c r="P1499" t="s">
        <v>4802</v>
      </c>
      <c r="Q1499" t="s">
        <v>4852</v>
      </c>
      <c r="R1499" t="s">
        <v>4771</v>
      </c>
    </row>
    <row r="1500" spans="1:18" x14ac:dyDescent="0.3">
      <c r="A1500">
        <v>623848</v>
      </c>
      <c r="B1500" t="s">
        <v>4875</v>
      </c>
      <c r="C1500" t="s">
        <v>338</v>
      </c>
      <c r="D1500" t="s">
        <v>31</v>
      </c>
      <c r="E1500" s="1">
        <v>46043</v>
      </c>
      <c r="F1500" t="s">
        <v>4299</v>
      </c>
      <c r="G1500" t="s">
        <v>3600</v>
      </c>
      <c r="H1500" t="s">
        <v>353</v>
      </c>
      <c r="I1500" t="s">
        <v>204</v>
      </c>
      <c r="J1500" s="1">
        <v>54878</v>
      </c>
      <c r="K1500" t="s">
        <v>748</v>
      </c>
      <c r="L1500">
        <v>5369</v>
      </c>
      <c r="M1500">
        <v>5368.55</v>
      </c>
      <c r="N1500" t="s">
        <v>710</v>
      </c>
      <c r="O1500" t="s">
        <v>1040</v>
      </c>
      <c r="P1500" t="s">
        <v>4785</v>
      </c>
      <c r="Q1500" t="s">
        <v>4856</v>
      </c>
      <c r="R1500" t="s">
        <v>4773</v>
      </c>
    </row>
    <row r="1501" spans="1:18" x14ac:dyDescent="0.3">
      <c r="A1501">
        <v>66121469</v>
      </c>
      <c r="B1501" t="s">
        <v>4874</v>
      </c>
      <c r="C1501" t="s">
        <v>653</v>
      </c>
      <c r="D1501" t="s">
        <v>14</v>
      </c>
      <c r="E1501" s="1">
        <v>46043</v>
      </c>
      <c r="F1501" t="s">
        <v>4336</v>
      </c>
      <c r="G1501" t="s">
        <v>3636</v>
      </c>
      <c r="H1501" t="s">
        <v>652</v>
      </c>
      <c r="I1501" t="s">
        <v>204</v>
      </c>
      <c r="J1501" s="1">
        <v>46583</v>
      </c>
      <c r="K1501" t="s">
        <v>762</v>
      </c>
      <c r="L1501">
        <v>82232.03</v>
      </c>
      <c r="M1501">
        <v>82232.03</v>
      </c>
      <c r="N1501" t="s">
        <v>710</v>
      </c>
      <c r="O1501" t="s">
        <v>1037</v>
      </c>
      <c r="P1501" t="s">
        <v>4794</v>
      </c>
      <c r="Q1501" t="s">
        <v>4852</v>
      </c>
      <c r="R1501" t="s">
        <v>807</v>
      </c>
    </row>
    <row r="1502" spans="1:18" x14ac:dyDescent="0.3">
      <c r="A1502">
        <v>11591</v>
      </c>
      <c r="B1502" t="s">
        <v>4874</v>
      </c>
      <c r="C1502" t="s">
        <v>598</v>
      </c>
      <c r="D1502" t="s">
        <v>128</v>
      </c>
      <c r="E1502" s="1">
        <v>46043</v>
      </c>
      <c r="F1502" t="s">
        <v>4336</v>
      </c>
      <c r="G1502" t="s">
        <v>3615</v>
      </c>
      <c r="H1502" t="s">
        <v>599</v>
      </c>
      <c r="I1502" t="s">
        <v>204</v>
      </c>
      <c r="J1502" s="1">
        <v>45869</v>
      </c>
      <c r="K1502" t="s">
        <v>762</v>
      </c>
      <c r="L1502">
        <v>1</v>
      </c>
      <c r="M1502">
        <v>4048.27</v>
      </c>
      <c r="N1502" t="s">
        <v>710</v>
      </c>
      <c r="O1502" t="s">
        <v>1037</v>
      </c>
      <c r="P1502" t="s">
        <v>4794</v>
      </c>
      <c r="Q1502" t="s">
        <v>4852</v>
      </c>
      <c r="R1502" t="s">
        <v>4772</v>
      </c>
    </row>
    <row r="1503" spans="1:18" x14ac:dyDescent="0.3">
      <c r="A1503">
        <v>697</v>
      </c>
      <c r="B1503" t="s">
        <v>4875</v>
      </c>
      <c r="C1503" t="s">
        <v>319</v>
      </c>
      <c r="D1503" t="s">
        <v>36</v>
      </c>
      <c r="E1503" s="1">
        <v>46043</v>
      </c>
      <c r="F1503" t="s">
        <v>4434</v>
      </c>
      <c r="G1503" t="s">
        <v>3610</v>
      </c>
      <c r="H1503" t="s">
        <v>336</v>
      </c>
      <c r="I1503" t="s">
        <v>204</v>
      </c>
      <c r="J1503" s="1">
        <v>46075</v>
      </c>
      <c r="K1503" t="s">
        <v>748</v>
      </c>
      <c r="L1503">
        <v>21524.5</v>
      </c>
      <c r="M1503">
        <v>21524.5</v>
      </c>
      <c r="N1503" t="s">
        <v>710</v>
      </c>
      <c r="O1503" t="s">
        <v>1040</v>
      </c>
      <c r="P1503" t="s">
        <v>4784</v>
      </c>
      <c r="Q1503" t="s">
        <v>4856</v>
      </c>
      <c r="R1503" t="s">
        <v>4771</v>
      </c>
    </row>
    <row r="1504" spans="1:18" x14ac:dyDescent="0.3">
      <c r="A1504">
        <v>1132</v>
      </c>
      <c r="B1504" t="s">
        <v>1034</v>
      </c>
      <c r="C1504" t="s">
        <v>638</v>
      </c>
      <c r="D1504" t="s">
        <v>134</v>
      </c>
      <c r="E1504" s="1">
        <v>46043</v>
      </c>
      <c r="F1504" t="s">
        <v>4296</v>
      </c>
      <c r="G1504" t="s">
        <v>3582</v>
      </c>
      <c r="H1504" t="s">
        <v>637</v>
      </c>
      <c r="I1504" t="s">
        <v>204</v>
      </c>
      <c r="J1504" s="1">
        <v>46537</v>
      </c>
      <c r="K1504" t="s">
        <v>711</v>
      </c>
      <c r="L1504">
        <v>1941</v>
      </c>
      <c r="M1504">
        <v>1941</v>
      </c>
      <c r="N1504" t="s">
        <v>710</v>
      </c>
      <c r="O1504" t="s">
        <v>1036</v>
      </c>
      <c r="P1504" t="s">
        <v>4776</v>
      </c>
      <c r="Q1504" t="s">
        <v>4901</v>
      </c>
    </row>
    <row r="1505" spans="1:18" x14ac:dyDescent="0.3">
      <c r="A1505">
        <v>11607</v>
      </c>
      <c r="B1505" t="s">
        <v>4875</v>
      </c>
      <c r="C1505" t="s">
        <v>598</v>
      </c>
      <c r="D1505" t="s">
        <v>128</v>
      </c>
      <c r="E1505" s="1">
        <v>46043</v>
      </c>
      <c r="F1505" t="s">
        <v>4336</v>
      </c>
      <c r="G1505" t="s">
        <v>3614</v>
      </c>
      <c r="H1505" t="s">
        <v>600</v>
      </c>
      <c r="I1505" t="s">
        <v>204</v>
      </c>
      <c r="J1505" s="1">
        <v>45869</v>
      </c>
      <c r="K1505" t="s">
        <v>768</v>
      </c>
      <c r="L1505">
        <v>1</v>
      </c>
      <c r="M1505">
        <v>903.9</v>
      </c>
      <c r="N1505" t="s">
        <v>710</v>
      </c>
      <c r="O1505" t="s">
        <v>1037</v>
      </c>
      <c r="P1505" t="s">
        <v>4794</v>
      </c>
      <c r="Q1505" t="s">
        <v>4852</v>
      </c>
      <c r="R1505" t="s">
        <v>4772</v>
      </c>
    </row>
    <row r="1506" spans="1:18" x14ac:dyDescent="0.3">
      <c r="A1506">
        <v>191</v>
      </c>
      <c r="B1506" t="s">
        <v>4874</v>
      </c>
      <c r="C1506" t="s">
        <v>565</v>
      </c>
      <c r="D1506" t="s">
        <v>113</v>
      </c>
      <c r="E1506" s="1">
        <v>46043</v>
      </c>
      <c r="F1506" t="s">
        <v>4390</v>
      </c>
      <c r="G1506" t="s">
        <v>3644</v>
      </c>
      <c r="H1506" t="s">
        <v>564</v>
      </c>
      <c r="I1506" t="s">
        <v>204</v>
      </c>
      <c r="J1506" s="1">
        <v>46386</v>
      </c>
      <c r="K1506" t="s">
        <v>720</v>
      </c>
      <c r="L1506">
        <v>1</v>
      </c>
      <c r="M1506">
        <v>5200</v>
      </c>
      <c r="N1506" t="s">
        <v>710</v>
      </c>
      <c r="O1506" t="s">
        <v>1038</v>
      </c>
      <c r="P1506" t="s">
        <v>4777</v>
      </c>
      <c r="Q1506" t="s">
        <v>4858</v>
      </c>
      <c r="R1506" t="s">
        <v>4771</v>
      </c>
    </row>
    <row r="1507" spans="1:18" x14ac:dyDescent="0.3">
      <c r="A1507">
        <v>242</v>
      </c>
      <c r="B1507" t="s">
        <v>1034</v>
      </c>
      <c r="C1507" t="s">
        <v>550</v>
      </c>
      <c r="D1507" t="s">
        <v>189</v>
      </c>
      <c r="E1507" s="1">
        <v>46043</v>
      </c>
      <c r="F1507" t="s">
        <v>4338</v>
      </c>
      <c r="G1507" t="s">
        <v>3607</v>
      </c>
      <c r="H1507" t="s">
        <v>582</v>
      </c>
      <c r="I1507" t="s">
        <v>204</v>
      </c>
      <c r="J1507" s="1">
        <v>46599</v>
      </c>
      <c r="K1507" t="s">
        <v>717</v>
      </c>
      <c r="L1507">
        <v>27077.83</v>
      </c>
      <c r="M1507">
        <v>27077.83</v>
      </c>
      <c r="N1507" t="s">
        <v>710</v>
      </c>
      <c r="O1507" t="s">
        <v>4904</v>
      </c>
      <c r="P1507" t="s">
        <v>4792</v>
      </c>
      <c r="Q1507" t="s">
        <v>4904</v>
      </c>
      <c r="R1507" t="s">
        <v>4772</v>
      </c>
    </row>
    <row r="1508" spans="1:18" x14ac:dyDescent="0.3">
      <c r="A1508">
        <v>17611</v>
      </c>
      <c r="B1508" t="s">
        <v>1034</v>
      </c>
      <c r="C1508" t="s">
        <v>359</v>
      </c>
      <c r="D1508" t="s">
        <v>53</v>
      </c>
      <c r="E1508" s="1">
        <v>46043</v>
      </c>
      <c r="F1508" t="s">
        <v>4305</v>
      </c>
      <c r="G1508" t="s">
        <v>3517</v>
      </c>
      <c r="H1508" t="s">
        <v>358</v>
      </c>
      <c r="I1508" t="s">
        <v>204</v>
      </c>
      <c r="J1508" s="1">
        <v>54878</v>
      </c>
      <c r="K1508" t="s">
        <v>711</v>
      </c>
      <c r="L1508">
        <v>1</v>
      </c>
      <c r="M1508">
        <v>1450</v>
      </c>
      <c r="N1508" t="s">
        <v>710</v>
      </c>
      <c r="O1508" t="s">
        <v>1036</v>
      </c>
      <c r="P1508" t="s">
        <v>4776</v>
      </c>
      <c r="Q1508" t="s">
        <v>4901</v>
      </c>
      <c r="R1508" t="s">
        <v>4773</v>
      </c>
    </row>
    <row r="1509" spans="1:18" x14ac:dyDescent="0.3">
      <c r="A1509">
        <v>31</v>
      </c>
      <c r="B1509" t="s">
        <v>1034</v>
      </c>
      <c r="C1509" t="s">
        <v>312</v>
      </c>
      <c r="D1509" t="s">
        <v>73</v>
      </c>
      <c r="E1509" s="1">
        <v>46043</v>
      </c>
      <c r="F1509" t="s">
        <v>4300</v>
      </c>
      <c r="G1509" t="s">
        <v>3649</v>
      </c>
      <c r="H1509" t="s">
        <v>311</v>
      </c>
      <c r="I1509" t="s">
        <v>204</v>
      </c>
      <c r="J1509" s="1">
        <v>54878</v>
      </c>
      <c r="K1509" t="s">
        <v>711</v>
      </c>
      <c r="L1509">
        <v>2361</v>
      </c>
      <c r="M1509">
        <v>2361</v>
      </c>
      <c r="N1509" t="s">
        <v>719</v>
      </c>
      <c r="O1509" t="s">
        <v>4834</v>
      </c>
      <c r="P1509" t="s">
        <v>1006</v>
      </c>
      <c r="Q1509" t="s">
        <v>4901</v>
      </c>
      <c r="R1509" t="s">
        <v>4773</v>
      </c>
    </row>
    <row r="1510" spans="1:18" x14ac:dyDescent="0.3">
      <c r="A1510">
        <v>21798</v>
      </c>
      <c r="B1510" t="s">
        <v>1034</v>
      </c>
      <c r="C1510" t="s">
        <v>243</v>
      </c>
      <c r="D1510" t="s">
        <v>61</v>
      </c>
      <c r="E1510" s="1">
        <v>46043</v>
      </c>
      <c r="F1510" t="s">
        <v>4304</v>
      </c>
      <c r="G1510" t="s">
        <v>3499</v>
      </c>
      <c r="H1510" t="s">
        <v>246</v>
      </c>
      <c r="I1510" t="s">
        <v>204</v>
      </c>
      <c r="J1510" s="1">
        <v>46203</v>
      </c>
      <c r="K1510" t="s">
        <v>711</v>
      </c>
      <c r="L1510">
        <v>5858.29</v>
      </c>
      <c r="M1510">
        <v>5858.29</v>
      </c>
      <c r="N1510" t="s">
        <v>710</v>
      </c>
      <c r="O1510" t="s">
        <v>4834</v>
      </c>
      <c r="P1510" t="s">
        <v>4776</v>
      </c>
      <c r="Q1510" t="s">
        <v>4901</v>
      </c>
      <c r="R1510" t="s">
        <v>4771</v>
      </c>
    </row>
    <row r="1511" spans="1:18" x14ac:dyDescent="0.3">
      <c r="A1511">
        <v>11599</v>
      </c>
      <c r="B1511" t="s">
        <v>1034</v>
      </c>
      <c r="C1511" t="s">
        <v>598</v>
      </c>
      <c r="D1511" t="s">
        <v>128</v>
      </c>
      <c r="E1511" s="1">
        <v>46043</v>
      </c>
      <c r="F1511" t="s">
        <v>4336</v>
      </c>
      <c r="G1511" t="s">
        <v>3616</v>
      </c>
      <c r="H1511" t="s">
        <v>597</v>
      </c>
      <c r="I1511" t="s">
        <v>204</v>
      </c>
      <c r="J1511" s="1">
        <v>45839</v>
      </c>
      <c r="K1511" t="s">
        <v>717</v>
      </c>
      <c r="L1511">
        <v>1</v>
      </c>
      <c r="M1511">
        <v>5022</v>
      </c>
      <c r="N1511" t="s">
        <v>710</v>
      </c>
      <c r="O1511" t="s">
        <v>1037</v>
      </c>
      <c r="P1511" t="s">
        <v>4794</v>
      </c>
      <c r="Q1511" t="s">
        <v>4852</v>
      </c>
      <c r="R1511" t="s">
        <v>4772</v>
      </c>
    </row>
    <row r="1512" spans="1:18" x14ac:dyDescent="0.3">
      <c r="A1512">
        <v>597232</v>
      </c>
      <c r="B1512" t="s">
        <v>1034</v>
      </c>
      <c r="C1512" t="s">
        <v>248</v>
      </c>
      <c r="D1512" t="s">
        <v>13</v>
      </c>
      <c r="E1512" s="1">
        <v>46043</v>
      </c>
      <c r="F1512" t="s">
        <v>4297</v>
      </c>
      <c r="G1512" t="s">
        <v>3654</v>
      </c>
      <c r="H1512" t="s">
        <v>315</v>
      </c>
      <c r="I1512" t="s">
        <v>204</v>
      </c>
      <c r="J1512" s="1">
        <v>46073</v>
      </c>
      <c r="K1512" t="s">
        <v>711</v>
      </c>
      <c r="L1512">
        <v>5391.91</v>
      </c>
      <c r="M1512">
        <v>5391.91</v>
      </c>
      <c r="N1512" t="s">
        <v>710</v>
      </c>
      <c r="O1512" t="s">
        <v>1036</v>
      </c>
      <c r="P1512" t="s">
        <v>4779</v>
      </c>
      <c r="Q1512" t="s">
        <v>4901</v>
      </c>
      <c r="R1512" t="s">
        <v>4773</v>
      </c>
    </row>
    <row r="1513" spans="1:18" x14ac:dyDescent="0.3">
      <c r="A1513">
        <v>79598</v>
      </c>
      <c r="B1513" t="s">
        <v>4874</v>
      </c>
      <c r="C1513" t="s">
        <v>634</v>
      </c>
      <c r="D1513" t="s">
        <v>99</v>
      </c>
      <c r="E1513" s="1">
        <v>46042</v>
      </c>
      <c r="F1513" t="s">
        <v>4422</v>
      </c>
      <c r="G1513" t="s">
        <v>3613</v>
      </c>
      <c r="H1513" t="s">
        <v>633</v>
      </c>
      <c r="I1513" t="s">
        <v>204</v>
      </c>
      <c r="J1513" s="1">
        <v>46204</v>
      </c>
      <c r="K1513" t="s">
        <v>762</v>
      </c>
      <c r="L1513">
        <v>16</v>
      </c>
      <c r="M1513">
        <v>93.76</v>
      </c>
      <c r="N1513" t="s">
        <v>719</v>
      </c>
      <c r="O1513" t="s">
        <v>1037</v>
      </c>
      <c r="P1513" t="s">
        <v>4790</v>
      </c>
      <c r="Q1513" t="s">
        <v>4852</v>
      </c>
    </row>
    <row r="1514" spans="1:18" x14ac:dyDescent="0.3">
      <c r="A1514">
        <v>4066871</v>
      </c>
      <c r="B1514" t="s">
        <v>4875</v>
      </c>
      <c r="C1514" t="s">
        <v>417</v>
      </c>
      <c r="D1514" t="s">
        <v>185</v>
      </c>
      <c r="E1514" s="1">
        <v>46042</v>
      </c>
      <c r="F1514" t="s">
        <v>4335</v>
      </c>
      <c r="G1514" t="s">
        <v>3528</v>
      </c>
      <c r="H1514" t="s">
        <v>684</v>
      </c>
      <c r="I1514" t="s">
        <v>204</v>
      </c>
      <c r="J1514" s="1">
        <v>55243</v>
      </c>
      <c r="K1514" t="s">
        <v>768</v>
      </c>
      <c r="L1514">
        <v>1</v>
      </c>
      <c r="M1514">
        <v>449.34</v>
      </c>
      <c r="N1514" t="s">
        <v>710</v>
      </c>
      <c r="O1514" t="s">
        <v>1037</v>
      </c>
      <c r="P1514" t="s">
        <v>4810</v>
      </c>
      <c r="Q1514" t="s">
        <v>4852</v>
      </c>
      <c r="R1514" t="s">
        <v>807</v>
      </c>
    </row>
    <row r="1515" spans="1:18" x14ac:dyDescent="0.3">
      <c r="A1515">
        <v>2074494</v>
      </c>
      <c r="B1515" t="s">
        <v>4875</v>
      </c>
      <c r="C1515" t="s">
        <v>417</v>
      </c>
      <c r="D1515" t="s">
        <v>185</v>
      </c>
      <c r="E1515" s="1">
        <v>46042</v>
      </c>
      <c r="F1515" t="s">
        <v>4346</v>
      </c>
      <c r="G1515" t="s">
        <v>3528</v>
      </c>
      <c r="H1515" t="s">
        <v>684</v>
      </c>
      <c r="I1515" t="s">
        <v>204</v>
      </c>
      <c r="J1515" s="1">
        <v>55243</v>
      </c>
      <c r="K1515" t="s">
        <v>768</v>
      </c>
      <c r="L1515">
        <v>1</v>
      </c>
      <c r="M1515">
        <v>1054.4000000000001</v>
      </c>
      <c r="N1515" t="s">
        <v>710</v>
      </c>
      <c r="O1515" t="s">
        <v>1037</v>
      </c>
      <c r="P1515" t="s">
        <v>4810</v>
      </c>
      <c r="Q1515" t="s">
        <v>4852</v>
      </c>
      <c r="R1515" t="s">
        <v>807</v>
      </c>
    </row>
    <row r="1516" spans="1:18" x14ac:dyDescent="0.3">
      <c r="A1516">
        <v>10542</v>
      </c>
      <c r="B1516" t="s">
        <v>4875</v>
      </c>
      <c r="C1516" t="s">
        <v>594</v>
      </c>
      <c r="D1516" t="s">
        <v>27</v>
      </c>
      <c r="E1516" s="1">
        <v>46042</v>
      </c>
      <c r="F1516" t="s">
        <v>4323</v>
      </c>
      <c r="G1516" t="s">
        <v>3635</v>
      </c>
      <c r="H1516" t="s">
        <v>596</v>
      </c>
      <c r="I1516" t="s">
        <v>204</v>
      </c>
      <c r="J1516" s="1">
        <v>46204</v>
      </c>
      <c r="K1516" t="s">
        <v>768</v>
      </c>
      <c r="L1516">
        <v>1</v>
      </c>
      <c r="M1516">
        <v>13996.84</v>
      </c>
      <c r="N1516" t="s">
        <v>814</v>
      </c>
      <c r="O1516" t="s">
        <v>1037</v>
      </c>
      <c r="P1516" t="s">
        <v>4794</v>
      </c>
      <c r="Q1516" t="s">
        <v>4852</v>
      </c>
      <c r="R1516" t="s">
        <v>4772</v>
      </c>
    </row>
    <row r="1517" spans="1:18" x14ac:dyDescent="0.3">
      <c r="A1517">
        <v>9</v>
      </c>
      <c r="B1517" t="s">
        <v>1034</v>
      </c>
      <c r="C1517" t="s">
        <v>636</v>
      </c>
      <c r="D1517" t="s">
        <v>51</v>
      </c>
      <c r="E1517" s="1">
        <v>46042</v>
      </c>
      <c r="F1517" t="s">
        <v>4297</v>
      </c>
      <c r="G1517" t="s">
        <v>2293</v>
      </c>
      <c r="H1517" t="s">
        <v>635</v>
      </c>
      <c r="I1517" t="s">
        <v>204</v>
      </c>
      <c r="J1517" s="1">
        <v>46193</v>
      </c>
      <c r="K1517" t="s">
        <v>711</v>
      </c>
      <c r="L1517">
        <v>1</v>
      </c>
      <c r="M1517">
        <v>7933</v>
      </c>
      <c r="N1517" t="s">
        <v>710</v>
      </c>
      <c r="O1517" t="s">
        <v>4844</v>
      </c>
      <c r="P1517" t="s">
        <v>4779</v>
      </c>
      <c r="Q1517" t="s">
        <v>4845</v>
      </c>
      <c r="R1517" t="s">
        <v>4771</v>
      </c>
    </row>
    <row r="1518" spans="1:18" x14ac:dyDescent="0.3">
      <c r="A1518">
        <v>10533</v>
      </c>
      <c r="B1518" t="s">
        <v>1034</v>
      </c>
      <c r="C1518" t="s">
        <v>594</v>
      </c>
      <c r="D1518" t="s">
        <v>27</v>
      </c>
      <c r="E1518" s="1">
        <v>46042</v>
      </c>
      <c r="F1518" t="s">
        <v>4323</v>
      </c>
      <c r="G1518" t="s">
        <v>3634</v>
      </c>
      <c r="H1518" t="s">
        <v>595</v>
      </c>
      <c r="I1518" t="s">
        <v>204</v>
      </c>
      <c r="J1518" s="1">
        <v>46204</v>
      </c>
      <c r="K1518" t="s">
        <v>717</v>
      </c>
      <c r="L1518">
        <v>15047.14</v>
      </c>
      <c r="M1518">
        <v>15047.14</v>
      </c>
      <c r="N1518" t="s">
        <v>814</v>
      </c>
      <c r="O1518" t="s">
        <v>1037</v>
      </c>
      <c r="P1518" t="s">
        <v>4794</v>
      </c>
      <c r="Q1518" t="s">
        <v>4852</v>
      </c>
      <c r="R1518" t="s">
        <v>4772</v>
      </c>
    </row>
    <row r="1519" spans="1:18" x14ac:dyDescent="0.3">
      <c r="A1519">
        <v>694</v>
      </c>
      <c r="B1519" t="s">
        <v>1034</v>
      </c>
      <c r="C1519" t="s">
        <v>319</v>
      </c>
      <c r="D1519" t="s">
        <v>36</v>
      </c>
      <c r="E1519" s="1">
        <v>46042</v>
      </c>
      <c r="F1519" t="s">
        <v>4298</v>
      </c>
      <c r="G1519" t="s">
        <v>3627</v>
      </c>
      <c r="H1519" t="s">
        <v>318</v>
      </c>
      <c r="I1519" t="s">
        <v>204</v>
      </c>
      <c r="J1519" s="1">
        <v>46214</v>
      </c>
      <c r="K1519" t="s">
        <v>711</v>
      </c>
      <c r="L1519">
        <v>601</v>
      </c>
      <c r="M1519">
        <v>600.96</v>
      </c>
      <c r="N1519" t="s">
        <v>710</v>
      </c>
      <c r="O1519" t="s">
        <v>1036</v>
      </c>
      <c r="P1519" t="s">
        <v>4784</v>
      </c>
      <c r="Q1519" t="s">
        <v>4901</v>
      </c>
      <c r="R1519" t="s">
        <v>4771</v>
      </c>
    </row>
    <row r="1520" spans="1:18" x14ac:dyDescent="0.3">
      <c r="A1520">
        <v>339</v>
      </c>
      <c r="B1520" t="s">
        <v>1034</v>
      </c>
      <c r="C1520" t="s">
        <v>479</v>
      </c>
      <c r="D1520" t="s">
        <v>99</v>
      </c>
      <c r="E1520" s="1">
        <v>46042</v>
      </c>
      <c r="F1520" t="s">
        <v>4307</v>
      </c>
      <c r="G1520" t="s">
        <v>3633</v>
      </c>
      <c r="H1520" t="s">
        <v>478</v>
      </c>
      <c r="I1520" t="s">
        <v>204</v>
      </c>
      <c r="J1520" s="1">
        <v>46239</v>
      </c>
      <c r="K1520" t="s">
        <v>717</v>
      </c>
      <c r="L1520">
        <v>3035</v>
      </c>
      <c r="M1520">
        <v>37057.35</v>
      </c>
      <c r="N1520" t="s">
        <v>710</v>
      </c>
      <c r="O1520" t="s">
        <v>1037</v>
      </c>
      <c r="P1520" t="s">
        <v>4790</v>
      </c>
      <c r="Q1520" t="s">
        <v>4852</v>
      </c>
      <c r="R1520" t="s">
        <v>4772</v>
      </c>
    </row>
    <row r="1521" spans="1:18" x14ac:dyDescent="0.3">
      <c r="A1521">
        <v>339</v>
      </c>
      <c r="B1521" t="s">
        <v>1034</v>
      </c>
      <c r="C1521" t="s">
        <v>479</v>
      </c>
      <c r="D1521" t="s">
        <v>99</v>
      </c>
      <c r="E1521" s="1">
        <v>46042</v>
      </c>
      <c r="F1521" t="s">
        <v>4308</v>
      </c>
      <c r="G1521" t="s">
        <v>3633</v>
      </c>
      <c r="H1521" t="s">
        <v>478</v>
      </c>
      <c r="I1521" t="s">
        <v>204</v>
      </c>
      <c r="J1521" s="1">
        <v>46239</v>
      </c>
      <c r="K1521" t="s">
        <v>717</v>
      </c>
      <c r="L1521">
        <v>2118</v>
      </c>
      <c r="M1521">
        <v>8387.2800000000007</v>
      </c>
      <c r="N1521" t="s">
        <v>710</v>
      </c>
      <c r="O1521" t="s">
        <v>1037</v>
      </c>
      <c r="P1521" t="s">
        <v>4790</v>
      </c>
      <c r="Q1521" t="s">
        <v>4852</v>
      </c>
      <c r="R1521" t="s">
        <v>4772</v>
      </c>
    </row>
    <row r="1522" spans="1:18" x14ac:dyDescent="0.3">
      <c r="A1522">
        <v>79598</v>
      </c>
      <c r="B1522" t="s">
        <v>4874</v>
      </c>
      <c r="C1522" t="s">
        <v>634</v>
      </c>
      <c r="D1522" t="s">
        <v>99</v>
      </c>
      <c r="E1522" s="1">
        <v>46042</v>
      </c>
      <c r="F1522" t="s">
        <v>4310</v>
      </c>
      <c r="G1522" t="s">
        <v>3613</v>
      </c>
      <c r="H1522" t="s">
        <v>633</v>
      </c>
      <c r="I1522" t="s">
        <v>204</v>
      </c>
      <c r="J1522" s="1">
        <v>46204</v>
      </c>
      <c r="K1522" t="s">
        <v>762</v>
      </c>
      <c r="L1522">
        <v>189</v>
      </c>
      <c r="M1522">
        <v>691.74</v>
      </c>
      <c r="N1522" t="s">
        <v>719</v>
      </c>
      <c r="O1522" t="s">
        <v>1037</v>
      </c>
      <c r="P1522" t="s">
        <v>4790</v>
      </c>
      <c r="Q1522" t="s">
        <v>4852</v>
      </c>
    </row>
    <row r="1523" spans="1:18" x14ac:dyDescent="0.3">
      <c r="A1523">
        <v>339</v>
      </c>
      <c r="B1523" t="s">
        <v>1034</v>
      </c>
      <c r="C1523" t="s">
        <v>479</v>
      </c>
      <c r="D1523" t="s">
        <v>99</v>
      </c>
      <c r="E1523" s="1">
        <v>46042</v>
      </c>
      <c r="F1523" t="s">
        <v>4372</v>
      </c>
      <c r="G1523" t="s">
        <v>3633</v>
      </c>
      <c r="H1523" t="s">
        <v>478</v>
      </c>
      <c r="I1523" t="s">
        <v>204</v>
      </c>
      <c r="J1523" s="1">
        <v>46239</v>
      </c>
      <c r="K1523" t="s">
        <v>717</v>
      </c>
      <c r="L1523">
        <v>173</v>
      </c>
      <c r="M1523">
        <v>1473.96</v>
      </c>
      <c r="N1523" t="s">
        <v>710</v>
      </c>
      <c r="O1523" t="s">
        <v>1037</v>
      </c>
      <c r="P1523" t="s">
        <v>4790</v>
      </c>
      <c r="Q1523" t="s">
        <v>4852</v>
      </c>
      <c r="R1523" t="s">
        <v>4772</v>
      </c>
    </row>
    <row r="1524" spans="1:18" x14ac:dyDescent="0.3">
      <c r="A1524">
        <v>339</v>
      </c>
      <c r="B1524" t="s">
        <v>1034</v>
      </c>
      <c r="C1524" t="s">
        <v>479</v>
      </c>
      <c r="D1524" t="s">
        <v>99</v>
      </c>
      <c r="E1524" s="1">
        <v>46042</v>
      </c>
      <c r="F1524" t="s">
        <v>4312</v>
      </c>
      <c r="G1524" t="s">
        <v>3633</v>
      </c>
      <c r="H1524" t="s">
        <v>478</v>
      </c>
      <c r="I1524" t="s">
        <v>204</v>
      </c>
      <c r="J1524" s="1">
        <v>46239</v>
      </c>
      <c r="K1524" t="s">
        <v>717</v>
      </c>
      <c r="L1524">
        <v>88</v>
      </c>
      <c r="M1524">
        <v>418</v>
      </c>
      <c r="N1524" t="s">
        <v>710</v>
      </c>
      <c r="O1524" t="s">
        <v>1037</v>
      </c>
      <c r="P1524" t="s">
        <v>4790</v>
      </c>
      <c r="Q1524" t="s">
        <v>4852</v>
      </c>
      <c r="R1524" t="s">
        <v>4772</v>
      </c>
    </row>
    <row r="1525" spans="1:18" x14ac:dyDescent="0.3">
      <c r="A1525">
        <v>2074538</v>
      </c>
      <c r="B1525" t="s">
        <v>1034</v>
      </c>
      <c r="C1525" t="s">
        <v>417</v>
      </c>
      <c r="D1525" t="s">
        <v>185</v>
      </c>
      <c r="E1525" s="1">
        <v>46042</v>
      </c>
      <c r="F1525" t="s">
        <v>4346</v>
      </c>
      <c r="G1525" t="s">
        <v>3530</v>
      </c>
      <c r="H1525" t="s">
        <v>416</v>
      </c>
      <c r="I1525" t="s">
        <v>204</v>
      </c>
      <c r="J1525" s="1">
        <v>54878</v>
      </c>
      <c r="K1525" t="s">
        <v>717</v>
      </c>
      <c r="L1525">
        <v>5292.92</v>
      </c>
      <c r="M1525">
        <v>5292.92</v>
      </c>
      <c r="N1525" t="s">
        <v>710</v>
      </c>
      <c r="O1525" t="s">
        <v>1037</v>
      </c>
      <c r="P1525" t="s">
        <v>4780</v>
      </c>
      <c r="Q1525" t="s">
        <v>4852</v>
      </c>
      <c r="R1525" t="s">
        <v>4771</v>
      </c>
    </row>
    <row r="1526" spans="1:18" x14ac:dyDescent="0.3">
      <c r="A1526">
        <v>2074444</v>
      </c>
      <c r="B1526" t="s">
        <v>4874</v>
      </c>
      <c r="C1526" t="s">
        <v>417</v>
      </c>
      <c r="D1526" t="s">
        <v>185</v>
      </c>
      <c r="E1526" s="1">
        <v>46042</v>
      </c>
      <c r="F1526" t="s">
        <v>4346</v>
      </c>
      <c r="G1526" t="s">
        <v>3529</v>
      </c>
      <c r="H1526" t="s">
        <v>461</v>
      </c>
      <c r="I1526" t="s">
        <v>204</v>
      </c>
      <c r="J1526" s="1">
        <v>54878</v>
      </c>
      <c r="K1526" t="s">
        <v>762</v>
      </c>
      <c r="L1526">
        <v>24360.6</v>
      </c>
      <c r="M1526">
        <v>24360.6</v>
      </c>
      <c r="N1526" t="s">
        <v>710</v>
      </c>
      <c r="O1526" t="s">
        <v>1037</v>
      </c>
      <c r="P1526" t="s">
        <v>4780</v>
      </c>
      <c r="Q1526" t="s">
        <v>4852</v>
      </c>
      <c r="R1526" t="s">
        <v>4771</v>
      </c>
    </row>
    <row r="1527" spans="1:18" x14ac:dyDescent="0.3">
      <c r="A1527">
        <v>79598</v>
      </c>
      <c r="B1527" t="s">
        <v>4874</v>
      </c>
      <c r="C1527" t="s">
        <v>634</v>
      </c>
      <c r="D1527" t="s">
        <v>99</v>
      </c>
      <c r="E1527" s="1">
        <v>46042</v>
      </c>
      <c r="F1527" t="s">
        <v>4425</v>
      </c>
      <c r="G1527" t="s">
        <v>3613</v>
      </c>
      <c r="H1527" t="s">
        <v>633</v>
      </c>
      <c r="I1527" t="s">
        <v>204</v>
      </c>
      <c r="J1527" s="1">
        <v>46204</v>
      </c>
      <c r="K1527" t="s">
        <v>762</v>
      </c>
      <c r="L1527">
        <v>1</v>
      </c>
      <c r="M1527">
        <v>30.6</v>
      </c>
      <c r="N1527" t="s">
        <v>719</v>
      </c>
      <c r="O1527" t="s">
        <v>1037</v>
      </c>
      <c r="P1527" t="s">
        <v>4790</v>
      </c>
      <c r="Q1527" t="s">
        <v>4852</v>
      </c>
    </row>
    <row r="1528" spans="1:18" x14ac:dyDescent="0.3">
      <c r="A1528">
        <v>339</v>
      </c>
      <c r="B1528" t="s">
        <v>1034</v>
      </c>
      <c r="C1528" t="s">
        <v>479</v>
      </c>
      <c r="D1528" t="s">
        <v>99</v>
      </c>
      <c r="E1528" s="1">
        <v>46042</v>
      </c>
      <c r="F1528" t="s">
        <v>4310</v>
      </c>
      <c r="G1528" t="s">
        <v>3633</v>
      </c>
      <c r="H1528" t="s">
        <v>478</v>
      </c>
      <c r="I1528" t="s">
        <v>204</v>
      </c>
      <c r="J1528" s="1">
        <v>46239</v>
      </c>
      <c r="K1528" t="s">
        <v>717</v>
      </c>
      <c r="L1528">
        <v>36</v>
      </c>
      <c r="M1528">
        <v>127.8</v>
      </c>
      <c r="N1528" t="s">
        <v>710</v>
      </c>
      <c r="O1528" t="s">
        <v>1037</v>
      </c>
      <c r="P1528" t="s">
        <v>4790</v>
      </c>
      <c r="Q1528" t="s">
        <v>4852</v>
      </c>
      <c r="R1528" t="s">
        <v>4772</v>
      </c>
    </row>
    <row r="1529" spans="1:18" x14ac:dyDescent="0.3">
      <c r="A1529">
        <v>79598</v>
      </c>
      <c r="B1529" t="s">
        <v>4874</v>
      </c>
      <c r="C1529" t="s">
        <v>634</v>
      </c>
      <c r="D1529" t="s">
        <v>99</v>
      </c>
      <c r="E1529" s="1">
        <v>46042</v>
      </c>
      <c r="F1529" t="s">
        <v>4329</v>
      </c>
      <c r="G1529" t="s">
        <v>3613</v>
      </c>
      <c r="H1529" t="s">
        <v>633</v>
      </c>
      <c r="I1529" t="s">
        <v>204</v>
      </c>
      <c r="J1529" s="1">
        <v>46204</v>
      </c>
      <c r="K1529" t="s">
        <v>762</v>
      </c>
      <c r="L1529">
        <v>132</v>
      </c>
      <c r="M1529">
        <v>1754.28</v>
      </c>
      <c r="N1529" t="s">
        <v>719</v>
      </c>
      <c r="O1529" t="s">
        <v>1037</v>
      </c>
      <c r="P1529" t="s">
        <v>4790</v>
      </c>
      <c r="Q1529" t="s">
        <v>4852</v>
      </c>
    </row>
    <row r="1530" spans="1:18" x14ac:dyDescent="0.3">
      <c r="A1530">
        <v>79598</v>
      </c>
      <c r="B1530" t="s">
        <v>4874</v>
      </c>
      <c r="C1530" t="s">
        <v>634</v>
      </c>
      <c r="D1530" t="s">
        <v>99</v>
      </c>
      <c r="E1530" s="1">
        <v>46042</v>
      </c>
      <c r="F1530" t="s">
        <v>4394</v>
      </c>
      <c r="G1530" t="s">
        <v>3613</v>
      </c>
      <c r="H1530" t="s">
        <v>633</v>
      </c>
      <c r="I1530" t="s">
        <v>204</v>
      </c>
      <c r="J1530" s="1">
        <v>46204</v>
      </c>
      <c r="K1530" t="s">
        <v>762</v>
      </c>
      <c r="L1530">
        <v>1498</v>
      </c>
      <c r="M1530">
        <v>1498</v>
      </c>
      <c r="N1530" t="s">
        <v>719</v>
      </c>
      <c r="O1530" t="s">
        <v>1037</v>
      </c>
      <c r="P1530" t="s">
        <v>4790</v>
      </c>
      <c r="Q1530" t="s">
        <v>4852</v>
      </c>
    </row>
    <row r="1531" spans="1:18" x14ac:dyDescent="0.3">
      <c r="A1531">
        <v>79598</v>
      </c>
      <c r="B1531" t="s">
        <v>4874</v>
      </c>
      <c r="C1531" t="s">
        <v>634</v>
      </c>
      <c r="D1531" t="s">
        <v>99</v>
      </c>
      <c r="E1531" s="1">
        <v>46042</v>
      </c>
      <c r="F1531" t="s">
        <v>4307</v>
      </c>
      <c r="G1531" t="s">
        <v>3613</v>
      </c>
      <c r="H1531" t="s">
        <v>633</v>
      </c>
      <c r="I1531" t="s">
        <v>204</v>
      </c>
      <c r="J1531" s="1">
        <v>46204</v>
      </c>
      <c r="K1531" t="s">
        <v>762</v>
      </c>
      <c r="L1531">
        <v>1498</v>
      </c>
      <c r="M1531">
        <v>23353.82</v>
      </c>
      <c r="N1531" t="s">
        <v>719</v>
      </c>
      <c r="O1531" t="s">
        <v>1037</v>
      </c>
      <c r="P1531" t="s">
        <v>4790</v>
      </c>
      <c r="Q1531" t="s">
        <v>4852</v>
      </c>
    </row>
    <row r="1532" spans="1:18" x14ac:dyDescent="0.3">
      <c r="A1532">
        <v>10524</v>
      </c>
      <c r="B1532" t="s">
        <v>4874</v>
      </c>
      <c r="C1532" t="s">
        <v>594</v>
      </c>
      <c r="D1532" t="s">
        <v>27</v>
      </c>
      <c r="E1532" s="1">
        <v>46042</v>
      </c>
      <c r="F1532" t="s">
        <v>4323</v>
      </c>
      <c r="G1532" t="s">
        <v>3618</v>
      </c>
      <c r="H1532" t="s">
        <v>593</v>
      </c>
      <c r="I1532" t="s">
        <v>204</v>
      </c>
      <c r="J1532" s="1">
        <v>46204</v>
      </c>
      <c r="K1532" t="s">
        <v>762</v>
      </c>
      <c r="L1532">
        <v>435609.4</v>
      </c>
      <c r="M1532">
        <v>435609.4</v>
      </c>
      <c r="N1532" t="s">
        <v>814</v>
      </c>
      <c r="O1532" t="s">
        <v>1037</v>
      </c>
      <c r="P1532" t="s">
        <v>4794</v>
      </c>
      <c r="Q1532" t="s">
        <v>4852</v>
      </c>
      <c r="R1532" t="s">
        <v>4772</v>
      </c>
    </row>
    <row r="1533" spans="1:18" x14ac:dyDescent="0.3">
      <c r="A1533">
        <v>79598</v>
      </c>
      <c r="B1533" t="s">
        <v>4874</v>
      </c>
      <c r="C1533" t="s">
        <v>634</v>
      </c>
      <c r="D1533" t="s">
        <v>99</v>
      </c>
      <c r="E1533" s="1">
        <v>46042</v>
      </c>
      <c r="F1533" t="s">
        <v>4424</v>
      </c>
      <c r="G1533" t="s">
        <v>3613</v>
      </c>
      <c r="H1533" t="s">
        <v>633</v>
      </c>
      <c r="I1533" t="s">
        <v>204</v>
      </c>
      <c r="J1533" s="1">
        <v>46204</v>
      </c>
      <c r="K1533" t="s">
        <v>762</v>
      </c>
      <c r="L1533">
        <v>1</v>
      </c>
      <c r="M1533">
        <v>11.25</v>
      </c>
      <c r="N1533" t="s">
        <v>719</v>
      </c>
      <c r="O1533" t="s">
        <v>1037</v>
      </c>
      <c r="P1533" t="s">
        <v>4790</v>
      </c>
      <c r="Q1533" t="s">
        <v>4852</v>
      </c>
    </row>
    <row r="1534" spans="1:18" x14ac:dyDescent="0.3">
      <c r="A1534">
        <v>1289</v>
      </c>
      <c r="B1534" t="s">
        <v>4874</v>
      </c>
      <c r="C1534" t="s">
        <v>305</v>
      </c>
      <c r="D1534" t="s">
        <v>59</v>
      </c>
      <c r="E1534" s="1">
        <v>46042</v>
      </c>
      <c r="F1534" t="s">
        <v>4359</v>
      </c>
      <c r="G1534" t="s">
        <v>3629</v>
      </c>
      <c r="H1534" t="s">
        <v>304</v>
      </c>
      <c r="I1534" t="s">
        <v>204</v>
      </c>
      <c r="J1534" s="1">
        <v>46481</v>
      </c>
      <c r="K1534" t="s">
        <v>720</v>
      </c>
      <c r="L1534">
        <v>1</v>
      </c>
      <c r="M1534">
        <v>1122.9000000000001</v>
      </c>
      <c r="N1534" t="s">
        <v>809</v>
      </c>
      <c r="O1534" t="s">
        <v>1038</v>
      </c>
      <c r="P1534" t="s">
        <v>4783</v>
      </c>
      <c r="Q1534" t="s">
        <v>4858</v>
      </c>
      <c r="R1534" t="s">
        <v>4771</v>
      </c>
    </row>
    <row r="1535" spans="1:18" x14ac:dyDescent="0.3">
      <c r="A1535">
        <v>79598</v>
      </c>
      <c r="B1535" t="s">
        <v>4874</v>
      </c>
      <c r="C1535" t="s">
        <v>634</v>
      </c>
      <c r="D1535" t="s">
        <v>99</v>
      </c>
      <c r="E1535" s="1">
        <v>46042</v>
      </c>
      <c r="F1535" t="s">
        <v>4308</v>
      </c>
      <c r="G1535" t="s">
        <v>3613</v>
      </c>
      <c r="H1535" t="s">
        <v>633</v>
      </c>
      <c r="I1535" t="s">
        <v>204</v>
      </c>
      <c r="J1535" s="1">
        <v>46204</v>
      </c>
      <c r="K1535" t="s">
        <v>762</v>
      </c>
      <c r="L1535">
        <v>59</v>
      </c>
      <c r="M1535">
        <v>287.33</v>
      </c>
      <c r="N1535" t="s">
        <v>719</v>
      </c>
      <c r="O1535" t="s">
        <v>1037</v>
      </c>
      <c r="P1535" t="s">
        <v>4790</v>
      </c>
      <c r="Q1535" t="s">
        <v>4852</v>
      </c>
    </row>
    <row r="1536" spans="1:18" x14ac:dyDescent="0.3">
      <c r="A1536">
        <v>4428787</v>
      </c>
      <c r="B1536" t="s">
        <v>4874</v>
      </c>
      <c r="C1536" t="s">
        <v>433</v>
      </c>
      <c r="D1536" t="s">
        <v>168</v>
      </c>
      <c r="E1536" s="1">
        <v>46041</v>
      </c>
      <c r="F1536" t="s">
        <v>4319</v>
      </c>
      <c r="G1536" t="s">
        <v>3621</v>
      </c>
      <c r="H1536" t="s">
        <v>432</v>
      </c>
      <c r="I1536" t="s">
        <v>204</v>
      </c>
      <c r="J1536" s="1">
        <v>46473</v>
      </c>
      <c r="K1536" t="s">
        <v>762</v>
      </c>
      <c r="L1536">
        <v>189</v>
      </c>
      <c r="M1536">
        <v>188.94</v>
      </c>
      <c r="N1536" t="s">
        <v>710</v>
      </c>
      <c r="O1536" t="s">
        <v>4833</v>
      </c>
      <c r="P1536" t="s">
        <v>4802</v>
      </c>
      <c r="Q1536" t="s">
        <v>4852</v>
      </c>
      <c r="R1536" t="s">
        <v>4771</v>
      </c>
    </row>
    <row r="1537" spans="1:18" x14ac:dyDescent="0.3">
      <c r="A1537">
        <v>16050</v>
      </c>
      <c r="B1537" t="s">
        <v>4876</v>
      </c>
      <c r="C1537" t="s">
        <v>439</v>
      </c>
      <c r="D1537" t="s">
        <v>156</v>
      </c>
      <c r="E1537" s="1">
        <v>46041</v>
      </c>
      <c r="F1537" t="s">
        <v>4396</v>
      </c>
      <c r="G1537" t="s">
        <v>3622</v>
      </c>
      <c r="H1537" t="s">
        <v>485</v>
      </c>
      <c r="I1537" t="s">
        <v>204</v>
      </c>
      <c r="J1537" s="1">
        <v>54878</v>
      </c>
      <c r="K1537" t="s">
        <v>839</v>
      </c>
      <c r="L1537">
        <v>5512.3</v>
      </c>
      <c r="M1537">
        <v>5512.3</v>
      </c>
      <c r="N1537" t="s">
        <v>710</v>
      </c>
      <c r="O1537" t="s">
        <v>1037</v>
      </c>
      <c r="P1537" t="s">
        <v>4776</v>
      </c>
      <c r="Q1537" t="s">
        <v>4852</v>
      </c>
      <c r="R1537" t="s">
        <v>4771</v>
      </c>
    </row>
    <row r="1538" spans="1:18" x14ac:dyDescent="0.3">
      <c r="A1538">
        <v>551</v>
      </c>
      <c r="B1538" t="s">
        <v>4874</v>
      </c>
      <c r="C1538" t="s">
        <v>649</v>
      </c>
      <c r="D1538" t="s">
        <v>88</v>
      </c>
      <c r="E1538" s="1">
        <v>46041</v>
      </c>
      <c r="F1538" t="s">
        <v>4414</v>
      </c>
      <c r="G1538" t="s">
        <v>3588</v>
      </c>
      <c r="H1538" t="s">
        <v>648</v>
      </c>
      <c r="I1538" t="s">
        <v>204</v>
      </c>
      <c r="J1538" s="1">
        <v>47847</v>
      </c>
      <c r="K1538" t="s">
        <v>762</v>
      </c>
      <c r="L1538">
        <v>6567</v>
      </c>
      <c r="M1538">
        <v>6567</v>
      </c>
      <c r="N1538" t="s">
        <v>710</v>
      </c>
      <c r="O1538" t="s">
        <v>4811</v>
      </c>
      <c r="P1538" t="s">
        <v>4776</v>
      </c>
      <c r="Q1538" t="s">
        <v>4859</v>
      </c>
    </row>
    <row r="1539" spans="1:18" x14ac:dyDescent="0.3">
      <c r="A1539">
        <v>7235</v>
      </c>
      <c r="B1539" t="s">
        <v>1035</v>
      </c>
      <c r="C1539" t="s">
        <v>230</v>
      </c>
      <c r="D1539" t="s">
        <v>85</v>
      </c>
      <c r="E1539" s="1">
        <v>46041</v>
      </c>
      <c r="F1539" t="s">
        <v>4436</v>
      </c>
      <c r="G1539" t="s">
        <v>3505</v>
      </c>
      <c r="H1539" t="s">
        <v>229</v>
      </c>
      <c r="I1539" t="s">
        <v>204</v>
      </c>
      <c r="J1539" s="1">
        <v>46203</v>
      </c>
      <c r="K1539" t="s">
        <v>744</v>
      </c>
      <c r="L1539">
        <v>1</v>
      </c>
      <c r="M1539">
        <v>1605.77</v>
      </c>
      <c r="N1539" t="s">
        <v>710</v>
      </c>
      <c r="O1539" t="s">
        <v>1033</v>
      </c>
      <c r="P1539" t="s">
        <v>4781</v>
      </c>
      <c r="Q1539" t="s">
        <v>4852</v>
      </c>
      <c r="R1539" t="s">
        <v>4771</v>
      </c>
    </row>
    <row r="1540" spans="1:18" x14ac:dyDescent="0.3">
      <c r="A1540">
        <v>7241</v>
      </c>
      <c r="B1540" t="s">
        <v>1035</v>
      </c>
      <c r="C1540" t="s">
        <v>230</v>
      </c>
      <c r="D1540" t="s">
        <v>85</v>
      </c>
      <c r="E1540" s="1">
        <v>46041</v>
      </c>
      <c r="F1540" t="s">
        <v>4436</v>
      </c>
      <c r="G1540" t="s">
        <v>3505</v>
      </c>
      <c r="H1540" t="s">
        <v>229</v>
      </c>
      <c r="I1540" t="s">
        <v>204</v>
      </c>
      <c r="J1540" s="1">
        <v>46203</v>
      </c>
      <c r="K1540" t="s">
        <v>744</v>
      </c>
      <c r="L1540">
        <v>1</v>
      </c>
      <c r="M1540">
        <v>1072.1199999999999</v>
      </c>
      <c r="N1540" t="s">
        <v>710</v>
      </c>
      <c r="O1540" t="s">
        <v>1033</v>
      </c>
      <c r="P1540" t="s">
        <v>4781</v>
      </c>
      <c r="Q1540" t="s">
        <v>4852</v>
      </c>
      <c r="R1540" t="s">
        <v>4771</v>
      </c>
    </row>
    <row r="1541" spans="1:18" x14ac:dyDescent="0.3">
      <c r="A1541">
        <v>7248</v>
      </c>
      <c r="B1541" t="s">
        <v>1035</v>
      </c>
      <c r="C1541" t="s">
        <v>230</v>
      </c>
      <c r="D1541" t="s">
        <v>85</v>
      </c>
      <c r="E1541" s="1">
        <v>46041</v>
      </c>
      <c r="F1541" t="s">
        <v>4299</v>
      </c>
      <c r="G1541" t="s">
        <v>3505</v>
      </c>
      <c r="H1541" t="s">
        <v>229</v>
      </c>
      <c r="I1541" t="s">
        <v>204</v>
      </c>
      <c r="J1541" s="1">
        <v>46203</v>
      </c>
      <c r="K1541" t="s">
        <v>744</v>
      </c>
      <c r="L1541">
        <v>1</v>
      </c>
      <c r="M1541">
        <v>105.09</v>
      </c>
      <c r="N1541" t="s">
        <v>710</v>
      </c>
      <c r="O1541" t="s">
        <v>1033</v>
      </c>
      <c r="P1541" t="s">
        <v>4781</v>
      </c>
      <c r="Q1541" t="s">
        <v>4852</v>
      </c>
      <c r="R1541" t="s">
        <v>4771</v>
      </c>
    </row>
    <row r="1542" spans="1:18" x14ac:dyDescent="0.3">
      <c r="A1542">
        <v>7249</v>
      </c>
      <c r="B1542" t="s">
        <v>1035</v>
      </c>
      <c r="C1542" t="s">
        <v>230</v>
      </c>
      <c r="D1542" t="s">
        <v>85</v>
      </c>
      <c r="E1542" s="1">
        <v>46041</v>
      </c>
      <c r="F1542" t="s">
        <v>4299</v>
      </c>
      <c r="G1542" t="s">
        <v>3505</v>
      </c>
      <c r="H1542" t="s">
        <v>229</v>
      </c>
      <c r="I1542" t="s">
        <v>204</v>
      </c>
      <c r="J1542" s="1">
        <v>46203</v>
      </c>
      <c r="K1542" t="s">
        <v>744</v>
      </c>
      <c r="L1542">
        <v>1</v>
      </c>
      <c r="M1542">
        <v>78.75</v>
      </c>
      <c r="N1542" t="s">
        <v>710</v>
      </c>
      <c r="O1542" t="s">
        <v>1033</v>
      </c>
      <c r="P1542" t="s">
        <v>4781</v>
      </c>
      <c r="Q1542" t="s">
        <v>4852</v>
      </c>
      <c r="R1542" t="s">
        <v>4771</v>
      </c>
    </row>
    <row r="1543" spans="1:18" x14ac:dyDescent="0.3">
      <c r="A1543">
        <v>7257</v>
      </c>
      <c r="B1543" t="s">
        <v>1035</v>
      </c>
      <c r="C1543" t="s">
        <v>230</v>
      </c>
      <c r="D1543" t="s">
        <v>85</v>
      </c>
      <c r="E1543" s="1">
        <v>46041</v>
      </c>
      <c r="F1543" t="s">
        <v>4409</v>
      </c>
      <c r="G1543" t="s">
        <v>3505</v>
      </c>
      <c r="H1543" t="s">
        <v>229</v>
      </c>
      <c r="I1543" t="s">
        <v>204</v>
      </c>
      <c r="J1543" s="1">
        <v>46203</v>
      </c>
      <c r="K1543" t="s">
        <v>744</v>
      </c>
      <c r="L1543">
        <v>1</v>
      </c>
      <c r="M1543">
        <v>486.78</v>
      </c>
      <c r="N1543" t="s">
        <v>710</v>
      </c>
      <c r="O1543" t="s">
        <v>1033</v>
      </c>
      <c r="P1543" t="s">
        <v>4781</v>
      </c>
      <c r="Q1543" t="s">
        <v>4852</v>
      </c>
      <c r="R1543" t="s">
        <v>4771</v>
      </c>
    </row>
    <row r="1544" spans="1:18" x14ac:dyDescent="0.3">
      <c r="A1544">
        <v>4434509</v>
      </c>
      <c r="B1544" t="s">
        <v>4874</v>
      </c>
      <c r="C1544" t="s">
        <v>433</v>
      </c>
      <c r="D1544" t="s">
        <v>168</v>
      </c>
      <c r="E1544" s="1">
        <v>46041</v>
      </c>
      <c r="F1544" t="s">
        <v>4319</v>
      </c>
      <c r="G1544" t="s">
        <v>3619</v>
      </c>
      <c r="H1544" t="s">
        <v>432</v>
      </c>
      <c r="I1544" t="s">
        <v>204</v>
      </c>
      <c r="J1544" s="1">
        <v>46473</v>
      </c>
      <c r="K1544" t="s">
        <v>762</v>
      </c>
      <c r="L1544">
        <v>111</v>
      </c>
      <c r="M1544">
        <v>110.91</v>
      </c>
      <c r="N1544" t="s">
        <v>710</v>
      </c>
      <c r="O1544" t="s">
        <v>4833</v>
      </c>
      <c r="P1544" t="s">
        <v>4802</v>
      </c>
      <c r="Q1544" t="s">
        <v>4852</v>
      </c>
      <c r="R1544" t="s">
        <v>4771</v>
      </c>
    </row>
    <row r="1545" spans="1:18" x14ac:dyDescent="0.3">
      <c r="A1545">
        <v>7258</v>
      </c>
      <c r="B1545" t="s">
        <v>1035</v>
      </c>
      <c r="C1545" t="s">
        <v>230</v>
      </c>
      <c r="D1545" t="s">
        <v>85</v>
      </c>
      <c r="E1545" s="1">
        <v>46041</v>
      </c>
      <c r="F1545" t="s">
        <v>4409</v>
      </c>
      <c r="G1545" t="s">
        <v>3505</v>
      </c>
      <c r="H1545" t="s">
        <v>229</v>
      </c>
      <c r="I1545" t="s">
        <v>204</v>
      </c>
      <c r="J1545" s="1">
        <v>46203</v>
      </c>
      <c r="K1545" t="s">
        <v>744</v>
      </c>
      <c r="L1545">
        <v>1</v>
      </c>
      <c r="M1545">
        <v>425.3</v>
      </c>
      <c r="N1545" t="s">
        <v>710</v>
      </c>
      <c r="O1545" t="s">
        <v>1033</v>
      </c>
      <c r="P1545" t="s">
        <v>4781</v>
      </c>
      <c r="Q1545" t="s">
        <v>4852</v>
      </c>
      <c r="R1545" t="s">
        <v>4771</v>
      </c>
    </row>
    <row r="1546" spans="1:18" x14ac:dyDescent="0.3">
      <c r="A1546">
        <v>16051</v>
      </c>
      <c r="B1546" t="s">
        <v>4874</v>
      </c>
      <c r="C1546" t="s">
        <v>439</v>
      </c>
      <c r="D1546" t="s">
        <v>156</v>
      </c>
      <c r="E1546" s="1">
        <v>46041</v>
      </c>
      <c r="F1546" t="s">
        <v>4396</v>
      </c>
      <c r="G1546" t="s">
        <v>3623</v>
      </c>
      <c r="H1546" t="s">
        <v>438</v>
      </c>
      <c r="I1546" t="s">
        <v>204</v>
      </c>
      <c r="J1546" s="1">
        <v>46265</v>
      </c>
      <c r="K1546" t="s">
        <v>762</v>
      </c>
      <c r="L1546">
        <v>21991.68</v>
      </c>
      <c r="M1546">
        <v>21991.68</v>
      </c>
      <c r="N1546" t="s">
        <v>710</v>
      </c>
      <c r="O1546" t="s">
        <v>1037</v>
      </c>
      <c r="P1546" t="s">
        <v>4789</v>
      </c>
      <c r="Q1546" t="s">
        <v>4852</v>
      </c>
      <c r="R1546" t="s">
        <v>4771</v>
      </c>
    </row>
    <row r="1547" spans="1:18" x14ac:dyDescent="0.3">
      <c r="A1547">
        <v>7283</v>
      </c>
      <c r="B1547" t="s">
        <v>1035</v>
      </c>
      <c r="C1547" t="s">
        <v>230</v>
      </c>
      <c r="D1547" t="s">
        <v>85</v>
      </c>
      <c r="E1547" s="1">
        <v>46041</v>
      </c>
      <c r="F1547" t="s">
        <v>4348</v>
      </c>
      <c r="G1547" t="s">
        <v>3505</v>
      </c>
      <c r="H1547" t="s">
        <v>229</v>
      </c>
      <c r="I1547" t="s">
        <v>204</v>
      </c>
      <c r="J1547" s="1">
        <v>46203</v>
      </c>
      <c r="K1547" t="s">
        <v>744</v>
      </c>
      <c r="L1547">
        <v>1</v>
      </c>
      <c r="M1547">
        <v>9503.19</v>
      </c>
      <c r="N1547" t="s">
        <v>710</v>
      </c>
      <c r="O1547" t="s">
        <v>1033</v>
      </c>
      <c r="P1547" t="s">
        <v>4781</v>
      </c>
      <c r="Q1547" t="s">
        <v>4852</v>
      </c>
      <c r="R1547" t="s">
        <v>4771</v>
      </c>
    </row>
    <row r="1548" spans="1:18" x14ac:dyDescent="0.3">
      <c r="A1548">
        <v>17473</v>
      </c>
      <c r="B1548" t="s">
        <v>4874</v>
      </c>
      <c r="C1548" t="s">
        <v>614</v>
      </c>
      <c r="D1548" t="s">
        <v>74</v>
      </c>
      <c r="E1548" s="1">
        <v>46041</v>
      </c>
      <c r="F1548" t="s">
        <v>4362</v>
      </c>
      <c r="G1548" t="s">
        <v>3494</v>
      </c>
      <c r="H1548" t="s">
        <v>613</v>
      </c>
      <c r="I1548" t="s">
        <v>204</v>
      </c>
      <c r="J1548" s="1">
        <v>46993</v>
      </c>
      <c r="K1548" t="s">
        <v>720</v>
      </c>
      <c r="L1548">
        <v>1</v>
      </c>
      <c r="M1548">
        <v>1515</v>
      </c>
      <c r="N1548" t="s">
        <v>710</v>
      </c>
      <c r="O1548" t="s">
        <v>1038</v>
      </c>
      <c r="P1548" t="s">
        <v>4779</v>
      </c>
      <c r="Q1548" t="s">
        <v>4858</v>
      </c>
      <c r="R1548" t="s">
        <v>4771</v>
      </c>
    </row>
    <row r="1549" spans="1:18" x14ac:dyDescent="0.3">
      <c r="A1549">
        <v>3019</v>
      </c>
      <c r="B1549" t="s">
        <v>4874</v>
      </c>
      <c r="C1549" t="s">
        <v>630</v>
      </c>
      <c r="D1549" t="s">
        <v>145</v>
      </c>
      <c r="E1549" s="1">
        <v>46041</v>
      </c>
      <c r="F1549" t="s">
        <v>4300</v>
      </c>
      <c r="G1549" t="s">
        <v>3587</v>
      </c>
      <c r="H1549" t="s">
        <v>629</v>
      </c>
      <c r="I1549" t="s">
        <v>204</v>
      </c>
      <c r="J1549" s="1">
        <v>46264</v>
      </c>
      <c r="K1549" t="s">
        <v>720</v>
      </c>
      <c r="L1549">
        <v>1</v>
      </c>
      <c r="M1549">
        <v>7800</v>
      </c>
      <c r="N1549" t="s">
        <v>710</v>
      </c>
      <c r="O1549" t="s">
        <v>4849</v>
      </c>
      <c r="P1549" t="s">
        <v>4777</v>
      </c>
      <c r="Q1549" t="s">
        <v>4855</v>
      </c>
      <c r="R1549" t="s">
        <v>4771</v>
      </c>
    </row>
    <row r="1550" spans="1:18" x14ac:dyDescent="0.3">
      <c r="A1550">
        <v>649039</v>
      </c>
      <c r="B1550" t="s">
        <v>4875</v>
      </c>
      <c r="C1550" t="s">
        <v>333</v>
      </c>
      <c r="D1550" t="s">
        <v>29</v>
      </c>
      <c r="E1550" s="1">
        <v>46041</v>
      </c>
      <c r="F1550" t="s">
        <v>4317</v>
      </c>
      <c r="G1550" t="s">
        <v>3638</v>
      </c>
      <c r="H1550" t="s">
        <v>335</v>
      </c>
      <c r="I1550" t="s">
        <v>204</v>
      </c>
      <c r="J1550" s="1">
        <v>54878</v>
      </c>
      <c r="K1550" t="s">
        <v>748</v>
      </c>
      <c r="L1550">
        <v>112</v>
      </c>
      <c r="M1550">
        <v>112.1</v>
      </c>
      <c r="N1550" t="s">
        <v>710</v>
      </c>
      <c r="O1550" t="s">
        <v>1040</v>
      </c>
      <c r="P1550" t="s">
        <v>4776</v>
      </c>
      <c r="Q1550" t="s">
        <v>4856</v>
      </c>
      <c r="R1550" t="s">
        <v>4771</v>
      </c>
    </row>
    <row r="1551" spans="1:18" x14ac:dyDescent="0.3">
      <c r="A1551">
        <v>289578</v>
      </c>
      <c r="B1551" t="s">
        <v>4874</v>
      </c>
      <c r="C1551" t="s">
        <v>391</v>
      </c>
      <c r="D1551" t="s">
        <v>104</v>
      </c>
      <c r="E1551" s="1">
        <v>46041</v>
      </c>
      <c r="F1551" t="s">
        <v>4423</v>
      </c>
      <c r="G1551" t="s">
        <v>3536</v>
      </c>
      <c r="H1551" t="s">
        <v>390</v>
      </c>
      <c r="I1551" t="s">
        <v>204</v>
      </c>
      <c r="J1551" s="1">
        <v>54878</v>
      </c>
      <c r="K1551" t="s">
        <v>762</v>
      </c>
      <c r="L1551">
        <v>312.67</v>
      </c>
      <c r="M1551">
        <v>312.67</v>
      </c>
      <c r="N1551" t="s">
        <v>710</v>
      </c>
      <c r="O1551" t="s">
        <v>4833</v>
      </c>
      <c r="P1551" t="s">
        <v>4776</v>
      </c>
      <c r="Q1551" t="s">
        <v>4852</v>
      </c>
      <c r="R1551" t="s">
        <v>4773</v>
      </c>
    </row>
    <row r="1552" spans="1:18" x14ac:dyDescent="0.3">
      <c r="A1552">
        <v>647359</v>
      </c>
      <c r="B1552" t="s">
        <v>4874</v>
      </c>
      <c r="C1552" t="s">
        <v>333</v>
      </c>
      <c r="D1552" t="s">
        <v>29</v>
      </c>
      <c r="E1552" s="1">
        <v>46041</v>
      </c>
      <c r="F1552" t="s">
        <v>4317</v>
      </c>
      <c r="G1552" t="s">
        <v>3639</v>
      </c>
      <c r="H1552" t="s">
        <v>460</v>
      </c>
      <c r="I1552" t="s">
        <v>204</v>
      </c>
      <c r="J1552" s="1">
        <v>54878</v>
      </c>
      <c r="K1552" t="s">
        <v>785</v>
      </c>
      <c r="L1552">
        <v>1</v>
      </c>
      <c r="M1552">
        <v>147.16999999999999</v>
      </c>
      <c r="N1552" t="s">
        <v>710</v>
      </c>
      <c r="O1552" t="s">
        <v>1038</v>
      </c>
      <c r="P1552" t="s">
        <v>4776</v>
      </c>
      <c r="Q1552" t="s">
        <v>4858</v>
      </c>
      <c r="R1552" t="s">
        <v>4771</v>
      </c>
    </row>
    <row r="1553" spans="1:18" x14ac:dyDescent="0.3">
      <c r="A1553">
        <v>7272</v>
      </c>
      <c r="B1553" t="s">
        <v>1035</v>
      </c>
      <c r="C1553" t="s">
        <v>230</v>
      </c>
      <c r="D1553" t="s">
        <v>85</v>
      </c>
      <c r="E1553" s="1">
        <v>46041</v>
      </c>
      <c r="F1553" t="s">
        <v>4348</v>
      </c>
      <c r="G1553" t="s">
        <v>3505</v>
      </c>
      <c r="H1553" t="s">
        <v>229</v>
      </c>
      <c r="I1553" t="s">
        <v>204</v>
      </c>
      <c r="J1553" s="1">
        <v>46203</v>
      </c>
      <c r="K1553" t="s">
        <v>744</v>
      </c>
      <c r="L1553">
        <v>1</v>
      </c>
      <c r="M1553">
        <v>12110.4</v>
      </c>
      <c r="N1553" t="s">
        <v>710</v>
      </c>
      <c r="O1553" t="s">
        <v>1033</v>
      </c>
      <c r="P1553" t="s">
        <v>4781</v>
      </c>
      <c r="Q1553" t="s">
        <v>4852</v>
      </c>
      <c r="R1553" t="s">
        <v>4771</v>
      </c>
    </row>
    <row r="1554" spans="1:18" x14ac:dyDescent="0.3">
      <c r="A1554">
        <v>7284</v>
      </c>
      <c r="B1554" t="s">
        <v>1035</v>
      </c>
      <c r="C1554" t="s">
        <v>230</v>
      </c>
      <c r="D1554" t="s">
        <v>85</v>
      </c>
      <c r="E1554" s="1">
        <v>46041</v>
      </c>
      <c r="F1554" t="s">
        <v>4421</v>
      </c>
      <c r="G1554" t="s">
        <v>3505</v>
      </c>
      <c r="H1554" t="s">
        <v>229</v>
      </c>
      <c r="I1554" t="s">
        <v>204</v>
      </c>
      <c r="J1554" s="1">
        <v>46203</v>
      </c>
      <c r="K1554" t="s">
        <v>744</v>
      </c>
      <c r="L1554">
        <v>1</v>
      </c>
      <c r="M1554">
        <v>3820.9</v>
      </c>
      <c r="N1554" t="s">
        <v>710</v>
      </c>
      <c r="O1554" t="s">
        <v>1033</v>
      </c>
      <c r="P1554" t="s">
        <v>4781</v>
      </c>
      <c r="Q1554" t="s">
        <v>4852</v>
      </c>
      <c r="R1554" t="s">
        <v>4771</v>
      </c>
    </row>
    <row r="1555" spans="1:18" x14ac:dyDescent="0.3">
      <c r="A1555">
        <v>7273</v>
      </c>
      <c r="B1555" t="s">
        <v>1035</v>
      </c>
      <c r="C1555" t="s">
        <v>230</v>
      </c>
      <c r="D1555" t="s">
        <v>85</v>
      </c>
      <c r="E1555" s="1">
        <v>46041</v>
      </c>
      <c r="F1555" t="s">
        <v>4421</v>
      </c>
      <c r="G1555" t="s">
        <v>3505</v>
      </c>
      <c r="H1555" t="s">
        <v>229</v>
      </c>
      <c r="I1555" t="s">
        <v>204</v>
      </c>
      <c r="J1555" s="1">
        <v>46203</v>
      </c>
      <c r="K1555" t="s">
        <v>744</v>
      </c>
      <c r="L1555">
        <v>1</v>
      </c>
      <c r="M1555">
        <v>5099.68</v>
      </c>
      <c r="N1555" t="s">
        <v>710</v>
      </c>
      <c r="O1555" t="s">
        <v>1033</v>
      </c>
      <c r="P1555" t="s">
        <v>4781</v>
      </c>
      <c r="Q1555" t="s">
        <v>4852</v>
      </c>
      <c r="R1555" t="s">
        <v>4771</v>
      </c>
    </row>
    <row r="1556" spans="1:18" x14ac:dyDescent="0.3">
      <c r="A1556">
        <v>858523</v>
      </c>
      <c r="B1556" t="s">
        <v>1034</v>
      </c>
      <c r="C1556" t="s">
        <v>276</v>
      </c>
      <c r="D1556" t="s">
        <v>5</v>
      </c>
      <c r="E1556" s="1">
        <v>46041</v>
      </c>
      <c r="F1556" t="s">
        <v>4315</v>
      </c>
      <c r="G1556" t="s">
        <v>3625</v>
      </c>
      <c r="H1556" t="s">
        <v>275</v>
      </c>
      <c r="I1556" t="s">
        <v>204</v>
      </c>
      <c r="J1556" s="1">
        <v>46904</v>
      </c>
      <c r="K1556" t="s">
        <v>717</v>
      </c>
      <c r="L1556">
        <v>19676.32</v>
      </c>
      <c r="M1556">
        <v>19676.32</v>
      </c>
      <c r="N1556" t="s">
        <v>710</v>
      </c>
      <c r="O1556" t="s">
        <v>1037</v>
      </c>
      <c r="P1556" t="s">
        <v>4776</v>
      </c>
      <c r="Q1556" t="s">
        <v>4852</v>
      </c>
      <c r="R1556" t="s">
        <v>4773</v>
      </c>
    </row>
    <row r="1557" spans="1:18" x14ac:dyDescent="0.3">
      <c r="A1557">
        <v>3687</v>
      </c>
      <c r="B1557" t="s">
        <v>1034</v>
      </c>
      <c r="C1557" t="s">
        <v>590</v>
      </c>
      <c r="D1557" t="s">
        <v>79</v>
      </c>
      <c r="E1557" s="1">
        <v>46041</v>
      </c>
      <c r="F1557" t="s">
        <v>4365</v>
      </c>
      <c r="G1557" t="s">
        <v>3628</v>
      </c>
      <c r="H1557" t="s">
        <v>589</v>
      </c>
      <c r="I1557" t="s">
        <v>204</v>
      </c>
      <c r="J1557" s="1">
        <v>46387</v>
      </c>
      <c r="K1557" t="s">
        <v>717</v>
      </c>
      <c r="L1557">
        <v>800</v>
      </c>
      <c r="M1557">
        <v>800</v>
      </c>
      <c r="N1557" t="s">
        <v>814</v>
      </c>
      <c r="O1557" t="s">
        <v>4845</v>
      </c>
      <c r="P1557" t="s">
        <v>4793</v>
      </c>
      <c r="Q1557" t="s">
        <v>4845</v>
      </c>
      <c r="R1557" t="s">
        <v>4773</v>
      </c>
    </row>
    <row r="1558" spans="1:18" x14ac:dyDescent="0.3">
      <c r="A1558">
        <v>653046</v>
      </c>
      <c r="B1558" t="s">
        <v>1034</v>
      </c>
      <c r="C1558" t="s">
        <v>333</v>
      </c>
      <c r="D1558" t="s">
        <v>29</v>
      </c>
      <c r="E1558" s="1">
        <v>46041</v>
      </c>
      <c r="F1558" t="s">
        <v>4317</v>
      </c>
      <c r="G1558" t="s">
        <v>3637</v>
      </c>
      <c r="H1558" t="s">
        <v>332</v>
      </c>
      <c r="I1558" t="s">
        <v>204</v>
      </c>
      <c r="J1558" s="1">
        <v>54878</v>
      </c>
      <c r="K1558" t="s">
        <v>711</v>
      </c>
      <c r="L1558">
        <v>144</v>
      </c>
      <c r="M1558">
        <v>143.6</v>
      </c>
      <c r="N1558" t="s">
        <v>710</v>
      </c>
      <c r="O1558" t="s">
        <v>1036</v>
      </c>
      <c r="P1558" t="s">
        <v>4776</v>
      </c>
      <c r="Q1558" t="s">
        <v>4901</v>
      </c>
      <c r="R1558" t="s">
        <v>4771</v>
      </c>
    </row>
    <row r="1559" spans="1:18" x14ac:dyDescent="0.3">
      <c r="A1559">
        <v>61640</v>
      </c>
      <c r="B1559" t="s">
        <v>1034</v>
      </c>
      <c r="C1559" t="s">
        <v>666</v>
      </c>
      <c r="D1559" t="s">
        <v>66</v>
      </c>
      <c r="E1559" s="1">
        <v>46041</v>
      </c>
      <c r="F1559" t="s">
        <v>4381</v>
      </c>
      <c r="G1559" t="s">
        <v>3640</v>
      </c>
      <c r="H1559" t="s">
        <v>665</v>
      </c>
      <c r="I1559" t="s">
        <v>204</v>
      </c>
      <c r="J1559" s="1">
        <v>46296</v>
      </c>
      <c r="K1559" t="s">
        <v>717</v>
      </c>
      <c r="L1559">
        <v>1</v>
      </c>
      <c r="M1559">
        <v>799.95</v>
      </c>
      <c r="N1559" t="s">
        <v>998</v>
      </c>
      <c r="O1559" t="s">
        <v>1033</v>
      </c>
      <c r="P1559" t="s">
        <v>4776</v>
      </c>
      <c r="Q1559" t="s">
        <v>4852</v>
      </c>
      <c r="R1559" t="s">
        <v>807</v>
      </c>
    </row>
    <row r="1560" spans="1:18" x14ac:dyDescent="0.3">
      <c r="A1560">
        <v>103</v>
      </c>
      <c r="B1560" t="s">
        <v>1034</v>
      </c>
      <c r="C1560" t="s">
        <v>675</v>
      </c>
      <c r="D1560" t="s">
        <v>177</v>
      </c>
      <c r="E1560" s="1">
        <v>46041</v>
      </c>
      <c r="F1560" t="s">
        <v>4380</v>
      </c>
      <c r="G1560" t="s">
        <v>3624</v>
      </c>
      <c r="H1560" t="s">
        <v>676</v>
      </c>
      <c r="I1560" t="s">
        <v>204</v>
      </c>
      <c r="J1560" s="1">
        <v>46356</v>
      </c>
      <c r="K1560" t="s">
        <v>768</v>
      </c>
      <c r="L1560">
        <v>180</v>
      </c>
      <c r="M1560">
        <v>180</v>
      </c>
      <c r="N1560" t="s">
        <v>818</v>
      </c>
      <c r="O1560" t="s">
        <v>1037</v>
      </c>
      <c r="P1560" t="s">
        <v>4776</v>
      </c>
      <c r="Q1560" t="s">
        <v>4852</v>
      </c>
      <c r="R1560" t="s">
        <v>807</v>
      </c>
    </row>
    <row r="1561" spans="1:18" x14ac:dyDescent="0.3">
      <c r="A1561">
        <v>2984</v>
      </c>
      <c r="B1561" t="s">
        <v>4874</v>
      </c>
      <c r="C1561" t="s">
        <v>469</v>
      </c>
      <c r="D1561" t="s">
        <v>124</v>
      </c>
      <c r="E1561" s="1">
        <v>46038</v>
      </c>
      <c r="F1561" t="s">
        <v>4361</v>
      </c>
      <c r="G1561" t="s">
        <v>3464</v>
      </c>
      <c r="H1561" t="s">
        <v>468</v>
      </c>
      <c r="I1561" t="s">
        <v>204</v>
      </c>
      <c r="J1561" s="1">
        <v>54878</v>
      </c>
      <c r="K1561" t="s">
        <v>762</v>
      </c>
      <c r="L1561">
        <v>1276</v>
      </c>
      <c r="M1561">
        <v>1276</v>
      </c>
      <c r="N1561" t="s">
        <v>719</v>
      </c>
      <c r="O1561" t="s">
        <v>4845</v>
      </c>
      <c r="P1561" t="s">
        <v>4776</v>
      </c>
      <c r="Q1561" t="s">
        <v>4845</v>
      </c>
      <c r="R1561" t="s">
        <v>4771</v>
      </c>
    </row>
    <row r="1562" spans="1:18" x14ac:dyDescent="0.3">
      <c r="A1562">
        <v>1706816</v>
      </c>
      <c r="B1562" t="s">
        <v>4874</v>
      </c>
      <c r="C1562" t="s">
        <v>668</v>
      </c>
      <c r="D1562" t="s">
        <v>84</v>
      </c>
      <c r="E1562" s="1">
        <v>46038</v>
      </c>
      <c r="F1562" t="s">
        <v>4384</v>
      </c>
      <c r="G1562" t="s">
        <v>3522</v>
      </c>
      <c r="H1562" t="s">
        <v>667</v>
      </c>
      <c r="I1562" t="s">
        <v>204</v>
      </c>
      <c r="J1562" s="1">
        <v>46676</v>
      </c>
      <c r="K1562" t="s">
        <v>762</v>
      </c>
      <c r="L1562">
        <v>1</v>
      </c>
      <c r="M1562">
        <v>22650</v>
      </c>
      <c r="N1562" t="s">
        <v>1000</v>
      </c>
      <c r="O1562" t="s">
        <v>1037</v>
      </c>
      <c r="P1562" t="s">
        <v>4799</v>
      </c>
      <c r="Q1562" t="s">
        <v>4852</v>
      </c>
      <c r="R1562" t="s">
        <v>807</v>
      </c>
    </row>
    <row r="1563" spans="1:18" x14ac:dyDescent="0.3">
      <c r="A1563">
        <v>5105</v>
      </c>
      <c r="B1563" t="s">
        <v>4875</v>
      </c>
      <c r="C1563" t="s">
        <v>319</v>
      </c>
      <c r="D1563" t="s">
        <v>36</v>
      </c>
      <c r="E1563" s="1">
        <v>46038</v>
      </c>
      <c r="F1563" t="s">
        <v>4298</v>
      </c>
      <c r="G1563" t="s">
        <v>3598</v>
      </c>
      <c r="H1563" t="s">
        <v>336</v>
      </c>
      <c r="I1563" t="s">
        <v>204</v>
      </c>
      <c r="J1563" s="1">
        <v>46075</v>
      </c>
      <c r="K1563" t="s">
        <v>748</v>
      </c>
      <c r="L1563">
        <v>2</v>
      </c>
      <c r="M1563">
        <v>376.28</v>
      </c>
      <c r="N1563" t="s">
        <v>710</v>
      </c>
      <c r="O1563" t="s">
        <v>1040</v>
      </c>
      <c r="P1563" t="s">
        <v>4784</v>
      </c>
      <c r="Q1563" t="s">
        <v>4856</v>
      </c>
      <c r="R1563" t="s">
        <v>4771</v>
      </c>
    </row>
    <row r="1564" spans="1:18" x14ac:dyDescent="0.3">
      <c r="A1564">
        <v>1707283</v>
      </c>
      <c r="B1564" t="s">
        <v>4875</v>
      </c>
      <c r="C1564" t="s">
        <v>668</v>
      </c>
      <c r="D1564" t="s">
        <v>84</v>
      </c>
      <c r="E1564" s="1">
        <v>46038</v>
      </c>
      <c r="F1564" t="s">
        <v>4384</v>
      </c>
      <c r="G1564" t="s">
        <v>3525</v>
      </c>
      <c r="H1564" t="s">
        <v>670</v>
      </c>
      <c r="I1564" t="s">
        <v>204</v>
      </c>
      <c r="J1564" s="1">
        <v>46677</v>
      </c>
      <c r="K1564" t="s">
        <v>768</v>
      </c>
      <c r="L1564">
        <v>1</v>
      </c>
      <c r="M1564">
        <v>2200</v>
      </c>
      <c r="N1564" t="s">
        <v>1000</v>
      </c>
      <c r="O1564" t="s">
        <v>1037</v>
      </c>
      <c r="P1564" t="s">
        <v>4799</v>
      </c>
      <c r="Q1564" t="s">
        <v>4852</v>
      </c>
      <c r="R1564" t="s">
        <v>807</v>
      </c>
    </row>
    <row r="1565" spans="1:18" x14ac:dyDescent="0.3">
      <c r="A1565">
        <v>272</v>
      </c>
      <c r="B1565" t="s">
        <v>1034</v>
      </c>
      <c r="C1565" t="s">
        <v>325</v>
      </c>
      <c r="D1565" t="s">
        <v>193</v>
      </c>
      <c r="E1565" s="1">
        <v>46038</v>
      </c>
      <c r="F1565" t="s">
        <v>4297</v>
      </c>
      <c r="G1565" t="s">
        <v>3605</v>
      </c>
      <c r="H1565" t="s">
        <v>324</v>
      </c>
      <c r="I1565" t="s">
        <v>204</v>
      </c>
      <c r="J1565" s="1">
        <v>54878</v>
      </c>
      <c r="K1565" t="s">
        <v>711</v>
      </c>
      <c r="L1565">
        <v>3900</v>
      </c>
      <c r="M1565">
        <v>3900</v>
      </c>
      <c r="N1565" t="s">
        <v>710</v>
      </c>
      <c r="O1565" t="s">
        <v>4844</v>
      </c>
      <c r="P1565" t="s">
        <v>4779</v>
      </c>
      <c r="Q1565" t="s">
        <v>4901</v>
      </c>
      <c r="R1565" t="s">
        <v>4773</v>
      </c>
    </row>
    <row r="1566" spans="1:18" x14ac:dyDescent="0.3">
      <c r="A1566">
        <v>1706806</v>
      </c>
      <c r="B1566" t="s">
        <v>1034</v>
      </c>
      <c r="C1566" t="s">
        <v>668</v>
      </c>
      <c r="D1566" t="s">
        <v>84</v>
      </c>
      <c r="E1566" s="1">
        <v>46038</v>
      </c>
      <c r="F1566" t="s">
        <v>4384</v>
      </c>
      <c r="G1566" t="s">
        <v>3523</v>
      </c>
      <c r="H1566" t="s">
        <v>669</v>
      </c>
      <c r="I1566" t="s">
        <v>204</v>
      </c>
      <c r="J1566" s="1">
        <v>46326</v>
      </c>
      <c r="K1566" t="s">
        <v>717</v>
      </c>
      <c r="L1566">
        <v>17609.990000000002</v>
      </c>
      <c r="M1566">
        <v>17609.990000000002</v>
      </c>
      <c r="N1566" t="s">
        <v>1000</v>
      </c>
      <c r="O1566" t="s">
        <v>1037</v>
      </c>
      <c r="P1566" t="s">
        <v>4799</v>
      </c>
      <c r="Q1566" t="s">
        <v>4852</v>
      </c>
      <c r="R1566" t="s">
        <v>807</v>
      </c>
    </row>
    <row r="1567" spans="1:18" x14ac:dyDescent="0.3">
      <c r="A1567">
        <v>853926</v>
      </c>
      <c r="B1567" t="s">
        <v>1034</v>
      </c>
      <c r="C1567" t="s">
        <v>276</v>
      </c>
      <c r="D1567" t="s">
        <v>5</v>
      </c>
      <c r="E1567" s="1">
        <v>46038</v>
      </c>
      <c r="F1567" t="s">
        <v>4315</v>
      </c>
      <c r="G1567" t="s">
        <v>3625</v>
      </c>
      <c r="H1567" t="s">
        <v>275</v>
      </c>
      <c r="I1567" t="s">
        <v>204</v>
      </c>
      <c r="J1567" s="1">
        <v>46904</v>
      </c>
      <c r="K1567" t="s">
        <v>717</v>
      </c>
      <c r="L1567">
        <v>34424.129999999997</v>
      </c>
      <c r="M1567">
        <v>34424.129999999997</v>
      </c>
      <c r="N1567" t="s">
        <v>710</v>
      </c>
      <c r="O1567" t="s">
        <v>1037</v>
      </c>
      <c r="P1567" t="s">
        <v>4776</v>
      </c>
      <c r="Q1567" t="s">
        <v>4852</v>
      </c>
      <c r="R1567" t="s">
        <v>4773</v>
      </c>
    </row>
    <row r="1568" spans="1:18" x14ac:dyDescent="0.3">
      <c r="A1568">
        <v>20251376</v>
      </c>
      <c r="B1568" t="s">
        <v>1034</v>
      </c>
      <c r="C1568" t="s">
        <v>364</v>
      </c>
      <c r="D1568" t="s">
        <v>72</v>
      </c>
      <c r="E1568" s="1">
        <v>46037</v>
      </c>
      <c r="F1568" t="s">
        <v>4295</v>
      </c>
      <c r="G1568" t="s">
        <v>3383</v>
      </c>
      <c r="H1568" t="s">
        <v>363</v>
      </c>
      <c r="I1568" t="s">
        <v>209</v>
      </c>
      <c r="J1568" s="1">
        <v>46092</v>
      </c>
      <c r="K1568" t="s">
        <v>711</v>
      </c>
      <c r="L1568">
        <v>5841</v>
      </c>
      <c r="M1568">
        <v>5841</v>
      </c>
      <c r="N1568" t="s">
        <v>710</v>
      </c>
      <c r="O1568" t="s">
        <v>4834</v>
      </c>
      <c r="P1568" t="s">
        <v>4776</v>
      </c>
      <c r="Q1568" t="s">
        <v>4901</v>
      </c>
      <c r="R1568" t="s">
        <v>4773</v>
      </c>
    </row>
    <row r="1569" spans="1:18" x14ac:dyDescent="0.3">
      <c r="A1569">
        <v>29935</v>
      </c>
      <c r="B1569" t="s">
        <v>4874</v>
      </c>
      <c r="C1569" t="s">
        <v>592</v>
      </c>
      <c r="D1569" t="s">
        <v>8</v>
      </c>
      <c r="E1569" s="1">
        <v>46037</v>
      </c>
      <c r="F1569" t="s">
        <v>4363</v>
      </c>
      <c r="G1569" t="s">
        <v>3609</v>
      </c>
      <c r="H1569" t="s">
        <v>683</v>
      </c>
      <c r="I1569" t="s">
        <v>204</v>
      </c>
      <c r="J1569" s="1">
        <v>46387</v>
      </c>
      <c r="K1569" t="s">
        <v>762</v>
      </c>
      <c r="L1569">
        <v>663.14</v>
      </c>
      <c r="M1569">
        <v>663.14</v>
      </c>
      <c r="N1569" t="s">
        <v>890</v>
      </c>
      <c r="O1569" t="s">
        <v>4833</v>
      </c>
      <c r="P1569" t="s">
        <v>950</v>
      </c>
      <c r="Q1569" t="s">
        <v>4852</v>
      </c>
      <c r="R1569" t="s">
        <v>807</v>
      </c>
    </row>
    <row r="1570" spans="1:18" x14ac:dyDescent="0.3">
      <c r="A1570">
        <v>42859</v>
      </c>
      <c r="B1570" t="s">
        <v>4875</v>
      </c>
      <c r="C1570" t="s">
        <v>327</v>
      </c>
      <c r="D1570" t="s">
        <v>159</v>
      </c>
      <c r="E1570" s="1">
        <v>46037</v>
      </c>
      <c r="F1570" t="s">
        <v>4295</v>
      </c>
      <c r="G1570" t="s">
        <v>3411</v>
      </c>
      <c r="H1570" t="s">
        <v>326</v>
      </c>
      <c r="I1570" t="s">
        <v>204</v>
      </c>
      <c r="J1570" s="1">
        <v>54878</v>
      </c>
      <c r="K1570" t="s">
        <v>748</v>
      </c>
      <c r="L1570">
        <v>2150</v>
      </c>
      <c r="M1570">
        <v>2150</v>
      </c>
      <c r="N1570" t="s">
        <v>719</v>
      </c>
      <c r="O1570" t="s">
        <v>4834</v>
      </c>
      <c r="P1570" t="s">
        <v>4776</v>
      </c>
      <c r="Q1570" t="s">
        <v>4856</v>
      </c>
      <c r="R1570" t="s">
        <v>4773</v>
      </c>
    </row>
    <row r="1571" spans="1:18" x14ac:dyDescent="0.3">
      <c r="A1571">
        <v>42860</v>
      </c>
      <c r="B1571" t="s">
        <v>4875</v>
      </c>
      <c r="C1571" t="s">
        <v>327</v>
      </c>
      <c r="D1571" t="s">
        <v>159</v>
      </c>
      <c r="E1571" s="1">
        <v>46037</v>
      </c>
      <c r="F1571" t="s">
        <v>4295</v>
      </c>
      <c r="G1571" t="s">
        <v>3410</v>
      </c>
      <c r="H1571" t="s">
        <v>326</v>
      </c>
      <c r="I1571" t="s">
        <v>204</v>
      </c>
      <c r="J1571" s="1">
        <v>54878</v>
      </c>
      <c r="K1571" t="s">
        <v>748</v>
      </c>
      <c r="L1571">
        <v>3188.97</v>
      </c>
      <c r="M1571">
        <v>3188.97</v>
      </c>
      <c r="N1571" t="s">
        <v>719</v>
      </c>
      <c r="O1571" t="s">
        <v>4834</v>
      </c>
      <c r="P1571" t="s">
        <v>4776</v>
      </c>
      <c r="Q1571" t="s">
        <v>4856</v>
      </c>
      <c r="R1571" t="s">
        <v>4773</v>
      </c>
    </row>
    <row r="1572" spans="1:18" x14ac:dyDescent="0.3">
      <c r="A1572">
        <v>7404</v>
      </c>
      <c r="B1572" t="s">
        <v>4874</v>
      </c>
      <c r="C1572" t="s">
        <v>628</v>
      </c>
      <c r="D1572" t="s">
        <v>25</v>
      </c>
      <c r="E1572" s="1">
        <v>46037</v>
      </c>
      <c r="F1572" t="s">
        <v>4415</v>
      </c>
      <c r="G1572" t="s">
        <v>3310</v>
      </c>
      <c r="H1572" t="s">
        <v>627</v>
      </c>
      <c r="I1572" t="s">
        <v>209</v>
      </c>
      <c r="J1572" s="1">
        <v>46476</v>
      </c>
      <c r="K1572" t="s">
        <v>720</v>
      </c>
      <c r="L1572">
        <v>1</v>
      </c>
      <c r="M1572">
        <v>380</v>
      </c>
      <c r="N1572" t="s">
        <v>710</v>
      </c>
      <c r="O1572" t="s">
        <v>1038</v>
      </c>
      <c r="P1572" t="s">
        <v>4776</v>
      </c>
      <c r="Q1572" t="s">
        <v>4858</v>
      </c>
      <c r="R1572" t="s">
        <v>4771</v>
      </c>
    </row>
    <row r="1573" spans="1:18" x14ac:dyDescent="0.3">
      <c r="A1573">
        <v>7405</v>
      </c>
      <c r="B1573" t="s">
        <v>4874</v>
      </c>
      <c r="C1573" t="s">
        <v>628</v>
      </c>
      <c r="D1573" t="s">
        <v>25</v>
      </c>
      <c r="E1573" s="1">
        <v>46037</v>
      </c>
      <c r="F1573" t="s">
        <v>4415</v>
      </c>
      <c r="G1573" t="s">
        <v>3606</v>
      </c>
      <c r="H1573" t="s">
        <v>627</v>
      </c>
      <c r="I1573" t="s">
        <v>209</v>
      </c>
      <c r="J1573" s="1">
        <v>46476</v>
      </c>
      <c r="K1573" t="s">
        <v>720</v>
      </c>
      <c r="L1573">
        <v>1</v>
      </c>
      <c r="M1573">
        <v>380</v>
      </c>
      <c r="N1573" t="s">
        <v>710</v>
      </c>
      <c r="O1573" t="s">
        <v>1038</v>
      </c>
      <c r="P1573" t="s">
        <v>4776</v>
      </c>
      <c r="Q1573" t="s">
        <v>4858</v>
      </c>
      <c r="R1573" t="s">
        <v>4771</v>
      </c>
    </row>
    <row r="1574" spans="1:18" x14ac:dyDescent="0.3">
      <c r="A1574">
        <v>7404</v>
      </c>
      <c r="B1574" t="s">
        <v>4874</v>
      </c>
      <c r="C1574" t="s">
        <v>628</v>
      </c>
      <c r="D1574" t="s">
        <v>25</v>
      </c>
      <c r="E1574" s="1">
        <v>46037</v>
      </c>
      <c r="F1574" t="s">
        <v>4415</v>
      </c>
      <c r="G1574" t="s">
        <v>3310</v>
      </c>
      <c r="H1574" t="s">
        <v>627</v>
      </c>
      <c r="I1574" t="s">
        <v>209</v>
      </c>
      <c r="J1574" s="1">
        <v>46476</v>
      </c>
      <c r="K1574" t="s">
        <v>720</v>
      </c>
      <c r="L1574">
        <v>1</v>
      </c>
      <c r="M1574">
        <v>380</v>
      </c>
      <c r="N1574" t="s">
        <v>710</v>
      </c>
      <c r="O1574" t="s">
        <v>1038</v>
      </c>
      <c r="P1574" t="s">
        <v>4776</v>
      </c>
      <c r="Q1574" t="s">
        <v>4858</v>
      </c>
      <c r="R1574" t="s">
        <v>4771</v>
      </c>
    </row>
    <row r="1575" spans="1:18" x14ac:dyDescent="0.3">
      <c r="A1575">
        <v>1771228</v>
      </c>
      <c r="B1575" t="s">
        <v>4875</v>
      </c>
      <c r="C1575" t="s">
        <v>668</v>
      </c>
      <c r="D1575" t="s">
        <v>84</v>
      </c>
      <c r="E1575" s="1">
        <v>46037</v>
      </c>
      <c r="F1575" t="s">
        <v>4324</v>
      </c>
      <c r="G1575" t="s">
        <v>3593</v>
      </c>
      <c r="H1575" t="s">
        <v>670</v>
      </c>
      <c r="I1575" t="s">
        <v>204</v>
      </c>
      <c r="J1575" s="1">
        <v>46677</v>
      </c>
      <c r="K1575" t="s">
        <v>768</v>
      </c>
      <c r="L1575">
        <v>46206</v>
      </c>
      <c r="M1575">
        <v>46206</v>
      </c>
      <c r="N1575" t="s">
        <v>1000</v>
      </c>
      <c r="O1575" t="s">
        <v>1037</v>
      </c>
      <c r="P1575" t="s">
        <v>4799</v>
      </c>
      <c r="Q1575" t="s">
        <v>4852</v>
      </c>
      <c r="R1575" t="s">
        <v>807</v>
      </c>
    </row>
    <row r="1576" spans="1:18" x14ac:dyDescent="0.3">
      <c r="A1576">
        <v>1771230</v>
      </c>
      <c r="B1576" t="s">
        <v>4874</v>
      </c>
      <c r="C1576" t="s">
        <v>668</v>
      </c>
      <c r="D1576" t="s">
        <v>84</v>
      </c>
      <c r="E1576" s="1">
        <v>46037</v>
      </c>
      <c r="F1576" t="s">
        <v>4324</v>
      </c>
      <c r="G1576" t="s">
        <v>3594</v>
      </c>
      <c r="H1576" t="s">
        <v>667</v>
      </c>
      <c r="I1576" t="s">
        <v>204</v>
      </c>
      <c r="J1576" s="1">
        <v>46676</v>
      </c>
      <c r="K1576" t="s">
        <v>762</v>
      </c>
      <c r="L1576">
        <v>105837</v>
      </c>
      <c r="M1576">
        <v>105837</v>
      </c>
      <c r="N1576" t="s">
        <v>1000</v>
      </c>
      <c r="O1576" t="s">
        <v>1037</v>
      </c>
      <c r="P1576" t="s">
        <v>4799</v>
      </c>
      <c r="Q1576" t="s">
        <v>4852</v>
      </c>
      <c r="R1576" t="s">
        <v>807</v>
      </c>
    </row>
    <row r="1577" spans="1:18" x14ac:dyDescent="0.3">
      <c r="A1577">
        <v>1771736</v>
      </c>
      <c r="B1577" t="s">
        <v>1034</v>
      </c>
      <c r="C1577" t="s">
        <v>668</v>
      </c>
      <c r="D1577" t="s">
        <v>84</v>
      </c>
      <c r="E1577" s="1">
        <v>46037</v>
      </c>
      <c r="F1577" t="s">
        <v>4324</v>
      </c>
      <c r="G1577" t="s">
        <v>3592</v>
      </c>
      <c r="H1577" t="s">
        <v>671</v>
      </c>
      <c r="I1577" t="s">
        <v>204</v>
      </c>
      <c r="J1577" s="1">
        <v>46324</v>
      </c>
      <c r="K1577" t="s">
        <v>717</v>
      </c>
      <c r="L1577">
        <v>149442</v>
      </c>
      <c r="M1577">
        <v>149442</v>
      </c>
      <c r="N1577" t="s">
        <v>710</v>
      </c>
      <c r="O1577" t="s">
        <v>1037</v>
      </c>
      <c r="P1577" t="s">
        <v>4799</v>
      </c>
      <c r="Q1577" t="s">
        <v>4852</v>
      </c>
      <c r="R1577" t="s">
        <v>807</v>
      </c>
    </row>
    <row r="1578" spans="1:18" x14ac:dyDescent="0.3">
      <c r="A1578">
        <v>659</v>
      </c>
      <c r="B1578" t="s">
        <v>1034</v>
      </c>
      <c r="C1578" t="s">
        <v>319</v>
      </c>
      <c r="D1578" t="s">
        <v>36</v>
      </c>
      <c r="E1578" s="1">
        <v>46037</v>
      </c>
      <c r="F1578" t="s">
        <v>4298</v>
      </c>
      <c r="G1578" t="s">
        <v>3584</v>
      </c>
      <c r="H1578" t="s">
        <v>318</v>
      </c>
      <c r="I1578" t="s">
        <v>204</v>
      </c>
      <c r="J1578" s="1">
        <v>46214</v>
      </c>
      <c r="K1578" t="s">
        <v>711</v>
      </c>
      <c r="L1578">
        <v>950</v>
      </c>
      <c r="M1578">
        <v>950.28</v>
      </c>
      <c r="N1578" t="s">
        <v>710</v>
      </c>
      <c r="O1578" t="s">
        <v>1036</v>
      </c>
      <c r="P1578" t="s">
        <v>4784</v>
      </c>
      <c r="Q1578" t="s">
        <v>4901</v>
      </c>
      <c r="R1578" t="s">
        <v>4771</v>
      </c>
    </row>
    <row r="1579" spans="1:18" x14ac:dyDescent="0.3">
      <c r="A1579">
        <v>119528</v>
      </c>
      <c r="B1579" t="s">
        <v>1034</v>
      </c>
      <c r="C1579" t="s">
        <v>497</v>
      </c>
      <c r="D1579" t="s">
        <v>58</v>
      </c>
      <c r="E1579" s="1">
        <v>46037</v>
      </c>
      <c r="F1579" t="s">
        <v>4354</v>
      </c>
      <c r="G1579" t="s">
        <v>3611</v>
      </c>
      <c r="H1579" t="s">
        <v>496</v>
      </c>
      <c r="I1579" t="s">
        <v>204</v>
      </c>
      <c r="J1579" s="1">
        <v>46265</v>
      </c>
      <c r="K1579" t="s">
        <v>717</v>
      </c>
      <c r="L1579">
        <v>1</v>
      </c>
      <c r="M1579">
        <v>4397.3900000000003</v>
      </c>
      <c r="N1579" t="s">
        <v>710</v>
      </c>
      <c r="O1579" t="s">
        <v>4833</v>
      </c>
      <c r="P1579" t="s">
        <v>4776</v>
      </c>
      <c r="Q1579" t="s">
        <v>4852</v>
      </c>
      <c r="R1579" t="s">
        <v>4773</v>
      </c>
    </row>
    <row r="1580" spans="1:18" x14ac:dyDescent="0.3">
      <c r="A1580">
        <v>50134</v>
      </c>
      <c r="B1580" t="s">
        <v>1034</v>
      </c>
      <c r="C1580" t="s">
        <v>497</v>
      </c>
      <c r="D1580" t="s">
        <v>58</v>
      </c>
      <c r="E1580" s="1">
        <v>46037</v>
      </c>
      <c r="F1580" t="s">
        <v>4316</v>
      </c>
      <c r="G1580" t="s">
        <v>3612</v>
      </c>
      <c r="H1580" t="s">
        <v>498</v>
      </c>
      <c r="I1580" t="s">
        <v>204</v>
      </c>
      <c r="J1580" s="1">
        <v>46265</v>
      </c>
      <c r="K1580" t="s">
        <v>717</v>
      </c>
      <c r="L1580">
        <v>1</v>
      </c>
      <c r="M1580">
        <v>1288.8599999999999</v>
      </c>
      <c r="N1580" t="s">
        <v>710</v>
      </c>
      <c r="O1580" t="s">
        <v>4833</v>
      </c>
      <c r="P1580" t="s">
        <v>4776</v>
      </c>
      <c r="Q1580" t="s">
        <v>4852</v>
      </c>
      <c r="R1580" t="s">
        <v>4773</v>
      </c>
    </row>
    <row r="1581" spans="1:18" x14ac:dyDescent="0.3">
      <c r="A1581">
        <v>4429480</v>
      </c>
      <c r="B1581" t="s">
        <v>1034</v>
      </c>
      <c r="C1581" t="s">
        <v>433</v>
      </c>
      <c r="D1581" t="s">
        <v>168</v>
      </c>
      <c r="E1581" s="1">
        <v>46037</v>
      </c>
      <c r="F1581" t="s">
        <v>4319</v>
      </c>
      <c r="G1581" t="s">
        <v>3620</v>
      </c>
      <c r="H1581" t="s">
        <v>432</v>
      </c>
      <c r="I1581" t="s">
        <v>204</v>
      </c>
      <c r="J1581" s="1">
        <v>46473</v>
      </c>
      <c r="K1581" t="s">
        <v>762</v>
      </c>
      <c r="L1581">
        <v>327</v>
      </c>
      <c r="M1581">
        <v>327.02</v>
      </c>
      <c r="N1581" t="s">
        <v>710</v>
      </c>
      <c r="O1581" t="s">
        <v>4833</v>
      </c>
      <c r="P1581" t="s">
        <v>4802</v>
      </c>
      <c r="Q1581" t="s">
        <v>4852</v>
      </c>
      <c r="R1581" t="s">
        <v>4771</v>
      </c>
    </row>
    <row r="1582" spans="1:18" x14ac:dyDescent="0.3">
      <c r="A1582">
        <v>7405</v>
      </c>
      <c r="B1582" t="s">
        <v>4874</v>
      </c>
      <c r="C1582" t="s">
        <v>628</v>
      </c>
      <c r="D1582" t="s">
        <v>25</v>
      </c>
      <c r="E1582" s="1">
        <v>46037</v>
      </c>
      <c r="F1582" t="s">
        <v>4415</v>
      </c>
      <c r="G1582" t="s">
        <v>3606</v>
      </c>
      <c r="H1582" t="s">
        <v>627</v>
      </c>
      <c r="I1582" t="s">
        <v>209</v>
      </c>
      <c r="J1582" s="1">
        <v>46476</v>
      </c>
      <c r="K1582" t="s">
        <v>720</v>
      </c>
      <c r="L1582">
        <v>1</v>
      </c>
      <c r="M1582">
        <v>380</v>
      </c>
      <c r="N1582" t="s">
        <v>710</v>
      </c>
      <c r="O1582" t="s">
        <v>1038</v>
      </c>
      <c r="P1582" t="s">
        <v>4776</v>
      </c>
      <c r="Q1582" t="s">
        <v>4858</v>
      </c>
      <c r="R1582" t="s">
        <v>4771</v>
      </c>
    </row>
    <row r="1583" spans="1:18" x14ac:dyDescent="0.3">
      <c r="A1583">
        <v>3909</v>
      </c>
      <c r="B1583" t="s">
        <v>1034</v>
      </c>
      <c r="C1583" t="s">
        <v>535</v>
      </c>
      <c r="D1583" t="s">
        <v>148</v>
      </c>
      <c r="E1583" s="1">
        <v>46036</v>
      </c>
      <c r="F1583" t="s">
        <v>4355</v>
      </c>
      <c r="G1583" t="s">
        <v>3516</v>
      </c>
      <c r="H1583" t="s">
        <v>681</v>
      </c>
      <c r="I1583" t="s">
        <v>204</v>
      </c>
      <c r="J1583" s="1">
        <v>46295</v>
      </c>
      <c r="K1583" t="s">
        <v>711</v>
      </c>
      <c r="L1583">
        <v>1</v>
      </c>
      <c r="M1583">
        <v>4500</v>
      </c>
      <c r="N1583" t="s">
        <v>890</v>
      </c>
      <c r="O1583" t="s">
        <v>4844</v>
      </c>
      <c r="P1583" t="s">
        <v>4779</v>
      </c>
      <c r="Q1583" t="s">
        <v>4845</v>
      </c>
      <c r="R1583" t="s">
        <v>807</v>
      </c>
    </row>
    <row r="1584" spans="1:18" x14ac:dyDescent="0.3">
      <c r="A1584">
        <v>2025100</v>
      </c>
      <c r="B1584" t="s">
        <v>1034</v>
      </c>
      <c r="C1584" t="s">
        <v>656</v>
      </c>
      <c r="D1584" t="s">
        <v>56</v>
      </c>
      <c r="E1584" s="1">
        <v>46036</v>
      </c>
      <c r="F1584" t="s">
        <v>4383</v>
      </c>
      <c r="G1584" t="s">
        <v>3462</v>
      </c>
      <c r="H1584" t="s">
        <v>655</v>
      </c>
      <c r="I1584" t="s">
        <v>204</v>
      </c>
      <c r="J1584" s="1">
        <v>46600</v>
      </c>
      <c r="K1584" t="s">
        <v>711</v>
      </c>
      <c r="L1584">
        <v>3480.86</v>
      </c>
      <c r="M1584">
        <v>3480.86</v>
      </c>
      <c r="N1584" t="s">
        <v>814</v>
      </c>
      <c r="O1584" t="s">
        <v>1036</v>
      </c>
      <c r="P1584" t="s">
        <v>4776</v>
      </c>
      <c r="Q1584" t="s">
        <v>4901</v>
      </c>
      <c r="R1584" t="s">
        <v>807</v>
      </c>
    </row>
    <row r="1585" spans="1:18" x14ac:dyDescent="0.3">
      <c r="A1585">
        <v>2025101</v>
      </c>
      <c r="B1585" t="s">
        <v>1034</v>
      </c>
      <c r="C1585" t="s">
        <v>656</v>
      </c>
      <c r="D1585" t="s">
        <v>56</v>
      </c>
      <c r="E1585" s="1">
        <v>46036</v>
      </c>
      <c r="F1585" t="s">
        <v>4383</v>
      </c>
      <c r="G1585" t="s">
        <v>3462</v>
      </c>
      <c r="H1585" t="s">
        <v>655</v>
      </c>
      <c r="I1585" t="s">
        <v>204</v>
      </c>
      <c r="J1585" s="1">
        <v>46600</v>
      </c>
      <c r="K1585" t="s">
        <v>711</v>
      </c>
      <c r="L1585">
        <v>6000</v>
      </c>
      <c r="M1585">
        <v>6000</v>
      </c>
      <c r="N1585" t="s">
        <v>814</v>
      </c>
      <c r="O1585" t="s">
        <v>1036</v>
      </c>
      <c r="P1585" t="s">
        <v>4776</v>
      </c>
      <c r="Q1585" t="s">
        <v>4901</v>
      </c>
      <c r="R1585" t="s">
        <v>807</v>
      </c>
    </row>
    <row r="1586" spans="1:18" x14ac:dyDescent="0.3">
      <c r="A1586">
        <v>2025102</v>
      </c>
      <c r="B1586" t="s">
        <v>1034</v>
      </c>
      <c r="C1586" t="s">
        <v>656</v>
      </c>
      <c r="D1586" t="s">
        <v>56</v>
      </c>
      <c r="E1586" s="1">
        <v>46036</v>
      </c>
      <c r="F1586" t="s">
        <v>4383</v>
      </c>
      <c r="G1586" t="s">
        <v>3462</v>
      </c>
      <c r="H1586" t="s">
        <v>655</v>
      </c>
      <c r="I1586" t="s">
        <v>204</v>
      </c>
      <c r="J1586" s="1">
        <v>46600</v>
      </c>
      <c r="K1586" t="s">
        <v>711</v>
      </c>
      <c r="L1586">
        <v>6000</v>
      </c>
      <c r="M1586">
        <v>6000</v>
      </c>
      <c r="N1586" t="s">
        <v>814</v>
      </c>
      <c r="O1586" t="s">
        <v>1036</v>
      </c>
      <c r="P1586" t="s">
        <v>4776</v>
      </c>
      <c r="Q1586" t="s">
        <v>4901</v>
      </c>
      <c r="R1586" t="s">
        <v>807</v>
      </c>
    </row>
    <row r="1587" spans="1:18" x14ac:dyDescent="0.3">
      <c r="A1587">
        <v>12373</v>
      </c>
      <c r="B1587" t="s">
        <v>4874</v>
      </c>
      <c r="C1587" t="s">
        <v>237</v>
      </c>
      <c r="D1587" t="s">
        <v>4</v>
      </c>
      <c r="E1587" s="1">
        <v>46036</v>
      </c>
      <c r="F1587" t="s">
        <v>4368</v>
      </c>
      <c r="G1587" t="s">
        <v>3599</v>
      </c>
      <c r="H1587" t="s">
        <v>236</v>
      </c>
      <c r="I1587" t="s">
        <v>204</v>
      </c>
      <c r="J1587" s="1">
        <v>54878</v>
      </c>
      <c r="K1587" t="s">
        <v>720</v>
      </c>
      <c r="L1587">
        <v>1</v>
      </c>
      <c r="M1587">
        <v>5271</v>
      </c>
      <c r="N1587" t="s">
        <v>710</v>
      </c>
      <c r="O1587" t="s">
        <v>1038</v>
      </c>
      <c r="P1587" t="s">
        <v>4776</v>
      </c>
      <c r="Q1587" t="s">
        <v>4858</v>
      </c>
      <c r="R1587" t="s">
        <v>4771</v>
      </c>
    </row>
    <row r="1588" spans="1:18" x14ac:dyDescent="0.3">
      <c r="A1588">
        <v>29513</v>
      </c>
      <c r="B1588" t="s">
        <v>4874</v>
      </c>
      <c r="C1588" t="s">
        <v>592</v>
      </c>
      <c r="D1588" t="s">
        <v>8</v>
      </c>
      <c r="E1588" s="1">
        <v>46036</v>
      </c>
      <c r="F1588" t="s">
        <v>4352</v>
      </c>
      <c r="G1588" t="s">
        <v>3591</v>
      </c>
      <c r="H1588" t="s">
        <v>683</v>
      </c>
      <c r="I1588" t="s">
        <v>204</v>
      </c>
      <c r="J1588" s="1">
        <v>46387</v>
      </c>
      <c r="K1588" t="s">
        <v>762</v>
      </c>
      <c r="L1588">
        <v>1260</v>
      </c>
      <c r="M1588">
        <v>1260</v>
      </c>
      <c r="N1588" t="s">
        <v>890</v>
      </c>
      <c r="O1588" t="s">
        <v>4833</v>
      </c>
      <c r="P1588" t="s">
        <v>950</v>
      </c>
      <c r="Q1588" t="s">
        <v>4852</v>
      </c>
      <c r="R1588" t="s">
        <v>807</v>
      </c>
    </row>
    <row r="1589" spans="1:18" x14ac:dyDescent="0.3">
      <c r="A1589">
        <v>1357658</v>
      </c>
      <c r="B1589" t="s">
        <v>4874</v>
      </c>
      <c r="C1589" t="s">
        <v>472</v>
      </c>
      <c r="D1589" t="s">
        <v>48</v>
      </c>
      <c r="E1589" s="1">
        <v>46036</v>
      </c>
      <c r="F1589" t="s">
        <v>4345</v>
      </c>
      <c r="G1589" t="s">
        <v>3586</v>
      </c>
      <c r="H1589" t="s">
        <v>471</v>
      </c>
      <c r="I1589" t="s">
        <v>204</v>
      </c>
      <c r="J1589" s="1">
        <v>46270</v>
      </c>
      <c r="K1589" t="s">
        <v>762</v>
      </c>
      <c r="L1589">
        <v>53.78</v>
      </c>
      <c r="M1589">
        <v>53.78</v>
      </c>
      <c r="N1589" t="s">
        <v>710</v>
      </c>
      <c r="O1589" t="s">
        <v>4845</v>
      </c>
      <c r="P1589" t="s">
        <v>4776</v>
      </c>
      <c r="Q1589" t="s">
        <v>4845</v>
      </c>
      <c r="R1589" t="s">
        <v>4773</v>
      </c>
    </row>
    <row r="1590" spans="1:18" x14ac:dyDescent="0.3">
      <c r="A1590">
        <v>1361870</v>
      </c>
      <c r="B1590" t="s">
        <v>4874</v>
      </c>
      <c r="C1590" t="s">
        <v>472</v>
      </c>
      <c r="D1590" t="s">
        <v>48</v>
      </c>
      <c r="E1590" s="1">
        <v>46036</v>
      </c>
      <c r="F1590" t="s">
        <v>4315</v>
      </c>
      <c r="G1590" t="s">
        <v>3586</v>
      </c>
      <c r="H1590" t="s">
        <v>471</v>
      </c>
      <c r="I1590" t="s">
        <v>204</v>
      </c>
      <c r="J1590" s="1">
        <v>46270</v>
      </c>
      <c r="K1590" t="s">
        <v>762</v>
      </c>
      <c r="L1590">
        <v>537.80999999999995</v>
      </c>
      <c r="M1590">
        <v>537.80999999999995</v>
      </c>
      <c r="N1590" t="s">
        <v>710</v>
      </c>
      <c r="O1590" t="s">
        <v>4845</v>
      </c>
      <c r="P1590" t="s">
        <v>4776</v>
      </c>
      <c r="Q1590" t="s">
        <v>4845</v>
      </c>
      <c r="R1590" t="s">
        <v>4773</v>
      </c>
    </row>
    <row r="1591" spans="1:18" x14ac:dyDescent="0.3">
      <c r="A1591">
        <v>3966</v>
      </c>
      <c r="B1591" t="s">
        <v>4874</v>
      </c>
      <c r="C1591" t="s">
        <v>422</v>
      </c>
      <c r="D1591" t="s">
        <v>37</v>
      </c>
      <c r="E1591" s="1">
        <v>46035</v>
      </c>
      <c r="F1591" t="s">
        <v>4306</v>
      </c>
      <c r="G1591" t="s">
        <v>3569</v>
      </c>
      <c r="H1591" t="s">
        <v>421</v>
      </c>
      <c r="I1591" t="s">
        <v>204</v>
      </c>
      <c r="J1591" s="1">
        <v>46080</v>
      </c>
      <c r="K1591" t="s">
        <v>762</v>
      </c>
      <c r="L1591">
        <v>800</v>
      </c>
      <c r="M1591">
        <v>800</v>
      </c>
      <c r="N1591" t="s">
        <v>710</v>
      </c>
      <c r="O1591" t="s">
        <v>4833</v>
      </c>
      <c r="P1591" t="s">
        <v>4786</v>
      </c>
      <c r="Q1591" t="s">
        <v>4852</v>
      </c>
      <c r="R1591" t="s">
        <v>4773</v>
      </c>
    </row>
    <row r="1592" spans="1:18" x14ac:dyDescent="0.3">
      <c r="A1592">
        <v>111761</v>
      </c>
      <c r="B1592" t="s">
        <v>4874</v>
      </c>
      <c r="C1592" t="s">
        <v>379</v>
      </c>
      <c r="D1592" t="s">
        <v>131</v>
      </c>
      <c r="E1592" s="1">
        <v>46035</v>
      </c>
      <c r="F1592" t="s">
        <v>4315</v>
      </c>
      <c r="G1592" t="s">
        <v>3568</v>
      </c>
      <c r="H1592" t="s">
        <v>378</v>
      </c>
      <c r="I1592" t="s">
        <v>204</v>
      </c>
      <c r="J1592" s="1">
        <v>54878</v>
      </c>
      <c r="K1592" t="s">
        <v>762</v>
      </c>
      <c r="L1592">
        <v>68.510000000000005</v>
      </c>
      <c r="M1592">
        <v>68.510000000000005</v>
      </c>
      <c r="N1592" t="s">
        <v>710</v>
      </c>
      <c r="O1592" t="s">
        <v>4833</v>
      </c>
      <c r="P1592" t="s">
        <v>4776</v>
      </c>
      <c r="Q1592" t="s">
        <v>4852</v>
      </c>
      <c r="R1592" t="s">
        <v>4773</v>
      </c>
    </row>
    <row r="1593" spans="1:18" x14ac:dyDescent="0.3">
      <c r="A1593">
        <v>7293</v>
      </c>
      <c r="B1593" t="s">
        <v>4874</v>
      </c>
      <c r="C1593" t="s">
        <v>387</v>
      </c>
      <c r="D1593" t="s">
        <v>42</v>
      </c>
      <c r="E1593" s="1">
        <v>46035</v>
      </c>
      <c r="F1593" t="s">
        <v>4345</v>
      </c>
      <c r="G1593" t="s">
        <v>3546</v>
      </c>
      <c r="H1593" t="s">
        <v>386</v>
      </c>
      <c r="I1593" t="s">
        <v>204</v>
      </c>
      <c r="J1593" s="1">
        <v>54878</v>
      </c>
      <c r="K1593" t="s">
        <v>762</v>
      </c>
      <c r="L1593">
        <v>1887</v>
      </c>
      <c r="M1593">
        <v>1887</v>
      </c>
      <c r="N1593" t="s">
        <v>719</v>
      </c>
      <c r="O1593" t="s">
        <v>4833</v>
      </c>
      <c r="P1593" t="s">
        <v>4776</v>
      </c>
      <c r="Q1593" t="s">
        <v>4852</v>
      </c>
      <c r="R1593" t="s">
        <v>4773</v>
      </c>
    </row>
    <row r="1594" spans="1:18" x14ac:dyDescent="0.3">
      <c r="A1594">
        <v>8968</v>
      </c>
      <c r="B1594" t="s">
        <v>4874</v>
      </c>
      <c r="C1594" t="s">
        <v>614</v>
      </c>
      <c r="D1594" t="s">
        <v>74</v>
      </c>
      <c r="E1594" s="1">
        <v>46035</v>
      </c>
      <c r="F1594" t="s">
        <v>4362</v>
      </c>
      <c r="G1594" t="s">
        <v>3494</v>
      </c>
      <c r="H1594" t="s">
        <v>613</v>
      </c>
      <c r="I1594" t="s">
        <v>204</v>
      </c>
      <c r="J1594" s="1">
        <v>46993</v>
      </c>
      <c r="K1594" t="s">
        <v>720</v>
      </c>
      <c r="L1594">
        <v>1</v>
      </c>
      <c r="M1594">
        <v>1515</v>
      </c>
      <c r="N1594" t="s">
        <v>710</v>
      </c>
      <c r="O1594" t="s">
        <v>1038</v>
      </c>
      <c r="P1594" t="s">
        <v>4779</v>
      </c>
      <c r="Q1594" t="s">
        <v>4858</v>
      </c>
      <c r="R1594" t="s">
        <v>4771</v>
      </c>
    </row>
    <row r="1595" spans="1:18" x14ac:dyDescent="0.3">
      <c r="A1595">
        <v>190095</v>
      </c>
      <c r="B1595" t="s">
        <v>4874</v>
      </c>
      <c r="C1595" t="s">
        <v>411</v>
      </c>
      <c r="D1595" t="s">
        <v>154</v>
      </c>
      <c r="E1595" s="1">
        <v>46035</v>
      </c>
      <c r="F1595" t="s">
        <v>4345</v>
      </c>
      <c r="G1595" t="s">
        <v>3544</v>
      </c>
      <c r="H1595" t="s">
        <v>410</v>
      </c>
      <c r="I1595" t="s">
        <v>204</v>
      </c>
      <c r="J1595" s="1">
        <v>46344</v>
      </c>
      <c r="K1595" t="s">
        <v>762</v>
      </c>
      <c r="L1595">
        <v>16275.21</v>
      </c>
      <c r="M1595">
        <v>16275.21</v>
      </c>
      <c r="N1595" t="s">
        <v>710</v>
      </c>
      <c r="O1595" t="s">
        <v>4833</v>
      </c>
      <c r="P1595" t="s">
        <v>4776</v>
      </c>
      <c r="Q1595" t="s">
        <v>4852</v>
      </c>
      <c r="R1595" t="s">
        <v>4773</v>
      </c>
    </row>
    <row r="1596" spans="1:18" x14ac:dyDescent="0.3">
      <c r="A1596">
        <v>3900</v>
      </c>
      <c r="B1596" t="s">
        <v>4875</v>
      </c>
      <c r="C1596" t="s">
        <v>535</v>
      </c>
      <c r="D1596" t="s">
        <v>148</v>
      </c>
      <c r="E1596" s="1">
        <v>46035</v>
      </c>
      <c r="F1596" t="s">
        <v>4297</v>
      </c>
      <c r="G1596" t="s">
        <v>3438</v>
      </c>
      <c r="H1596" t="s">
        <v>654</v>
      </c>
      <c r="I1596" t="s">
        <v>204</v>
      </c>
      <c r="J1596" s="1">
        <v>46227</v>
      </c>
      <c r="K1596" t="s">
        <v>748</v>
      </c>
      <c r="L1596">
        <v>5500</v>
      </c>
      <c r="M1596">
        <v>5500</v>
      </c>
      <c r="N1596" t="s">
        <v>954</v>
      </c>
      <c r="O1596" t="s">
        <v>1040</v>
      </c>
      <c r="P1596" t="s">
        <v>4779</v>
      </c>
      <c r="Q1596" t="s">
        <v>4856</v>
      </c>
      <c r="R1596" t="s">
        <v>807</v>
      </c>
    </row>
    <row r="1597" spans="1:18" x14ac:dyDescent="0.3">
      <c r="A1597">
        <v>102642</v>
      </c>
      <c r="B1597" t="s">
        <v>1034</v>
      </c>
      <c r="C1597" t="s">
        <v>502</v>
      </c>
      <c r="D1597" t="s">
        <v>2</v>
      </c>
      <c r="E1597" s="1">
        <v>46035</v>
      </c>
      <c r="F1597" t="s">
        <v>4303</v>
      </c>
      <c r="G1597" t="s">
        <v>3548</v>
      </c>
      <c r="H1597" t="s">
        <v>501</v>
      </c>
      <c r="I1597" t="s">
        <v>204</v>
      </c>
      <c r="J1597" s="1">
        <v>54878</v>
      </c>
      <c r="K1597" t="s">
        <v>717</v>
      </c>
      <c r="L1597">
        <v>1901.56</v>
      </c>
      <c r="M1597">
        <v>1901.56</v>
      </c>
      <c r="N1597" t="s">
        <v>710</v>
      </c>
      <c r="O1597" t="s">
        <v>4833</v>
      </c>
      <c r="P1597" t="s">
        <v>4776</v>
      </c>
      <c r="Q1597" t="s">
        <v>4852</v>
      </c>
      <c r="R1597" t="s">
        <v>4774</v>
      </c>
    </row>
    <row r="1598" spans="1:18" x14ac:dyDescent="0.3">
      <c r="A1598">
        <v>1088</v>
      </c>
      <c r="B1598" t="s">
        <v>4875</v>
      </c>
      <c r="C1598" t="s">
        <v>638</v>
      </c>
      <c r="D1598" t="s">
        <v>134</v>
      </c>
      <c r="E1598" s="1">
        <v>46035</v>
      </c>
      <c r="F1598" t="s">
        <v>4296</v>
      </c>
      <c r="G1598" t="s">
        <v>3445</v>
      </c>
      <c r="H1598" t="s">
        <v>639</v>
      </c>
      <c r="I1598" t="s">
        <v>204</v>
      </c>
      <c r="J1598" s="1">
        <v>46537</v>
      </c>
      <c r="K1598" t="s">
        <v>748</v>
      </c>
      <c r="L1598">
        <v>1301</v>
      </c>
      <c r="M1598">
        <v>1301</v>
      </c>
      <c r="N1598" t="s">
        <v>710</v>
      </c>
      <c r="O1598" t="s">
        <v>1040</v>
      </c>
      <c r="P1598" t="s">
        <v>4776</v>
      </c>
      <c r="Q1598" t="s">
        <v>4856</v>
      </c>
    </row>
    <row r="1599" spans="1:18" x14ac:dyDescent="0.3">
      <c r="A1599">
        <v>11074</v>
      </c>
      <c r="B1599" t="s">
        <v>1034</v>
      </c>
      <c r="C1599" t="s">
        <v>624</v>
      </c>
      <c r="D1599" t="s">
        <v>68</v>
      </c>
      <c r="E1599" s="1">
        <v>46035</v>
      </c>
      <c r="F1599" t="s">
        <v>4367</v>
      </c>
      <c r="G1599" t="s">
        <v>3589</v>
      </c>
      <c r="H1599" t="s">
        <v>623</v>
      </c>
      <c r="I1599" t="s">
        <v>204</v>
      </c>
      <c r="J1599" s="1">
        <v>46017</v>
      </c>
      <c r="K1599" t="s">
        <v>839</v>
      </c>
      <c r="L1599">
        <v>1682</v>
      </c>
      <c r="M1599">
        <v>1682.08</v>
      </c>
      <c r="N1599" t="s">
        <v>710</v>
      </c>
      <c r="O1599" t="s">
        <v>1041</v>
      </c>
      <c r="P1599" t="s">
        <v>4776</v>
      </c>
      <c r="Q1599" t="s">
        <v>4852</v>
      </c>
      <c r="R1599" t="s">
        <v>4771</v>
      </c>
    </row>
    <row r="1600" spans="1:18" x14ac:dyDescent="0.3">
      <c r="A1600">
        <v>27281</v>
      </c>
      <c r="B1600" t="s">
        <v>1034</v>
      </c>
      <c r="C1600" t="s">
        <v>500</v>
      </c>
      <c r="D1600" t="s">
        <v>16</v>
      </c>
      <c r="E1600" s="1">
        <v>46035</v>
      </c>
      <c r="F1600" t="s">
        <v>4306</v>
      </c>
      <c r="G1600" t="s">
        <v>3590</v>
      </c>
      <c r="H1600" t="s">
        <v>499</v>
      </c>
      <c r="I1600" t="s">
        <v>204</v>
      </c>
      <c r="J1600" s="1">
        <v>54878</v>
      </c>
      <c r="K1600" t="s">
        <v>717</v>
      </c>
      <c r="L1600">
        <v>1633.45</v>
      </c>
      <c r="M1600">
        <v>1633.45</v>
      </c>
      <c r="N1600" t="s">
        <v>710</v>
      </c>
      <c r="O1600" t="s">
        <v>4833</v>
      </c>
      <c r="P1600" t="s">
        <v>4786</v>
      </c>
      <c r="Q1600" t="s">
        <v>4852</v>
      </c>
      <c r="R1600" t="s">
        <v>4773</v>
      </c>
    </row>
    <row r="1601" spans="1:18" x14ac:dyDescent="0.3">
      <c r="A1601">
        <v>3</v>
      </c>
      <c r="B1601" t="s">
        <v>1034</v>
      </c>
      <c r="C1601" t="s">
        <v>658</v>
      </c>
      <c r="D1601" t="s">
        <v>192</v>
      </c>
      <c r="E1601" s="1">
        <v>46035</v>
      </c>
      <c r="F1601" t="s">
        <v>4377</v>
      </c>
      <c r="G1601" t="s">
        <v>3492</v>
      </c>
      <c r="H1601" t="s">
        <v>657</v>
      </c>
      <c r="I1601" t="s">
        <v>204</v>
      </c>
      <c r="J1601" s="1">
        <v>46218</v>
      </c>
      <c r="K1601" t="s">
        <v>711</v>
      </c>
      <c r="L1601">
        <v>1</v>
      </c>
      <c r="M1601">
        <v>2150</v>
      </c>
      <c r="N1601" t="s">
        <v>710</v>
      </c>
      <c r="O1601" t="s">
        <v>4834</v>
      </c>
      <c r="P1601" t="s">
        <v>4776</v>
      </c>
      <c r="Q1601" t="s">
        <v>4901</v>
      </c>
      <c r="R1601" t="s">
        <v>807</v>
      </c>
    </row>
    <row r="1602" spans="1:18" x14ac:dyDescent="0.3">
      <c r="A1602">
        <v>190569</v>
      </c>
      <c r="B1602" t="s">
        <v>4874</v>
      </c>
      <c r="C1602" t="s">
        <v>411</v>
      </c>
      <c r="D1602" t="s">
        <v>154</v>
      </c>
      <c r="E1602" s="1">
        <v>46035</v>
      </c>
      <c r="F1602" t="s">
        <v>4315</v>
      </c>
      <c r="G1602" t="s">
        <v>3567</v>
      </c>
      <c r="H1602" t="s">
        <v>410</v>
      </c>
      <c r="I1602" t="s">
        <v>204</v>
      </c>
      <c r="J1602" s="1">
        <v>46344</v>
      </c>
      <c r="K1602" t="s">
        <v>762</v>
      </c>
      <c r="L1602">
        <v>1980.58</v>
      </c>
      <c r="M1602">
        <v>1980.58</v>
      </c>
      <c r="N1602" t="s">
        <v>710</v>
      </c>
      <c r="O1602" t="s">
        <v>4833</v>
      </c>
      <c r="P1602" t="s">
        <v>4776</v>
      </c>
      <c r="Q1602" t="s">
        <v>4852</v>
      </c>
      <c r="R1602" t="s">
        <v>4773</v>
      </c>
    </row>
    <row r="1603" spans="1:18" x14ac:dyDescent="0.3">
      <c r="A1603">
        <v>3866</v>
      </c>
      <c r="B1603" t="s">
        <v>4874</v>
      </c>
      <c r="C1603" t="s">
        <v>225</v>
      </c>
      <c r="D1603" t="s">
        <v>166</v>
      </c>
      <c r="E1603" s="1">
        <v>46035</v>
      </c>
      <c r="F1603" t="s">
        <v>4383</v>
      </c>
      <c r="G1603" t="s">
        <v>3550</v>
      </c>
      <c r="H1603" t="s">
        <v>224</v>
      </c>
      <c r="I1603" t="s">
        <v>204</v>
      </c>
      <c r="J1603" s="1">
        <v>54878</v>
      </c>
      <c r="K1603" t="s">
        <v>720</v>
      </c>
      <c r="L1603">
        <v>476.36</v>
      </c>
      <c r="M1603">
        <v>476.36</v>
      </c>
      <c r="N1603" t="s">
        <v>710</v>
      </c>
      <c r="O1603" t="s">
        <v>4849</v>
      </c>
      <c r="P1603" t="s">
        <v>4776</v>
      </c>
      <c r="Q1603" t="s">
        <v>4855</v>
      </c>
      <c r="R1603" t="s">
        <v>4773</v>
      </c>
    </row>
    <row r="1604" spans="1:18" x14ac:dyDescent="0.3">
      <c r="A1604">
        <v>42266</v>
      </c>
      <c r="B1604" t="s">
        <v>4874</v>
      </c>
      <c r="C1604" t="s">
        <v>294</v>
      </c>
      <c r="D1604" t="s">
        <v>101</v>
      </c>
      <c r="E1604" s="1">
        <v>46035</v>
      </c>
      <c r="F1604" t="s">
        <v>4304</v>
      </c>
      <c r="G1604" t="s">
        <v>3596</v>
      </c>
      <c r="H1604" t="s">
        <v>293</v>
      </c>
      <c r="I1604" t="s">
        <v>204</v>
      </c>
      <c r="J1604" s="1">
        <v>46191</v>
      </c>
      <c r="K1604" t="s">
        <v>720</v>
      </c>
      <c r="L1604">
        <v>1</v>
      </c>
      <c r="M1604">
        <v>190</v>
      </c>
      <c r="N1604" t="s">
        <v>710</v>
      </c>
      <c r="O1604" t="s">
        <v>4834</v>
      </c>
      <c r="P1604" t="s">
        <v>4776</v>
      </c>
      <c r="Q1604" t="s">
        <v>4858</v>
      </c>
      <c r="R1604" t="s">
        <v>4773</v>
      </c>
    </row>
    <row r="1605" spans="1:18" x14ac:dyDescent="0.3">
      <c r="A1605">
        <v>3232</v>
      </c>
      <c r="B1605" t="s">
        <v>4874</v>
      </c>
      <c r="C1605" t="s">
        <v>533</v>
      </c>
      <c r="D1605" t="s">
        <v>103</v>
      </c>
      <c r="E1605" s="1">
        <v>46035</v>
      </c>
      <c r="F1605" t="s">
        <v>4416</v>
      </c>
      <c r="G1605" t="s">
        <v>3556</v>
      </c>
      <c r="H1605" t="s">
        <v>532</v>
      </c>
      <c r="I1605" t="s">
        <v>204</v>
      </c>
      <c r="J1605" s="1">
        <v>46568</v>
      </c>
      <c r="K1605" t="s">
        <v>892</v>
      </c>
      <c r="L1605">
        <v>12367.55</v>
      </c>
      <c r="M1605">
        <v>12367.55</v>
      </c>
      <c r="N1605" t="s">
        <v>710</v>
      </c>
      <c r="O1605" t="s">
        <v>4811</v>
      </c>
      <c r="P1605" t="s">
        <v>4776</v>
      </c>
      <c r="Q1605" t="s">
        <v>4859</v>
      </c>
      <c r="R1605" t="s">
        <v>4771</v>
      </c>
    </row>
    <row r="1606" spans="1:18" x14ac:dyDescent="0.3">
      <c r="A1606">
        <v>1828</v>
      </c>
      <c r="B1606" t="s">
        <v>4874</v>
      </c>
      <c r="C1606" t="s">
        <v>252</v>
      </c>
      <c r="D1606" t="s">
        <v>183</v>
      </c>
      <c r="E1606" s="1">
        <v>46035</v>
      </c>
      <c r="F1606" t="s">
        <v>4404</v>
      </c>
      <c r="G1606" t="s">
        <v>3526</v>
      </c>
      <c r="H1606" t="s">
        <v>251</v>
      </c>
      <c r="I1606" t="s">
        <v>204</v>
      </c>
      <c r="J1606" s="1">
        <v>46418</v>
      </c>
      <c r="K1606" t="s">
        <v>762</v>
      </c>
      <c r="L1606">
        <v>18900</v>
      </c>
      <c r="M1606">
        <v>18900</v>
      </c>
      <c r="N1606" t="s">
        <v>719</v>
      </c>
      <c r="O1606" t="s">
        <v>4904</v>
      </c>
      <c r="P1606" t="s">
        <v>4792</v>
      </c>
      <c r="Q1606" t="s">
        <v>4904</v>
      </c>
      <c r="R1606" t="s">
        <v>4773</v>
      </c>
    </row>
    <row r="1607" spans="1:18" x14ac:dyDescent="0.3">
      <c r="A1607">
        <v>19251783</v>
      </c>
      <c r="B1607" t="s">
        <v>1034</v>
      </c>
      <c r="C1607" t="s">
        <v>678</v>
      </c>
      <c r="D1607" t="s">
        <v>181</v>
      </c>
      <c r="E1607" s="1">
        <v>46035</v>
      </c>
      <c r="F1607" t="s">
        <v>4382</v>
      </c>
      <c r="G1607" t="s">
        <v>3555</v>
      </c>
      <c r="H1607" t="s">
        <v>677</v>
      </c>
      <c r="I1607" t="s">
        <v>204</v>
      </c>
      <c r="J1607" s="1">
        <v>46387</v>
      </c>
      <c r="K1607" t="s">
        <v>717</v>
      </c>
      <c r="L1607">
        <v>1</v>
      </c>
      <c r="M1607">
        <v>30577.7</v>
      </c>
      <c r="N1607" t="s">
        <v>719</v>
      </c>
      <c r="O1607" t="s">
        <v>1037</v>
      </c>
      <c r="P1607" t="s">
        <v>4794</v>
      </c>
      <c r="Q1607" t="s">
        <v>4852</v>
      </c>
      <c r="R1607" t="s">
        <v>807</v>
      </c>
    </row>
    <row r="1608" spans="1:18" x14ac:dyDescent="0.3">
      <c r="A1608">
        <v>635</v>
      </c>
      <c r="B1608" t="s">
        <v>4875</v>
      </c>
      <c r="C1608" t="s">
        <v>585</v>
      </c>
      <c r="D1608" t="s">
        <v>179</v>
      </c>
      <c r="E1608" s="1">
        <v>46034</v>
      </c>
      <c r="F1608" t="s">
        <v>4306</v>
      </c>
      <c r="G1608" t="s">
        <v>3554</v>
      </c>
      <c r="H1608" t="s">
        <v>586</v>
      </c>
      <c r="I1608" t="s">
        <v>204</v>
      </c>
      <c r="J1608" s="1">
        <v>46477</v>
      </c>
      <c r="K1608" t="s">
        <v>768</v>
      </c>
      <c r="L1608">
        <v>1</v>
      </c>
      <c r="M1608">
        <v>1139.9000000000001</v>
      </c>
      <c r="N1608" t="s">
        <v>719</v>
      </c>
      <c r="O1608" t="s">
        <v>4833</v>
      </c>
      <c r="P1608" t="s">
        <v>4786</v>
      </c>
      <c r="Q1608" t="s">
        <v>4852</v>
      </c>
      <c r="R1608" t="s">
        <v>4771</v>
      </c>
    </row>
    <row r="1609" spans="1:18" x14ac:dyDescent="0.3">
      <c r="A1609">
        <v>19667</v>
      </c>
      <c r="B1609" t="s">
        <v>4874</v>
      </c>
      <c r="C1609" t="s">
        <v>212</v>
      </c>
      <c r="D1609" t="s">
        <v>62</v>
      </c>
      <c r="E1609" s="1">
        <v>46034</v>
      </c>
      <c r="F1609" t="s">
        <v>4318</v>
      </c>
      <c r="G1609" t="s">
        <v>3581</v>
      </c>
      <c r="H1609" t="s">
        <v>211</v>
      </c>
      <c r="I1609" t="s">
        <v>204</v>
      </c>
      <c r="J1609" s="1">
        <v>54878</v>
      </c>
      <c r="K1609" t="s">
        <v>720</v>
      </c>
      <c r="L1609">
        <v>1</v>
      </c>
      <c r="M1609">
        <v>1000</v>
      </c>
      <c r="N1609" t="s">
        <v>719</v>
      </c>
      <c r="O1609" t="s">
        <v>4834</v>
      </c>
      <c r="P1609" t="s">
        <v>4776</v>
      </c>
      <c r="Q1609" t="s">
        <v>4858</v>
      </c>
      <c r="R1609" t="s">
        <v>4771</v>
      </c>
    </row>
    <row r="1610" spans="1:18" x14ac:dyDescent="0.3">
      <c r="A1610">
        <v>10913</v>
      </c>
      <c r="B1610" t="s">
        <v>4874</v>
      </c>
      <c r="C1610" t="s">
        <v>546</v>
      </c>
      <c r="D1610" t="s">
        <v>75</v>
      </c>
      <c r="E1610" s="1">
        <v>46034</v>
      </c>
      <c r="F1610" t="s">
        <v>4355</v>
      </c>
      <c r="G1610" t="s">
        <v>3538</v>
      </c>
      <c r="H1610" t="s">
        <v>581</v>
      </c>
      <c r="I1610" t="s">
        <v>204</v>
      </c>
      <c r="J1610" s="1">
        <v>46233</v>
      </c>
      <c r="K1610" t="s">
        <v>720</v>
      </c>
      <c r="L1610">
        <v>1</v>
      </c>
      <c r="M1610">
        <v>3650</v>
      </c>
      <c r="N1610" t="s">
        <v>814</v>
      </c>
      <c r="O1610" t="s">
        <v>1038</v>
      </c>
      <c r="P1610" t="s">
        <v>4779</v>
      </c>
      <c r="Q1610" t="s">
        <v>4858</v>
      </c>
      <c r="R1610" t="s">
        <v>4773</v>
      </c>
    </row>
    <row r="1611" spans="1:18" x14ac:dyDescent="0.3">
      <c r="A1611">
        <v>16</v>
      </c>
      <c r="B1611" t="s">
        <v>4874</v>
      </c>
      <c r="C1611" t="s">
        <v>626</v>
      </c>
      <c r="D1611" t="s">
        <v>184</v>
      </c>
      <c r="E1611" s="1">
        <v>46034</v>
      </c>
      <c r="F1611" t="s">
        <v>4414</v>
      </c>
      <c r="G1611" t="s">
        <v>3539</v>
      </c>
      <c r="H1611" t="s">
        <v>625</v>
      </c>
      <c r="I1611" t="s">
        <v>204</v>
      </c>
      <c r="J1611" s="1">
        <v>46440</v>
      </c>
      <c r="K1611" t="s">
        <v>720</v>
      </c>
      <c r="L1611">
        <v>224.63200000000001</v>
      </c>
      <c r="M1611">
        <v>21340.04</v>
      </c>
      <c r="N1611" t="s">
        <v>710</v>
      </c>
      <c r="O1611" t="s">
        <v>1039</v>
      </c>
      <c r="P1611" t="s">
        <v>4777</v>
      </c>
      <c r="Q1611" t="s">
        <v>4858</v>
      </c>
      <c r="R1611" t="s">
        <v>4773</v>
      </c>
    </row>
    <row r="1612" spans="1:18" x14ac:dyDescent="0.3">
      <c r="A1612">
        <v>217529</v>
      </c>
      <c r="B1612" t="s">
        <v>4874</v>
      </c>
      <c r="C1612" t="s">
        <v>441</v>
      </c>
      <c r="D1612" t="s">
        <v>38</v>
      </c>
      <c r="E1612" s="1">
        <v>46034</v>
      </c>
      <c r="F1612" t="s">
        <v>4393</v>
      </c>
      <c r="G1612" t="s">
        <v>3570</v>
      </c>
      <c r="H1612" t="s">
        <v>440</v>
      </c>
      <c r="I1612" t="s">
        <v>204</v>
      </c>
      <c r="J1612" s="1">
        <v>46191</v>
      </c>
      <c r="K1612" t="s">
        <v>762</v>
      </c>
      <c r="L1612">
        <v>11315</v>
      </c>
      <c r="M1612">
        <v>11315</v>
      </c>
      <c r="N1612" t="s">
        <v>710</v>
      </c>
      <c r="O1612" t="s">
        <v>4833</v>
      </c>
      <c r="P1612" t="s">
        <v>4786</v>
      </c>
      <c r="Q1612" t="s">
        <v>4852</v>
      </c>
      <c r="R1612" t="s">
        <v>4773</v>
      </c>
    </row>
    <row r="1613" spans="1:18" x14ac:dyDescent="0.3">
      <c r="A1613">
        <v>6219</v>
      </c>
      <c r="B1613" t="s">
        <v>4875</v>
      </c>
      <c r="C1613" t="s">
        <v>493</v>
      </c>
      <c r="D1613" t="s">
        <v>197</v>
      </c>
      <c r="E1613" s="1">
        <v>46034</v>
      </c>
      <c r="F1613" t="s">
        <v>4306</v>
      </c>
      <c r="G1613" t="s">
        <v>3571</v>
      </c>
      <c r="H1613" t="s">
        <v>492</v>
      </c>
      <c r="I1613" t="s">
        <v>204</v>
      </c>
      <c r="J1613" s="1">
        <v>54878</v>
      </c>
      <c r="K1613" t="s">
        <v>768</v>
      </c>
      <c r="L1613">
        <v>799</v>
      </c>
      <c r="M1613">
        <v>799</v>
      </c>
      <c r="N1613" t="s">
        <v>710</v>
      </c>
      <c r="O1613" t="s">
        <v>4833</v>
      </c>
      <c r="P1613" t="s">
        <v>4786</v>
      </c>
      <c r="Q1613" t="s">
        <v>4852</v>
      </c>
      <c r="R1613" t="s">
        <v>4773</v>
      </c>
    </row>
    <row r="1614" spans="1:18" x14ac:dyDescent="0.3">
      <c r="A1614">
        <v>165132</v>
      </c>
      <c r="B1614" t="s">
        <v>4874</v>
      </c>
      <c r="C1614" t="s">
        <v>214</v>
      </c>
      <c r="D1614" t="s">
        <v>94</v>
      </c>
      <c r="E1614" s="1">
        <v>46034</v>
      </c>
      <c r="F1614" t="s">
        <v>4295</v>
      </c>
      <c r="G1614" t="s">
        <v>3575</v>
      </c>
      <c r="H1614" t="s">
        <v>213</v>
      </c>
      <c r="I1614" t="s">
        <v>204</v>
      </c>
      <c r="J1614" s="1">
        <v>46309</v>
      </c>
      <c r="K1614" t="s">
        <v>720</v>
      </c>
      <c r="L1614">
        <v>1</v>
      </c>
      <c r="M1614">
        <v>17467.900000000001</v>
      </c>
      <c r="N1614" t="s">
        <v>710</v>
      </c>
      <c r="O1614" t="s">
        <v>4834</v>
      </c>
      <c r="P1614" t="s">
        <v>4776</v>
      </c>
      <c r="Q1614" t="s">
        <v>4858</v>
      </c>
      <c r="R1614" t="s">
        <v>4772</v>
      </c>
    </row>
    <row r="1615" spans="1:18" x14ac:dyDescent="0.3">
      <c r="A1615">
        <v>619</v>
      </c>
      <c r="B1615" t="s">
        <v>4874</v>
      </c>
      <c r="C1615" t="s">
        <v>259</v>
      </c>
      <c r="D1615" t="s">
        <v>122</v>
      </c>
      <c r="E1615" s="1">
        <v>46034</v>
      </c>
      <c r="F1615" t="s">
        <v>4390</v>
      </c>
      <c r="G1615" t="s">
        <v>3577</v>
      </c>
      <c r="H1615" t="s">
        <v>258</v>
      </c>
      <c r="I1615" t="s">
        <v>204</v>
      </c>
      <c r="J1615" s="1">
        <v>46337</v>
      </c>
      <c r="K1615" t="s">
        <v>720</v>
      </c>
      <c r="L1615">
        <v>1</v>
      </c>
      <c r="M1615">
        <v>14121.24</v>
      </c>
      <c r="N1615" t="s">
        <v>710</v>
      </c>
      <c r="O1615" t="s">
        <v>1038</v>
      </c>
      <c r="P1615" t="s">
        <v>4777</v>
      </c>
      <c r="Q1615" t="s">
        <v>4858</v>
      </c>
      <c r="R1615" t="s">
        <v>4771</v>
      </c>
    </row>
    <row r="1616" spans="1:18" x14ac:dyDescent="0.3">
      <c r="A1616">
        <v>5148</v>
      </c>
      <c r="B1616" t="s">
        <v>4874</v>
      </c>
      <c r="C1616" t="s">
        <v>456</v>
      </c>
      <c r="D1616" t="s">
        <v>71</v>
      </c>
      <c r="E1616" s="1">
        <v>46034</v>
      </c>
      <c r="F1616" t="s">
        <v>4401</v>
      </c>
      <c r="G1616" t="s">
        <v>3572</v>
      </c>
      <c r="H1616" t="s">
        <v>455</v>
      </c>
      <c r="I1616" t="s">
        <v>204</v>
      </c>
      <c r="J1616" s="1">
        <v>54878</v>
      </c>
      <c r="K1616" t="s">
        <v>762</v>
      </c>
      <c r="L1616">
        <v>6885.9</v>
      </c>
      <c r="M1616">
        <v>6885.9</v>
      </c>
      <c r="N1616" t="s">
        <v>710</v>
      </c>
      <c r="O1616" t="s">
        <v>1042</v>
      </c>
      <c r="P1616" t="s">
        <v>1006</v>
      </c>
      <c r="Q1616" t="s">
        <v>4852</v>
      </c>
      <c r="R1616" t="s">
        <v>4771</v>
      </c>
    </row>
    <row r="1617" spans="1:18" x14ac:dyDescent="0.3">
      <c r="A1617">
        <v>6201</v>
      </c>
      <c r="B1617" t="s">
        <v>1034</v>
      </c>
      <c r="C1617" t="s">
        <v>208</v>
      </c>
      <c r="D1617" t="s">
        <v>164</v>
      </c>
      <c r="E1617" s="1">
        <v>46034</v>
      </c>
      <c r="F1617" t="s">
        <v>4342</v>
      </c>
      <c r="G1617" t="s">
        <v>3397</v>
      </c>
      <c r="H1617" t="s">
        <v>604</v>
      </c>
      <c r="I1617" t="s">
        <v>204</v>
      </c>
      <c r="J1617" s="1">
        <v>46256</v>
      </c>
      <c r="K1617" t="s">
        <v>711</v>
      </c>
      <c r="L1617">
        <v>2</v>
      </c>
      <c r="M1617">
        <v>680</v>
      </c>
      <c r="N1617" t="s">
        <v>710</v>
      </c>
      <c r="O1617" t="s">
        <v>1036</v>
      </c>
      <c r="P1617" t="s">
        <v>4784</v>
      </c>
      <c r="Q1617" t="s">
        <v>4901</v>
      </c>
    </row>
    <row r="1618" spans="1:18" x14ac:dyDescent="0.3">
      <c r="A1618">
        <v>42839</v>
      </c>
      <c r="B1618" t="s">
        <v>1034</v>
      </c>
      <c r="C1618" t="s">
        <v>327</v>
      </c>
      <c r="D1618" t="s">
        <v>159</v>
      </c>
      <c r="E1618" s="1">
        <v>46034</v>
      </c>
      <c r="F1618" t="s">
        <v>4295</v>
      </c>
      <c r="G1618" t="s">
        <v>3552</v>
      </c>
      <c r="H1618" t="s">
        <v>357</v>
      </c>
      <c r="I1618" t="s">
        <v>204</v>
      </c>
      <c r="J1618" s="1">
        <v>46476</v>
      </c>
      <c r="K1618" t="s">
        <v>711</v>
      </c>
      <c r="L1618">
        <v>1658.48</v>
      </c>
      <c r="M1618">
        <v>1658.48</v>
      </c>
      <c r="N1618" t="s">
        <v>890</v>
      </c>
      <c r="O1618" t="s">
        <v>4834</v>
      </c>
      <c r="P1618" t="s">
        <v>4776</v>
      </c>
      <c r="Q1618" t="s">
        <v>4901</v>
      </c>
      <c r="R1618" t="s">
        <v>4773</v>
      </c>
    </row>
    <row r="1619" spans="1:18" x14ac:dyDescent="0.3">
      <c r="A1619">
        <v>42838</v>
      </c>
      <c r="B1619" t="s">
        <v>1034</v>
      </c>
      <c r="C1619" t="s">
        <v>327</v>
      </c>
      <c r="D1619" t="s">
        <v>159</v>
      </c>
      <c r="E1619" s="1">
        <v>46034</v>
      </c>
      <c r="F1619" t="s">
        <v>4295</v>
      </c>
      <c r="G1619" t="s">
        <v>3551</v>
      </c>
      <c r="H1619" t="s">
        <v>357</v>
      </c>
      <c r="I1619" t="s">
        <v>204</v>
      </c>
      <c r="J1619" s="1">
        <v>46476</v>
      </c>
      <c r="K1619" t="s">
        <v>711</v>
      </c>
      <c r="L1619">
        <v>2150</v>
      </c>
      <c r="M1619">
        <v>2150</v>
      </c>
      <c r="N1619" t="s">
        <v>890</v>
      </c>
      <c r="O1619" t="s">
        <v>4834</v>
      </c>
      <c r="P1619" t="s">
        <v>4776</v>
      </c>
      <c r="Q1619" t="s">
        <v>4901</v>
      </c>
      <c r="R1619" t="s">
        <v>4773</v>
      </c>
    </row>
    <row r="1620" spans="1:18" x14ac:dyDescent="0.3">
      <c r="A1620">
        <v>634</v>
      </c>
      <c r="B1620" t="s">
        <v>1034</v>
      </c>
      <c r="C1620" t="s">
        <v>585</v>
      </c>
      <c r="D1620" t="s">
        <v>179</v>
      </c>
      <c r="E1620" s="1">
        <v>46034</v>
      </c>
      <c r="F1620" t="s">
        <v>4306</v>
      </c>
      <c r="G1620" t="s">
        <v>3553</v>
      </c>
      <c r="H1620" t="s">
        <v>584</v>
      </c>
      <c r="I1620" t="s">
        <v>204</v>
      </c>
      <c r="J1620" s="1">
        <v>46477</v>
      </c>
      <c r="K1620" t="s">
        <v>717</v>
      </c>
      <c r="L1620">
        <v>1</v>
      </c>
      <c r="M1620">
        <v>1139.9000000000001</v>
      </c>
      <c r="N1620" t="s">
        <v>719</v>
      </c>
      <c r="O1620" t="s">
        <v>4833</v>
      </c>
      <c r="P1620" t="s">
        <v>4786</v>
      </c>
      <c r="Q1620" t="s">
        <v>4852</v>
      </c>
      <c r="R1620" t="s">
        <v>4771</v>
      </c>
    </row>
    <row r="1621" spans="1:18" x14ac:dyDescent="0.3">
      <c r="A1621">
        <v>152280</v>
      </c>
      <c r="B1621" t="s">
        <v>1034</v>
      </c>
      <c r="C1621" t="s">
        <v>218</v>
      </c>
      <c r="D1621" t="s">
        <v>180</v>
      </c>
      <c r="E1621" s="1">
        <v>46034</v>
      </c>
      <c r="F1621" t="s">
        <v>4305</v>
      </c>
      <c r="G1621" t="s">
        <v>3559</v>
      </c>
      <c r="H1621" t="s">
        <v>217</v>
      </c>
      <c r="I1621" t="s">
        <v>204</v>
      </c>
      <c r="J1621" s="1">
        <v>54878</v>
      </c>
      <c r="K1621" t="s">
        <v>711</v>
      </c>
      <c r="L1621">
        <v>1250.01</v>
      </c>
      <c r="M1621">
        <v>1250.01</v>
      </c>
      <c r="N1621" t="s">
        <v>710</v>
      </c>
      <c r="O1621" t="s">
        <v>4834</v>
      </c>
      <c r="P1621" t="s">
        <v>4776</v>
      </c>
      <c r="Q1621" t="s">
        <v>4901</v>
      </c>
      <c r="R1621" t="s">
        <v>4773</v>
      </c>
    </row>
    <row r="1622" spans="1:18" x14ac:dyDescent="0.3">
      <c r="A1622">
        <v>1345</v>
      </c>
      <c r="B1622" t="s">
        <v>1034</v>
      </c>
      <c r="C1622" t="s">
        <v>314</v>
      </c>
      <c r="D1622" t="s">
        <v>39</v>
      </c>
      <c r="E1622" s="1">
        <v>46034</v>
      </c>
      <c r="F1622" t="s">
        <v>4347</v>
      </c>
      <c r="G1622" t="s">
        <v>3441</v>
      </c>
      <c r="H1622" t="s">
        <v>313</v>
      </c>
      <c r="I1622" t="s">
        <v>204</v>
      </c>
      <c r="J1622" s="1">
        <v>46237</v>
      </c>
      <c r="K1622" t="s">
        <v>711</v>
      </c>
      <c r="L1622">
        <v>1</v>
      </c>
      <c r="M1622">
        <v>1150</v>
      </c>
      <c r="N1622" t="s">
        <v>710</v>
      </c>
      <c r="O1622" t="s">
        <v>4834</v>
      </c>
      <c r="P1622" t="s">
        <v>4779</v>
      </c>
      <c r="Q1622" t="s">
        <v>4901</v>
      </c>
      <c r="R1622" t="s">
        <v>4773</v>
      </c>
    </row>
    <row r="1623" spans="1:18" x14ac:dyDescent="0.3">
      <c r="A1623">
        <v>23814</v>
      </c>
      <c r="B1623" t="s">
        <v>1034</v>
      </c>
      <c r="C1623" t="s">
        <v>451</v>
      </c>
      <c r="D1623" t="s">
        <v>129</v>
      </c>
      <c r="E1623" s="1">
        <v>46034</v>
      </c>
      <c r="F1623" t="s">
        <v>4319</v>
      </c>
      <c r="G1623" t="s">
        <v>3549</v>
      </c>
      <c r="H1623" t="s">
        <v>662</v>
      </c>
      <c r="I1623" t="s">
        <v>204</v>
      </c>
      <c r="J1623" s="1">
        <v>46655</v>
      </c>
      <c r="K1623" t="s">
        <v>717</v>
      </c>
      <c r="L1623">
        <v>989</v>
      </c>
      <c r="M1623">
        <v>989.19</v>
      </c>
      <c r="N1623" t="s">
        <v>719</v>
      </c>
      <c r="O1623" t="s">
        <v>4833</v>
      </c>
      <c r="P1623" t="s">
        <v>4802</v>
      </c>
      <c r="Q1623" t="s">
        <v>4852</v>
      </c>
      <c r="R1623" t="s">
        <v>807</v>
      </c>
    </row>
    <row r="1624" spans="1:18" x14ac:dyDescent="0.3">
      <c r="A1624">
        <v>23725</v>
      </c>
      <c r="B1624" t="s">
        <v>1034</v>
      </c>
      <c r="C1624" t="s">
        <v>451</v>
      </c>
      <c r="D1624" t="s">
        <v>129</v>
      </c>
      <c r="E1624" s="1">
        <v>46034</v>
      </c>
      <c r="F1624" t="s">
        <v>4319</v>
      </c>
      <c r="G1624" t="s">
        <v>3549</v>
      </c>
      <c r="H1624" t="s">
        <v>662</v>
      </c>
      <c r="I1624" t="s">
        <v>204</v>
      </c>
      <c r="J1624" s="1">
        <v>46655</v>
      </c>
      <c r="K1624" t="s">
        <v>717</v>
      </c>
      <c r="L1624">
        <v>1692</v>
      </c>
      <c r="M1624">
        <v>1692.42</v>
      </c>
      <c r="N1624" t="s">
        <v>719</v>
      </c>
      <c r="O1624" t="s">
        <v>4833</v>
      </c>
      <c r="P1624" t="s">
        <v>4802</v>
      </c>
      <c r="Q1624" t="s">
        <v>4852</v>
      </c>
      <c r="R1624" t="s">
        <v>807</v>
      </c>
    </row>
    <row r="1625" spans="1:18" x14ac:dyDescent="0.3">
      <c r="A1625">
        <v>23765</v>
      </c>
      <c r="B1625" t="s">
        <v>1034</v>
      </c>
      <c r="C1625" t="s">
        <v>451</v>
      </c>
      <c r="D1625" t="s">
        <v>129</v>
      </c>
      <c r="E1625" s="1">
        <v>46034</v>
      </c>
      <c r="F1625" t="s">
        <v>4319</v>
      </c>
      <c r="G1625" t="s">
        <v>3549</v>
      </c>
      <c r="H1625" t="s">
        <v>662</v>
      </c>
      <c r="I1625" t="s">
        <v>204</v>
      </c>
      <c r="J1625" s="1">
        <v>46655</v>
      </c>
      <c r="K1625" t="s">
        <v>717</v>
      </c>
      <c r="L1625">
        <v>2618</v>
      </c>
      <c r="M1625">
        <v>2618.17</v>
      </c>
      <c r="N1625" t="s">
        <v>719</v>
      </c>
      <c r="O1625" t="s">
        <v>4833</v>
      </c>
      <c r="P1625" t="s">
        <v>4802</v>
      </c>
      <c r="Q1625" t="s">
        <v>4852</v>
      </c>
      <c r="R1625" t="s">
        <v>807</v>
      </c>
    </row>
    <row r="1626" spans="1:18" x14ac:dyDescent="0.3">
      <c r="A1626">
        <v>110</v>
      </c>
      <c r="B1626" t="s">
        <v>4874</v>
      </c>
      <c r="C1626" t="s">
        <v>607</v>
      </c>
      <c r="D1626" t="s">
        <v>81</v>
      </c>
      <c r="E1626" s="1">
        <v>46031</v>
      </c>
      <c r="F1626" t="s">
        <v>4357</v>
      </c>
      <c r="G1626" t="s">
        <v>3541</v>
      </c>
      <c r="H1626" t="s">
        <v>606</v>
      </c>
      <c r="I1626" t="s">
        <v>204</v>
      </c>
      <c r="J1626" s="1">
        <v>46387</v>
      </c>
      <c r="K1626" t="s">
        <v>720</v>
      </c>
      <c r="L1626">
        <v>1</v>
      </c>
      <c r="M1626">
        <v>29954.45</v>
      </c>
      <c r="N1626" t="s">
        <v>710</v>
      </c>
      <c r="O1626" t="s">
        <v>1038</v>
      </c>
      <c r="P1626" t="s">
        <v>4777</v>
      </c>
      <c r="Q1626" t="s">
        <v>4858</v>
      </c>
      <c r="R1626" t="s">
        <v>4773</v>
      </c>
    </row>
    <row r="1627" spans="1:18" x14ac:dyDescent="0.3">
      <c r="A1627">
        <v>396852</v>
      </c>
      <c r="B1627" t="s">
        <v>4874</v>
      </c>
      <c r="C1627" t="s">
        <v>250</v>
      </c>
      <c r="D1627" t="s">
        <v>55</v>
      </c>
      <c r="E1627" s="1">
        <v>46031</v>
      </c>
      <c r="F1627" t="s">
        <v>4391</v>
      </c>
      <c r="G1627" t="s">
        <v>3578</v>
      </c>
      <c r="H1627" t="s">
        <v>249</v>
      </c>
      <c r="I1627" t="s">
        <v>204</v>
      </c>
      <c r="J1627" s="1">
        <v>54878</v>
      </c>
      <c r="K1627" t="s">
        <v>720</v>
      </c>
      <c r="L1627">
        <v>1</v>
      </c>
      <c r="M1627">
        <v>643.59</v>
      </c>
      <c r="N1627" t="s">
        <v>719</v>
      </c>
      <c r="O1627" t="s">
        <v>1038</v>
      </c>
      <c r="P1627" t="s">
        <v>4778</v>
      </c>
      <c r="Q1627" t="s">
        <v>4858</v>
      </c>
      <c r="R1627" t="s">
        <v>4771</v>
      </c>
    </row>
    <row r="1628" spans="1:18" x14ac:dyDescent="0.3">
      <c r="A1628">
        <v>365</v>
      </c>
      <c r="B1628" t="s">
        <v>4874</v>
      </c>
      <c r="C1628" t="s">
        <v>575</v>
      </c>
      <c r="D1628" t="s">
        <v>174</v>
      </c>
      <c r="E1628" s="1">
        <v>46031</v>
      </c>
      <c r="F1628" t="s">
        <v>4412</v>
      </c>
      <c r="G1628" t="s">
        <v>3542</v>
      </c>
      <c r="H1628" t="s">
        <v>574</v>
      </c>
      <c r="I1628" t="s">
        <v>204</v>
      </c>
      <c r="J1628" s="1">
        <v>46203</v>
      </c>
      <c r="K1628" t="s">
        <v>720</v>
      </c>
      <c r="L1628">
        <v>1</v>
      </c>
      <c r="M1628">
        <v>6166.04</v>
      </c>
      <c r="N1628" t="s">
        <v>890</v>
      </c>
      <c r="O1628" t="s">
        <v>1039</v>
      </c>
      <c r="P1628" t="s">
        <v>4776</v>
      </c>
      <c r="Q1628" t="s">
        <v>4858</v>
      </c>
      <c r="R1628" t="s">
        <v>4771</v>
      </c>
    </row>
    <row r="1629" spans="1:18" x14ac:dyDescent="0.3">
      <c r="A1629">
        <v>397624</v>
      </c>
      <c r="B1629" t="s">
        <v>4874</v>
      </c>
      <c r="C1629" t="s">
        <v>435</v>
      </c>
      <c r="D1629" t="s">
        <v>30</v>
      </c>
      <c r="E1629" s="1">
        <v>46031</v>
      </c>
      <c r="F1629" t="s">
        <v>4351</v>
      </c>
      <c r="G1629" t="s">
        <v>3563</v>
      </c>
      <c r="H1629" t="s">
        <v>434</v>
      </c>
      <c r="I1629" t="s">
        <v>204</v>
      </c>
      <c r="J1629" s="1">
        <v>46752</v>
      </c>
      <c r="K1629" t="s">
        <v>785</v>
      </c>
      <c r="L1629">
        <v>1</v>
      </c>
      <c r="M1629">
        <v>112390.32</v>
      </c>
      <c r="N1629" t="s">
        <v>998</v>
      </c>
      <c r="O1629" t="s">
        <v>1038</v>
      </c>
      <c r="P1629" t="s">
        <v>4787</v>
      </c>
      <c r="Q1629" t="s">
        <v>4858</v>
      </c>
      <c r="R1629" t="s">
        <v>4771</v>
      </c>
    </row>
    <row r="1630" spans="1:18" x14ac:dyDescent="0.3">
      <c r="A1630">
        <v>26536</v>
      </c>
      <c r="B1630" t="s">
        <v>4874</v>
      </c>
      <c r="C1630" t="s">
        <v>426</v>
      </c>
      <c r="D1630" t="s">
        <v>54</v>
      </c>
      <c r="E1630" s="1">
        <v>46031</v>
      </c>
      <c r="F1630" t="s">
        <v>4409</v>
      </c>
      <c r="G1630" t="s">
        <v>3562</v>
      </c>
      <c r="H1630" t="s">
        <v>425</v>
      </c>
      <c r="I1630" t="s">
        <v>204</v>
      </c>
      <c r="J1630" s="1">
        <v>46752</v>
      </c>
      <c r="K1630" t="s">
        <v>785</v>
      </c>
      <c r="L1630">
        <v>1</v>
      </c>
      <c r="M1630">
        <v>83418.8</v>
      </c>
      <c r="N1630" t="s">
        <v>710</v>
      </c>
      <c r="O1630" t="s">
        <v>1038</v>
      </c>
      <c r="P1630" t="s">
        <v>4787</v>
      </c>
      <c r="Q1630" t="s">
        <v>4858</v>
      </c>
      <c r="R1630" t="s">
        <v>4771</v>
      </c>
    </row>
    <row r="1631" spans="1:18" x14ac:dyDescent="0.3">
      <c r="A1631">
        <v>167445</v>
      </c>
      <c r="B1631" t="s">
        <v>4874</v>
      </c>
      <c r="C1631" t="s">
        <v>301</v>
      </c>
      <c r="D1631" t="s">
        <v>23</v>
      </c>
      <c r="E1631" s="1">
        <v>46031</v>
      </c>
      <c r="F1631" t="s">
        <v>4321</v>
      </c>
      <c r="G1631" t="s">
        <v>3576</v>
      </c>
      <c r="H1631" t="s">
        <v>300</v>
      </c>
      <c r="I1631" t="s">
        <v>204</v>
      </c>
      <c r="J1631" s="1">
        <v>46418</v>
      </c>
      <c r="K1631" t="s">
        <v>720</v>
      </c>
      <c r="L1631">
        <v>1</v>
      </c>
      <c r="M1631">
        <v>5140.3900000000003</v>
      </c>
      <c r="N1631" t="s">
        <v>710</v>
      </c>
      <c r="O1631" t="s">
        <v>1038</v>
      </c>
      <c r="P1631" t="s">
        <v>4782</v>
      </c>
      <c r="Q1631" t="s">
        <v>4858</v>
      </c>
      <c r="R1631" t="s">
        <v>4773</v>
      </c>
    </row>
    <row r="1632" spans="1:18" x14ac:dyDescent="0.3">
      <c r="A1632">
        <v>397292</v>
      </c>
      <c r="B1632" t="s">
        <v>4875</v>
      </c>
      <c r="C1632" t="s">
        <v>435</v>
      </c>
      <c r="D1632" t="s">
        <v>30</v>
      </c>
      <c r="E1632" s="1">
        <v>46031</v>
      </c>
      <c r="F1632" t="s">
        <v>4351</v>
      </c>
      <c r="G1632" t="s">
        <v>3564</v>
      </c>
      <c r="H1632" t="s">
        <v>434</v>
      </c>
      <c r="I1632" t="s">
        <v>204</v>
      </c>
      <c r="J1632" s="1">
        <v>46752</v>
      </c>
      <c r="K1632" t="s">
        <v>785</v>
      </c>
      <c r="L1632">
        <v>1</v>
      </c>
      <c r="M1632">
        <v>43507.47</v>
      </c>
      <c r="N1632" t="s">
        <v>998</v>
      </c>
      <c r="O1632" t="s">
        <v>1038</v>
      </c>
      <c r="P1632" t="s">
        <v>4787</v>
      </c>
      <c r="Q1632" t="s">
        <v>4858</v>
      </c>
      <c r="R1632" t="s">
        <v>4771</v>
      </c>
    </row>
    <row r="1633" spans="1:18" x14ac:dyDescent="0.3">
      <c r="A1633">
        <v>56922</v>
      </c>
      <c r="B1633" t="s">
        <v>4875</v>
      </c>
      <c r="C1633" t="s">
        <v>208</v>
      </c>
      <c r="D1633" t="s">
        <v>164</v>
      </c>
      <c r="E1633" s="1">
        <v>46031</v>
      </c>
      <c r="F1633" t="s">
        <v>4297</v>
      </c>
      <c r="G1633" t="s">
        <v>3446</v>
      </c>
      <c r="H1633" t="s">
        <v>605</v>
      </c>
      <c r="I1633" t="s">
        <v>204</v>
      </c>
      <c r="J1633" s="1">
        <v>46256</v>
      </c>
      <c r="K1633" t="s">
        <v>748</v>
      </c>
      <c r="L1633">
        <v>1</v>
      </c>
      <c r="M1633">
        <v>120</v>
      </c>
      <c r="N1633" t="s">
        <v>710</v>
      </c>
      <c r="O1633" t="s">
        <v>1040</v>
      </c>
      <c r="P1633" t="s">
        <v>4795</v>
      </c>
      <c r="Q1633" t="s">
        <v>4856</v>
      </c>
    </row>
    <row r="1634" spans="1:18" x14ac:dyDescent="0.3">
      <c r="A1634">
        <v>290665</v>
      </c>
      <c r="B1634" t="s">
        <v>4874</v>
      </c>
      <c r="C1634" t="s">
        <v>389</v>
      </c>
      <c r="D1634" t="s">
        <v>32</v>
      </c>
      <c r="E1634" s="1">
        <v>46031</v>
      </c>
      <c r="F1634" t="s">
        <v>4299</v>
      </c>
      <c r="G1634" t="s">
        <v>3561</v>
      </c>
      <c r="H1634" t="s">
        <v>388</v>
      </c>
      <c r="I1634" t="s">
        <v>204</v>
      </c>
      <c r="J1634" s="1">
        <v>46752</v>
      </c>
      <c r="K1634" t="s">
        <v>785</v>
      </c>
      <c r="L1634">
        <v>1</v>
      </c>
      <c r="M1634">
        <v>36354.199999999997</v>
      </c>
      <c r="N1634" t="s">
        <v>710</v>
      </c>
      <c r="O1634" t="s">
        <v>1038</v>
      </c>
      <c r="P1634" t="s">
        <v>4785</v>
      </c>
      <c r="Q1634" t="s">
        <v>4858</v>
      </c>
      <c r="R1634" t="s">
        <v>4771</v>
      </c>
    </row>
    <row r="1635" spans="1:18" x14ac:dyDescent="0.3">
      <c r="A1635">
        <v>597171</v>
      </c>
      <c r="B1635" t="s">
        <v>4874</v>
      </c>
      <c r="C1635" t="s">
        <v>248</v>
      </c>
      <c r="D1635" t="s">
        <v>13</v>
      </c>
      <c r="E1635" s="1">
        <v>46031</v>
      </c>
      <c r="F1635" t="s">
        <v>4297</v>
      </c>
      <c r="G1635" t="s">
        <v>3574</v>
      </c>
      <c r="H1635" t="s">
        <v>247</v>
      </c>
      <c r="I1635" t="s">
        <v>204</v>
      </c>
      <c r="J1635" s="1">
        <v>54878</v>
      </c>
      <c r="K1635" t="s">
        <v>720</v>
      </c>
      <c r="L1635">
        <v>1</v>
      </c>
      <c r="M1635">
        <v>573.72</v>
      </c>
      <c r="N1635" t="s">
        <v>710</v>
      </c>
      <c r="O1635" t="s">
        <v>1038</v>
      </c>
      <c r="P1635" t="s">
        <v>4779</v>
      </c>
      <c r="Q1635" t="s">
        <v>4858</v>
      </c>
      <c r="R1635" t="s">
        <v>4773</v>
      </c>
    </row>
    <row r="1636" spans="1:18" x14ac:dyDescent="0.3">
      <c r="A1636">
        <v>3911</v>
      </c>
      <c r="B1636" t="s">
        <v>1034</v>
      </c>
      <c r="C1636" t="s">
        <v>535</v>
      </c>
      <c r="D1636" t="s">
        <v>148</v>
      </c>
      <c r="E1636" s="1">
        <v>46031</v>
      </c>
      <c r="F1636" t="s">
        <v>4355</v>
      </c>
      <c r="G1636" t="s">
        <v>3516</v>
      </c>
      <c r="H1636" t="s">
        <v>681</v>
      </c>
      <c r="I1636" t="s">
        <v>204</v>
      </c>
      <c r="J1636" s="1">
        <v>46295</v>
      </c>
      <c r="K1636" t="s">
        <v>711</v>
      </c>
      <c r="L1636">
        <v>1</v>
      </c>
      <c r="M1636">
        <v>3300</v>
      </c>
      <c r="N1636" t="s">
        <v>890</v>
      </c>
      <c r="O1636" t="s">
        <v>4844</v>
      </c>
      <c r="P1636" t="s">
        <v>4779</v>
      </c>
      <c r="Q1636" t="s">
        <v>4845</v>
      </c>
      <c r="R1636" t="s">
        <v>807</v>
      </c>
    </row>
    <row r="1637" spans="1:18" x14ac:dyDescent="0.3">
      <c r="A1637">
        <v>152276</v>
      </c>
      <c r="B1637" t="s">
        <v>4874</v>
      </c>
      <c r="C1637" t="s">
        <v>218</v>
      </c>
      <c r="D1637" t="s">
        <v>180</v>
      </c>
      <c r="E1637" s="1">
        <v>46031</v>
      </c>
      <c r="F1637" t="s">
        <v>4305</v>
      </c>
      <c r="G1637" t="s">
        <v>3560</v>
      </c>
      <c r="H1637" t="s">
        <v>520</v>
      </c>
      <c r="I1637" t="s">
        <v>204</v>
      </c>
      <c r="J1637" s="1">
        <v>45291</v>
      </c>
      <c r="K1637" t="s">
        <v>720</v>
      </c>
      <c r="L1637">
        <v>1</v>
      </c>
      <c r="M1637">
        <v>1250.01</v>
      </c>
      <c r="N1637" t="s">
        <v>710</v>
      </c>
      <c r="O1637" t="s">
        <v>4834</v>
      </c>
      <c r="P1637" t="s">
        <v>4776</v>
      </c>
      <c r="Q1637" t="s">
        <v>4858</v>
      </c>
      <c r="R1637" t="s">
        <v>4773</v>
      </c>
    </row>
    <row r="1638" spans="1:18" x14ac:dyDescent="0.3">
      <c r="A1638">
        <v>397241</v>
      </c>
      <c r="B1638" t="s">
        <v>1034</v>
      </c>
      <c r="C1638" t="s">
        <v>435</v>
      </c>
      <c r="D1638" t="s">
        <v>30</v>
      </c>
      <c r="E1638" s="1">
        <v>46031</v>
      </c>
      <c r="F1638" t="s">
        <v>4351</v>
      </c>
      <c r="G1638" t="s">
        <v>3565</v>
      </c>
      <c r="H1638" t="s">
        <v>434</v>
      </c>
      <c r="I1638" t="s">
        <v>204</v>
      </c>
      <c r="J1638" s="1">
        <v>46752</v>
      </c>
      <c r="K1638" t="s">
        <v>785</v>
      </c>
      <c r="L1638">
        <v>1</v>
      </c>
      <c r="M1638">
        <v>122464.59</v>
      </c>
      <c r="N1638" t="s">
        <v>998</v>
      </c>
      <c r="O1638" t="s">
        <v>1038</v>
      </c>
      <c r="P1638" t="s">
        <v>4787</v>
      </c>
      <c r="Q1638" t="s">
        <v>4858</v>
      </c>
      <c r="R1638" t="s">
        <v>4771</v>
      </c>
    </row>
    <row r="1639" spans="1:18" x14ac:dyDescent="0.3">
      <c r="A1639">
        <v>376</v>
      </c>
      <c r="B1639" t="s">
        <v>4874</v>
      </c>
      <c r="C1639" t="s">
        <v>645</v>
      </c>
      <c r="D1639" t="s">
        <v>76</v>
      </c>
      <c r="E1639" s="1">
        <v>46031</v>
      </c>
      <c r="F1639" t="s">
        <v>4318</v>
      </c>
      <c r="G1639" t="s">
        <v>3537</v>
      </c>
      <c r="H1639" t="s">
        <v>644</v>
      </c>
      <c r="I1639" t="s">
        <v>204</v>
      </c>
      <c r="J1639" s="1">
        <v>46478</v>
      </c>
      <c r="K1639" t="s">
        <v>720</v>
      </c>
      <c r="L1639">
        <v>1</v>
      </c>
      <c r="M1639">
        <v>4027.7</v>
      </c>
      <c r="N1639" t="s">
        <v>710</v>
      </c>
      <c r="O1639" t="s">
        <v>1038</v>
      </c>
      <c r="P1639" t="s">
        <v>4776</v>
      </c>
      <c r="Q1639" t="s">
        <v>4858</v>
      </c>
      <c r="R1639" t="s">
        <v>4773</v>
      </c>
    </row>
    <row r="1640" spans="1:18" x14ac:dyDescent="0.3">
      <c r="A1640">
        <v>7311</v>
      </c>
      <c r="B1640" t="s">
        <v>4874</v>
      </c>
      <c r="C1640" t="s">
        <v>484</v>
      </c>
      <c r="D1640" t="s">
        <v>140</v>
      </c>
      <c r="E1640" s="1">
        <v>46031</v>
      </c>
      <c r="F1640" t="s">
        <v>4345</v>
      </c>
      <c r="G1640" t="s">
        <v>3531</v>
      </c>
      <c r="H1640" t="s">
        <v>483</v>
      </c>
      <c r="I1640" t="s">
        <v>204</v>
      </c>
      <c r="J1640" s="1">
        <v>46508</v>
      </c>
      <c r="K1640" t="s">
        <v>762</v>
      </c>
      <c r="L1640">
        <v>49120</v>
      </c>
      <c r="M1640">
        <v>49120</v>
      </c>
      <c r="N1640" t="s">
        <v>710</v>
      </c>
      <c r="O1640" t="s">
        <v>4833</v>
      </c>
      <c r="P1640" t="s">
        <v>4776</v>
      </c>
      <c r="Q1640" t="s">
        <v>4852</v>
      </c>
      <c r="R1640" t="s">
        <v>4773</v>
      </c>
    </row>
    <row r="1641" spans="1:18" x14ac:dyDescent="0.3">
      <c r="A1641">
        <v>4066915</v>
      </c>
      <c r="B1641" t="s">
        <v>1034</v>
      </c>
      <c r="C1641" t="s">
        <v>417</v>
      </c>
      <c r="D1641" t="s">
        <v>185</v>
      </c>
      <c r="E1641" s="1">
        <v>46031</v>
      </c>
      <c r="F1641" t="s">
        <v>4335</v>
      </c>
      <c r="G1641" t="s">
        <v>3530</v>
      </c>
      <c r="H1641" t="s">
        <v>416</v>
      </c>
      <c r="I1641" t="s">
        <v>204</v>
      </c>
      <c r="J1641" s="1">
        <v>54878</v>
      </c>
      <c r="K1641" t="s">
        <v>717</v>
      </c>
      <c r="L1641">
        <v>1153.43</v>
      </c>
      <c r="M1641">
        <v>1153.43</v>
      </c>
      <c r="N1641" t="s">
        <v>710</v>
      </c>
      <c r="O1641" t="s">
        <v>1037</v>
      </c>
      <c r="P1641" t="s">
        <v>4780</v>
      </c>
      <c r="Q1641" t="s">
        <v>4852</v>
      </c>
      <c r="R1641" t="s">
        <v>4771</v>
      </c>
    </row>
    <row r="1642" spans="1:18" x14ac:dyDescent="0.3">
      <c r="A1642">
        <v>10911</v>
      </c>
      <c r="B1642" t="s">
        <v>4874</v>
      </c>
      <c r="C1642" t="s">
        <v>546</v>
      </c>
      <c r="D1642" t="s">
        <v>75</v>
      </c>
      <c r="E1642" s="1">
        <v>46031</v>
      </c>
      <c r="F1642" t="s">
        <v>4355</v>
      </c>
      <c r="G1642" t="s">
        <v>3538</v>
      </c>
      <c r="H1642" t="s">
        <v>581</v>
      </c>
      <c r="I1642" t="s">
        <v>204</v>
      </c>
      <c r="J1642" s="1">
        <v>46233</v>
      </c>
      <c r="K1642" t="s">
        <v>720</v>
      </c>
      <c r="L1642">
        <v>1</v>
      </c>
      <c r="M1642">
        <v>3090.55</v>
      </c>
      <c r="N1642" t="s">
        <v>814</v>
      </c>
      <c r="O1642" t="s">
        <v>1038</v>
      </c>
      <c r="P1642" t="s">
        <v>4779</v>
      </c>
      <c r="Q1642" t="s">
        <v>4858</v>
      </c>
      <c r="R1642" t="s">
        <v>4773</v>
      </c>
    </row>
    <row r="1643" spans="1:18" x14ac:dyDescent="0.3">
      <c r="A1643">
        <v>1933</v>
      </c>
      <c r="B1643" t="s">
        <v>4874</v>
      </c>
      <c r="C1643" t="s">
        <v>647</v>
      </c>
      <c r="D1643" t="s">
        <v>130</v>
      </c>
      <c r="E1643" s="1">
        <v>46031</v>
      </c>
      <c r="F1643" t="s">
        <v>4363</v>
      </c>
      <c r="G1643" t="s">
        <v>3547</v>
      </c>
      <c r="H1643" t="s">
        <v>646</v>
      </c>
      <c r="I1643" t="s">
        <v>204</v>
      </c>
      <c r="J1643" s="1">
        <v>46522</v>
      </c>
      <c r="K1643" t="s">
        <v>762</v>
      </c>
      <c r="L1643">
        <v>2081.4</v>
      </c>
      <c r="M1643">
        <v>2081.4</v>
      </c>
      <c r="N1643" t="s">
        <v>890</v>
      </c>
      <c r="O1643" t="s">
        <v>1044</v>
      </c>
      <c r="P1643" t="s">
        <v>4776</v>
      </c>
      <c r="Q1643" t="s">
        <v>4852</v>
      </c>
    </row>
    <row r="1644" spans="1:18" x14ac:dyDescent="0.3">
      <c r="A1644">
        <v>2326</v>
      </c>
      <c r="B1644" t="s">
        <v>4874</v>
      </c>
      <c r="C1644" t="s">
        <v>616</v>
      </c>
      <c r="D1644" t="s">
        <v>152</v>
      </c>
      <c r="E1644" s="1">
        <v>46031</v>
      </c>
      <c r="F1644" t="s">
        <v>4338</v>
      </c>
      <c r="G1644" t="s">
        <v>3579</v>
      </c>
      <c r="H1644" t="s">
        <v>615</v>
      </c>
      <c r="I1644" t="s">
        <v>204</v>
      </c>
      <c r="J1644" s="1">
        <v>46327</v>
      </c>
      <c r="K1644" t="s">
        <v>720</v>
      </c>
      <c r="L1644">
        <v>1</v>
      </c>
      <c r="M1644">
        <v>74902.600000000006</v>
      </c>
      <c r="N1644" t="s">
        <v>710</v>
      </c>
      <c r="O1644" t="s">
        <v>4834</v>
      </c>
      <c r="P1644" t="s">
        <v>4776</v>
      </c>
      <c r="Q1644" t="s">
        <v>4858</v>
      </c>
      <c r="R1644" t="s">
        <v>4772</v>
      </c>
    </row>
    <row r="1645" spans="1:18" x14ac:dyDescent="0.3">
      <c r="A1645">
        <v>752451</v>
      </c>
      <c r="B1645" t="s">
        <v>4874</v>
      </c>
      <c r="C1645" t="s">
        <v>409</v>
      </c>
      <c r="D1645" t="s">
        <v>28</v>
      </c>
      <c r="E1645" s="1">
        <v>46030</v>
      </c>
      <c r="F1645" t="s">
        <v>4388</v>
      </c>
      <c r="G1645" t="s">
        <v>3533</v>
      </c>
      <c r="H1645" t="s">
        <v>408</v>
      </c>
      <c r="I1645" t="s">
        <v>204</v>
      </c>
      <c r="J1645" s="1">
        <v>54878</v>
      </c>
      <c r="K1645" t="s">
        <v>762</v>
      </c>
      <c r="L1645">
        <v>24795</v>
      </c>
      <c r="M1645">
        <v>24795.3</v>
      </c>
      <c r="N1645" t="s">
        <v>710</v>
      </c>
      <c r="O1645" t="s">
        <v>4833</v>
      </c>
      <c r="P1645" t="s">
        <v>4776</v>
      </c>
      <c r="Q1645" t="s">
        <v>4852</v>
      </c>
      <c r="R1645" t="s">
        <v>4773</v>
      </c>
    </row>
    <row r="1646" spans="1:18" x14ac:dyDescent="0.3">
      <c r="A1646">
        <v>1349</v>
      </c>
      <c r="B1646" t="s">
        <v>4875</v>
      </c>
      <c r="C1646" t="s">
        <v>314</v>
      </c>
      <c r="D1646" t="s">
        <v>39</v>
      </c>
      <c r="E1646" s="1">
        <v>46030</v>
      </c>
      <c r="F1646" t="s">
        <v>4347</v>
      </c>
      <c r="G1646" t="s">
        <v>3405</v>
      </c>
      <c r="H1646" t="s">
        <v>341</v>
      </c>
      <c r="I1646" t="s">
        <v>204</v>
      </c>
      <c r="J1646" s="1">
        <v>46266</v>
      </c>
      <c r="K1646" t="s">
        <v>748</v>
      </c>
      <c r="L1646">
        <v>1</v>
      </c>
      <c r="M1646">
        <v>1100</v>
      </c>
      <c r="N1646" t="s">
        <v>710</v>
      </c>
      <c r="O1646" t="s">
        <v>4834</v>
      </c>
      <c r="P1646" t="s">
        <v>4776</v>
      </c>
      <c r="Q1646" t="s">
        <v>4856</v>
      </c>
      <c r="R1646" t="s">
        <v>4773</v>
      </c>
    </row>
    <row r="1647" spans="1:18" x14ac:dyDescent="0.3">
      <c r="A1647">
        <v>39867</v>
      </c>
      <c r="B1647" t="s">
        <v>4874</v>
      </c>
      <c r="C1647" t="s">
        <v>447</v>
      </c>
      <c r="D1647" t="s">
        <v>57</v>
      </c>
      <c r="E1647" s="1">
        <v>46029</v>
      </c>
      <c r="F1647" t="s">
        <v>4383</v>
      </c>
      <c r="G1647" t="s">
        <v>3540</v>
      </c>
      <c r="H1647" t="s">
        <v>446</v>
      </c>
      <c r="I1647" t="s">
        <v>204</v>
      </c>
      <c r="J1647" s="1">
        <v>46203</v>
      </c>
      <c r="K1647" t="s">
        <v>762</v>
      </c>
      <c r="L1647">
        <v>793.23</v>
      </c>
      <c r="M1647">
        <v>793.23</v>
      </c>
      <c r="N1647" t="s">
        <v>710</v>
      </c>
      <c r="O1647" t="s">
        <v>1038</v>
      </c>
      <c r="P1647" t="s">
        <v>4776</v>
      </c>
      <c r="Q1647" t="s">
        <v>4858</v>
      </c>
      <c r="R1647" t="s">
        <v>4774</v>
      </c>
    </row>
    <row r="1648" spans="1:18" x14ac:dyDescent="0.3">
      <c r="A1648">
        <v>596925</v>
      </c>
      <c r="B1648" t="s">
        <v>4875</v>
      </c>
      <c r="C1648" t="s">
        <v>248</v>
      </c>
      <c r="D1648" t="s">
        <v>13</v>
      </c>
      <c r="E1648" s="1">
        <v>46029</v>
      </c>
      <c r="F1648" t="s">
        <v>4430</v>
      </c>
      <c r="G1648" t="s">
        <v>3443</v>
      </c>
      <c r="H1648" t="s">
        <v>351</v>
      </c>
      <c r="I1648" t="s">
        <v>204</v>
      </c>
      <c r="J1648" s="1">
        <v>54878</v>
      </c>
      <c r="K1648" t="s">
        <v>748</v>
      </c>
      <c r="L1648">
        <v>1450.04</v>
      </c>
      <c r="M1648">
        <v>1450.04</v>
      </c>
      <c r="N1648" t="s">
        <v>710</v>
      </c>
      <c r="O1648" t="s">
        <v>1040</v>
      </c>
      <c r="P1648" t="s">
        <v>4779</v>
      </c>
      <c r="Q1648" t="s">
        <v>4856</v>
      </c>
      <c r="R1648" t="s">
        <v>4773</v>
      </c>
    </row>
    <row r="1649" spans="1:18" x14ac:dyDescent="0.3">
      <c r="A1649">
        <v>108001</v>
      </c>
      <c r="B1649" t="s">
        <v>1034</v>
      </c>
      <c r="C1649" t="s">
        <v>495</v>
      </c>
      <c r="D1649" t="s">
        <v>44</v>
      </c>
      <c r="E1649" s="1">
        <v>46029</v>
      </c>
      <c r="F1649" t="s">
        <v>4303</v>
      </c>
      <c r="G1649" t="s">
        <v>3532</v>
      </c>
      <c r="H1649" t="s">
        <v>494</v>
      </c>
      <c r="I1649" t="s">
        <v>204</v>
      </c>
      <c r="J1649" s="1">
        <v>54878</v>
      </c>
      <c r="K1649" t="s">
        <v>717</v>
      </c>
      <c r="L1649">
        <v>2030.2</v>
      </c>
      <c r="M1649">
        <v>2030.2</v>
      </c>
      <c r="N1649" t="s">
        <v>710</v>
      </c>
      <c r="O1649" t="s">
        <v>4833</v>
      </c>
      <c r="P1649" t="s">
        <v>4776</v>
      </c>
      <c r="Q1649" t="s">
        <v>4852</v>
      </c>
      <c r="R1649" t="s">
        <v>4773</v>
      </c>
    </row>
    <row r="1650" spans="1:18" x14ac:dyDescent="0.3">
      <c r="A1650">
        <v>580</v>
      </c>
      <c r="B1650" t="s">
        <v>1034</v>
      </c>
      <c r="C1650" t="s">
        <v>319</v>
      </c>
      <c r="D1650" t="s">
        <v>36</v>
      </c>
      <c r="E1650" s="1">
        <v>46029</v>
      </c>
      <c r="F1650" t="s">
        <v>4298</v>
      </c>
      <c r="G1650" t="s">
        <v>3490</v>
      </c>
      <c r="H1650" t="s">
        <v>318</v>
      </c>
      <c r="I1650" t="s">
        <v>204</v>
      </c>
      <c r="J1650" s="1">
        <v>46214</v>
      </c>
      <c r="K1650" t="s">
        <v>711</v>
      </c>
      <c r="L1650">
        <v>953</v>
      </c>
      <c r="M1650">
        <v>952.57</v>
      </c>
      <c r="N1650" t="s">
        <v>710</v>
      </c>
      <c r="O1650" t="s">
        <v>1036</v>
      </c>
      <c r="P1650" t="s">
        <v>4784</v>
      </c>
      <c r="Q1650" t="s">
        <v>4901</v>
      </c>
      <c r="R1650" t="s">
        <v>4771</v>
      </c>
    </row>
    <row r="1651" spans="1:18" x14ac:dyDescent="0.3">
      <c r="A1651">
        <v>5078</v>
      </c>
      <c r="B1651" t="s">
        <v>1034</v>
      </c>
      <c r="C1651" t="s">
        <v>319</v>
      </c>
      <c r="D1651" t="s">
        <v>36</v>
      </c>
      <c r="E1651" s="1">
        <v>46029</v>
      </c>
      <c r="F1651" t="s">
        <v>4298</v>
      </c>
      <c r="G1651" t="s">
        <v>3511</v>
      </c>
      <c r="H1651" t="s">
        <v>318</v>
      </c>
      <c r="I1651" t="s">
        <v>204</v>
      </c>
      <c r="J1651" s="1">
        <v>46214</v>
      </c>
      <c r="K1651" t="s">
        <v>711</v>
      </c>
      <c r="L1651">
        <v>2052</v>
      </c>
      <c r="M1651">
        <v>2051.94</v>
      </c>
      <c r="N1651" t="s">
        <v>710</v>
      </c>
      <c r="O1651" t="s">
        <v>1036</v>
      </c>
      <c r="P1651" t="s">
        <v>4784</v>
      </c>
      <c r="Q1651" t="s">
        <v>4901</v>
      </c>
      <c r="R1651" t="s">
        <v>4771</v>
      </c>
    </row>
    <row r="1652" spans="1:18" x14ac:dyDescent="0.3">
      <c r="A1652">
        <v>6754</v>
      </c>
      <c r="B1652" t="s">
        <v>4874</v>
      </c>
      <c r="C1652" t="s">
        <v>391</v>
      </c>
      <c r="D1652" t="s">
        <v>104</v>
      </c>
      <c r="E1652" s="1">
        <v>46029</v>
      </c>
      <c r="F1652" t="s">
        <v>4354</v>
      </c>
      <c r="G1652" t="s">
        <v>3535</v>
      </c>
      <c r="H1652" t="s">
        <v>390</v>
      </c>
      <c r="I1652" t="s">
        <v>204</v>
      </c>
      <c r="J1652" s="1">
        <v>54878</v>
      </c>
      <c r="K1652" t="s">
        <v>762</v>
      </c>
      <c r="L1652">
        <v>224.98</v>
      </c>
      <c r="M1652">
        <v>224.98</v>
      </c>
      <c r="N1652" t="s">
        <v>710</v>
      </c>
      <c r="O1652" t="s">
        <v>4833</v>
      </c>
      <c r="P1652" t="s">
        <v>4776</v>
      </c>
      <c r="Q1652" t="s">
        <v>4852</v>
      </c>
      <c r="R1652" t="s">
        <v>4773</v>
      </c>
    </row>
    <row r="1653" spans="1:18" x14ac:dyDescent="0.3">
      <c r="A1653">
        <v>6754</v>
      </c>
      <c r="B1653" t="s">
        <v>4874</v>
      </c>
      <c r="C1653" t="s">
        <v>391</v>
      </c>
      <c r="D1653" t="s">
        <v>104</v>
      </c>
      <c r="E1653" s="1">
        <v>46029</v>
      </c>
      <c r="F1653" t="s">
        <v>4306</v>
      </c>
      <c r="G1653" t="s">
        <v>3535</v>
      </c>
      <c r="H1653" t="s">
        <v>390</v>
      </c>
      <c r="I1653" t="s">
        <v>204</v>
      </c>
      <c r="J1653" s="1">
        <v>54878</v>
      </c>
      <c r="K1653" t="s">
        <v>762</v>
      </c>
      <c r="L1653">
        <v>1435.1</v>
      </c>
      <c r="M1653">
        <v>1435.1</v>
      </c>
      <c r="N1653" t="s">
        <v>710</v>
      </c>
      <c r="O1653" t="s">
        <v>4833</v>
      </c>
      <c r="P1653" t="s">
        <v>4776</v>
      </c>
      <c r="Q1653" t="s">
        <v>4852</v>
      </c>
      <c r="R1653" t="s">
        <v>4773</v>
      </c>
    </row>
    <row r="1654" spans="1:18" x14ac:dyDescent="0.3">
      <c r="A1654">
        <v>3486</v>
      </c>
      <c r="B1654" t="s">
        <v>4874</v>
      </c>
      <c r="C1654" t="s">
        <v>612</v>
      </c>
      <c r="D1654" t="s">
        <v>102</v>
      </c>
      <c r="E1654" s="1">
        <v>46029</v>
      </c>
      <c r="F1654" t="s">
        <v>4300</v>
      </c>
      <c r="G1654" t="s">
        <v>3543</v>
      </c>
      <c r="H1654" t="s">
        <v>611</v>
      </c>
      <c r="I1654" t="s">
        <v>209</v>
      </c>
      <c r="J1654" s="1">
        <v>45961</v>
      </c>
      <c r="K1654" t="s">
        <v>720</v>
      </c>
      <c r="L1654">
        <v>10374</v>
      </c>
      <c r="M1654">
        <v>10374</v>
      </c>
      <c r="N1654" t="s">
        <v>710</v>
      </c>
      <c r="O1654" t="s">
        <v>1037</v>
      </c>
      <c r="P1654" t="s">
        <v>4777</v>
      </c>
      <c r="Q1654" t="s">
        <v>4852</v>
      </c>
      <c r="R1654" t="s">
        <v>4773</v>
      </c>
    </row>
    <row r="1655" spans="1:18" x14ac:dyDescent="0.3">
      <c r="A1655">
        <v>947376</v>
      </c>
      <c r="B1655" t="s">
        <v>4874</v>
      </c>
      <c r="C1655" t="s">
        <v>298</v>
      </c>
      <c r="D1655" t="s">
        <v>11</v>
      </c>
      <c r="E1655" s="1">
        <v>46029</v>
      </c>
      <c r="F1655" t="s">
        <v>4297</v>
      </c>
      <c r="G1655" t="s">
        <v>3558</v>
      </c>
      <c r="H1655" t="s">
        <v>297</v>
      </c>
      <c r="I1655" t="s">
        <v>204</v>
      </c>
      <c r="J1655" s="1">
        <v>54878</v>
      </c>
      <c r="K1655" t="s">
        <v>720</v>
      </c>
      <c r="L1655">
        <v>1</v>
      </c>
      <c r="M1655">
        <v>1225.32</v>
      </c>
      <c r="N1655" t="s">
        <v>710</v>
      </c>
      <c r="O1655" t="s">
        <v>1038</v>
      </c>
      <c r="P1655" t="s">
        <v>4779</v>
      </c>
      <c r="Q1655" t="s">
        <v>4858</v>
      </c>
      <c r="R1655" t="s">
        <v>4771</v>
      </c>
    </row>
    <row r="1656" spans="1:18" x14ac:dyDescent="0.3">
      <c r="A1656">
        <v>50</v>
      </c>
      <c r="B1656" t="s">
        <v>1034</v>
      </c>
      <c r="C1656" t="s">
        <v>449</v>
      </c>
      <c r="D1656" t="s">
        <v>20</v>
      </c>
      <c r="E1656" s="1">
        <v>46029</v>
      </c>
      <c r="F1656" t="s">
        <v>4331</v>
      </c>
      <c r="G1656" t="s">
        <v>3500</v>
      </c>
      <c r="H1656" t="s">
        <v>448</v>
      </c>
      <c r="I1656" t="s">
        <v>204</v>
      </c>
      <c r="J1656" s="1">
        <v>46219</v>
      </c>
      <c r="K1656" t="s">
        <v>717</v>
      </c>
      <c r="L1656">
        <v>8120.42</v>
      </c>
      <c r="M1656">
        <v>8120.42</v>
      </c>
      <c r="N1656" t="s">
        <v>710</v>
      </c>
      <c r="O1656" t="s">
        <v>4902</v>
      </c>
      <c r="P1656" t="s">
        <v>4776</v>
      </c>
      <c r="Q1656" t="s">
        <v>4852</v>
      </c>
      <c r="R1656" t="s">
        <v>4771</v>
      </c>
    </row>
    <row r="1657" spans="1:18" x14ac:dyDescent="0.3">
      <c r="A1657">
        <v>7285</v>
      </c>
      <c r="B1657" t="s">
        <v>4874</v>
      </c>
      <c r="C1657" t="s">
        <v>230</v>
      </c>
      <c r="D1657" t="s">
        <v>85</v>
      </c>
      <c r="E1657" s="1">
        <v>46028</v>
      </c>
      <c r="F1657" t="s">
        <v>4421</v>
      </c>
      <c r="G1657" t="s">
        <v>3513</v>
      </c>
      <c r="H1657" t="s">
        <v>299</v>
      </c>
      <c r="I1657" t="s">
        <v>204</v>
      </c>
      <c r="J1657" s="1">
        <v>46536</v>
      </c>
      <c r="K1657" t="s">
        <v>762</v>
      </c>
      <c r="L1657">
        <v>12092.8</v>
      </c>
      <c r="M1657">
        <v>12092.8</v>
      </c>
      <c r="N1657" t="s">
        <v>710</v>
      </c>
      <c r="O1657" t="s">
        <v>1033</v>
      </c>
      <c r="P1657" t="s">
        <v>4781</v>
      </c>
      <c r="Q1657" t="s">
        <v>4852</v>
      </c>
      <c r="R1657" t="s">
        <v>4771</v>
      </c>
    </row>
    <row r="1658" spans="1:18" x14ac:dyDescent="0.3">
      <c r="A1658">
        <v>7269</v>
      </c>
      <c r="B1658" t="s">
        <v>1034</v>
      </c>
      <c r="C1658" t="s">
        <v>230</v>
      </c>
      <c r="D1658" t="s">
        <v>85</v>
      </c>
      <c r="E1658" s="1">
        <v>46028</v>
      </c>
      <c r="F1658" t="s">
        <v>4348</v>
      </c>
      <c r="G1658" t="s">
        <v>3515</v>
      </c>
      <c r="H1658" t="s">
        <v>570</v>
      </c>
      <c r="I1658" t="s">
        <v>204</v>
      </c>
      <c r="J1658" s="1">
        <v>46418</v>
      </c>
      <c r="K1658" t="s">
        <v>717</v>
      </c>
      <c r="L1658">
        <v>508195.8</v>
      </c>
      <c r="M1658">
        <v>508195.8</v>
      </c>
      <c r="N1658" t="s">
        <v>719</v>
      </c>
      <c r="O1658" t="s">
        <v>1033</v>
      </c>
      <c r="P1658" t="s">
        <v>4781</v>
      </c>
      <c r="Q1658" t="s">
        <v>4852</v>
      </c>
      <c r="R1658" t="s">
        <v>4771</v>
      </c>
    </row>
    <row r="1659" spans="1:18" x14ac:dyDescent="0.3">
      <c r="A1659">
        <v>57448</v>
      </c>
      <c r="B1659" t="s">
        <v>1034</v>
      </c>
      <c r="C1659" t="s">
        <v>790</v>
      </c>
      <c r="D1659" t="s">
        <v>19</v>
      </c>
      <c r="E1659" s="1">
        <v>46028</v>
      </c>
      <c r="F1659" t="s">
        <v>4348</v>
      </c>
      <c r="G1659" t="s">
        <v>3518</v>
      </c>
      <c r="H1659" t="s">
        <v>287</v>
      </c>
      <c r="I1659" t="s">
        <v>209</v>
      </c>
      <c r="J1659" s="1">
        <v>54878</v>
      </c>
      <c r="K1659" t="s">
        <v>711</v>
      </c>
      <c r="L1659">
        <v>1</v>
      </c>
      <c r="M1659">
        <v>2950</v>
      </c>
      <c r="N1659" t="s">
        <v>710</v>
      </c>
      <c r="O1659" t="s">
        <v>1037</v>
      </c>
      <c r="P1659" t="s">
        <v>4781</v>
      </c>
      <c r="Q1659" t="s">
        <v>4852</v>
      </c>
      <c r="R1659" t="s">
        <v>4771</v>
      </c>
    </row>
    <row r="1660" spans="1:18" x14ac:dyDescent="0.3">
      <c r="A1660">
        <v>50</v>
      </c>
      <c r="B1660" t="s">
        <v>4876</v>
      </c>
      <c r="C1660" t="s">
        <v>476</v>
      </c>
      <c r="D1660" t="s">
        <v>195</v>
      </c>
      <c r="E1660" s="1">
        <v>46028</v>
      </c>
      <c r="F1660" t="s">
        <v>4401</v>
      </c>
      <c r="G1660" t="s">
        <v>3519</v>
      </c>
      <c r="H1660" t="s">
        <v>475</v>
      </c>
      <c r="I1660" t="s">
        <v>204</v>
      </c>
      <c r="J1660" s="1">
        <v>54878</v>
      </c>
      <c r="K1660" t="s">
        <v>839</v>
      </c>
      <c r="L1660">
        <v>39330</v>
      </c>
      <c r="M1660">
        <v>39330</v>
      </c>
      <c r="N1660" t="s">
        <v>710</v>
      </c>
      <c r="O1660" t="s">
        <v>1042</v>
      </c>
      <c r="P1660" t="s">
        <v>1006</v>
      </c>
      <c r="Q1660" t="s">
        <v>4852</v>
      </c>
      <c r="R1660" t="s">
        <v>4771</v>
      </c>
    </row>
    <row r="1661" spans="1:18" x14ac:dyDescent="0.3">
      <c r="A1661">
        <v>4066821</v>
      </c>
      <c r="B1661" t="s">
        <v>4874</v>
      </c>
      <c r="C1661" t="s">
        <v>417</v>
      </c>
      <c r="D1661" t="s">
        <v>185</v>
      </c>
      <c r="E1661" s="1">
        <v>46028</v>
      </c>
      <c r="F1661" t="s">
        <v>4335</v>
      </c>
      <c r="G1661" t="s">
        <v>3529</v>
      </c>
      <c r="H1661" t="s">
        <v>461</v>
      </c>
      <c r="I1661" t="s">
        <v>204</v>
      </c>
      <c r="J1661" s="1">
        <v>54878</v>
      </c>
      <c r="K1661" t="s">
        <v>762</v>
      </c>
      <c r="L1661">
        <v>4858.3100000000004</v>
      </c>
      <c r="M1661">
        <v>4858.3100000000004</v>
      </c>
      <c r="N1661" t="s">
        <v>710</v>
      </c>
      <c r="O1661" t="s">
        <v>1037</v>
      </c>
      <c r="P1661" t="s">
        <v>4780</v>
      </c>
      <c r="Q1661" t="s">
        <v>4852</v>
      </c>
      <c r="R1661" t="s">
        <v>4771</v>
      </c>
    </row>
    <row r="1662" spans="1:18" x14ac:dyDescent="0.3">
      <c r="A1662">
        <v>5771</v>
      </c>
      <c r="B1662" t="s">
        <v>4874</v>
      </c>
      <c r="C1662" t="s">
        <v>401</v>
      </c>
      <c r="D1662" t="s">
        <v>187</v>
      </c>
      <c r="E1662" s="1">
        <v>46028</v>
      </c>
      <c r="F1662" t="s">
        <v>4345</v>
      </c>
      <c r="G1662" t="s">
        <v>3534</v>
      </c>
      <c r="H1662" t="s">
        <v>400</v>
      </c>
      <c r="I1662" t="s">
        <v>204</v>
      </c>
      <c r="J1662" s="1">
        <v>54878</v>
      </c>
      <c r="K1662" t="s">
        <v>762</v>
      </c>
      <c r="L1662">
        <v>390</v>
      </c>
      <c r="M1662">
        <v>390</v>
      </c>
      <c r="N1662" t="s">
        <v>710</v>
      </c>
      <c r="O1662" t="s">
        <v>4833</v>
      </c>
      <c r="P1662" t="s">
        <v>4776</v>
      </c>
      <c r="Q1662" t="s">
        <v>4852</v>
      </c>
      <c r="R1662" t="s">
        <v>4773</v>
      </c>
    </row>
    <row r="1663" spans="1:18" x14ac:dyDescent="0.3">
      <c r="A1663">
        <v>8</v>
      </c>
      <c r="B1663" t="s">
        <v>1034</v>
      </c>
      <c r="C1663" t="s">
        <v>636</v>
      </c>
      <c r="D1663" t="s">
        <v>51</v>
      </c>
      <c r="E1663" s="1">
        <v>46028</v>
      </c>
      <c r="F1663" t="s">
        <v>4297</v>
      </c>
      <c r="G1663" t="s">
        <v>2293</v>
      </c>
      <c r="H1663" t="s">
        <v>635</v>
      </c>
      <c r="I1663" t="s">
        <v>204</v>
      </c>
      <c r="J1663" s="1">
        <v>46193</v>
      </c>
      <c r="K1663" t="s">
        <v>711</v>
      </c>
      <c r="L1663">
        <v>1</v>
      </c>
      <c r="M1663">
        <v>7933</v>
      </c>
      <c r="N1663" t="s">
        <v>710</v>
      </c>
      <c r="O1663" t="s">
        <v>4844</v>
      </c>
      <c r="P1663" t="s">
        <v>4779</v>
      </c>
      <c r="Q1663" t="s">
        <v>4845</v>
      </c>
      <c r="R1663" t="s">
        <v>4771</v>
      </c>
    </row>
    <row r="1664" spans="1:18" x14ac:dyDescent="0.3">
      <c r="A1664">
        <v>7265</v>
      </c>
      <c r="B1664" t="s">
        <v>4874</v>
      </c>
      <c r="C1664" t="s">
        <v>230</v>
      </c>
      <c r="D1664" t="s">
        <v>85</v>
      </c>
      <c r="E1664" s="1">
        <v>46028</v>
      </c>
      <c r="F1664" t="s">
        <v>4348</v>
      </c>
      <c r="G1664" t="s">
        <v>3514</v>
      </c>
      <c r="H1664" t="s">
        <v>299</v>
      </c>
      <c r="I1664" t="s">
        <v>204</v>
      </c>
      <c r="J1664" s="1">
        <v>46536</v>
      </c>
      <c r="K1664" t="s">
        <v>762</v>
      </c>
      <c r="L1664">
        <v>198518.11</v>
      </c>
      <c r="M1664">
        <v>198518.11</v>
      </c>
      <c r="N1664" t="s">
        <v>710</v>
      </c>
      <c r="O1664" t="s">
        <v>1033</v>
      </c>
      <c r="P1664" t="s">
        <v>4781</v>
      </c>
      <c r="Q1664" t="s">
        <v>4852</v>
      </c>
      <c r="R1664" t="s">
        <v>4771</v>
      </c>
    </row>
    <row r="1665" spans="1:18" x14ac:dyDescent="0.3">
      <c r="A1665">
        <v>7243</v>
      </c>
      <c r="B1665" t="s">
        <v>1035</v>
      </c>
      <c r="C1665" t="s">
        <v>230</v>
      </c>
      <c r="D1665" t="s">
        <v>85</v>
      </c>
      <c r="E1665" s="1">
        <v>46027</v>
      </c>
      <c r="F1665" t="s">
        <v>4348</v>
      </c>
      <c r="G1665" t="s">
        <v>3520</v>
      </c>
      <c r="H1665" t="s">
        <v>229</v>
      </c>
      <c r="I1665" t="s">
        <v>204</v>
      </c>
      <c r="J1665" s="1">
        <v>46203</v>
      </c>
      <c r="K1665" t="s">
        <v>744</v>
      </c>
      <c r="L1665">
        <v>1</v>
      </c>
      <c r="M1665">
        <v>6124.3</v>
      </c>
      <c r="N1665" t="s">
        <v>710</v>
      </c>
      <c r="O1665" t="s">
        <v>1033</v>
      </c>
      <c r="P1665" t="s">
        <v>4781</v>
      </c>
      <c r="Q1665" t="s">
        <v>4852</v>
      </c>
      <c r="R1665" t="s">
        <v>4771</v>
      </c>
    </row>
    <row r="1666" spans="1:18" x14ac:dyDescent="0.3">
      <c r="A1666">
        <v>7259</v>
      </c>
      <c r="B1666" t="s">
        <v>1035</v>
      </c>
      <c r="C1666" t="s">
        <v>230</v>
      </c>
      <c r="D1666" t="s">
        <v>85</v>
      </c>
      <c r="E1666" s="1">
        <v>46027</v>
      </c>
      <c r="F1666" t="s">
        <v>4348</v>
      </c>
      <c r="G1666" t="s">
        <v>3521</v>
      </c>
      <c r="H1666" t="s">
        <v>229</v>
      </c>
      <c r="I1666" t="s">
        <v>204</v>
      </c>
      <c r="J1666" s="1">
        <v>46203</v>
      </c>
      <c r="K1666" t="s">
        <v>744</v>
      </c>
      <c r="L1666">
        <v>1</v>
      </c>
      <c r="M1666">
        <v>48517.85</v>
      </c>
      <c r="N1666" t="s">
        <v>710</v>
      </c>
      <c r="O1666" t="s">
        <v>1033</v>
      </c>
      <c r="P1666" t="s">
        <v>4781</v>
      </c>
      <c r="Q1666" t="s">
        <v>4852</v>
      </c>
      <c r="R1666" t="s">
        <v>4771</v>
      </c>
    </row>
    <row r="1667" spans="1:18" x14ac:dyDescent="0.3">
      <c r="A1667">
        <v>57467</v>
      </c>
      <c r="B1667" t="s">
        <v>4874</v>
      </c>
      <c r="C1667" t="s">
        <v>433</v>
      </c>
      <c r="D1667" t="s">
        <v>168</v>
      </c>
      <c r="E1667" s="1">
        <v>46027</v>
      </c>
      <c r="F1667" t="s">
        <v>4319</v>
      </c>
      <c r="G1667" t="s">
        <v>3527</v>
      </c>
      <c r="H1667" t="s">
        <v>432</v>
      </c>
      <c r="I1667" t="s">
        <v>204</v>
      </c>
      <c r="J1667" s="1">
        <v>46473</v>
      </c>
      <c r="K1667" t="s">
        <v>762</v>
      </c>
      <c r="L1667">
        <v>4810</v>
      </c>
      <c r="M1667">
        <v>4810.0600000000004</v>
      </c>
      <c r="N1667" t="s">
        <v>710</v>
      </c>
      <c r="O1667" t="s">
        <v>4833</v>
      </c>
      <c r="P1667" t="s">
        <v>4802</v>
      </c>
      <c r="Q1667" t="s">
        <v>4852</v>
      </c>
      <c r="R1667" t="s">
        <v>4771</v>
      </c>
    </row>
    <row r="1668" spans="1:18" x14ac:dyDescent="0.3">
      <c r="A1668">
        <v>548963</v>
      </c>
      <c r="B1668" t="s">
        <v>4874</v>
      </c>
      <c r="C1668" t="s">
        <v>407</v>
      </c>
      <c r="D1668" t="s">
        <v>170</v>
      </c>
      <c r="E1668" s="1">
        <v>46027</v>
      </c>
      <c r="F1668" t="s">
        <v>4388</v>
      </c>
      <c r="G1668" t="s">
        <v>3524</v>
      </c>
      <c r="H1668" t="s">
        <v>406</v>
      </c>
      <c r="I1668" t="s">
        <v>204</v>
      </c>
      <c r="J1668" s="1">
        <v>46387</v>
      </c>
      <c r="K1668" t="s">
        <v>762</v>
      </c>
      <c r="L1668">
        <v>39425</v>
      </c>
      <c r="M1668">
        <v>39424.980000000003</v>
      </c>
      <c r="N1668" t="s">
        <v>710</v>
      </c>
      <c r="O1668" t="s">
        <v>4833</v>
      </c>
      <c r="P1668" t="s">
        <v>4776</v>
      </c>
      <c r="Q1668" t="s">
        <v>4852</v>
      </c>
      <c r="R1668" t="s">
        <v>4771</v>
      </c>
    </row>
    <row r="1669" spans="1:18" x14ac:dyDescent="0.3">
      <c r="A1669">
        <v>7251</v>
      </c>
      <c r="B1669" t="s">
        <v>1035</v>
      </c>
      <c r="C1669" t="s">
        <v>230</v>
      </c>
      <c r="D1669" t="s">
        <v>85</v>
      </c>
      <c r="E1669" s="1">
        <v>46027</v>
      </c>
      <c r="F1669" t="s">
        <v>4348</v>
      </c>
      <c r="G1669" t="s">
        <v>3520</v>
      </c>
      <c r="H1669" t="s">
        <v>229</v>
      </c>
      <c r="I1669" t="s">
        <v>204</v>
      </c>
      <c r="J1669" s="1">
        <v>46203</v>
      </c>
      <c r="K1669" t="s">
        <v>744</v>
      </c>
      <c r="L1669">
        <v>1</v>
      </c>
      <c r="M1669">
        <v>3504.51</v>
      </c>
      <c r="N1669" t="s">
        <v>710</v>
      </c>
      <c r="O1669" t="s">
        <v>1033</v>
      </c>
      <c r="P1669" t="s">
        <v>4781</v>
      </c>
      <c r="Q1669" t="s">
        <v>4852</v>
      </c>
      <c r="R1669" t="s">
        <v>4771</v>
      </c>
    </row>
    <row r="1670" spans="1:18" x14ac:dyDescent="0.3">
      <c r="A1670">
        <v>167311</v>
      </c>
      <c r="B1670" t="s">
        <v>4875</v>
      </c>
      <c r="C1670" t="s">
        <v>301</v>
      </c>
      <c r="D1670" t="s">
        <v>23</v>
      </c>
      <c r="E1670" s="1">
        <v>46027</v>
      </c>
      <c r="F1670" t="s">
        <v>4321</v>
      </c>
      <c r="G1670" t="s">
        <v>3436</v>
      </c>
      <c r="H1670" t="s">
        <v>342</v>
      </c>
      <c r="I1670" t="s">
        <v>204</v>
      </c>
      <c r="J1670" s="1">
        <v>46285</v>
      </c>
      <c r="K1670" t="s">
        <v>748</v>
      </c>
      <c r="L1670">
        <v>5127.5200000000004</v>
      </c>
      <c r="M1670">
        <v>5127.51</v>
      </c>
      <c r="N1670" t="s">
        <v>710</v>
      </c>
      <c r="O1670" t="s">
        <v>1040</v>
      </c>
      <c r="P1670" t="s">
        <v>4782</v>
      </c>
      <c r="Q1670" t="s">
        <v>4856</v>
      </c>
      <c r="R1670" t="s">
        <v>4773</v>
      </c>
    </row>
    <row r="1671" spans="1:18" x14ac:dyDescent="0.3">
      <c r="A1671">
        <v>63</v>
      </c>
      <c r="B1671" t="s">
        <v>4875</v>
      </c>
      <c r="C1671" t="s">
        <v>561</v>
      </c>
      <c r="D1671" t="s">
        <v>121</v>
      </c>
      <c r="E1671" s="1">
        <v>46027</v>
      </c>
      <c r="F1671" t="s">
        <v>4390</v>
      </c>
      <c r="G1671" t="s">
        <v>3448</v>
      </c>
      <c r="H1671" t="s">
        <v>560</v>
      </c>
      <c r="I1671" t="s">
        <v>204</v>
      </c>
      <c r="J1671" s="1">
        <v>46732</v>
      </c>
      <c r="K1671" t="s">
        <v>748</v>
      </c>
      <c r="L1671">
        <v>1</v>
      </c>
      <c r="M1671">
        <v>14100</v>
      </c>
      <c r="N1671" t="s">
        <v>818</v>
      </c>
      <c r="O1671" t="s">
        <v>1040</v>
      </c>
      <c r="P1671" t="s">
        <v>4777</v>
      </c>
      <c r="Q1671" t="s">
        <v>4856</v>
      </c>
      <c r="R1671" t="s">
        <v>4771</v>
      </c>
    </row>
    <row r="1672" spans="1:18" x14ac:dyDescent="0.3">
      <c r="A1672">
        <v>7260</v>
      </c>
      <c r="B1672" t="s">
        <v>1035</v>
      </c>
      <c r="C1672" t="s">
        <v>230</v>
      </c>
      <c r="D1672" t="s">
        <v>85</v>
      </c>
      <c r="E1672" s="1">
        <v>46027</v>
      </c>
      <c r="F1672" t="s">
        <v>4348</v>
      </c>
      <c r="G1672" t="s">
        <v>3521</v>
      </c>
      <c r="H1672" t="s">
        <v>229</v>
      </c>
      <c r="I1672" t="s">
        <v>204</v>
      </c>
      <c r="J1672" s="1">
        <v>46203</v>
      </c>
      <c r="K1672" t="s">
        <v>744</v>
      </c>
      <c r="L1672">
        <v>1</v>
      </c>
      <c r="M1672">
        <v>18802.560000000001</v>
      </c>
      <c r="N1672" t="s">
        <v>710</v>
      </c>
      <c r="O1672" t="s">
        <v>1033</v>
      </c>
      <c r="P1672" t="s">
        <v>4781</v>
      </c>
      <c r="Q1672" t="s">
        <v>4852</v>
      </c>
      <c r="R1672" t="s">
        <v>4771</v>
      </c>
    </row>
    <row r="1673" spans="1:18" x14ac:dyDescent="0.3">
      <c r="A1673">
        <v>1073431</v>
      </c>
      <c r="B1673" t="s">
        <v>1034</v>
      </c>
      <c r="C1673" t="s">
        <v>433</v>
      </c>
      <c r="D1673" t="s">
        <v>168</v>
      </c>
      <c r="E1673" s="1">
        <v>46027</v>
      </c>
      <c r="F1673" t="s">
        <v>4319</v>
      </c>
      <c r="G1673" t="s">
        <v>3503</v>
      </c>
      <c r="H1673" t="s">
        <v>432</v>
      </c>
      <c r="I1673" t="s">
        <v>204</v>
      </c>
      <c r="J1673" s="1">
        <v>46473</v>
      </c>
      <c r="K1673" t="s">
        <v>762</v>
      </c>
      <c r="L1673">
        <v>327</v>
      </c>
      <c r="M1673">
        <v>327.02</v>
      </c>
      <c r="N1673" t="s">
        <v>710</v>
      </c>
      <c r="O1673" t="s">
        <v>4833</v>
      </c>
      <c r="P1673" t="s">
        <v>4802</v>
      </c>
      <c r="Q1673" t="s">
        <v>4852</v>
      </c>
      <c r="R1673" t="s">
        <v>4771</v>
      </c>
    </row>
    <row r="1674" spans="1:18" x14ac:dyDescent="0.3">
      <c r="A1674">
        <v>432184</v>
      </c>
      <c r="B1674" t="s">
        <v>1034</v>
      </c>
      <c r="C1674" t="s">
        <v>452</v>
      </c>
      <c r="D1674" t="s">
        <v>171</v>
      </c>
      <c r="E1674" s="1">
        <v>46027</v>
      </c>
      <c r="F1674" t="s">
        <v>4319</v>
      </c>
      <c r="G1674" t="s">
        <v>3512</v>
      </c>
      <c r="H1674" t="s">
        <v>512</v>
      </c>
      <c r="I1674" t="s">
        <v>209</v>
      </c>
      <c r="J1674" s="1">
        <v>45138</v>
      </c>
      <c r="K1674" t="s">
        <v>762</v>
      </c>
      <c r="L1674">
        <v>235</v>
      </c>
      <c r="M1674">
        <v>235.21</v>
      </c>
      <c r="N1674" t="s">
        <v>710</v>
      </c>
      <c r="O1674" t="s">
        <v>4833</v>
      </c>
      <c r="P1674" t="s">
        <v>4802</v>
      </c>
      <c r="Q1674" t="s">
        <v>4852</v>
      </c>
      <c r="R1674" t="s">
        <v>4771</v>
      </c>
    </row>
    <row r="1675" spans="1:18" x14ac:dyDescent="0.3">
      <c r="A1675">
        <v>2513</v>
      </c>
      <c r="B1675" t="s">
        <v>1034</v>
      </c>
      <c r="C1675" t="s">
        <v>643</v>
      </c>
      <c r="D1675" t="s">
        <v>52</v>
      </c>
      <c r="E1675" s="1">
        <v>46021</v>
      </c>
      <c r="F1675" t="s">
        <v>4318</v>
      </c>
      <c r="G1675" t="s">
        <v>3470</v>
      </c>
      <c r="H1675" t="s">
        <v>642</v>
      </c>
      <c r="I1675" t="s">
        <v>204</v>
      </c>
      <c r="J1675" s="1">
        <v>46548</v>
      </c>
      <c r="K1675" t="s">
        <v>711</v>
      </c>
      <c r="L1675">
        <v>1</v>
      </c>
      <c r="M1675">
        <v>2300</v>
      </c>
      <c r="N1675" t="s">
        <v>710</v>
      </c>
      <c r="O1675" t="s">
        <v>4834</v>
      </c>
      <c r="P1675" t="s">
        <v>4776</v>
      </c>
      <c r="Q1675" t="s">
        <v>4901</v>
      </c>
    </row>
    <row r="1676" spans="1:18" x14ac:dyDescent="0.3">
      <c r="A1676">
        <v>20258812</v>
      </c>
      <c r="B1676" t="s">
        <v>1034</v>
      </c>
      <c r="C1676" t="s">
        <v>203</v>
      </c>
      <c r="D1676" t="s">
        <v>118</v>
      </c>
      <c r="E1676" s="1">
        <v>46021</v>
      </c>
      <c r="F1676" t="s">
        <v>4353</v>
      </c>
      <c r="G1676" t="s">
        <v>3509</v>
      </c>
      <c r="H1676" t="s">
        <v>202</v>
      </c>
      <c r="I1676" t="s">
        <v>204</v>
      </c>
      <c r="J1676" s="1">
        <v>46387</v>
      </c>
      <c r="K1676" t="s">
        <v>717</v>
      </c>
      <c r="L1676">
        <v>76.599999999999994</v>
      </c>
      <c r="M1676">
        <v>76.599999999999994</v>
      </c>
      <c r="N1676" t="s">
        <v>710</v>
      </c>
      <c r="O1676" t="s">
        <v>1037</v>
      </c>
      <c r="P1676" t="s">
        <v>4776</v>
      </c>
      <c r="Q1676" t="s">
        <v>4852</v>
      </c>
      <c r="R1676" t="s">
        <v>4772</v>
      </c>
    </row>
    <row r="1677" spans="1:18" x14ac:dyDescent="0.3">
      <c r="A1677">
        <v>10945</v>
      </c>
      <c r="B1677" t="s">
        <v>1034</v>
      </c>
      <c r="C1677" t="s">
        <v>624</v>
      </c>
      <c r="D1677" t="s">
        <v>68</v>
      </c>
      <c r="E1677" s="1">
        <v>46021</v>
      </c>
      <c r="F1677" t="s">
        <v>4367</v>
      </c>
      <c r="G1677" t="s">
        <v>3506</v>
      </c>
      <c r="H1677" t="s">
        <v>623</v>
      </c>
      <c r="I1677" t="s">
        <v>204</v>
      </c>
      <c r="J1677" s="1">
        <v>46017</v>
      </c>
      <c r="K1677" t="s">
        <v>839</v>
      </c>
      <c r="L1677">
        <v>1682</v>
      </c>
      <c r="M1677">
        <v>1682.08</v>
      </c>
      <c r="N1677" t="s">
        <v>710</v>
      </c>
      <c r="O1677" t="s">
        <v>1041</v>
      </c>
      <c r="P1677" t="s">
        <v>4776</v>
      </c>
      <c r="Q1677" t="s">
        <v>4852</v>
      </c>
      <c r="R1677" t="s">
        <v>4771</v>
      </c>
    </row>
    <row r="1678" spans="1:18" x14ac:dyDescent="0.3">
      <c r="A1678">
        <v>56165</v>
      </c>
      <c r="B1678" t="s">
        <v>4874</v>
      </c>
      <c r="C1678" t="s">
        <v>664</v>
      </c>
      <c r="D1678" t="s">
        <v>83</v>
      </c>
      <c r="E1678" s="1">
        <v>46021</v>
      </c>
      <c r="F1678" t="s">
        <v>4399</v>
      </c>
      <c r="G1678" t="s">
        <v>3302</v>
      </c>
      <c r="H1678" t="s">
        <v>663</v>
      </c>
      <c r="I1678" t="s">
        <v>204</v>
      </c>
      <c r="J1678" s="1">
        <v>46660</v>
      </c>
      <c r="K1678" t="s">
        <v>762</v>
      </c>
      <c r="L1678">
        <v>57689.22</v>
      </c>
      <c r="M1678">
        <v>57689.22</v>
      </c>
      <c r="N1678" t="s">
        <v>710</v>
      </c>
      <c r="O1678" t="s">
        <v>1037</v>
      </c>
      <c r="P1678" t="s">
        <v>850</v>
      </c>
      <c r="Q1678" t="s">
        <v>4852</v>
      </c>
      <c r="R1678" t="s">
        <v>807</v>
      </c>
    </row>
    <row r="1679" spans="1:18" x14ac:dyDescent="0.3">
      <c r="A1679">
        <v>79396</v>
      </c>
      <c r="B1679" t="s">
        <v>4874</v>
      </c>
      <c r="C1679" t="s">
        <v>634</v>
      </c>
      <c r="D1679" t="s">
        <v>99</v>
      </c>
      <c r="E1679" s="1">
        <v>46020</v>
      </c>
      <c r="F1679" t="s">
        <v>4422</v>
      </c>
      <c r="G1679" t="s">
        <v>3487</v>
      </c>
      <c r="H1679" t="s">
        <v>633</v>
      </c>
      <c r="I1679" t="s">
        <v>204</v>
      </c>
      <c r="J1679" s="1">
        <v>46204</v>
      </c>
      <c r="K1679" t="s">
        <v>762</v>
      </c>
      <c r="L1679">
        <v>24</v>
      </c>
      <c r="M1679">
        <v>140.63999999999999</v>
      </c>
      <c r="N1679" t="s">
        <v>719</v>
      </c>
      <c r="O1679" t="s">
        <v>1037</v>
      </c>
      <c r="P1679" t="s">
        <v>4790</v>
      </c>
      <c r="Q1679" t="s">
        <v>4852</v>
      </c>
    </row>
    <row r="1680" spans="1:18" x14ac:dyDescent="0.3">
      <c r="A1680">
        <v>866233</v>
      </c>
      <c r="B1680" t="s">
        <v>1035</v>
      </c>
      <c r="C1680" t="s">
        <v>239</v>
      </c>
      <c r="D1680" t="s">
        <v>199</v>
      </c>
      <c r="E1680" s="1">
        <v>46020</v>
      </c>
      <c r="F1680" t="s">
        <v>4325</v>
      </c>
      <c r="G1680" t="s">
        <v>3507</v>
      </c>
      <c r="H1680" t="s">
        <v>238</v>
      </c>
      <c r="I1680" t="s">
        <v>204</v>
      </c>
      <c r="J1680" s="1">
        <v>54878</v>
      </c>
      <c r="K1680" t="s">
        <v>754</v>
      </c>
      <c r="L1680">
        <v>1</v>
      </c>
      <c r="M1680">
        <v>87.32</v>
      </c>
      <c r="N1680" t="s">
        <v>710</v>
      </c>
      <c r="O1680" t="s">
        <v>4903</v>
      </c>
      <c r="P1680" t="s">
        <v>4779</v>
      </c>
      <c r="Q1680" t="s">
        <v>4858</v>
      </c>
      <c r="R1680" t="s">
        <v>4771</v>
      </c>
    </row>
    <row r="1681" spans="1:18" x14ac:dyDescent="0.3">
      <c r="A1681">
        <v>881526</v>
      </c>
      <c r="B1681" t="s">
        <v>1035</v>
      </c>
      <c r="C1681" t="s">
        <v>239</v>
      </c>
      <c r="D1681" t="s">
        <v>199</v>
      </c>
      <c r="E1681" s="1">
        <v>46020</v>
      </c>
      <c r="F1681" t="s">
        <v>4325</v>
      </c>
      <c r="G1681" t="s">
        <v>3507</v>
      </c>
      <c r="H1681" t="s">
        <v>238</v>
      </c>
      <c r="I1681" t="s">
        <v>204</v>
      </c>
      <c r="J1681" s="1">
        <v>54878</v>
      </c>
      <c r="K1681" t="s">
        <v>754</v>
      </c>
      <c r="L1681">
        <v>1</v>
      </c>
      <c r="M1681">
        <v>87.32</v>
      </c>
      <c r="N1681" t="s">
        <v>710</v>
      </c>
      <c r="O1681" t="s">
        <v>4903</v>
      </c>
      <c r="P1681" t="s">
        <v>4779</v>
      </c>
      <c r="Q1681" t="s">
        <v>4858</v>
      </c>
      <c r="R1681" t="s">
        <v>4771</v>
      </c>
    </row>
    <row r="1682" spans="1:18" x14ac:dyDescent="0.3">
      <c r="A1682">
        <v>79396</v>
      </c>
      <c r="B1682" t="s">
        <v>4874</v>
      </c>
      <c r="C1682" t="s">
        <v>634</v>
      </c>
      <c r="D1682" t="s">
        <v>99</v>
      </c>
      <c r="E1682" s="1">
        <v>46020</v>
      </c>
      <c r="F1682" t="s">
        <v>4310</v>
      </c>
      <c r="G1682" t="s">
        <v>3487</v>
      </c>
      <c r="H1682" t="s">
        <v>633</v>
      </c>
      <c r="I1682" t="s">
        <v>204</v>
      </c>
      <c r="J1682" s="1">
        <v>46204</v>
      </c>
      <c r="K1682" t="s">
        <v>762</v>
      </c>
      <c r="L1682">
        <v>108</v>
      </c>
      <c r="M1682">
        <v>395.28</v>
      </c>
      <c r="N1682" t="s">
        <v>719</v>
      </c>
      <c r="O1682" t="s">
        <v>1037</v>
      </c>
      <c r="P1682" t="s">
        <v>4790</v>
      </c>
      <c r="Q1682" t="s">
        <v>4852</v>
      </c>
    </row>
    <row r="1683" spans="1:18" x14ac:dyDescent="0.3">
      <c r="A1683">
        <v>79396</v>
      </c>
      <c r="B1683" t="s">
        <v>4874</v>
      </c>
      <c r="C1683" t="s">
        <v>634</v>
      </c>
      <c r="D1683" t="s">
        <v>99</v>
      </c>
      <c r="E1683" s="1">
        <v>46020</v>
      </c>
      <c r="F1683" t="s">
        <v>4308</v>
      </c>
      <c r="G1683" t="s">
        <v>3487</v>
      </c>
      <c r="H1683" t="s">
        <v>633</v>
      </c>
      <c r="I1683" t="s">
        <v>204</v>
      </c>
      <c r="J1683" s="1">
        <v>46204</v>
      </c>
      <c r="K1683" t="s">
        <v>762</v>
      </c>
      <c r="L1683">
        <v>112</v>
      </c>
      <c r="M1683">
        <v>545.44000000000005</v>
      </c>
      <c r="N1683" t="s">
        <v>719</v>
      </c>
      <c r="O1683" t="s">
        <v>1037</v>
      </c>
      <c r="P1683" t="s">
        <v>4790</v>
      </c>
      <c r="Q1683" t="s">
        <v>4852</v>
      </c>
    </row>
    <row r="1684" spans="1:18" x14ac:dyDescent="0.3">
      <c r="A1684">
        <v>3086691</v>
      </c>
      <c r="B1684" t="s">
        <v>4874</v>
      </c>
      <c r="C1684" t="s">
        <v>433</v>
      </c>
      <c r="D1684" t="s">
        <v>168</v>
      </c>
      <c r="E1684" s="1">
        <v>46020</v>
      </c>
      <c r="F1684" t="s">
        <v>4319</v>
      </c>
      <c r="G1684" t="s">
        <v>3504</v>
      </c>
      <c r="H1684" t="s">
        <v>432</v>
      </c>
      <c r="I1684" t="s">
        <v>204</v>
      </c>
      <c r="J1684" s="1">
        <v>46473</v>
      </c>
      <c r="K1684" t="s">
        <v>762</v>
      </c>
      <c r="L1684">
        <v>1364</v>
      </c>
      <c r="M1684">
        <v>1363.94</v>
      </c>
      <c r="N1684" t="s">
        <v>710</v>
      </c>
      <c r="O1684" t="s">
        <v>4833</v>
      </c>
      <c r="P1684" t="s">
        <v>4802</v>
      </c>
      <c r="Q1684" t="s">
        <v>4852</v>
      </c>
      <c r="R1684" t="s">
        <v>4771</v>
      </c>
    </row>
    <row r="1685" spans="1:18" x14ac:dyDescent="0.3">
      <c r="A1685">
        <v>79396</v>
      </c>
      <c r="B1685" t="s">
        <v>4874</v>
      </c>
      <c r="C1685" t="s">
        <v>634</v>
      </c>
      <c r="D1685" t="s">
        <v>99</v>
      </c>
      <c r="E1685" s="1">
        <v>46020</v>
      </c>
      <c r="F1685" t="s">
        <v>4307</v>
      </c>
      <c r="G1685" t="s">
        <v>3487</v>
      </c>
      <c r="H1685" t="s">
        <v>633</v>
      </c>
      <c r="I1685" t="s">
        <v>204</v>
      </c>
      <c r="J1685" s="1">
        <v>46204</v>
      </c>
      <c r="K1685" t="s">
        <v>762</v>
      </c>
      <c r="L1685">
        <v>2266</v>
      </c>
      <c r="M1685">
        <v>35326.94</v>
      </c>
      <c r="N1685" t="s">
        <v>719</v>
      </c>
      <c r="O1685" t="s">
        <v>1037</v>
      </c>
      <c r="P1685" t="s">
        <v>4790</v>
      </c>
      <c r="Q1685" t="s">
        <v>4852</v>
      </c>
    </row>
    <row r="1686" spans="1:18" x14ac:dyDescent="0.3">
      <c r="A1686">
        <v>79396</v>
      </c>
      <c r="B1686" t="s">
        <v>4874</v>
      </c>
      <c r="C1686" t="s">
        <v>634</v>
      </c>
      <c r="D1686" t="s">
        <v>99</v>
      </c>
      <c r="E1686" s="1">
        <v>46020</v>
      </c>
      <c r="F1686" t="s">
        <v>4394</v>
      </c>
      <c r="G1686" t="s">
        <v>3487</v>
      </c>
      <c r="H1686" t="s">
        <v>633</v>
      </c>
      <c r="I1686" t="s">
        <v>204</v>
      </c>
      <c r="J1686" s="1">
        <v>46204</v>
      </c>
      <c r="K1686" t="s">
        <v>762</v>
      </c>
      <c r="L1686">
        <v>2266</v>
      </c>
      <c r="M1686">
        <v>2266</v>
      </c>
      <c r="N1686" t="s">
        <v>719</v>
      </c>
      <c r="O1686" t="s">
        <v>1037</v>
      </c>
      <c r="P1686" t="s">
        <v>4790</v>
      </c>
      <c r="Q1686" t="s">
        <v>4852</v>
      </c>
    </row>
    <row r="1687" spans="1:18" x14ac:dyDescent="0.3">
      <c r="A1687">
        <v>5947035</v>
      </c>
      <c r="B1687" t="s">
        <v>1034</v>
      </c>
      <c r="C1687" t="s">
        <v>463</v>
      </c>
      <c r="D1687" t="s">
        <v>147</v>
      </c>
      <c r="E1687" s="1">
        <v>46020</v>
      </c>
      <c r="F1687" t="s">
        <v>4334</v>
      </c>
      <c r="G1687" t="s">
        <v>3510</v>
      </c>
      <c r="H1687" t="s">
        <v>462</v>
      </c>
      <c r="I1687" t="s">
        <v>204</v>
      </c>
      <c r="J1687" s="1">
        <v>46752</v>
      </c>
      <c r="K1687" t="s">
        <v>717</v>
      </c>
      <c r="L1687">
        <v>1082.6300000000001</v>
      </c>
      <c r="M1687">
        <v>1082.6300000000001</v>
      </c>
      <c r="N1687" t="s">
        <v>719</v>
      </c>
      <c r="O1687" t="s">
        <v>1033</v>
      </c>
      <c r="P1687" t="s">
        <v>4776</v>
      </c>
      <c r="Q1687" t="s">
        <v>4852</v>
      </c>
      <c r="R1687" t="s">
        <v>4771</v>
      </c>
    </row>
    <row r="1688" spans="1:18" x14ac:dyDescent="0.3">
      <c r="A1688">
        <v>175773</v>
      </c>
      <c r="B1688" t="s">
        <v>1034</v>
      </c>
      <c r="C1688" t="s">
        <v>488</v>
      </c>
      <c r="D1688" t="s">
        <v>178</v>
      </c>
      <c r="E1688" s="1">
        <v>46020</v>
      </c>
      <c r="F1688" t="s">
        <v>4345</v>
      </c>
      <c r="G1688" t="s">
        <v>3493</v>
      </c>
      <c r="H1688" t="s">
        <v>487</v>
      </c>
      <c r="I1688" t="s">
        <v>204</v>
      </c>
      <c r="J1688" s="1">
        <v>54878</v>
      </c>
      <c r="K1688" t="s">
        <v>717</v>
      </c>
      <c r="L1688">
        <v>27170.55</v>
      </c>
      <c r="M1688">
        <v>27170.55</v>
      </c>
      <c r="N1688" t="s">
        <v>710</v>
      </c>
      <c r="O1688" t="s">
        <v>4833</v>
      </c>
      <c r="P1688" t="s">
        <v>4776</v>
      </c>
      <c r="Q1688" t="s">
        <v>4852</v>
      </c>
      <c r="R1688" t="s">
        <v>4773</v>
      </c>
    </row>
    <row r="1689" spans="1:18" x14ac:dyDescent="0.3">
      <c r="A1689">
        <v>201442</v>
      </c>
      <c r="B1689" t="s">
        <v>1034</v>
      </c>
      <c r="C1689" t="s">
        <v>522</v>
      </c>
      <c r="D1689" t="s">
        <v>50</v>
      </c>
      <c r="E1689" s="1">
        <v>46020</v>
      </c>
      <c r="F1689" t="s">
        <v>4352</v>
      </c>
      <c r="G1689" t="s">
        <v>3508</v>
      </c>
      <c r="H1689" t="s">
        <v>521</v>
      </c>
      <c r="I1689" t="s">
        <v>204</v>
      </c>
      <c r="J1689" s="1">
        <v>46387</v>
      </c>
      <c r="K1689" t="s">
        <v>717</v>
      </c>
      <c r="L1689">
        <v>562.80999999999995</v>
      </c>
      <c r="M1689">
        <v>562.80999999999995</v>
      </c>
      <c r="N1689" t="s">
        <v>884</v>
      </c>
      <c r="O1689" t="s">
        <v>1037</v>
      </c>
      <c r="P1689" t="s">
        <v>4776</v>
      </c>
      <c r="Q1689" t="s">
        <v>4852</v>
      </c>
      <c r="R1689" t="s">
        <v>4773</v>
      </c>
    </row>
    <row r="1690" spans="1:18" x14ac:dyDescent="0.3">
      <c r="A1690">
        <v>28240</v>
      </c>
      <c r="B1690" t="s">
        <v>4875</v>
      </c>
      <c r="C1690" t="s">
        <v>609</v>
      </c>
      <c r="D1690" t="s">
        <v>182</v>
      </c>
      <c r="E1690" s="1">
        <v>46017</v>
      </c>
      <c r="F1690" t="s">
        <v>4336</v>
      </c>
      <c r="G1690" t="s">
        <v>3483</v>
      </c>
      <c r="H1690" t="s">
        <v>610</v>
      </c>
      <c r="I1690" t="s">
        <v>204</v>
      </c>
      <c r="J1690" s="1">
        <v>46282</v>
      </c>
      <c r="K1690" t="s">
        <v>768</v>
      </c>
      <c r="L1690">
        <v>1</v>
      </c>
      <c r="M1690">
        <v>5606.16</v>
      </c>
      <c r="N1690" t="s">
        <v>710</v>
      </c>
      <c r="O1690" t="s">
        <v>1037</v>
      </c>
      <c r="P1690" t="s">
        <v>4794</v>
      </c>
      <c r="Q1690" t="s">
        <v>4852</v>
      </c>
      <c r="R1690" t="s">
        <v>4772</v>
      </c>
    </row>
    <row r="1691" spans="1:18" x14ac:dyDescent="0.3">
      <c r="A1691">
        <v>42724</v>
      </c>
      <c r="B1691" t="s">
        <v>1034</v>
      </c>
      <c r="C1691" t="s">
        <v>327</v>
      </c>
      <c r="D1691" t="s">
        <v>159</v>
      </c>
      <c r="E1691" s="1">
        <v>46017</v>
      </c>
      <c r="F1691" t="s">
        <v>4296</v>
      </c>
      <c r="G1691" t="s">
        <v>3496</v>
      </c>
      <c r="H1691" t="s">
        <v>357</v>
      </c>
      <c r="I1691" t="s">
        <v>204</v>
      </c>
      <c r="J1691" s="1">
        <v>46476</v>
      </c>
      <c r="K1691" t="s">
        <v>711</v>
      </c>
      <c r="L1691">
        <v>2393.35</v>
      </c>
      <c r="M1691">
        <v>2393.35</v>
      </c>
      <c r="N1691" t="s">
        <v>890</v>
      </c>
      <c r="O1691" t="s">
        <v>4834</v>
      </c>
      <c r="P1691" t="s">
        <v>4776</v>
      </c>
      <c r="Q1691" t="s">
        <v>4901</v>
      </c>
      <c r="R1691" t="s">
        <v>4773</v>
      </c>
    </row>
    <row r="1692" spans="1:18" x14ac:dyDescent="0.3">
      <c r="A1692">
        <v>9956</v>
      </c>
      <c r="B1692" t="s">
        <v>4875</v>
      </c>
      <c r="C1692" t="s">
        <v>594</v>
      </c>
      <c r="D1692" t="s">
        <v>27</v>
      </c>
      <c r="E1692" s="1">
        <v>46017</v>
      </c>
      <c r="F1692" t="s">
        <v>4323</v>
      </c>
      <c r="G1692" t="s">
        <v>3451</v>
      </c>
      <c r="H1692" t="s">
        <v>596</v>
      </c>
      <c r="I1692" t="s">
        <v>204</v>
      </c>
      <c r="J1692" s="1">
        <v>46204</v>
      </c>
      <c r="K1692" t="s">
        <v>768</v>
      </c>
      <c r="L1692">
        <v>1</v>
      </c>
      <c r="M1692">
        <v>14746.14</v>
      </c>
      <c r="N1692" t="s">
        <v>814</v>
      </c>
      <c r="O1692" t="s">
        <v>1037</v>
      </c>
      <c r="P1692" t="s">
        <v>4794</v>
      </c>
      <c r="Q1692" t="s">
        <v>4852</v>
      </c>
      <c r="R1692" t="s">
        <v>4772</v>
      </c>
    </row>
    <row r="1693" spans="1:18" x14ac:dyDescent="0.3">
      <c r="A1693">
        <v>42732</v>
      </c>
      <c r="B1693" t="s">
        <v>1034</v>
      </c>
      <c r="C1693" t="s">
        <v>327</v>
      </c>
      <c r="D1693" t="s">
        <v>159</v>
      </c>
      <c r="E1693" s="1">
        <v>46017</v>
      </c>
      <c r="F1693" t="s">
        <v>4296</v>
      </c>
      <c r="G1693" t="s">
        <v>3497</v>
      </c>
      <c r="H1693" t="s">
        <v>357</v>
      </c>
      <c r="I1693" t="s">
        <v>204</v>
      </c>
      <c r="J1693" s="1">
        <v>46476</v>
      </c>
      <c r="K1693" t="s">
        <v>711</v>
      </c>
      <c r="L1693">
        <v>1355.23</v>
      </c>
      <c r="M1693">
        <v>1355.23</v>
      </c>
      <c r="N1693" t="s">
        <v>890</v>
      </c>
      <c r="O1693" t="s">
        <v>4834</v>
      </c>
      <c r="P1693" t="s">
        <v>4776</v>
      </c>
      <c r="Q1693" t="s">
        <v>4901</v>
      </c>
      <c r="R1693" t="s">
        <v>4773</v>
      </c>
    </row>
    <row r="1694" spans="1:18" x14ac:dyDescent="0.3">
      <c r="A1694">
        <v>162583</v>
      </c>
      <c r="B1694" t="s">
        <v>1034</v>
      </c>
      <c r="C1694" t="s">
        <v>415</v>
      </c>
      <c r="D1694" t="s">
        <v>60</v>
      </c>
      <c r="E1694" s="1">
        <v>46017</v>
      </c>
      <c r="F1694" t="s">
        <v>4333</v>
      </c>
      <c r="G1694" t="s">
        <v>3480</v>
      </c>
      <c r="H1694" t="s">
        <v>431</v>
      </c>
      <c r="I1694" t="s">
        <v>204</v>
      </c>
      <c r="J1694" s="1">
        <v>46386</v>
      </c>
      <c r="K1694" t="s">
        <v>717</v>
      </c>
      <c r="L1694">
        <v>10611.99</v>
      </c>
      <c r="M1694">
        <v>10611.99</v>
      </c>
      <c r="N1694" t="s">
        <v>814</v>
      </c>
      <c r="O1694" t="s">
        <v>1037</v>
      </c>
      <c r="P1694" t="s">
        <v>4807</v>
      </c>
      <c r="Q1694" t="s">
        <v>4852</v>
      </c>
      <c r="R1694" t="s">
        <v>4771</v>
      </c>
    </row>
    <row r="1695" spans="1:18" x14ac:dyDescent="0.3">
      <c r="A1695">
        <v>28241</v>
      </c>
      <c r="B1695" t="s">
        <v>1034</v>
      </c>
      <c r="C1695" t="s">
        <v>609</v>
      </c>
      <c r="D1695" t="s">
        <v>182</v>
      </c>
      <c r="E1695" s="1">
        <v>46017</v>
      </c>
      <c r="F1695" t="s">
        <v>4336</v>
      </c>
      <c r="G1695" t="s">
        <v>3484</v>
      </c>
      <c r="H1695" t="s">
        <v>608</v>
      </c>
      <c r="I1695" t="s">
        <v>204</v>
      </c>
      <c r="J1695" s="1">
        <v>46281</v>
      </c>
      <c r="K1695" t="s">
        <v>717</v>
      </c>
      <c r="L1695">
        <v>1</v>
      </c>
      <c r="M1695">
        <v>22178.65</v>
      </c>
      <c r="N1695" t="s">
        <v>719</v>
      </c>
      <c r="O1695" t="s">
        <v>1037</v>
      </c>
      <c r="P1695" t="s">
        <v>4794</v>
      </c>
      <c r="Q1695" t="s">
        <v>4852</v>
      </c>
      <c r="R1695" t="s">
        <v>4772</v>
      </c>
    </row>
    <row r="1696" spans="1:18" x14ac:dyDescent="0.3">
      <c r="A1696">
        <v>9947</v>
      </c>
      <c r="B1696" t="s">
        <v>4874</v>
      </c>
      <c r="C1696" t="s">
        <v>594</v>
      </c>
      <c r="D1696" t="s">
        <v>27</v>
      </c>
      <c r="E1696" s="1">
        <v>46017</v>
      </c>
      <c r="F1696" t="s">
        <v>4323</v>
      </c>
      <c r="G1696" t="s">
        <v>3452</v>
      </c>
      <c r="H1696" t="s">
        <v>593</v>
      </c>
      <c r="I1696" t="s">
        <v>204</v>
      </c>
      <c r="J1696" s="1">
        <v>46204</v>
      </c>
      <c r="K1696" t="s">
        <v>762</v>
      </c>
      <c r="L1696">
        <v>1</v>
      </c>
      <c r="M1696">
        <v>473788.41</v>
      </c>
      <c r="N1696" t="s">
        <v>814</v>
      </c>
      <c r="O1696" t="s">
        <v>1037</v>
      </c>
      <c r="P1696" t="s">
        <v>4794</v>
      </c>
      <c r="Q1696" t="s">
        <v>4852</v>
      </c>
      <c r="R1696" t="s">
        <v>4772</v>
      </c>
    </row>
    <row r="1697" spans="1:18" x14ac:dyDescent="0.3">
      <c r="A1697">
        <v>65431029</v>
      </c>
      <c r="B1697" t="s">
        <v>4874</v>
      </c>
      <c r="C1697" t="s">
        <v>653</v>
      </c>
      <c r="D1697" t="s">
        <v>14</v>
      </c>
      <c r="E1697" s="1">
        <v>46017</v>
      </c>
      <c r="F1697" t="s">
        <v>4336</v>
      </c>
      <c r="G1697" t="s">
        <v>3477</v>
      </c>
      <c r="H1697" t="s">
        <v>652</v>
      </c>
      <c r="I1697" t="s">
        <v>204</v>
      </c>
      <c r="J1697" s="1">
        <v>46583</v>
      </c>
      <c r="K1697" t="s">
        <v>762</v>
      </c>
      <c r="L1697">
        <v>1</v>
      </c>
      <c r="M1697">
        <v>82756.06</v>
      </c>
      <c r="N1697" t="s">
        <v>710</v>
      </c>
      <c r="O1697" t="s">
        <v>1037</v>
      </c>
      <c r="P1697" t="s">
        <v>4794</v>
      </c>
      <c r="Q1697" t="s">
        <v>4852</v>
      </c>
      <c r="R1697" t="s">
        <v>807</v>
      </c>
    </row>
    <row r="1698" spans="1:18" x14ac:dyDescent="0.3">
      <c r="A1698">
        <v>3408</v>
      </c>
      <c r="B1698" t="s">
        <v>4874</v>
      </c>
      <c r="C1698" t="s">
        <v>572</v>
      </c>
      <c r="D1698" t="s">
        <v>43</v>
      </c>
      <c r="E1698" s="1">
        <v>46017</v>
      </c>
      <c r="F1698" t="s">
        <v>4321</v>
      </c>
      <c r="G1698" t="s">
        <v>3501</v>
      </c>
      <c r="H1698" t="s">
        <v>571</v>
      </c>
      <c r="I1698" t="s">
        <v>204</v>
      </c>
      <c r="J1698" s="1">
        <v>46387</v>
      </c>
      <c r="K1698" t="s">
        <v>720</v>
      </c>
      <c r="L1698">
        <v>1</v>
      </c>
      <c r="M1698">
        <v>10120</v>
      </c>
      <c r="N1698" t="s">
        <v>814</v>
      </c>
      <c r="O1698" t="s">
        <v>1038</v>
      </c>
      <c r="P1698" t="s">
        <v>4782</v>
      </c>
      <c r="Q1698" t="s">
        <v>4858</v>
      </c>
      <c r="R1698" t="s">
        <v>4771</v>
      </c>
    </row>
    <row r="1699" spans="1:18" x14ac:dyDescent="0.3">
      <c r="A1699">
        <v>42733</v>
      </c>
      <c r="B1699" t="s">
        <v>1034</v>
      </c>
      <c r="C1699" t="s">
        <v>327</v>
      </c>
      <c r="D1699" t="s">
        <v>159</v>
      </c>
      <c r="E1699" s="1">
        <v>46017</v>
      </c>
      <c r="F1699" t="s">
        <v>4295</v>
      </c>
      <c r="G1699" t="s">
        <v>3498</v>
      </c>
      <c r="H1699" t="s">
        <v>357</v>
      </c>
      <c r="I1699" t="s">
        <v>204</v>
      </c>
      <c r="J1699" s="1">
        <v>46476</v>
      </c>
      <c r="K1699" t="s">
        <v>711</v>
      </c>
      <c r="L1699">
        <v>2150</v>
      </c>
      <c r="M1699">
        <v>2150</v>
      </c>
      <c r="N1699" t="s">
        <v>890</v>
      </c>
      <c r="O1699" t="s">
        <v>4834</v>
      </c>
      <c r="P1699" t="s">
        <v>4776</v>
      </c>
      <c r="Q1699" t="s">
        <v>4901</v>
      </c>
      <c r="R1699" t="s">
        <v>4773</v>
      </c>
    </row>
    <row r="1700" spans="1:18" x14ac:dyDescent="0.3">
      <c r="A1700">
        <v>1074530</v>
      </c>
      <c r="B1700" t="s">
        <v>4874</v>
      </c>
      <c r="C1700" t="s">
        <v>433</v>
      </c>
      <c r="D1700" t="s">
        <v>168</v>
      </c>
      <c r="E1700" s="1">
        <v>46014</v>
      </c>
      <c r="F1700" t="s">
        <v>4319</v>
      </c>
      <c r="G1700" t="s">
        <v>3502</v>
      </c>
      <c r="H1700" t="s">
        <v>432</v>
      </c>
      <c r="I1700" t="s">
        <v>204</v>
      </c>
      <c r="J1700" s="1">
        <v>46473</v>
      </c>
      <c r="K1700" t="s">
        <v>762</v>
      </c>
      <c r="L1700">
        <v>111</v>
      </c>
      <c r="M1700">
        <v>111.3</v>
      </c>
      <c r="N1700" t="s">
        <v>710</v>
      </c>
      <c r="O1700" t="s">
        <v>4833</v>
      </c>
      <c r="P1700" t="s">
        <v>4802</v>
      </c>
      <c r="Q1700" t="s">
        <v>4852</v>
      </c>
      <c r="R1700" t="s">
        <v>4771</v>
      </c>
    </row>
    <row r="1701" spans="1:18" x14ac:dyDescent="0.3">
      <c r="A1701">
        <v>10857</v>
      </c>
      <c r="B1701" t="s">
        <v>4874</v>
      </c>
      <c r="C1701" t="s">
        <v>598</v>
      </c>
      <c r="D1701" t="s">
        <v>128</v>
      </c>
      <c r="E1701" s="1">
        <v>46014</v>
      </c>
      <c r="F1701" t="s">
        <v>4336</v>
      </c>
      <c r="G1701" t="s">
        <v>3453</v>
      </c>
      <c r="H1701" t="s">
        <v>599</v>
      </c>
      <c r="I1701" t="s">
        <v>204</v>
      </c>
      <c r="J1701" s="1">
        <v>45869</v>
      </c>
      <c r="K1701" t="s">
        <v>762</v>
      </c>
      <c r="L1701">
        <v>1</v>
      </c>
      <c r="M1701">
        <v>3989.06</v>
      </c>
      <c r="N1701" t="s">
        <v>710</v>
      </c>
      <c r="O1701" t="s">
        <v>1037</v>
      </c>
      <c r="P1701" t="s">
        <v>4794</v>
      </c>
      <c r="Q1701" t="s">
        <v>4852</v>
      </c>
      <c r="R1701" t="s">
        <v>4772</v>
      </c>
    </row>
    <row r="1702" spans="1:18" x14ac:dyDescent="0.3">
      <c r="A1702">
        <v>10865</v>
      </c>
      <c r="B1702" t="s">
        <v>1034</v>
      </c>
      <c r="C1702" t="s">
        <v>598</v>
      </c>
      <c r="D1702" t="s">
        <v>128</v>
      </c>
      <c r="E1702" s="1">
        <v>46014</v>
      </c>
      <c r="F1702" t="s">
        <v>4336</v>
      </c>
      <c r="G1702" t="s">
        <v>3454</v>
      </c>
      <c r="H1702" t="s">
        <v>597</v>
      </c>
      <c r="I1702" t="s">
        <v>204</v>
      </c>
      <c r="J1702" s="1">
        <v>45839</v>
      </c>
      <c r="K1702" t="s">
        <v>717</v>
      </c>
      <c r="L1702">
        <v>1</v>
      </c>
      <c r="M1702">
        <v>4659.55</v>
      </c>
      <c r="N1702" t="s">
        <v>710</v>
      </c>
      <c r="O1702" t="s">
        <v>1037</v>
      </c>
      <c r="P1702" t="s">
        <v>4794</v>
      </c>
      <c r="Q1702" t="s">
        <v>4852</v>
      </c>
      <c r="R1702" t="s">
        <v>4772</v>
      </c>
    </row>
    <row r="1703" spans="1:18" x14ac:dyDescent="0.3">
      <c r="A1703">
        <v>28200</v>
      </c>
      <c r="B1703" t="s">
        <v>4875</v>
      </c>
      <c r="C1703" t="s">
        <v>609</v>
      </c>
      <c r="D1703" t="s">
        <v>182</v>
      </c>
      <c r="E1703" s="1">
        <v>46014</v>
      </c>
      <c r="F1703" t="s">
        <v>4336</v>
      </c>
      <c r="G1703" t="s">
        <v>3479</v>
      </c>
      <c r="H1703" t="s">
        <v>610</v>
      </c>
      <c r="I1703" t="s">
        <v>204</v>
      </c>
      <c r="J1703" s="1">
        <v>46282</v>
      </c>
      <c r="K1703" t="s">
        <v>768</v>
      </c>
      <c r="L1703">
        <v>1</v>
      </c>
      <c r="M1703">
        <v>62334.68</v>
      </c>
      <c r="N1703" t="s">
        <v>710</v>
      </c>
      <c r="O1703" t="s">
        <v>1037</v>
      </c>
      <c r="P1703" t="s">
        <v>4794</v>
      </c>
      <c r="Q1703" t="s">
        <v>4852</v>
      </c>
      <c r="R1703" t="s">
        <v>4772</v>
      </c>
    </row>
    <row r="1704" spans="1:18" x14ac:dyDescent="0.3">
      <c r="A1704">
        <v>336</v>
      </c>
      <c r="B1704" t="s">
        <v>1034</v>
      </c>
      <c r="C1704" t="s">
        <v>479</v>
      </c>
      <c r="D1704" t="s">
        <v>99</v>
      </c>
      <c r="E1704" s="1">
        <v>46014</v>
      </c>
      <c r="F1704" t="s">
        <v>4375</v>
      </c>
      <c r="G1704" t="s">
        <v>3491</v>
      </c>
      <c r="H1704" t="s">
        <v>478</v>
      </c>
      <c r="I1704" t="s">
        <v>204</v>
      </c>
      <c r="J1704" s="1">
        <v>46239</v>
      </c>
      <c r="K1704" t="s">
        <v>717</v>
      </c>
      <c r="L1704">
        <v>1</v>
      </c>
      <c r="M1704">
        <v>11.98</v>
      </c>
      <c r="N1704" t="s">
        <v>710</v>
      </c>
      <c r="O1704" t="s">
        <v>1037</v>
      </c>
      <c r="P1704" t="s">
        <v>4790</v>
      </c>
      <c r="Q1704" t="s">
        <v>4852</v>
      </c>
      <c r="R1704" t="s">
        <v>4772</v>
      </c>
    </row>
    <row r="1705" spans="1:18" x14ac:dyDescent="0.3">
      <c r="A1705">
        <v>336</v>
      </c>
      <c r="B1705" t="s">
        <v>1034</v>
      </c>
      <c r="C1705" t="s">
        <v>479</v>
      </c>
      <c r="D1705" t="s">
        <v>99</v>
      </c>
      <c r="E1705" s="1">
        <v>46014</v>
      </c>
      <c r="F1705" t="s">
        <v>4376</v>
      </c>
      <c r="G1705" t="s">
        <v>3491</v>
      </c>
      <c r="H1705" t="s">
        <v>478</v>
      </c>
      <c r="I1705" t="s">
        <v>204</v>
      </c>
      <c r="J1705" s="1">
        <v>46239</v>
      </c>
      <c r="K1705" t="s">
        <v>717</v>
      </c>
      <c r="L1705">
        <v>1</v>
      </c>
      <c r="M1705">
        <v>11.98</v>
      </c>
      <c r="N1705" t="s">
        <v>710</v>
      </c>
      <c r="O1705" t="s">
        <v>1037</v>
      </c>
      <c r="P1705" t="s">
        <v>4790</v>
      </c>
      <c r="Q1705" t="s">
        <v>4852</v>
      </c>
      <c r="R1705" t="s">
        <v>4772</v>
      </c>
    </row>
    <row r="1706" spans="1:18" x14ac:dyDescent="0.3">
      <c r="A1706">
        <v>202530</v>
      </c>
      <c r="B1706" t="s">
        <v>1034</v>
      </c>
      <c r="C1706" t="s">
        <v>516</v>
      </c>
      <c r="D1706" t="s">
        <v>12</v>
      </c>
      <c r="E1706" s="1">
        <v>46014</v>
      </c>
      <c r="F1706" t="s">
        <v>4337</v>
      </c>
      <c r="G1706" t="s">
        <v>3485</v>
      </c>
      <c r="H1706" t="s">
        <v>515</v>
      </c>
      <c r="I1706" t="s">
        <v>204</v>
      </c>
      <c r="J1706" s="1">
        <v>46489</v>
      </c>
      <c r="K1706" t="s">
        <v>711</v>
      </c>
      <c r="L1706">
        <v>3450</v>
      </c>
      <c r="M1706">
        <v>3450</v>
      </c>
      <c r="N1706" t="s">
        <v>884</v>
      </c>
      <c r="O1706" t="s">
        <v>1037</v>
      </c>
      <c r="P1706" t="s">
        <v>4776</v>
      </c>
      <c r="Q1706" t="s">
        <v>4852</v>
      </c>
      <c r="R1706" t="s">
        <v>4772</v>
      </c>
    </row>
    <row r="1707" spans="1:18" x14ac:dyDescent="0.3">
      <c r="A1707">
        <v>20251454</v>
      </c>
      <c r="B1707" t="s">
        <v>1034</v>
      </c>
      <c r="C1707" t="s">
        <v>675</v>
      </c>
      <c r="D1707" t="s">
        <v>177</v>
      </c>
      <c r="E1707" s="1">
        <v>46014</v>
      </c>
      <c r="F1707" t="s">
        <v>4380</v>
      </c>
      <c r="G1707" t="s">
        <v>3434</v>
      </c>
      <c r="H1707" t="s">
        <v>676</v>
      </c>
      <c r="I1707" t="s">
        <v>204</v>
      </c>
      <c r="J1707" s="1">
        <v>46356</v>
      </c>
      <c r="K1707" t="s">
        <v>768</v>
      </c>
      <c r="L1707">
        <v>640</v>
      </c>
      <c r="M1707">
        <v>640</v>
      </c>
      <c r="N1707" t="s">
        <v>818</v>
      </c>
      <c r="O1707" t="s">
        <v>1037</v>
      </c>
      <c r="P1707" t="s">
        <v>4776</v>
      </c>
      <c r="Q1707" t="s">
        <v>4852</v>
      </c>
      <c r="R1707" t="s">
        <v>807</v>
      </c>
    </row>
    <row r="1708" spans="1:18" x14ac:dyDescent="0.3">
      <c r="A1708">
        <v>42590</v>
      </c>
      <c r="B1708" t="s">
        <v>1034</v>
      </c>
      <c r="C1708" t="s">
        <v>327</v>
      </c>
      <c r="D1708" t="s">
        <v>159</v>
      </c>
      <c r="E1708" s="1">
        <v>46014</v>
      </c>
      <c r="F1708" t="s">
        <v>4295</v>
      </c>
      <c r="G1708" t="s">
        <v>3319</v>
      </c>
      <c r="H1708" t="s">
        <v>357</v>
      </c>
      <c r="I1708" t="s">
        <v>204</v>
      </c>
      <c r="J1708" s="1">
        <v>46476</v>
      </c>
      <c r="K1708" t="s">
        <v>711</v>
      </c>
      <c r="L1708">
        <v>2150</v>
      </c>
      <c r="M1708">
        <v>2150</v>
      </c>
      <c r="N1708" t="s">
        <v>890</v>
      </c>
      <c r="O1708" t="s">
        <v>4834</v>
      </c>
      <c r="P1708" t="s">
        <v>4776</v>
      </c>
      <c r="Q1708" t="s">
        <v>4901</v>
      </c>
      <c r="R1708" t="s">
        <v>4773</v>
      </c>
    </row>
    <row r="1709" spans="1:18" x14ac:dyDescent="0.3">
      <c r="A1709">
        <v>336</v>
      </c>
      <c r="B1709" t="s">
        <v>1034</v>
      </c>
      <c r="C1709" t="s">
        <v>479</v>
      </c>
      <c r="D1709" t="s">
        <v>99</v>
      </c>
      <c r="E1709" s="1">
        <v>46014</v>
      </c>
      <c r="F1709" t="s">
        <v>4374</v>
      </c>
      <c r="G1709" t="s">
        <v>3491</v>
      </c>
      <c r="H1709" t="s">
        <v>478</v>
      </c>
      <c r="I1709" t="s">
        <v>204</v>
      </c>
      <c r="J1709" s="1">
        <v>46239</v>
      </c>
      <c r="K1709" t="s">
        <v>717</v>
      </c>
      <c r="L1709">
        <v>1</v>
      </c>
      <c r="M1709">
        <v>22.53</v>
      </c>
      <c r="N1709" t="s">
        <v>710</v>
      </c>
      <c r="O1709" t="s">
        <v>1037</v>
      </c>
      <c r="P1709" t="s">
        <v>4790</v>
      </c>
      <c r="Q1709" t="s">
        <v>4852</v>
      </c>
      <c r="R1709" t="s">
        <v>4772</v>
      </c>
    </row>
    <row r="1710" spans="1:18" x14ac:dyDescent="0.3">
      <c r="A1710">
        <v>28201</v>
      </c>
      <c r="B1710" t="s">
        <v>1034</v>
      </c>
      <c r="C1710" t="s">
        <v>609</v>
      </c>
      <c r="D1710" t="s">
        <v>182</v>
      </c>
      <c r="E1710" s="1">
        <v>46014</v>
      </c>
      <c r="F1710" t="s">
        <v>4336</v>
      </c>
      <c r="G1710" t="s">
        <v>3478</v>
      </c>
      <c r="H1710" t="s">
        <v>608</v>
      </c>
      <c r="I1710" t="s">
        <v>204</v>
      </c>
      <c r="J1710" s="1">
        <v>46281</v>
      </c>
      <c r="K1710" t="s">
        <v>717</v>
      </c>
      <c r="L1710">
        <v>1</v>
      </c>
      <c r="M1710">
        <v>207346</v>
      </c>
      <c r="N1710" t="s">
        <v>719</v>
      </c>
      <c r="O1710" t="s">
        <v>1037</v>
      </c>
      <c r="P1710" t="s">
        <v>4794</v>
      </c>
      <c r="Q1710" t="s">
        <v>4852</v>
      </c>
      <c r="R1710" t="s">
        <v>4772</v>
      </c>
    </row>
    <row r="1711" spans="1:18" x14ac:dyDescent="0.3">
      <c r="A1711">
        <v>336</v>
      </c>
      <c r="B1711" t="s">
        <v>1034</v>
      </c>
      <c r="C1711" t="s">
        <v>479</v>
      </c>
      <c r="D1711" t="s">
        <v>99</v>
      </c>
      <c r="E1711" s="1">
        <v>46014</v>
      </c>
      <c r="F1711" t="s">
        <v>4373</v>
      </c>
      <c r="G1711" t="s">
        <v>3491</v>
      </c>
      <c r="H1711" t="s">
        <v>478</v>
      </c>
      <c r="I1711" t="s">
        <v>204</v>
      </c>
      <c r="J1711" s="1">
        <v>46239</v>
      </c>
      <c r="K1711" t="s">
        <v>717</v>
      </c>
      <c r="L1711">
        <v>5</v>
      </c>
      <c r="M1711">
        <v>77.099999999999994</v>
      </c>
      <c r="N1711" t="s">
        <v>710</v>
      </c>
      <c r="O1711" t="s">
        <v>1037</v>
      </c>
      <c r="P1711" t="s">
        <v>4790</v>
      </c>
      <c r="Q1711" t="s">
        <v>4852</v>
      </c>
      <c r="R1711" t="s">
        <v>4772</v>
      </c>
    </row>
    <row r="1712" spans="1:18" x14ac:dyDescent="0.3">
      <c r="A1712">
        <v>10873</v>
      </c>
      <c r="B1712" t="s">
        <v>4875</v>
      </c>
      <c r="C1712" t="s">
        <v>598</v>
      </c>
      <c r="D1712" t="s">
        <v>128</v>
      </c>
      <c r="E1712" s="1">
        <v>46014</v>
      </c>
      <c r="F1712" t="s">
        <v>4336</v>
      </c>
      <c r="G1712" t="s">
        <v>3455</v>
      </c>
      <c r="H1712" t="s">
        <v>600</v>
      </c>
      <c r="I1712" t="s">
        <v>204</v>
      </c>
      <c r="J1712" s="1">
        <v>45869</v>
      </c>
      <c r="K1712" t="s">
        <v>768</v>
      </c>
      <c r="L1712">
        <v>1</v>
      </c>
      <c r="M1712">
        <v>914.94</v>
      </c>
      <c r="N1712" t="s">
        <v>710</v>
      </c>
      <c r="O1712" t="s">
        <v>1037</v>
      </c>
      <c r="P1712" t="s">
        <v>4794</v>
      </c>
      <c r="Q1712" t="s">
        <v>4852</v>
      </c>
      <c r="R1712" t="s">
        <v>4772</v>
      </c>
    </row>
    <row r="1713" spans="1:18" x14ac:dyDescent="0.3">
      <c r="A1713">
        <v>7181</v>
      </c>
      <c r="B1713" t="s">
        <v>1035</v>
      </c>
      <c r="C1713" t="s">
        <v>230</v>
      </c>
      <c r="D1713" t="s">
        <v>85</v>
      </c>
      <c r="E1713" s="1">
        <v>46013</v>
      </c>
      <c r="F1713" t="s">
        <v>4409</v>
      </c>
      <c r="G1713" t="s">
        <v>3306</v>
      </c>
      <c r="H1713" t="s">
        <v>229</v>
      </c>
      <c r="I1713" t="s">
        <v>204</v>
      </c>
      <c r="J1713" s="1">
        <v>46203</v>
      </c>
      <c r="K1713" t="s">
        <v>744</v>
      </c>
      <c r="L1713">
        <v>1</v>
      </c>
      <c r="M1713">
        <v>529.23</v>
      </c>
      <c r="N1713" t="s">
        <v>710</v>
      </c>
      <c r="O1713" t="s">
        <v>1033</v>
      </c>
      <c r="P1713" t="s">
        <v>4781</v>
      </c>
      <c r="Q1713" t="s">
        <v>4852</v>
      </c>
      <c r="R1713" t="s">
        <v>4771</v>
      </c>
    </row>
    <row r="1714" spans="1:18" x14ac:dyDescent="0.3">
      <c r="A1714">
        <v>42723</v>
      </c>
      <c r="B1714" t="s">
        <v>1034</v>
      </c>
      <c r="C1714" t="s">
        <v>327</v>
      </c>
      <c r="D1714" t="s">
        <v>159</v>
      </c>
      <c r="E1714" s="1">
        <v>46013</v>
      </c>
      <c r="F1714" t="s">
        <v>4295</v>
      </c>
      <c r="G1714" t="s">
        <v>3474</v>
      </c>
      <c r="H1714" t="s">
        <v>357</v>
      </c>
      <c r="I1714" t="s">
        <v>204</v>
      </c>
      <c r="J1714" s="1">
        <v>46476</v>
      </c>
      <c r="K1714" t="s">
        <v>711</v>
      </c>
      <c r="L1714">
        <v>2150</v>
      </c>
      <c r="M1714">
        <v>2150</v>
      </c>
      <c r="N1714" t="s">
        <v>890</v>
      </c>
      <c r="O1714" t="s">
        <v>4834</v>
      </c>
      <c r="P1714" t="s">
        <v>4776</v>
      </c>
      <c r="Q1714" t="s">
        <v>4901</v>
      </c>
      <c r="R1714" t="s">
        <v>4773</v>
      </c>
    </row>
    <row r="1715" spans="1:18" x14ac:dyDescent="0.3">
      <c r="A1715">
        <v>219</v>
      </c>
      <c r="B1715" t="s">
        <v>4874</v>
      </c>
      <c r="C1715" t="s">
        <v>568</v>
      </c>
      <c r="D1715" t="s">
        <v>64</v>
      </c>
      <c r="E1715" s="1">
        <v>46013</v>
      </c>
      <c r="F1715" t="s">
        <v>4321</v>
      </c>
      <c r="G1715" t="s">
        <v>3472</v>
      </c>
      <c r="H1715" t="s">
        <v>576</v>
      </c>
      <c r="I1715" t="s">
        <v>209</v>
      </c>
      <c r="J1715" s="1">
        <v>46262</v>
      </c>
      <c r="K1715" t="s">
        <v>762</v>
      </c>
      <c r="L1715">
        <v>1</v>
      </c>
      <c r="M1715">
        <v>1000</v>
      </c>
      <c r="N1715" t="s">
        <v>710</v>
      </c>
      <c r="O1715" t="s">
        <v>1038</v>
      </c>
      <c r="P1715" t="s">
        <v>4782</v>
      </c>
      <c r="Q1715" t="s">
        <v>4858</v>
      </c>
      <c r="R1715" t="s">
        <v>4771</v>
      </c>
    </row>
    <row r="1716" spans="1:18" x14ac:dyDescent="0.3">
      <c r="A1716">
        <v>32526</v>
      </c>
      <c r="B1716" t="s">
        <v>4874</v>
      </c>
      <c r="C1716" t="s">
        <v>680</v>
      </c>
      <c r="D1716" t="s">
        <v>86</v>
      </c>
      <c r="E1716" s="1">
        <v>46013</v>
      </c>
      <c r="F1716" t="s">
        <v>4402</v>
      </c>
      <c r="G1716" t="s">
        <v>3486</v>
      </c>
      <c r="H1716" t="s">
        <v>679</v>
      </c>
      <c r="I1716" t="s">
        <v>204</v>
      </c>
      <c r="J1716" s="1">
        <v>47118</v>
      </c>
      <c r="K1716" t="s">
        <v>839</v>
      </c>
      <c r="L1716">
        <v>1</v>
      </c>
      <c r="M1716">
        <v>47502.93</v>
      </c>
      <c r="N1716" t="s">
        <v>710</v>
      </c>
      <c r="O1716" t="s">
        <v>4833</v>
      </c>
      <c r="P1716" t="s">
        <v>4800</v>
      </c>
      <c r="Q1716" t="s">
        <v>4852</v>
      </c>
      <c r="R1716" t="s">
        <v>807</v>
      </c>
    </row>
    <row r="1717" spans="1:18" x14ac:dyDescent="0.3">
      <c r="A1717">
        <v>32525</v>
      </c>
      <c r="B1717" t="s">
        <v>4874</v>
      </c>
      <c r="C1717" t="s">
        <v>680</v>
      </c>
      <c r="D1717" t="s">
        <v>86</v>
      </c>
      <c r="E1717" s="1">
        <v>46013</v>
      </c>
      <c r="F1717" t="s">
        <v>4402</v>
      </c>
      <c r="G1717" t="s">
        <v>3486</v>
      </c>
      <c r="H1717" t="s">
        <v>679</v>
      </c>
      <c r="I1717" t="s">
        <v>204</v>
      </c>
      <c r="J1717" s="1">
        <v>47118</v>
      </c>
      <c r="K1717" t="s">
        <v>839</v>
      </c>
      <c r="L1717">
        <v>1</v>
      </c>
      <c r="M1717">
        <v>21627.77</v>
      </c>
      <c r="N1717" t="s">
        <v>710</v>
      </c>
      <c r="O1717" t="s">
        <v>4833</v>
      </c>
      <c r="P1717" t="s">
        <v>4800</v>
      </c>
      <c r="Q1717" t="s">
        <v>4852</v>
      </c>
      <c r="R1717" t="s">
        <v>807</v>
      </c>
    </row>
    <row r="1718" spans="1:18" x14ac:dyDescent="0.3">
      <c r="A1718">
        <v>32524</v>
      </c>
      <c r="B1718" t="s">
        <v>4874</v>
      </c>
      <c r="C1718" t="s">
        <v>680</v>
      </c>
      <c r="D1718" t="s">
        <v>86</v>
      </c>
      <c r="E1718" s="1">
        <v>46013</v>
      </c>
      <c r="F1718" t="s">
        <v>4402</v>
      </c>
      <c r="G1718" t="s">
        <v>3486</v>
      </c>
      <c r="H1718" t="s">
        <v>679</v>
      </c>
      <c r="I1718" t="s">
        <v>204</v>
      </c>
      <c r="J1718" s="1">
        <v>47118</v>
      </c>
      <c r="K1718" t="s">
        <v>839</v>
      </c>
      <c r="L1718">
        <v>1</v>
      </c>
      <c r="M1718">
        <v>29931.919999999998</v>
      </c>
      <c r="N1718" t="s">
        <v>710</v>
      </c>
      <c r="O1718" t="s">
        <v>4833</v>
      </c>
      <c r="P1718" t="s">
        <v>4800</v>
      </c>
      <c r="Q1718" t="s">
        <v>4852</v>
      </c>
      <c r="R1718" t="s">
        <v>807</v>
      </c>
    </row>
    <row r="1719" spans="1:18" x14ac:dyDescent="0.3">
      <c r="A1719">
        <v>7044</v>
      </c>
      <c r="B1719" t="s">
        <v>1035</v>
      </c>
      <c r="C1719" t="s">
        <v>230</v>
      </c>
      <c r="D1719" t="s">
        <v>85</v>
      </c>
      <c r="E1719" s="1">
        <v>46013</v>
      </c>
      <c r="F1719" t="s">
        <v>4437</v>
      </c>
      <c r="G1719" t="s">
        <v>3304</v>
      </c>
      <c r="H1719" t="s">
        <v>229</v>
      </c>
      <c r="I1719" t="s">
        <v>204</v>
      </c>
      <c r="J1719" s="1">
        <v>46203</v>
      </c>
      <c r="K1719" t="s">
        <v>744</v>
      </c>
      <c r="L1719">
        <v>1</v>
      </c>
      <c r="M1719">
        <v>2311.86</v>
      </c>
      <c r="N1719" t="s">
        <v>710</v>
      </c>
      <c r="O1719" t="s">
        <v>1033</v>
      </c>
      <c r="P1719" t="s">
        <v>4781</v>
      </c>
      <c r="Q1719" t="s">
        <v>4852</v>
      </c>
      <c r="R1719" t="s">
        <v>4771</v>
      </c>
    </row>
    <row r="1720" spans="1:18" x14ac:dyDescent="0.3">
      <c r="A1720">
        <v>7197</v>
      </c>
      <c r="B1720" t="s">
        <v>1035</v>
      </c>
      <c r="C1720" t="s">
        <v>230</v>
      </c>
      <c r="D1720" t="s">
        <v>85</v>
      </c>
      <c r="E1720" s="1">
        <v>46013</v>
      </c>
      <c r="F1720" t="s">
        <v>4299</v>
      </c>
      <c r="G1720" t="s">
        <v>3306</v>
      </c>
      <c r="H1720" t="s">
        <v>229</v>
      </c>
      <c r="I1720" t="s">
        <v>204</v>
      </c>
      <c r="J1720" s="1">
        <v>46203</v>
      </c>
      <c r="K1720" t="s">
        <v>744</v>
      </c>
      <c r="L1720">
        <v>1</v>
      </c>
      <c r="M1720">
        <v>77.31</v>
      </c>
      <c r="N1720" t="s">
        <v>710</v>
      </c>
      <c r="O1720" t="s">
        <v>1033</v>
      </c>
      <c r="P1720" t="s">
        <v>4781</v>
      </c>
      <c r="Q1720" t="s">
        <v>4852</v>
      </c>
      <c r="R1720" t="s">
        <v>4771</v>
      </c>
    </row>
    <row r="1721" spans="1:18" x14ac:dyDescent="0.3">
      <c r="A1721">
        <v>7184</v>
      </c>
      <c r="B1721" t="s">
        <v>1035</v>
      </c>
      <c r="C1721" t="s">
        <v>230</v>
      </c>
      <c r="D1721" t="s">
        <v>85</v>
      </c>
      <c r="E1721" s="1">
        <v>46013</v>
      </c>
      <c r="F1721" t="s">
        <v>4436</v>
      </c>
      <c r="G1721" t="s">
        <v>3306</v>
      </c>
      <c r="H1721" t="s">
        <v>229</v>
      </c>
      <c r="I1721" t="s">
        <v>204</v>
      </c>
      <c r="J1721" s="1">
        <v>46203</v>
      </c>
      <c r="K1721" t="s">
        <v>744</v>
      </c>
      <c r="L1721">
        <v>1</v>
      </c>
      <c r="M1721">
        <v>1605.77</v>
      </c>
      <c r="N1721" t="s">
        <v>710</v>
      </c>
      <c r="O1721" t="s">
        <v>1033</v>
      </c>
      <c r="P1721" t="s">
        <v>4781</v>
      </c>
      <c r="Q1721" t="s">
        <v>4852</v>
      </c>
      <c r="R1721" t="s">
        <v>4771</v>
      </c>
    </row>
    <row r="1722" spans="1:18" x14ac:dyDescent="0.3">
      <c r="A1722">
        <v>2774939</v>
      </c>
      <c r="B1722" t="s">
        <v>1034</v>
      </c>
      <c r="C1722" t="s">
        <v>433</v>
      </c>
      <c r="D1722" t="s">
        <v>168</v>
      </c>
      <c r="E1722" s="1">
        <v>46010</v>
      </c>
      <c r="F1722" t="s">
        <v>4319</v>
      </c>
      <c r="G1722" t="s">
        <v>3489</v>
      </c>
      <c r="H1722" t="s">
        <v>432</v>
      </c>
      <c r="I1722" t="s">
        <v>204</v>
      </c>
      <c r="J1722" s="1">
        <v>46473</v>
      </c>
      <c r="K1722" t="s">
        <v>762</v>
      </c>
      <c r="L1722">
        <v>327</v>
      </c>
      <c r="M1722">
        <v>327.42</v>
      </c>
      <c r="N1722" t="s">
        <v>710</v>
      </c>
      <c r="O1722" t="s">
        <v>4833</v>
      </c>
      <c r="P1722" t="s">
        <v>4802</v>
      </c>
      <c r="Q1722" t="s">
        <v>4852</v>
      </c>
      <c r="R1722" t="s">
        <v>4771</v>
      </c>
    </row>
    <row r="1723" spans="1:18" x14ac:dyDescent="0.3">
      <c r="A1723">
        <v>803473</v>
      </c>
      <c r="B1723" t="s">
        <v>1035</v>
      </c>
      <c r="C1723" t="s">
        <v>239</v>
      </c>
      <c r="D1723" t="s">
        <v>199</v>
      </c>
      <c r="E1723" s="1">
        <v>46010</v>
      </c>
      <c r="F1723" t="s">
        <v>4325</v>
      </c>
      <c r="G1723" t="s">
        <v>3471</v>
      </c>
      <c r="H1723" t="s">
        <v>238</v>
      </c>
      <c r="I1723" t="s">
        <v>204</v>
      </c>
      <c r="J1723" s="1">
        <v>54878</v>
      </c>
      <c r="K1723" t="s">
        <v>754</v>
      </c>
      <c r="L1723">
        <v>1</v>
      </c>
      <c r="M1723">
        <v>87.32</v>
      </c>
      <c r="N1723" t="s">
        <v>710</v>
      </c>
      <c r="O1723" t="s">
        <v>4903</v>
      </c>
      <c r="P1723" t="s">
        <v>4779</v>
      </c>
      <c r="Q1723" t="s">
        <v>4858</v>
      </c>
      <c r="R1723" t="s">
        <v>4771</v>
      </c>
    </row>
    <row r="1724" spans="1:18" x14ac:dyDescent="0.3">
      <c r="A1724">
        <v>2871893</v>
      </c>
      <c r="B1724" t="s">
        <v>4874</v>
      </c>
      <c r="C1724" t="s">
        <v>403</v>
      </c>
      <c r="D1724" t="s">
        <v>106</v>
      </c>
      <c r="E1724" s="1">
        <v>46010</v>
      </c>
      <c r="F1724" t="s">
        <v>4362</v>
      </c>
      <c r="G1724" t="s">
        <v>3449</v>
      </c>
      <c r="H1724" t="s">
        <v>402</v>
      </c>
      <c r="I1724" t="s">
        <v>204</v>
      </c>
      <c r="J1724" s="1">
        <v>46386</v>
      </c>
      <c r="K1724" t="s">
        <v>762</v>
      </c>
      <c r="L1724">
        <v>517.5</v>
      </c>
      <c r="M1724">
        <v>517.5</v>
      </c>
      <c r="N1724" t="s">
        <v>710</v>
      </c>
      <c r="O1724" t="s">
        <v>1037</v>
      </c>
      <c r="P1724" t="s">
        <v>4779</v>
      </c>
      <c r="Q1724" t="s">
        <v>4852</v>
      </c>
      <c r="R1724" t="s">
        <v>4772</v>
      </c>
    </row>
    <row r="1725" spans="1:18" x14ac:dyDescent="0.3">
      <c r="A1725">
        <v>162584</v>
      </c>
      <c r="B1725" t="s">
        <v>4874</v>
      </c>
      <c r="C1725" t="s">
        <v>415</v>
      </c>
      <c r="D1725" t="s">
        <v>60</v>
      </c>
      <c r="E1725" s="1">
        <v>46010</v>
      </c>
      <c r="F1725" t="s">
        <v>4333</v>
      </c>
      <c r="G1725" t="s">
        <v>3482</v>
      </c>
      <c r="H1725" t="s">
        <v>457</v>
      </c>
      <c r="I1725" t="s">
        <v>204</v>
      </c>
      <c r="J1725" s="1">
        <v>46387</v>
      </c>
      <c r="K1725" t="s">
        <v>762</v>
      </c>
      <c r="L1725">
        <v>2749.56</v>
      </c>
      <c r="M1725">
        <v>2749.56</v>
      </c>
      <c r="N1725" t="s">
        <v>814</v>
      </c>
      <c r="O1725" t="s">
        <v>1037</v>
      </c>
      <c r="P1725" t="s">
        <v>4807</v>
      </c>
      <c r="Q1725" t="s">
        <v>4852</v>
      </c>
      <c r="R1725" t="s">
        <v>4771</v>
      </c>
    </row>
    <row r="1726" spans="1:18" x14ac:dyDescent="0.3">
      <c r="A1726">
        <v>21695</v>
      </c>
      <c r="B1726" t="s">
        <v>1034</v>
      </c>
      <c r="C1726" t="s">
        <v>243</v>
      </c>
      <c r="D1726" t="s">
        <v>61</v>
      </c>
      <c r="E1726" s="1">
        <v>46010</v>
      </c>
      <c r="F1726" t="s">
        <v>4304</v>
      </c>
      <c r="G1726" t="s">
        <v>3294</v>
      </c>
      <c r="H1726" t="s">
        <v>246</v>
      </c>
      <c r="I1726" t="s">
        <v>204</v>
      </c>
      <c r="J1726" s="1">
        <v>46203</v>
      </c>
      <c r="K1726" t="s">
        <v>711</v>
      </c>
      <c r="L1726">
        <v>5466.41</v>
      </c>
      <c r="M1726">
        <v>5466.41</v>
      </c>
      <c r="N1726" t="s">
        <v>710</v>
      </c>
      <c r="O1726" t="s">
        <v>4834</v>
      </c>
      <c r="P1726" t="s">
        <v>4776</v>
      </c>
      <c r="Q1726" t="s">
        <v>4901</v>
      </c>
      <c r="R1726" t="s">
        <v>4771</v>
      </c>
    </row>
    <row r="1727" spans="1:18" x14ac:dyDescent="0.3">
      <c r="A1727">
        <v>2779099</v>
      </c>
      <c r="B1727" t="s">
        <v>4874</v>
      </c>
      <c r="C1727" t="s">
        <v>433</v>
      </c>
      <c r="D1727" t="s">
        <v>168</v>
      </c>
      <c r="E1727" s="1">
        <v>46010</v>
      </c>
      <c r="F1727" t="s">
        <v>4319</v>
      </c>
      <c r="G1727" t="s">
        <v>3488</v>
      </c>
      <c r="H1727" t="s">
        <v>432</v>
      </c>
      <c r="I1727" t="s">
        <v>204</v>
      </c>
      <c r="J1727" s="1">
        <v>46473</v>
      </c>
      <c r="K1727" t="s">
        <v>762</v>
      </c>
      <c r="L1727">
        <v>115</v>
      </c>
      <c r="M1727">
        <v>115.08</v>
      </c>
      <c r="N1727" t="s">
        <v>710</v>
      </c>
      <c r="O1727" t="s">
        <v>4833</v>
      </c>
      <c r="P1727" t="s">
        <v>4802</v>
      </c>
      <c r="Q1727" t="s">
        <v>4852</v>
      </c>
      <c r="R1727" t="s">
        <v>4771</v>
      </c>
    </row>
    <row r="1728" spans="1:18" x14ac:dyDescent="0.3">
      <c r="A1728">
        <v>228806</v>
      </c>
      <c r="B1728" t="s">
        <v>4875</v>
      </c>
      <c r="C1728" t="s">
        <v>338</v>
      </c>
      <c r="D1728" t="s">
        <v>31</v>
      </c>
      <c r="E1728" s="1">
        <v>46010</v>
      </c>
      <c r="F1728" t="s">
        <v>4299</v>
      </c>
      <c r="G1728" t="s">
        <v>3412</v>
      </c>
      <c r="H1728" t="s">
        <v>353</v>
      </c>
      <c r="I1728" t="s">
        <v>204</v>
      </c>
      <c r="J1728" s="1">
        <v>54878</v>
      </c>
      <c r="K1728" t="s">
        <v>748</v>
      </c>
      <c r="L1728">
        <v>5415</v>
      </c>
      <c r="M1728">
        <v>5415.35</v>
      </c>
      <c r="N1728" t="s">
        <v>710</v>
      </c>
      <c r="O1728" t="s">
        <v>1040</v>
      </c>
      <c r="P1728" t="s">
        <v>4785</v>
      </c>
      <c r="Q1728" t="s">
        <v>4856</v>
      </c>
      <c r="R1728" t="s">
        <v>4773</v>
      </c>
    </row>
    <row r="1729" spans="1:18" x14ac:dyDescent="0.3">
      <c r="A1729">
        <v>162585</v>
      </c>
      <c r="B1729" t="s">
        <v>4875</v>
      </c>
      <c r="C1729" t="s">
        <v>415</v>
      </c>
      <c r="D1729" t="s">
        <v>60</v>
      </c>
      <c r="E1729" s="1">
        <v>46010</v>
      </c>
      <c r="F1729" t="s">
        <v>4333</v>
      </c>
      <c r="G1729" t="s">
        <v>3481</v>
      </c>
      <c r="H1729" t="s">
        <v>414</v>
      </c>
      <c r="I1729" t="s">
        <v>204</v>
      </c>
      <c r="J1729" s="1">
        <v>46386</v>
      </c>
      <c r="K1729" t="s">
        <v>768</v>
      </c>
      <c r="L1729">
        <v>1980.23</v>
      </c>
      <c r="M1729">
        <v>1980.23</v>
      </c>
      <c r="N1729" t="s">
        <v>814</v>
      </c>
      <c r="O1729" t="s">
        <v>1037</v>
      </c>
      <c r="P1729" t="s">
        <v>4807</v>
      </c>
      <c r="Q1729" t="s">
        <v>4852</v>
      </c>
      <c r="R1729" t="s">
        <v>4771</v>
      </c>
    </row>
    <row r="1730" spans="1:18" x14ac:dyDescent="0.3">
      <c r="A1730">
        <v>1912</v>
      </c>
      <c r="B1730" t="s">
        <v>4874</v>
      </c>
      <c r="C1730" t="s">
        <v>647</v>
      </c>
      <c r="D1730" t="s">
        <v>130</v>
      </c>
      <c r="E1730" s="1">
        <v>46010</v>
      </c>
      <c r="F1730" t="s">
        <v>4363</v>
      </c>
      <c r="G1730" t="s">
        <v>3461</v>
      </c>
      <c r="H1730" t="s">
        <v>646</v>
      </c>
      <c r="I1730" t="s">
        <v>204</v>
      </c>
      <c r="J1730" s="1">
        <v>46522</v>
      </c>
      <c r="K1730" t="s">
        <v>762</v>
      </c>
      <c r="L1730">
        <v>13492</v>
      </c>
      <c r="M1730">
        <v>13492</v>
      </c>
      <c r="N1730" t="s">
        <v>890</v>
      </c>
      <c r="O1730" t="s">
        <v>1044</v>
      </c>
      <c r="P1730" t="s">
        <v>4776</v>
      </c>
      <c r="Q1730" t="s">
        <v>4852</v>
      </c>
    </row>
    <row r="1731" spans="1:18" x14ac:dyDescent="0.3">
      <c r="A1731">
        <v>124</v>
      </c>
      <c r="B1731" t="s">
        <v>1034</v>
      </c>
      <c r="C1731" t="s">
        <v>267</v>
      </c>
      <c r="D1731" t="s">
        <v>186</v>
      </c>
      <c r="E1731" s="1">
        <v>46010</v>
      </c>
      <c r="F1731" t="s">
        <v>4349</v>
      </c>
      <c r="G1731" t="s">
        <v>3456</v>
      </c>
      <c r="H1731" t="s">
        <v>266</v>
      </c>
      <c r="I1731" t="s">
        <v>204</v>
      </c>
      <c r="J1731" s="1">
        <v>46259</v>
      </c>
      <c r="K1731" t="s">
        <v>717</v>
      </c>
      <c r="L1731">
        <v>1</v>
      </c>
      <c r="M1731">
        <v>38041.74</v>
      </c>
      <c r="N1731" t="s">
        <v>710</v>
      </c>
      <c r="O1731" t="s">
        <v>1037</v>
      </c>
      <c r="P1731" t="s">
        <v>4780</v>
      </c>
      <c r="Q1731" t="s">
        <v>4852</v>
      </c>
      <c r="R1731" t="s">
        <v>4772</v>
      </c>
    </row>
    <row r="1732" spans="1:18" x14ac:dyDescent="0.3">
      <c r="A1732">
        <v>2025238</v>
      </c>
      <c r="B1732" t="s">
        <v>4875</v>
      </c>
      <c r="C1732" t="s">
        <v>322</v>
      </c>
      <c r="D1732" t="s">
        <v>158</v>
      </c>
      <c r="E1732" s="1">
        <v>46010</v>
      </c>
      <c r="F1732" t="s">
        <v>4431</v>
      </c>
      <c r="G1732" t="s">
        <v>3473</v>
      </c>
      <c r="H1732" t="s">
        <v>321</v>
      </c>
      <c r="I1732" t="s">
        <v>204</v>
      </c>
      <c r="J1732" s="1">
        <v>46310</v>
      </c>
      <c r="K1732" t="s">
        <v>748</v>
      </c>
      <c r="L1732">
        <v>1</v>
      </c>
      <c r="M1732">
        <v>7651.11</v>
      </c>
      <c r="N1732" t="s">
        <v>710</v>
      </c>
      <c r="O1732" t="s">
        <v>1040</v>
      </c>
      <c r="P1732" t="s">
        <v>4782</v>
      </c>
      <c r="Q1732" t="s">
        <v>4856</v>
      </c>
      <c r="R1732" t="s">
        <v>4773</v>
      </c>
    </row>
    <row r="1733" spans="1:18" x14ac:dyDescent="0.3">
      <c r="A1733">
        <v>9324</v>
      </c>
      <c r="B1733" t="s">
        <v>1034</v>
      </c>
      <c r="C1733" t="s">
        <v>267</v>
      </c>
      <c r="D1733" t="s">
        <v>186</v>
      </c>
      <c r="E1733" s="1">
        <v>46010</v>
      </c>
      <c r="F1733" t="s">
        <v>4350</v>
      </c>
      <c r="G1733" t="s">
        <v>3456</v>
      </c>
      <c r="H1733" t="s">
        <v>266</v>
      </c>
      <c r="I1733" t="s">
        <v>204</v>
      </c>
      <c r="J1733" s="1">
        <v>46259</v>
      </c>
      <c r="K1733" t="s">
        <v>717</v>
      </c>
      <c r="L1733">
        <v>1</v>
      </c>
      <c r="M1733">
        <v>48074.1</v>
      </c>
      <c r="N1733" t="s">
        <v>710</v>
      </c>
      <c r="O1733" t="s">
        <v>1037</v>
      </c>
      <c r="P1733" t="s">
        <v>4780</v>
      </c>
      <c r="Q1733" t="s">
        <v>4852</v>
      </c>
      <c r="R1733" t="s">
        <v>4772</v>
      </c>
    </row>
    <row r="1734" spans="1:18" x14ac:dyDescent="0.3">
      <c r="A1734">
        <v>9325</v>
      </c>
      <c r="B1734" t="s">
        <v>1034</v>
      </c>
      <c r="C1734" t="s">
        <v>267</v>
      </c>
      <c r="D1734" t="s">
        <v>186</v>
      </c>
      <c r="E1734" s="1">
        <v>46010</v>
      </c>
      <c r="F1734" t="s">
        <v>4350</v>
      </c>
      <c r="G1734" t="s">
        <v>3456</v>
      </c>
      <c r="H1734" t="s">
        <v>266</v>
      </c>
      <c r="I1734" t="s">
        <v>204</v>
      </c>
      <c r="J1734" s="1">
        <v>46259</v>
      </c>
      <c r="K1734" t="s">
        <v>717</v>
      </c>
      <c r="L1734">
        <v>1</v>
      </c>
      <c r="M1734">
        <v>19596.46</v>
      </c>
      <c r="N1734" t="s">
        <v>710</v>
      </c>
      <c r="O1734" t="s">
        <v>1037</v>
      </c>
      <c r="P1734" t="s">
        <v>4780</v>
      </c>
      <c r="Q1734" t="s">
        <v>4852</v>
      </c>
      <c r="R1734" t="s">
        <v>4772</v>
      </c>
    </row>
    <row r="1735" spans="1:18" x14ac:dyDescent="0.3">
      <c r="A1735">
        <v>9320</v>
      </c>
      <c r="B1735" t="s">
        <v>1034</v>
      </c>
      <c r="C1735" t="s">
        <v>267</v>
      </c>
      <c r="D1735" t="s">
        <v>186</v>
      </c>
      <c r="E1735" s="1">
        <v>46010</v>
      </c>
      <c r="F1735" t="s">
        <v>4350</v>
      </c>
      <c r="G1735" t="s">
        <v>3456</v>
      </c>
      <c r="H1735" t="s">
        <v>266</v>
      </c>
      <c r="I1735" t="s">
        <v>204</v>
      </c>
      <c r="J1735" s="1">
        <v>46259</v>
      </c>
      <c r="K1735" t="s">
        <v>717</v>
      </c>
      <c r="L1735">
        <v>1</v>
      </c>
      <c r="M1735">
        <v>22800</v>
      </c>
      <c r="N1735" t="s">
        <v>710</v>
      </c>
      <c r="O1735" t="s">
        <v>1037</v>
      </c>
      <c r="P1735" t="s">
        <v>4780</v>
      </c>
      <c r="Q1735" t="s">
        <v>4852</v>
      </c>
      <c r="R1735" t="s">
        <v>4772</v>
      </c>
    </row>
    <row r="1736" spans="1:18" x14ac:dyDescent="0.3">
      <c r="A1736">
        <v>9321</v>
      </c>
      <c r="B1736" t="s">
        <v>1034</v>
      </c>
      <c r="C1736" t="s">
        <v>267</v>
      </c>
      <c r="D1736" t="s">
        <v>186</v>
      </c>
      <c r="E1736" s="1">
        <v>46010</v>
      </c>
      <c r="F1736" t="s">
        <v>4350</v>
      </c>
      <c r="G1736" t="s">
        <v>3456</v>
      </c>
      <c r="H1736" t="s">
        <v>266</v>
      </c>
      <c r="I1736" t="s">
        <v>204</v>
      </c>
      <c r="J1736" s="1">
        <v>46259</v>
      </c>
      <c r="K1736" t="s">
        <v>717</v>
      </c>
      <c r="L1736">
        <v>1</v>
      </c>
      <c r="M1736">
        <v>13990.08</v>
      </c>
      <c r="N1736" t="s">
        <v>710</v>
      </c>
      <c r="O1736" t="s">
        <v>1037</v>
      </c>
      <c r="P1736" t="s">
        <v>4780</v>
      </c>
      <c r="Q1736" t="s">
        <v>4852</v>
      </c>
      <c r="R1736" t="s">
        <v>4772</v>
      </c>
    </row>
    <row r="1737" spans="1:18" x14ac:dyDescent="0.3">
      <c r="A1737">
        <v>9323</v>
      </c>
      <c r="B1737" t="s">
        <v>1034</v>
      </c>
      <c r="C1737" t="s">
        <v>267</v>
      </c>
      <c r="D1737" t="s">
        <v>186</v>
      </c>
      <c r="E1737" s="1">
        <v>46010</v>
      </c>
      <c r="F1737" t="s">
        <v>4350</v>
      </c>
      <c r="G1737" t="s">
        <v>3456</v>
      </c>
      <c r="H1737" t="s">
        <v>266</v>
      </c>
      <c r="I1737" t="s">
        <v>204</v>
      </c>
      <c r="J1737" s="1">
        <v>46259</v>
      </c>
      <c r="K1737" t="s">
        <v>717</v>
      </c>
      <c r="L1737">
        <v>1</v>
      </c>
      <c r="M1737">
        <v>16004.8</v>
      </c>
      <c r="N1737" t="s">
        <v>710</v>
      </c>
      <c r="O1737" t="s">
        <v>1037</v>
      </c>
      <c r="P1737" t="s">
        <v>4780</v>
      </c>
      <c r="Q1737" t="s">
        <v>4852</v>
      </c>
      <c r="R1737" t="s">
        <v>4772</v>
      </c>
    </row>
    <row r="1738" spans="1:18" x14ac:dyDescent="0.3">
      <c r="A1738">
        <v>9322</v>
      </c>
      <c r="B1738" t="s">
        <v>1034</v>
      </c>
      <c r="C1738" t="s">
        <v>267</v>
      </c>
      <c r="D1738" t="s">
        <v>186</v>
      </c>
      <c r="E1738" s="1">
        <v>46010</v>
      </c>
      <c r="F1738" t="s">
        <v>4350</v>
      </c>
      <c r="G1738" t="s">
        <v>3456</v>
      </c>
      <c r="H1738" t="s">
        <v>266</v>
      </c>
      <c r="I1738" t="s">
        <v>204</v>
      </c>
      <c r="J1738" s="1">
        <v>46259</v>
      </c>
      <c r="K1738" t="s">
        <v>717</v>
      </c>
      <c r="L1738">
        <v>1</v>
      </c>
      <c r="M1738">
        <v>7300.94</v>
      </c>
      <c r="N1738" t="s">
        <v>710</v>
      </c>
      <c r="O1738" t="s">
        <v>1037</v>
      </c>
      <c r="P1738" t="s">
        <v>4780</v>
      </c>
      <c r="Q1738" t="s">
        <v>4852</v>
      </c>
      <c r="R1738" t="s">
        <v>4772</v>
      </c>
    </row>
    <row r="1739" spans="1:18" x14ac:dyDescent="0.3">
      <c r="A1739">
        <v>335</v>
      </c>
      <c r="B1739" t="s">
        <v>1034</v>
      </c>
      <c r="C1739" t="s">
        <v>479</v>
      </c>
      <c r="D1739" t="s">
        <v>99</v>
      </c>
      <c r="E1739" s="1">
        <v>46009</v>
      </c>
      <c r="F1739" t="s">
        <v>4308</v>
      </c>
      <c r="G1739" t="s">
        <v>3476</v>
      </c>
      <c r="H1739" t="s">
        <v>478</v>
      </c>
      <c r="I1739" t="s">
        <v>204</v>
      </c>
      <c r="J1739" s="1">
        <v>46239</v>
      </c>
      <c r="K1739" t="s">
        <v>717</v>
      </c>
      <c r="L1739">
        <v>2953</v>
      </c>
      <c r="M1739">
        <v>11693.88</v>
      </c>
      <c r="N1739" t="s">
        <v>710</v>
      </c>
      <c r="O1739" t="s">
        <v>1037</v>
      </c>
      <c r="P1739" t="s">
        <v>4790</v>
      </c>
      <c r="Q1739" t="s">
        <v>4852</v>
      </c>
      <c r="R1739" t="s">
        <v>4772</v>
      </c>
    </row>
    <row r="1740" spans="1:18" x14ac:dyDescent="0.3">
      <c r="A1740">
        <v>335</v>
      </c>
      <c r="B1740" t="s">
        <v>1034</v>
      </c>
      <c r="C1740" t="s">
        <v>479</v>
      </c>
      <c r="D1740" t="s">
        <v>99</v>
      </c>
      <c r="E1740" s="1">
        <v>46009</v>
      </c>
      <c r="F1740" t="s">
        <v>4307</v>
      </c>
      <c r="G1740" t="s">
        <v>3476</v>
      </c>
      <c r="H1740" t="s">
        <v>478</v>
      </c>
      <c r="I1740" t="s">
        <v>204</v>
      </c>
      <c r="J1740" s="1">
        <v>46239</v>
      </c>
      <c r="K1740" t="s">
        <v>717</v>
      </c>
      <c r="L1740">
        <v>4239</v>
      </c>
      <c r="M1740">
        <v>51758.19</v>
      </c>
      <c r="N1740" t="s">
        <v>710</v>
      </c>
      <c r="O1740" t="s">
        <v>1037</v>
      </c>
      <c r="P1740" t="s">
        <v>4790</v>
      </c>
      <c r="Q1740" t="s">
        <v>4852</v>
      </c>
      <c r="R1740" t="s">
        <v>4772</v>
      </c>
    </row>
    <row r="1741" spans="1:18" x14ac:dyDescent="0.3">
      <c r="A1741">
        <v>19135505</v>
      </c>
      <c r="B1741" t="s">
        <v>1034</v>
      </c>
      <c r="C1741" t="s">
        <v>678</v>
      </c>
      <c r="D1741" t="s">
        <v>181</v>
      </c>
      <c r="E1741" s="1">
        <v>46009</v>
      </c>
      <c r="F1741" t="s">
        <v>4382</v>
      </c>
      <c r="G1741" t="s">
        <v>3407</v>
      </c>
      <c r="H1741" t="s">
        <v>677</v>
      </c>
      <c r="I1741" t="s">
        <v>204</v>
      </c>
      <c r="J1741" s="1">
        <v>46387</v>
      </c>
      <c r="K1741" t="s">
        <v>717</v>
      </c>
      <c r="L1741">
        <v>1</v>
      </c>
      <c r="M1741">
        <v>63876.88</v>
      </c>
      <c r="N1741" t="s">
        <v>719</v>
      </c>
      <c r="O1741" t="s">
        <v>1037</v>
      </c>
      <c r="P1741" t="s">
        <v>4794</v>
      </c>
      <c r="Q1741" t="s">
        <v>4852</v>
      </c>
      <c r="R1741" t="s">
        <v>807</v>
      </c>
    </row>
    <row r="1742" spans="1:18" x14ac:dyDescent="0.3">
      <c r="A1742">
        <v>335</v>
      </c>
      <c r="B1742" t="s">
        <v>1034</v>
      </c>
      <c r="C1742" t="s">
        <v>479</v>
      </c>
      <c r="D1742" t="s">
        <v>99</v>
      </c>
      <c r="E1742" s="1">
        <v>46009</v>
      </c>
      <c r="F1742" t="s">
        <v>4372</v>
      </c>
      <c r="G1742" t="s">
        <v>3476</v>
      </c>
      <c r="H1742" t="s">
        <v>478</v>
      </c>
      <c r="I1742" t="s">
        <v>204</v>
      </c>
      <c r="J1742" s="1">
        <v>46239</v>
      </c>
      <c r="K1742" t="s">
        <v>717</v>
      </c>
      <c r="L1742">
        <v>309</v>
      </c>
      <c r="M1742">
        <v>2632.68</v>
      </c>
      <c r="N1742" t="s">
        <v>710</v>
      </c>
      <c r="O1742" t="s">
        <v>1037</v>
      </c>
      <c r="P1742" t="s">
        <v>4790</v>
      </c>
      <c r="Q1742" t="s">
        <v>4852</v>
      </c>
      <c r="R1742" t="s">
        <v>4772</v>
      </c>
    </row>
    <row r="1743" spans="1:18" x14ac:dyDescent="0.3">
      <c r="A1743">
        <v>2768430</v>
      </c>
      <c r="B1743" t="s">
        <v>4874</v>
      </c>
      <c r="C1743" t="s">
        <v>433</v>
      </c>
      <c r="D1743" t="s">
        <v>168</v>
      </c>
      <c r="E1743" s="1">
        <v>46009</v>
      </c>
      <c r="F1743" t="s">
        <v>4319</v>
      </c>
      <c r="G1743" t="s">
        <v>3466</v>
      </c>
      <c r="H1743" t="s">
        <v>432</v>
      </c>
      <c r="I1743" t="s">
        <v>204</v>
      </c>
      <c r="J1743" s="1">
        <v>46473</v>
      </c>
      <c r="K1743" t="s">
        <v>762</v>
      </c>
      <c r="L1743">
        <v>189</v>
      </c>
      <c r="M1743">
        <v>188.94</v>
      </c>
      <c r="N1743" t="s">
        <v>710</v>
      </c>
      <c r="O1743" t="s">
        <v>4833</v>
      </c>
      <c r="P1743" t="s">
        <v>4802</v>
      </c>
      <c r="Q1743" t="s">
        <v>4852</v>
      </c>
      <c r="R1743" t="s">
        <v>4771</v>
      </c>
    </row>
    <row r="1744" spans="1:18" x14ac:dyDescent="0.3">
      <c r="A1744">
        <v>202526307</v>
      </c>
      <c r="B1744" t="s">
        <v>4874</v>
      </c>
      <c r="C1744" t="s">
        <v>222</v>
      </c>
      <c r="D1744" t="s">
        <v>80</v>
      </c>
      <c r="E1744" s="1">
        <v>46009</v>
      </c>
      <c r="F1744" t="s">
        <v>4419</v>
      </c>
      <c r="G1744" t="s">
        <v>3450</v>
      </c>
      <c r="H1744" t="s">
        <v>223</v>
      </c>
      <c r="I1744" t="s">
        <v>204</v>
      </c>
      <c r="J1744" s="1">
        <v>46504</v>
      </c>
      <c r="K1744" t="s">
        <v>720</v>
      </c>
      <c r="L1744">
        <v>1</v>
      </c>
      <c r="M1744">
        <v>500</v>
      </c>
      <c r="N1744" t="s">
        <v>710</v>
      </c>
      <c r="O1744" t="s">
        <v>4834</v>
      </c>
      <c r="P1744" t="s">
        <v>4778</v>
      </c>
      <c r="Q1744" t="s">
        <v>4858</v>
      </c>
      <c r="R1744" t="s">
        <v>4773</v>
      </c>
    </row>
    <row r="1745" spans="1:18" x14ac:dyDescent="0.3">
      <c r="A1745">
        <v>202526307</v>
      </c>
      <c r="B1745" t="s">
        <v>4874</v>
      </c>
      <c r="C1745" t="s">
        <v>222</v>
      </c>
      <c r="D1745" t="s">
        <v>80</v>
      </c>
      <c r="E1745" s="1">
        <v>46009</v>
      </c>
      <c r="F1745" t="s">
        <v>4419</v>
      </c>
      <c r="G1745" t="s">
        <v>3450</v>
      </c>
      <c r="H1745" t="s">
        <v>223</v>
      </c>
      <c r="I1745" t="s">
        <v>204</v>
      </c>
      <c r="J1745" s="1">
        <v>46504</v>
      </c>
      <c r="K1745" t="s">
        <v>720</v>
      </c>
      <c r="L1745">
        <v>1</v>
      </c>
      <c r="M1745">
        <v>390</v>
      </c>
      <c r="N1745" t="s">
        <v>710</v>
      </c>
      <c r="O1745" t="s">
        <v>4834</v>
      </c>
      <c r="P1745" t="s">
        <v>4778</v>
      </c>
      <c r="Q1745" t="s">
        <v>4858</v>
      </c>
      <c r="R1745" t="s">
        <v>4773</v>
      </c>
    </row>
    <row r="1746" spans="1:18" x14ac:dyDescent="0.3">
      <c r="A1746">
        <v>202526307</v>
      </c>
      <c r="B1746" t="s">
        <v>4874</v>
      </c>
      <c r="C1746" t="s">
        <v>222</v>
      </c>
      <c r="D1746" t="s">
        <v>80</v>
      </c>
      <c r="E1746" s="1">
        <v>46009</v>
      </c>
      <c r="F1746" t="s">
        <v>4419</v>
      </c>
      <c r="G1746" t="s">
        <v>3450</v>
      </c>
      <c r="H1746" t="s">
        <v>223</v>
      </c>
      <c r="I1746" t="s">
        <v>204</v>
      </c>
      <c r="J1746" s="1">
        <v>46504</v>
      </c>
      <c r="K1746" t="s">
        <v>720</v>
      </c>
      <c r="L1746">
        <v>1</v>
      </c>
      <c r="M1746">
        <v>425</v>
      </c>
      <c r="N1746" t="s">
        <v>710</v>
      </c>
      <c r="O1746" t="s">
        <v>4834</v>
      </c>
      <c r="P1746" t="s">
        <v>4778</v>
      </c>
      <c r="Q1746" t="s">
        <v>4858</v>
      </c>
      <c r="R1746" t="s">
        <v>4773</v>
      </c>
    </row>
    <row r="1747" spans="1:18" x14ac:dyDescent="0.3">
      <c r="A1747">
        <v>335</v>
      </c>
      <c r="B1747" t="s">
        <v>1034</v>
      </c>
      <c r="C1747" t="s">
        <v>479</v>
      </c>
      <c r="D1747" t="s">
        <v>99</v>
      </c>
      <c r="E1747" s="1">
        <v>46009</v>
      </c>
      <c r="F1747" t="s">
        <v>4310</v>
      </c>
      <c r="G1747" t="s">
        <v>3476</v>
      </c>
      <c r="H1747" t="s">
        <v>478</v>
      </c>
      <c r="I1747" t="s">
        <v>204</v>
      </c>
      <c r="J1747" s="1">
        <v>46239</v>
      </c>
      <c r="K1747" t="s">
        <v>717</v>
      </c>
      <c r="L1747">
        <v>24</v>
      </c>
      <c r="M1747">
        <v>85.2</v>
      </c>
      <c r="N1747" t="s">
        <v>710</v>
      </c>
      <c r="O1747" t="s">
        <v>1037</v>
      </c>
      <c r="P1747" t="s">
        <v>4790</v>
      </c>
      <c r="Q1747" t="s">
        <v>4852</v>
      </c>
      <c r="R1747" t="s">
        <v>4772</v>
      </c>
    </row>
    <row r="1748" spans="1:18" x14ac:dyDescent="0.3">
      <c r="A1748">
        <v>5059</v>
      </c>
      <c r="B1748" t="s">
        <v>1034</v>
      </c>
      <c r="C1748" t="s">
        <v>319</v>
      </c>
      <c r="D1748" t="s">
        <v>36</v>
      </c>
      <c r="E1748" s="1">
        <v>46009</v>
      </c>
      <c r="F1748" t="s">
        <v>4298</v>
      </c>
      <c r="G1748" t="s">
        <v>3475</v>
      </c>
      <c r="H1748" t="s">
        <v>318</v>
      </c>
      <c r="I1748" t="s">
        <v>204</v>
      </c>
      <c r="J1748" s="1">
        <v>46214</v>
      </c>
      <c r="K1748" t="s">
        <v>711</v>
      </c>
      <c r="L1748">
        <v>933</v>
      </c>
      <c r="M1748">
        <v>932.7</v>
      </c>
      <c r="N1748" t="s">
        <v>710</v>
      </c>
      <c r="O1748" t="s">
        <v>1036</v>
      </c>
      <c r="P1748" t="s">
        <v>4784</v>
      </c>
      <c r="Q1748" t="s">
        <v>4901</v>
      </c>
      <c r="R1748" t="s">
        <v>4771</v>
      </c>
    </row>
    <row r="1749" spans="1:18" x14ac:dyDescent="0.3">
      <c r="A1749">
        <v>335</v>
      </c>
      <c r="B1749" t="s">
        <v>1034</v>
      </c>
      <c r="C1749" t="s">
        <v>479</v>
      </c>
      <c r="D1749" t="s">
        <v>99</v>
      </c>
      <c r="E1749" s="1">
        <v>46009</v>
      </c>
      <c r="F1749" t="s">
        <v>4312</v>
      </c>
      <c r="G1749" t="s">
        <v>3476</v>
      </c>
      <c r="H1749" t="s">
        <v>478</v>
      </c>
      <c r="I1749" t="s">
        <v>204</v>
      </c>
      <c r="J1749" s="1">
        <v>46239</v>
      </c>
      <c r="K1749" t="s">
        <v>717</v>
      </c>
      <c r="L1749">
        <v>54</v>
      </c>
      <c r="M1749">
        <v>256.5</v>
      </c>
      <c r="N1749" t="s">
        <v>710</v>
      </c>
      <c r="O1749" t="s">
        <v>1037</v>
      </c>
      <c r="P1749" t="s">
        <v>4790</v>
      </c>
      <c r="Q1749" t="s">
        <v>4852</v>
      </c>
      <c r="R1749" t="s">
        <v>4772</v>
      </c>
    </row>
    <row r="1750" spans="1:18" x14ac:dyDescent="0.3">
      <c r="A1750">
        <v>164666</v>
      </c>
      <c r="B1750" t="s">
        <v>4874</v>
      </c>
      <c r="C1750" t="s">
        <v>214</v>
      </c>
      <c r="D1750" t="s">
        <v>94</v>
      </c>
      <c r="E1750" s="1">
        <v>46009</v>
      </c>
      <c r="F1750" t="s">
        <v>4295</v>
      </c>
      <c r="G1750" t="s">
        <v>3463</v>
      </c>
      <c r="H1750" t="s">
        <v>213</v>
      </c>
      <c r="I1750" t="s">
        <v>204</v>
      </c>
      <c r="J1750" s="1">
        <v>46309</v>
      </c>
      <c r="K1750" t="s">
        <v>720</v>
      </c>
      <c r="L1750">
        <v>1</v>
      </c>
      <c r="M1750">
        <v>19868.34</v>
      </c>
      <c r="N1750" t="s">
        <v>710</v>
      </c>
      <c r="O1750" t="s">
        <v>4834</v>
      </c>
      <c r="P1750" t="s">
        <v>4776</v>
      </c>
      <c r="Q1750" t="s">
        <v>4858</v>
      </c>
      <c r="R1750" t="s">
        <v>4772</v>
      </c>
    </row>
    <row r="1751" spans="1:18" x14ac:dyDescent="0.3">
      <c r="A1751">
        <v>1901</v>
      </c>
      <c r="B1751" t="s">
        <v>4874</v>
      </c>
      <c r="C1751" t="s">
        <v>647</v>
      </c>
      <c r="D1751" t="s">
        <v>130</v>
      </c>
      <c r="E1751" s="1">
        <v>46009</v>
      </c>
      <c r="F1751" t="s">
        <v>4363</v>
      </c>
      <c r="G1751" t="s">
        <v>3461</v>
      </c>
      <c r="H1751" t="s">
        <v>646</v>
      </c>
      <c r="I1751" t="s">
        <v>204</v>
      </c>
      <c r="J1751" s="1">
        <v>46522</v>
      </c>
      <c r="K1751" t="s">
        <v>762</v>
      </c>
      <c r="L1751">
        <v>2081.4</v>
      </c>
      <c r="M1751">
        <v>2081.4</v>
      </c>
      <c r="N1751" t="s">
        <v>890</v>
      </c>
      <c r="O1751" t="s">
        <v>1044</v>
      </c>
      <c r="P1751" t="s">
        <v>4776</v>
      </c>
      <c r="Q1751" t="s">
        <v>4852</v>
      </c>
    </row>
    <row r="1752" spans="1:18" x14ac:dyDescent="0.3">
      <c r="A1752">
        <v>335</v>
      </c>
      <c r="B1752" t="s">
        <v>1034</v>
      </c>
      <c r="C1752" t="s">
        <v>479</v>
      </c>
      <c r="D1752" t="s">
        <v>99</v>
      </c>
      <c r="E1752" s="1">
        <v>46009</v>
      </c>
      <c r="F1752" t="s">
        <v>4329</v>
      </c>
      <c r="G1752" t="s">
        <v>3476</v>
      </c>
      <c r="H1752" t="s">
        <v>478</v>
      </c>
      <c r="I1752" t="s">
        <v>204</v>
      </c>
      <c r="J1752" s="1">
        <v>46239</v>
      </c>
      <c r="K1752" t="s">
        <v>717</v>
      </c>
      <c r="L1752">
        <v>117</v>
      </c>
      <c r="M1752">
        <v>1320.93</v>
      </c>
      <c r="N1752" t="s">
        <v>710</v>
      </c>
      <c r="O1752" t="s">
        <v>1037</v>
      </c>
      <c r="P1752" t="s">
        <v>4790</v>
      </c>
      <c r="Q1752" t="s">
        <v>4852</v>
      </c>
      <c r="R1752" t="s">
        <v>4772</v>
      </c>
    </row>
    <row r="1753" spans="1:18" x14ac:dyDescent="0.3">
      <c r="A1753">
        <v>629078</v>
      </c>
      <c r="B1753" t="s">
        <v>4875</v>
      </c>
      <c r="C1753" t="s">
        <v>333</v>
      </c>
      <c r="D1753" t="s">
        <v>29</v>
      </c>
      <c r="E1753" s="1">
        <v>46008</v>
      </c>
      <c r="F1753" t="s">
        <v>4317</v>
      </c>
      <c r="G1753" t="s">
        <v>3468</v>
      </c>
      <c r="H1753" t="s">
        <v>335</v>
      </c>
      <c r="I1753" t="s">
        <v>204</v>
      </c>
      <c r="J1753" s="1">
        <v>54878</v>
      </c>
      <c r="K1753" t="s">
        <v>748</v>
      </c>
      <c r="L1753">
        <v>50</v>
      </c>
      <c r="M1753">
        <v>50.36</v>
      </c>
      <c r="N1753" t="s">
        <v>710</v>
      </c>
      <c r="O1753" t="s">
        <v>1040</v>
      </c>
      <c r="P1753" t="s">
        <v>4776</v>
      </c>
      <c r="Q1753" t="s">
        <v>4856</v>
      </c>
      <c r="R1753" t="s">
        <v>4771</v>
      </c>
    </row>
    <row r="1754" spans="1:18" x14ac:dyDescent="0.3">
      <c r="A1754">
        <v>2325</v>
      </c>
      <c r="B1754" t="s">
        <v>4875</v>
      </c>
      <c r="C1754" t="s">
        <v>616</v>
      </c>
      <c r="D1754" t="s">
        <v>152</v>
      </c>
      <c r="E1754" s="1">
        <v>46008</v>
      </c>
      <c r="F1754" t="s">
        <v>4338</v>
      </c>
      <c r="G1754" t="s">
        <v>3279</v>
      </c>
      <c r="H1754" t="s">
        <v>622</v>
      </c>
      <c r="I1754" t="s">
        <v>204</v>
      </c>
      <c r="J1754" s="1">
        <v>46351</v>
      </c>
      <c r="K1754" t="s">
        <v>748</v>
      </c>
      <c r="L1754">
        <v>28600.99</v>
      </c>
      <c r="M1754">
        <v>28600.99</v>
      </c>
      <c r="N1754" t="s">
        <v>710</v>
      </c>
      <c r="O1754" t="s">
        <v>4904</v>
      </c>
      <c r="P1754" t="s">
        <v>4796</v>
      </c>
      <c r="Q1754" t="s">
        <v>4856</v>
      </c>
      <c r="R1754" t="s">
        <v>4772</v>
      </c>
    </row>
    <row r="1755" spans="1:18" x14ac:dyDescent="0.3">
      <c r="A1755">
        <v>621586</v>
      </c>
      <c r="B1755" t="s">
        <v>1034</v>
      </c>
      <c r="C1755" t="s">
        <v>333</v>
      </c>
      <c r="D1755" t="s">
        <v>29</v>
      </c>
      <c r="E1755" s="1">
        <v>46008</v>
      </c>
      <c r="F1755" t="s">
        <v>4317</v>
      </c>
      <c r="G1755" t="s">
        <v>3469</v>
      </c>
      <c r="H1755" t="s">
        <v>332</v>
      </c>
      <c r="I1755" t="s">
        <v>204</v>
      </c>
      <c r="J1755" s="1">
        <v>54878</v>
      </c>
      <c r="K1755" t="s">
        <v>711</v>
      </c>
      <c r="L1755">
        <v>65</v>
      </c>
      <c r="M1755">
        <v>64.86</v>
      </c>
      <c r="N1755" t="s">
        <v>710</v>
      </c>
      <c r="O1755" t="s">
        <v>1036</v>
      </c>
      <c r="P1755" t="s">
        <v>4776</v>
      </c>
      <c r="Q1755" t="s">
        <v>4901</v>
      </c>
      <c r="R1755" t="s">
        <v>4771</v>
      </c>
    </row>
    <row r="1756" spans="1:18" x14ac:dyDescent="0.3">
      <c r="A1756">
        <v>60918</v>
      </c>
      <c r="B1756" t="s">
        <v>1034</v>
      </c>
      <c r="C1756" t="s">
        <v>666</v>
      </c>
      <c r="D1756" t="s">
        <v>66</v>
      </c>
      <c r="E1756" s="1">
        <v>46008</v>
      </c>
      <c r="F1756" t="s">
        <v>4381</v>
      </c>
      <c r="G1756" t="s">
        <v>3465</v>
      </c>
      <c r="H1756" t="s">
        <v>665</v>
      </c>
      <c r="I1756" t="s">
        <v>204</v>
      </c>
      <c r="J1756" s="1">
        <v>46296</v>
      </c>
      <c r="K1756" t="s">
        <v>717</v>
      </c>
      <c r="L1756">
        <v>1</v>
      </c>
      <c r="M1756">
        <v>799.95</v>
      </c>
      <c r="N1756" t="s">
        <v>998</v>
      </c>
      <c r="O1756" t="s">
        <v>1033</v>
      </c>
      <c r="P1756" t="s">
        <v>4776</v>
      </c>
      <c r="Q1756" t="s">
        <v>4852</v>
      </c>
      <c r="R1756" t="s">
        <v>807</v>
      </c>
    </row>
    <row r="1757" spans="1:18" x14ac:dyDescent="0.3">
      <c r="A1757">
        <v>1285</v>
      </c>
      <c r="B1757" t="s">
        <v>4874</v>
      </c>
      <c r="C1757" t="s">
        <v>305</v>
      </c>
      <c r="D1757" t="s">
        <v>59</v>
      </c>
      <c r="E1757" s="1">
        <v>46008</v>
      </c>
      <c r="F1757" t="s">
        <v>4359</v>
      </c>
      <c r="G1757" t="s">
        <v>3459</v>
      </c>
      <c r="H1757" t="s">
        <v>304</v>
      </c>
      <c r="I1757" t="s">
        <v>204</v>
      </c>
      <c r="J1757" s="1">
        <v>46481</v>
      </c>
      <c r="K1757" t="s">
        <v>720</v>
      </c>
      <c r="L1757">
        <v>1</v>
      </c>
      <c r="M1757">
        <v>3216.64</v>
      </c>
      <c r="N1757" t="s">
        <v>809</v>
      </c>
      <c r="O1757" t="s">
        <v>1038</v>
      </c>
      <c r="P1757" t="s">
        <v>4783</v>
      </c>
      <c r="Q1757" t="s">
        <v>4858</v>
      </c>
      <c r="R1757" t="s">
        <v>4771</v>
      </c>
    </row>
    <row r="1758" spans="1:18" x14ac:dyDescent="0.3">
      <c r="A1758">
        <v>632288</v>
      </c>
      <c r="B1758" t="s">
        <v>4874</v>
      </c>
      <c r="C1758" t="s">
        <v>333</v>
      </c>
      <c r="D1758" t="s">
        <v>29</v>
      </c>
      <c r="E1758" s="1">
        <v>46008</v>
      </c>
      <c r="F1758" t="s">
        <v>4317</v>
      </c>
      <c r="G1758" t="s">
        <v>3467</v>
      </c>
      <c r="H1758" t="s">
        <v>460</v>
      </c>
      <c r="I1758" t="s">
        <v>204</v>
      </c>
      <c r="J1758" s="1">
        <v>54878</v>
      </c>
      <c r="K1758" t="s">
        <v>785</v>
      </c>
      <c r="L1758">
        <v>1</v>
      </c>
      <c r="M1758">
        <v>65.989999999999995</v>
      </c>
      <c r="N1758" t="s">
        <v>710</v>
      </c>
      <c r="O1758" t="s">
        <v>1038</v>
      </c>
      <c r="P1758" t="s">
        <v>4776</v>
      </c>
      <c r="Q1758" t="s">
        <v>4858</v>
      </c>
      <c r="R1758" t="s">
        <v>4771</v>
      </c>
    </row>
    <row r="1759" spans="1:18" x14ac:dyDescent="0.3">
      <c r="A1759">
        <v>2051885</v>
      </c>
      <c r="B1759" t="s">
        <v>4874</v>
      </c>
      <c r="C1759" t="s">
        <v>417</v>
      </c>
      <c r="D1759" t="s">
        <v>185</v>
      </c>
      <c r="E1759" s="1">
        <v>46008</v>
      </c>
      <c r="F1759" t="s">
        <v>4346</v>
      </c>
      <c r="G1759" t="s">
        <v>3303</v>
      </c>
      <c r="H1759" t="s">
        <v>461</v>
      </c>
      <c r="I1759" t="s">
        <v>204</v>
      </c>
      <c r="J1759" s="1">
        <v>54878</v>
      </c>
      <c r="K1759" t="s">
        <v>762</v>
      </c>
      <c r="L1759">
        <v>18075.759999999998</v>
      </c>
      <c r="M1759">
        <v>18075.759999999998</v>
      </c>
      <c r="N1759" t="s">
        <v>710</v>
      </c>
      <c r="O1759" t="s">
        <v>1037</v>
      </c>
      <c r="P1759" t="s">
        <v>4780</v>
      </c>
      <c r="Q1759" t="s">
        <v>4852</v>
      </c>
      <c r="R1759" t="s">
        <v>4771</v>
      </c>
    </row>
    <row r="1760" spans="1:18" x14ac:dyDescent="0.3">
      <c r="A1760">
        <v>5052</v>
      </c>
      <c r="B1760" t="s">
        <v>4875</v>
      </c>
      <c r="C1760" t="s">
        <v>319</v>
      </c>
      <c r="D1760" t="s">
        <v>36</v>
      </c>
      <c r="E1760" s="1">
        <v>46007</v>
      </c>
      <c r="F1760" t="s">
        <v>4298</v>
      </c>
      <c r="G1760" t="s">
        <v>3458</v>
      </c>
      <c r="H1760" t="s">
        <v>336</v>
      </c>
      <c r="I1760" t="s">
        <v>204</v>
      </c>
      <c r="J1760" s="1">
        <v>46075</v>
      </c>
      <c r="K1760" t="s">
        <v>748</v>
      </c>
      <c r="L1760">
        <v>3</v>
      </c>
      <c r="M1760">
        <v>559.62</v>
      </c>
      <c r="N1760" t="s">
        <v>710</v>
      </c>
      <c r="O1760" t="s">
        <v>1040</v>
      </c>
      <c r="P1760" t="s">
        <v>4784</v>
      </c>
      <c r="Q1760" t="s">
        <v>4856</v>
      </c>
      <c r="R1760" t="s">
        <v>4771</v>
      </c>
    </row>
    <row r="1761" spans="1:18" x14ac:dyDescent="0.3">
      <c r="A1761">
        <v>88655</v>
      </c>
      <c r="B1761" t="s">
        <v>4874</v>
      </c>
      <c r="C1761" t="s">
        <v>614</v>
      </c>
      <c r="D1761" t="s">
        <v>74</v>
      </c>
      <c r="E1761" s="1">
        <v>46007</v>
      </c>
      <c r="F1761" t="s">
        <v>4362</v>
      </c>
      <c r="G1761" t="s">
        <v>2622</v>
      </c>
      <c r="H1761" t="s">
        <v>613</v>
      </c>
      <c r="I1761" t="s">
        <v>204</v>
      </c>
      <c r="J1761" s="1">
        <v>46993</v>
      </c>
      <c r="K1761" t="s">
        <v>720</v>
      </c>
      <c r="L1761">
        <v>1</v>
      </c>
      <c r="M1761">
        <v>1515</v>
      </c>
      <c r="N1761" t="s">
        <v>710</v>
      </c>
      <c r="O1761" t="s">
        <v>1038</v>
      </c>
      <c r="P1761" t="s">
        <v>4779</v>
      </c>
      <c r="Q1761" t="s">
        <v>4858</v>
      </c>
      <c r="R1761" t="s">
        <v>4771</v>
      </c>
    </row>
    <row r="1762" spans="1:18" x14ac:dyDescent="0.3">
      <c r="A1762">
        <v>155949</v>
      </c>
      <c r="B1762" t="s">
        <v>4874</v>
      </c>
      <c r="C1762" t="s">
        <v>415</v>
      </c>
      <c r="D1762" t="s">
        <v>60</v>
      </c>
      <c r="E1762" s="1">
        <v>46007</v>
      </c>
      <c r="F1762" t="s">
        <v>4333</v>
      </c>
      <c r="G1762" t="s">
        <v>3252</v>
      </c>
      <c r="H1762" t="s">
        <v>457</v>
      </c>
      <c r="I1762" t="s">
        <v>204</v>
      </c>
      <c r="J1762" s="1">
        <v>46387</v>
      </c>
      <c r="K1762" t="s">
        <v>762</v>
      </c>
      <c r="L1762">
        <v>7054.9</v>
      </c>
      <c r="M1762">
        <v>7054.9</v>
      </c>
      <c r="N1762" t="s">
        <v>814</v>
      </c>
      <c r="O1762" t="s">
        <v>1037</v>
      </c>
      <c r="P1762" t="s">
        <v>4807</v>
      </c>
      <c r="Q1762" t="s">
        <v>4852</v>
      </c>
      <c r="R1762" t="s">
        <v>4771</v>
      </c>
    </row>
    <row r="1763" spans="1:18" x14ac:dyDescent="0.3">
      <c r="A1763">
        <v>79299</v>
      </c>
      <c r="B1763" t="s">
        <v>4874</v>
      </c>
      <c r="C1763" t="s">
        <v>634</v>
      </c>
      <c r="D1763" t="s">
        <v>99</v>
      </c>
      <c r="E1763" s="1">
        <v>46007</v>
      </c>
      <c r="F1763" t="s">
        <v>4397</v>
      </c>
      <c r="G1763" t="s">
        <v>3392</v>
      </c>
      <c r="H1763" t="s">
        <v>633</v>
      </c>
      <c r="I1763" t="s">
        <v>204</v>
      </c>
      <c r="J1763" s="1">
        <v>46204</v>
      </c>
      <c r="K1763" t="s">
        <v>762</v>
      </c>
      <c r="L1763">
        <v>50</v>
      </c>
      <c r="M1763">
        <v>5</v>
      </c>
      <c r="N1763" t="s">
        <v>719</v>
      </c>
      <c r="O1763" t="s">
        <v>1037</v>
      </c>
      <c r="P1763" t="s">
        <v>4790</v>
      </c>
      <c r="Q1763" t="s">
        <v>4852</v>
      </c>
    </row>
    <row r="1764" spans="1:18" x14ac:dyDescent="0.3">
      <c r="A1764">
        <v>937</v>
      </c>
      <c r="B1764" t="s">
        <v>1034</v>
      </c>
      <c r="C1764" t="s">
        <v>638</v>
      </c>
      <c r="D1764" t="s">
        <v>134</v>
      </c>
      <c r="E1764" s="1">
        <v>46007</v>
      </c>
      <c r="F1764" t="s">
        <v>4296</v>
      </c>
      <c r="G1764" t="s">
        <v>3433</v>
      </c>
      <c r="H1764" t="s">
        <v>637</v>
      </c>
      <c r="I1764" t="s">
        <v>204</v>
      </c>
      <c r="J1764" s="1">
        <v>46537</v>
      </c>
      <c r="K1764" t="s">
        <v>711</v>
      </c>
      <c r="L1764">
        <v>1941</v>
      </c>
      <c r="M1764">
        <v>1941</v>
      </c>
      <c r="N1764" t="s">
        <v>710</v>
      </c>
      <c r="O1764" t="s">
        <v>1036</v>
      </c>
      <c r="P1764" t="s">
        <v>4776</v>
      </c>
      <c r="Q1764" t="s">
        <v>4901</v>
      </c>
    </row>
    <row r="1765" spans="1:18" x14ac:dyDescent="0.3">
      <c r="A1765">
        <v>79299</v>
      </c>
      <c r="B1765" t="s">
        <v>4874</v>
      </c>
      <c r="C1765" t="s">
        <v>634</v>
      </c>
      <c r="D1765" t="s">
        <v>99</v>
      </c>
      <c r="E1765" s="1">
        <v>46007</v>
      </c>
      <c r="F1765" t="s">
        <v>4398</v>
      </c>
      <c r="G1765" t="s">
        <v>3392</v>
      </c>
      <c r="H1765" t="s">
        <v>633</v>
      </c>
      <c r="I1765" t="s">
        <v>204</v>
      </c>
      <c r="J1765" s="1">
        <v>46204</v>
      </c>
      <c r="K1765" t="s">
        <v>762</v>
      </c>
      <c r="L1765">
        <v>72</v>
      </c>
      <c r="M1765">
        <v>7.2</v>
      </c>
      <c r="N1765" t="s">
        <v>719</v>
      </c>
      <c r="O1765" t="s">
        <v>1037</v>
      </c>
      <c r="P1765" t="s">
        <v>4790</v>
      </c>
      <c r="Q1765" t="s">
        <v>4852</v>
      </c>
    </row>
    <row r="1766" spans="1:18" x14ac:dyDescent="0.3">
      <c r="A1766">
        <v>79299</v>
      </c>
      <c r="B1766" t="s">
        <v>4874</v>
      </c>
      <c r="C1766" t="s">
        <v>634</v>
      </c>
      <c r="D1766" t="s">
        <v>99</v>
      </c>
      <c r="E1766" s="1">
        <v>46007</v>
      </c>
      <c r="F1766" t="s">
        <v>4329</v>
      </c>
      <c r="G1766" t="s">
        <v>3392</v>
      </c>
      <c r="H1766" t="s">
        <v>633</v>
      </c>
      <c r="I1766" t="s">
        <v>204</v>
      </c>
      <c r="J1766" s="1">
        <v>46204</v>
      </c>
      <c r="K1766" t="s">
        <v>762</v>
      </c>
      <c r="L1766">
        <v>428</v>
      </c>
      <c r="M1766">
        <v>5688.12</v>
      </c>
      <c r="N1766" t="s">
        <v>719</v>
      </c>
      <c r="O1766" t="s">
        <v>1037</v>
      </c>
      <c r="P1766" t="s">
        <v>4790</v>
      </c>
      <c r="Q1766" t="s">
        <v>4852</v>
      </c>
    </row>
    <row r="1767" spans="1:18" x14ac:dyDescent="0.3">
      <c r="A1767">
        <v>7352</v>
      </c>
      <c r="B1767" t="s">
        <v>4874</v>
      </c>
      <c r="C1767" t="s">
        <v>628</v>
      </c>
      <c r="D1767" t="s">
        <v>25</v>
      </c>
      <c r="E1767" s="1">
        <v>46007</v>
      </c>
      <c r="F1767" t="s">
        <v>4415</v>
      </c>
      <c r="G1767" t="s">
        <v>3310</v>
      </c>
      <c r="H1767" t="s">
        <v>627</v>
      </c>
      <c r="I1767" t="s">
        <v>209</v>
      </c>
      <c r="J1767" s="1">
        <v>46476</v>
      </c>
      <c r="K1767" t="s">
        <v>720</v>
      </c>
      <c r="L1767">
        <v>1</v>
      </c>
      <c r="M1767">
        <v>380</v>
      </c>
      <c r="N1767" t="s">
        <v>710</v>
      </c>
      <c r="O1767" t="s">
        <v>1038</v>
      </c>
      <c r="P1767" t="s">
        <v>4776</v>
      </c>
      <c r="Q1767" t="s">
        <v>4858</v>
      </c>
      <c r="R1767" t="s">
        <v>4771</v>
      </c>
    </row>
    <row r="1768" spans="1:18" x14ac:dyDescent="0.3">
      <c r="A1768">
        <v>114691</v>
      </c>
      <c r="B1768" t="s">
        <v>4874</v>
      </c>
      <c r="C1768" t="s">
        <v>227</v>
      </c>
      <c r="D1768" t="s">
        <v>191</v>
      </c>
      <c r="E1768" s="1">
        <v>46007</v>
      </c>
      <c r="F1768" t="s">
        <v>4387</v>
      </c>
      <c r="G1768" t="s">
        <v>3401</v>
      </c>
      <c r="H1768" t="s">
        <v>577</v>
      </c>
      <c r="I1768" t="s">
        <v>204</v>
      </c>
      <c r="J1768" s="1">
        <v>46493</v>
      </c>
      <c r="K1768" t="s">
        <v>762</v>
      </c>
      <c r="L1768">
        <v>33060.36</v>
      </c>
      <c r="M1768">
        <v>33060.36</v>
      </c>
      <c r="N1768" t="s">
        <v>809</v>
      </c>
      <c r="O1768" t="s">
        <v>4904</v>
      </c>
      <c r="P1768" t="s">
        <v>4792</v>
      </c>
      <c r="Q1768" t="s">
        <v>4904</v>
      </c>
      <c r="R1768" t="s">
        <v>4772</v>
      </c>
    </row>
    <row r="1769" spans="1:18" x14ac:dyDescent="0.3">
      <c r="A1769">
        <v>79299</v>
      </c>
      <c r="B1769" t="s">
        <v>4874</v>
      </c>
      <c r="C1769" t="s">
        <v>634</v>
      </c>
      <c r="D1769" t="s">
        <v>99</v>
      </c>
      <c r="E1769" s="1">
        <v>46007</v>
      </c>
      <c r="F1769" t="s">
        <v>4394</v>
      </c>
      <c r="G1769" t="s">
        <v>3392</v>
      </c>
      <c r="H1769" t="s">
        <v>633</v>
      </c>
      <c r="I1769" t="s">
        <v>204</v>
      </c>
      <c r="J1769" s="1">
        <v>46204</v>
      </c>
      <c r="K1769" t="s">
        <v>762</v>
      </c>
      <c r="L1769">
        <v>2084</v>
      </c>
      <c r="M1769">
        <v>2084</v>
      </c>
      <c r="N1769" t="s">
        <v>719</v>
      </c>
      <c r="O1769" t="s">
        <v>1037</v>
      </c>
      <c r="P1769" t="s">
        <v>4790</v>
      </c>
      <c r="Q1769" t="s">
        <v>4852</v>
      </c>
    </row>
    <row r="1770" spans="1:18" x14ac:dyDescent="0.3">
      <c r="A1770">
        <v>79299</v>
      </c>
      <c r="B1770" t="s">
        <v>4874</v>
      </c>
      <c r="C1770" t="s">
        <v>634</v>
      </c>
      <c r="D1770" t="s">
        <v>99</v>
      </c>
      <c r="E1770" s="1">
        <v>46007</v>
      </c>
      <c r="F1770" t="s">
        <v>4310</v>
      </c>
      <c r="G1770" t="s">
        <v>3392</v>
      </c>
      <c r="H1770" t="s">
        <v>633</v>
      </c>
      <c r="I1770" t="s">
        <v>204</v>
      </c>
      <c r="J1770" s="1">
        <v>46204</v>
      </c>
      <c r="K1770" t="s">
        <v>762</v>
      </c>
      <c r="L1770">
        <v>139</v>
      </c>
      <c r="M1770">
        <v>508.74</v>
      </c>
      <c r="N1770" t="s">
        <v>719</v>
      </c>
      <c r="O1770" t="s">
        <v>1037</v>
      </c>
      <c r="P1770" t="s">
        <v>4790</v>
      </c>
      <c r="Q1770" t="s">
        <v>4852</v>
      </c>
    </row>
    <row r="1771" spans="1:18" x14ac:dyDescent="0.3">
      <c r="A1771">
        <v>860584</v>
      </c>
      <c r="B1771" t="s">
        <v>4874</v>
      </c>
      <c r="C1771" t="s">
        <v>239</v>
      </c>
      <c r="D1771" t="s">
        <v>199</v>
      </c>
      <c r="E1771" s="1">
        <v>46007</v>
      </c>
      <c r="F1771" t="s">
        <v>4325</v>
      </c>
      <c r="G1771" t="s">
        <v>3457</v>
      </c>
      <c r="H1771" t="s">
        <v>268</v>
      </c>
      <c r="I1771" t="s">
        <v>204</v>
      </c>
      <c r="J1771" s="1">
        <v>46172</v>
      </c>
      <c r="K1771" t="s">
        <v>720</v>
      </c>
      <c r="L1771">
        <v>1</v>
      </c>
      <c r="M1771">
        <v>785.88</v>
      </c>
      <c r="N1771" t="s">
        <v>710</v>
      </c>
      <c r="O1771" t="s">
        <v>1038</v>
      </c>
      <c r="P1771" t="s">
        <v>4779</v>
      </c>
      <c r="Q1771" t="s">
        <v>4858</v>
      </c>
      <c r="R1771" t="s">
        <v>4771</v>
      </c>
    </row>
    <row r="1772" spans="1:18" x14ac:dyDescent="0.3">
      <c r="A1772">
        <v>183</v>
      </c>
      <c r="B1772" t="s">
        <v>4874</v>
      </c>
      <c r="C1772" t="s">
        <v>565</v>
      </c>
      <c r="D1772" t="s">
        <v>113</v>
      </c>
      <c r="E1772" s="1">
        <v>46007</v>
      </c>
      <c r="F1772" t="s">
        <v>4390</v>
      </c>
      <c r="G1772" t="s">
        <v>3460</v>
      </c>
      <c r="H1772" t="s">
        <v>564</v>
      </c>
      <c r="I1772" t="s">
        <v>204</v>
      </c>
      <c r="J1772" s="1">
        <v>46386</v>
      </c>
      <c r="K1772" t="s">
        <v>720</v>
      </c>
      <c r="L1772">
        <v>1</v>
      </c>
      <c r="M1772">
        <v>5200</v>
      </c>
      <c r="N1772" t="s">
        <v>710</v>
      </c>
      <c r="O1772" t="s">
        <v>1038</v>
      </c>
      <c r="P1772" t="s">
        <v>4777</v>
      </c>
      <c r="Q1772" t="s">
        <v>4858</v>
      </c>
      <c r="R1772" t="s">
        <v>4771</v>
      </c>
    </row>
    <row r="1773" spans="1:18" x14ac:dyDescent="0.3">
      <c r="A1773">
        <v>79299</v>
      </c>
      <c r="B1773" t="s">
        <v>4874</v>
      </c>
      <c r="C1773" t="s">
        <v>634</v>
      </c>
      <c r="D1773" t="s">
        <v>99</v>
      </c>
      <c r="E1773" s="1">
        <v>46007</v>
      </c>
      <c r="F1773" t="s">
        <v>4308</v>
      </c>
      <c r="G1773" t="s">
        <v>3392</v>
      </c>
      <c r="H1773" t="s">
        <v>633</v>
      </c>
      <c r="I1773" t="s">
        <v>204</v>
      </c>
      <c r="J1773" s="1">
        <v>46204</v>
      </c>
      <c r="K1773" t="s">
        <v>762</v>
      </c>
      <c r="L1773">
        <v>120</v>
      </c>
      <c r="M1773">
        <v>584.4</v>
      </c>
      <c r="N1773" t="s">
        <v>719</v>
      </c>
      <c r="O1773" t="s">
        <v>1037</v>
      </c>
      <c r="P1773" t="s">
        <v>4790</v>
      </c>
      <c r="Q1773" t="s">
        <v>4852</v>
      </c>
    </row>
    <row r="1774" spans="1:18" x14ac:dyDescent="0.3">
      <c r="A1774">
        <v>79299</v>
      </c>
      <c r="B1774" t="s">
        <v>4874</v>
      </c>
      <c r="C1774" t="s">
        <v>634</v>
      </c>
      <c r="D1774" t="s">
        <v>99</v>
      </c>
      <c r="E1774" s="1">
        <v>46007</v>
      </c>
      <c r="F1774" t="s">
        <v>4307</v>
      </c>
      <c r="G1774" t="s">
        <v>3392</v>
      </c>
      <c r="H1774" t="s">
        <v>633</v>
      </c>
      <c r="I1774" t="s">
        <v>204</v>
      </c>
      <c r="J1774" s="1">
        <v>46204</v>
      </c>
      <c r="K1774" t="s">
        <v>762</v>
      </c>
      <c r="L1774">
        <v>2084</v>
      </c>
      <c r="M1774">
        <v>32489.56</v>
      </c>
      <c r="N1774" t="s">
        <v>719</v>
      </c>
      <c r="O1774" t="s">
        <v>1037</v>
      </c>
      <c r="P1774" t="s">
        <v>4790</v>
      </c>
      <c r="Q1774" t="s">
        <v>4852</v>
      </c>
    </row>
    <row r="1775" spans="1:18" x14ac:dyDescent="0.3">
      <c r="A1775">
        <v>7352</v>
      </c>
      <c r="B1775" t="s">
        <v>4874</v>
      </c>
      <c r="C1775" t="s">
        <v>628</v>
      </c>
      <c r="D1775" t="s">
        <v>25</v>
      </c>
      <c r="E1775" s="1">
        <v>46007</v>
      </c>
      <c r="F1775" t="s">
        <v>4415</v>
      </c>
      <c r="G1775" t="s">
        <v>3310</v>
      </c>
      <c r="H1775" t="s">
        <v>627</v>
      </c>
      <c r="I1775" t="s">
        <v>209</v>
      </c>
      <c r="J1775" s="1">
        <v>46476</v>
      </c>
      <c r="K1775" t="s">
        <v>720</v>
      </c>
      <c r="L1775">
        <v>1</v>
      </c>
      <c r="M1775">
        <v>380</v>
      </c>
      <c r="N1775" t="s">
        <v>710</v>
      </c>
      <c r="O1775" t="s">
        <v>1038</v>
      </c>
      <c r="P1775" t="s">
        <v>4776</v>
      </c>
      <c r="Q1775" t="s">
        <v>4858</v>
      </c>
      <c r="R1775" t="s">
        <v>4771</v>
      </c>
    </row>
    <row r="1776" spans="1:18" x14ac:dyDescent="0.3">
      <c r="A1776">
        <v>7352</v>
      </c>
      <c r="B1776" t="s">
        <v>4874</v>
      </c>
      <c r="C1776" t="s">
        <v>628</v>
      </c>
      <c r="D1776" t="s">
        <v>25</v>
      </c>
      <c r="E1776" s="1">
        <v>46007</v>
      </c>
      <c r="F1776" t="s">
        <v>4415</v>
      </c>
      <c r="G1776" t="s">
        <v>3310</v>
      </c>
      <c r="H1776" t="s">
        <v>627</v>
      </c>
      <c r="I1776" t="s">
        <v>209</v>
      </c>
      <c r="J1776" s="1">
        <v>46476</v>
      </c>
      <c r="K1776" t="s">
        <v>720</v>
      </c>
      <c r="L1776">
        <v>1</v>
      </c>
      <c r="M1776">
        <v>380</v>
      </c>
      <c r="N1776" t="s">
        <v>710</v>
      </c>
      <c r="O1776" t="s">
        <v>1038</v>
      </c>
      <c r="P1776" t="s">
        <v>4776</v>
      </c>
      <c r="Q1776" t="s">
        <v>4858</v>
      </c>
      <c r="R1776" t="s">
        <v>4771</v>
      </c>
    </row>
    <row r="1777" spans="1:18" x14ac:dyDescent="0.3">
      <c r="A1777">
        <v>615</v>
      </c>
      <c r="B1777" t="s">
        <v>4874</v>
      </c>
      <c r="C1777" t="s">
        <v>259</v>
      </c>
      <c r="D1777" t="s">
        <v>122</v>
      </c>
      <c r="E1777" s="1">
        <v>46003</v>
      </c>
      <c r="F1777" t="s">
        <v>4390</v>
      </c>
      <c r="G1777" t="s">
        <v>3447</v>
      </c>
      <c r="H1777" t="s">
        <v>258</v>
      </c>
      <c r="I1777" t="s">
        <v>204</v>
      </c>
      <c r="J1777" s="1">
        <v>46337</v>
      </c>
      <c r="K1777" t="s">
        <v>720</v>
      </c>
      <c r="L1777">
        <v>1</v>
      </c>
      <c r="M1777">
        <v>13404.88</v>
      </c>
      <c r="N1777" t="s">
        <v>710</v>
      </c>
      <c r="O1777" t="s">
        <v>1038</v>
      </c>
      <c r="P1777" t="s">
        <v>4777</v>
      </c>
      <c r="Q1777" t="s">
        <v>4858</v>
      </c>
      <c r="R1777" t="s">
        <v>4771</v>
      </c>
    </row>
    <row r="1778" spans="1:18" x14ac:dyDescent="0.3">
      <c r="A1778">
        <v>536</v>
      </c>
      <c r="B1778" t="s">
        <v>1034</v>
      </c>
      <c r="C1778" t="s">
        <v>319</v>
      </c>
      <c r="D1778" t="s">
        <v>36</v>
      </c>
      <c r="E1778" s="1">
        <v>46003</v>
      </c>
      <c r="F1778" t="s">
        <v>4298</v>
      </c>
      <c r="G1778" t="s">
        <v>3427</v>
      </c>
      <c r="H1778" t="s">
        <v>318</v>
      </c>
      <c r="I1778" t="s">
        <v>204</v>
      </c>
      <c r="J1778" s="1">
        <v>46214</v>
      </c>
      <c r="K1778" t="s">
        <v>711</v>
      </c>
      <c r="L1778">
        <v>581</v>
      </c>
      <c r="M1778">
        <v>581.22</v>
      </c>
      <c r="N1778" t="s">
        <v>710</v>
      </c>
      <c r="O1778" t="s">
        <v>1036</v>
      </c>
      <c r="P1778" t="s">
        <v>4784</v>
      </c>
      <c r="Q1778" t="s">
        <v>4901</v>
      </c>
      <c r="R1778" t="s">
        <v>4771</v>
      </c>
    </row>
    <row r="1779" spans="1:18" x14ac:dyDescent="0.3">
      <c r="A1779">
        <v>836</v>
      </c>
      <c r="B1779" t="s">
        <v>1034</v>
      </c>
      <c r="C1779" t="s">
        <v>314</v>
      </c>
      <c r="D1779" t="s">
        <v>39</v>
      </c>
      <c r="E1779" s="1">
        <v>46003</v>
      </c>
      <c r="F1779" t="s">
        <v>4347</v>
      </c>
      <c r="G1779" t="s">
        <v>3289</v>
      </c>
      <c r="H1779" t="s">
        <v>313</v>
      </c>
      <c r="I1779" t="s">
        <v>204</v>
      </c>
      <c r="J1779" s="1">
        <v>46237</v>
      </c>
      <c r="K1779" t="s">
        <v>711</v>
      </c>
      <c r="L1779">
        <v>1150</v>
      </c>
      <c r="M1779">
        <v>1150</v>
      </c>
      <c r="N1779" t="s">
        <v>710</v>
      </c>
      <c r="O1779" t="s">
        <v>4834</v>
      </c>
      <c r="P1779" t="s">
        <v>4779</v>
      </c>
      <c r="Q1779" t="s">
        <v>4901</v>
      </c>
      <c r="R1779" t="s">
        <v>4773</v>
      </c>
    </row>
    <row r="1780" spans="1:18" x14ac:dyDescent="0.3">
      <c r="A1780">
        <v>26</v>
      </c>
      <c r="B1780" t="s">
        <v>1034</v>
      </c>
      <c r="C1780" t="s">
        <v>552</v>
      </c>
      <c r="D1780" t="s">
        <v>190</v>
      </c>
      <c r="E1780" s="1">
        <v>46003</v>
      </c>
      <c r="F1780" t="s">
        <v>4339</v>
      </c>
      <c r="G1780" t="s">
        <v>3426</v>
      </c>
      <c r="H1780" t="s">
        <v>583</v>
      </c>
      <c r="I1780" t="s">
        <v>204</v>
      </c>
      <c r="J1780" s="1">
        <v>46441</v>
      </c>
      <c r="K1780" t="s">
        <v>717</v>
      </c>
      <c r="L1780">
        <v>64045.55</v>
      </c>
      <c r="M1780">
        <v>64045.55</v>
      </c>
      <c r="N1780" t="s">
        <v>710</v>
      </c>
      <c r="O1780" t="s">
        <v>4904</v>
      </c>
      <c r="P1780" t="s">
        <v>4792</v>
      </c>
      <c r="Q1780" t="s">
        <v>4904</v>
      </c>
      <c r="R1780" t="s">
        <v>4772</v>
      </c>
    </row>
    <row r="1781" spans="1:18" x14ac:dyDescent="0.3">
      <c r="A1781">
        <v>30518</v>
      </c>
      <c r="B1781" t="s">
        <v>1034</v>
      </c>
      <c r="C1781" t="s">
        <v>660</v>
      </c>
      <c r="D1781" t="s">
        <v>96</v>
      </c>
      <c r="E1781" s="1">
        <v>46003</v>
      </c>
      <c r="F1781" t="s">
        <v>4379</v>
      </c>
      <c r="G1781" t="s">
        <v>3430</v>
      </c>
      <c r="H1781" t="s">
        <v>659</v>
      </c>
      <c r="I1781" t="s">
        <v>204</v>
      </c>
      <c r="J1781" s="1">
        <v>46276</v>
      </c>
      <c r="K1781" t="s">
        <v>717</v>
      </c>
      <c r="L1781">
        <v>1</v>
      </c>
      <c r="M1781">
        <v>33527.699999999997</v>
      </c>
      <c r="N1781" t="s">
        <v>710</v>
      </c>
      <c r="O1781" t="s">
        <v>4902</v>
      </c>
      <c r="P1781" t="s">
        <v>4776</v>
      </c>
      <c r="Q1781" t="s">
        <v>4852</v>
      </c>
      <c r="R1781" t="s">
        <v>807</v>
      </c>
    </row>
    <row r="1782" spans="1:18" x14ac:dyDescent="0.3">
      <c r="A1782">
        <v>61</v>
      </c>
      <c r="B1782" t="s">
        <v>1034</v>
      </c>
      <c r="C1782" t="s">
        <v>550</v>
      </c>
      <c r="D1782" t="s">
        <v>189</v>
      </c>
      <c r="E1782" s="1">
        <v>46003</v>
      </c>
      <c r="F1782" t="s">
        <v>4338</v>
      </c>
      <c r="G1782" t="s">
        <v>3425</v>
      </c>
      <c r="H1782" t="s">
        <v>582</v>
      </c>
      <c r="I1782" t="s">
        <v>204</v>
      </c>
      <c r="J1782" s="1">
        <v>46599</v>
      </c>
      <c r="K1782" t="s">
        <v>717</v>
      </c>
      <c r="L1782">
        <v>27301.11</v>
      </c>
      <c r="M1782">
        <v>27301.11</v>
      </c>
      <c r="N1782" t="s">
        <v>710</v>
      </c>
      <c r="O1782" t="s">
        <v>4904</v>
      </c>
      <c r="P1782" t="s">
        <v>4792</v>
      </c>
      <c r="Q1782" t="s">
        <v>4904</v>
      </c>
      <c r="R1782" t="s">
        <v>4772</v>
      </c>
    </row>
    <row r="1783" spans="1:18" x14ac:dyDescent="0.3">
      <c r="A1783">
        <v>2025232</v>
      </c>
      <c r="B1783" t="s">
        <v>4875</v>
      </c>
      <c r="C1783" t="s">
        <v>322</v>
      </c>
      <c r="D1783" t="s">
        <v>158</v>
      </c>
      <c r="E1783" s="1">
        <v>46003</v>
      </c>
      <c r="F1783" t="s">
        <v>4432</v>
      </c>
      <c r="G1783" t="s">
        <v>3344</v>
      </c>
      <c r="H1783" t="s">
        <v>352</v>
      </c>
      <c r="I1783" t="s">
        <v>204</v>
      </c>
      <c r="J1783" s="1">
        <v>46310</v>
      </c>
      <c r="K1783" t="s">
        <v>748</v>
      </c>
      <c r="L1783">
        <v>1</v>
      </c>
      <c r="M1783">
        <v>2318.84</v>
      </c>
      <c r="N1783" t="s">
        <v>710</v>
      </c>
      <c r="O1783" t="s">
        <v>1040</v>
      </c>
      <c r="P1783" t="s">
        <v>4782</v>
      </c>
      <c r="Q1783" t="s">
        <v>4856</v>
      </c>
      <c r="R1783" t="s">
        <v>4773</v>
      </c>
    </row>
    <row r="1784" spans="1:18" x14ac:dyDescent="0.3">
      <c r="A1784">
        <v>2025231</v>
      </c>
      <c r="B1784" t="s">
        <v>4875</v>
      </c>
      <c r="C1784" t="s">
        <v>322</v>
      </c>
      <c r="D1784" t="s">
        <v>158</v>
      </c>
      <c r="E1784" s="1">
        <v>46003</v>
      </c>
      <c r="F1784" t="s">
        <v>4431</v>
      </c>
      <c r="G1784" t="s">
        <v>3340</v>
      </c>
      <c r="H1784" t="s">
        <v>321</v>
      </c>
      <c r="I1784" t="s">
        <v>204</v>
      </c>
      <c r="J1784" s="1">
        <v>46310</v>
      </c>
      <c r="K1784" t="s">
        <v>748</v>
      </c>
      <c r="L1784">
        <v>1</v>
      </c>
      <c r="M1784">
        <v>4481.55</v>
      </c>
      <c r="N1784" t="s">
        <v>710</v>
      </c>
      <c r="O1784" t="s">
        <v>1040</v>
      </c>
      <c r="P1784" t="s">
        <v>4782</v>
      </c>
      <c r="Q1784" t="s">
        <v>4856</v>
      </c>
      <c r="R1784" t="s">
        <v>4773</v>
      </c>
    </row>
    <row r="1785" spans="1:18" x14ac:dyDescent="0.3">
      <c r="A1785">
        <v>4585</v>
      </c>
      <c r="B1785" t="s">
        <v>4874</v>
      </c>
      <c r="C1785" t="s">
        <v>391</v>
      </c>
      <c r="D1785" t="s">
        <v>104</v>
      </c>
      <c r="E1785" s="1">
        <v>46003</v>
      </c>
      <c r="F1785" t="s">
        <v>4354</v>
      </c>
      <c r="G1785" t="s">
        <v>3431</v>
      </c>
      <c r="H1785" t="s">
        <v>390</v>
      </c>
      <c r="I1785" t="s">
        <v>204</v>
      </c>
      <c r="J1785" s="1">
        <v>54878</v>
      </c>
      <c r="K1785" t="s">
        <v>762</v>
      </c>
      <c r="L1785">
        <v>224.98</v>
      </c>
      <c r="M1785">
        <v>224.98</v>
      </c>
      <c r="N1785" t="s">
        <v>710</v>
      </c>
      <c r="O1785" t="s">
        <v>4833</v>
      </c>
      <c r="P1785" t="s">
        <v>4776</v>
      </c>
      <c r="Q1785" t="s">
        <v>4852</v>
      </c>
      <c r="R1785" t="s">
        <v>4773</v>
      </c>
    </row>
    <row r="1786" spans="1:18" x14ac:dyDescent="0.3">
      <c r="A1786">
        <v>2025230</v>
      </c>
      <c r="B1786" t="s">
        <v>4875</v>
      </c>
      <c r="C1786" t="s">
        <v>322</v>
      </c>
      <c r="D1786" t="s">
        <v>158</v>
      </c>
      <c r="E1786" s="1">
        <v>46003</v>
      </c>
      <c r="F1786" t="s">
        <v>4433</v>
      </c>
      <c r="G1786" t="s">
        <v>3330</v>
      </c>
      <c r="H1786" t="s">
        <v>346</v>
      </c>
      <c r="I1786" t="s">
        <v>204</v>
      </c>
      <c r="J1786" s="1">
        <v>46310</v>
      </c>
      <c r="K1786" t="s">
        <v>748</v>
      </c>
      <c r="L1786">
        <v>1</v>
      </c>
      <c r="M1786">
        <v>28640</v>
      </c>
      <c r="N1786" t="s">
        <v>710</v>
      </c>
      <c r="O1786" t="s">
        <v>1040</v>
      </c>
      <c r="P1786" t="s">
        <v>4782</v>
      </c>
      <c r="Q1786" t="s">
        <v>4856</v>
      </c>
      <c r="R1786" t="s">
        <v>4773</v>
      </c>
    </row>
    <row r="1787" spans="1:18" x14ac:dyDescent="0.3">
      <c r="A1787">
        <v>58</v>
      </c>
      <c r="B1787" t="s">
        <v>4875</v>
      </c>
      <c r="C1787" t="s">
        <v>550</v>
      </c>
      <c r="D1787" t="s">
        <v>189</v>
      </c>
      <c r="E1787" s="1">
        <v>46003</v>
      </c>
      <c r="F1787" t="s">
        <v>4338</v>
      </c>
      <c r="G1787" t="s">
        <v>3423</v>
      </c>
      <c r="H1787" t="s">
        <v>569</v>
      </c>
      <c r="I1787" t="s">
        <v>204</v>
      </c>
      <c r="J1787" s="1">
        <v>46599</v>
      </c>
      <c r="K1787" t="s">
        <v>768</v>
      </c>
      <c r="L1787">
        <v>23437.4</v>
      </c>
      <c r="M1787">
        <v>23437.4</v>
      </c>
      <c r="N1787" t="s">
        <v>710</v>
      </c>
      <c r="O1787" t="s">
        <v>4904</v>
      </c>
      <c r="P1787" t="s">
        <v>4792</v>
      </c>
      <c r="Q1787" t="s">
        <v>4904</v>
      </c>
      <c r="R1787" t="s">
        <v>4772</v>
      </c>
    </row>
    <row r="1788" spans="1:18" x14ac:dyDescent="0.3">
      <c r="A1788">
        <v>848599</v>
      </c>
      <c r="B1788" t="s">
        <v>1034</v>
      </c>
      <c r="C1788" t="s">
        <v>276</v>
      </c>
      <c r="D1788" t="s">
        <v>5</v>
      </c>
      <c r="E1788" s="1">
        <v>46003</v>
      </c>
      <c r="F1788" t="s">
        <v>4315</v>
      </c>
      <c r="G1788" t="s">
        <v>3442</v>
      </c>
      <c r="H1788" t="s">
        <v>275</v>
      </c>
      <c r="I1788" t="s">
        <v>204</v>
      </c>
      <c r="J1788" s="1">
        <v>46904</v>
      </c>
      <c r="K1788" t="s">
        <v>717</v>
      </c>
      <c r="L1788">
        <v>35394.879999999997</v>
      </c>
      <c r="M1788">
        <v>35394.879999999997</v>
      </c>
      <c r="N1788" t="s">
        <v>710</v>
      </c>
      <c r="O1788" t="s">
        <v>1037</v>
      </c>
      <c r="P1788" t="s">
        <v>4776</v>
      </c>
      <c r="Q1788" t="s">
        <v>4852</v>
      </c>
      <c r="R1788" t="s">
        <v>4773</v>
      </c>
    </row>
    <row r="1789" spans="1:18" x14ac:dyDescent="0.3">
      <c r="A1789">
        <v>4585</v>
      </c>
      <c r="B1789" t="s">
        <v>4874</v>
      </c>
      <c r="C1789" t="s">
        <v>391</v>
      </c>
      <c r="D1789" t="s">
        <v>104</v>
      </c>
      <c r="E1789" s="1">
        <v>46003</v>
      </c>
      <c r="F1789" t="s">
        <v>4306</v>
      </c>
      <c r="G1789" t="s">
        <v>3431</v>
      </c>
      <c r="H1789" t="s">
        <v>390</v>
      </c>
      <c r="I1789" t="s">
        <v>204</v>
      </c>
      <c r="J1789" s="1">
        <v>54878</v>
      </c>
      <c r="K1789" t="s">
        <v>762</v>
      </c>
      <c r="L1789">
        <v>1435.1</v>
      </c>
      <c r="M1789">
        <v>1435.1</v>
      </c>
      <c r="N1789" t="s">
        <v>710</v>
      </c>
      <c r="O1789" t="s">
        <v>4833</v>
      </c>
      <c r="P1789" t="s">
        <v>4776</v>
      </c>
      <c r="Q1789" t="s">
        <v>4852</v>
      </c>
      <c r="R1789" t="s">
        <v>4773</v>
      </c>
    </row>
    <row r="1790" spans="1:18" x14ac:dyDescent="0.3">
      <c r="A1790">
        <v>105</v>
      </c>
      <c r="B1790" t="s">
        <v>1034</v>
      </c>
      <c r="C1790" t="s">
        <v>658</v>
      </c>
      <c r="D1790" t="s">
        <v>192</v>
      </c>
      <c r="E1790" s="1">
        <v>46003</v>
      </c>
      <c r="F1790" t="s">
        <v>4377</v>
      </c>
      <c r="G1790" t="s">
        <v>3422</v>
      </c>
      <c r="H1790" t="s">
        <v>657</v>
      </c>
      <c r="I1790" t="s">
        <v>204</v>
      </c>
      <c r="J1790" s="1">
        <v>46218</v>
      </c>
      <c r="K1790" t="s">
        <v>711</v>
      </c>
      <c r="L1790">
        <v>1</v>
      </c>
      <c r="M1790">
        <v>2150</v>
      </c>
      <c r="N1790" t="s">
        <v>710</v>
      </c>
      <c r="O1790" t="s">
        <v>4834</v>
      </c>
      <c r="P1790" t="s">
        <v>4776</v>
      </c>
      <c r="Q1790" t="s">
        <v>4901</v>
      </c>
      <c r="R1790" t="s">
        <v>807</v>
      </c>
    </row>
    <row r="1791" spans="1:18" x14ac:dyDescent="0.3">
      <c r="A1791">
        <v>849450</v>
      </c>
      <c r="B1791" t="s">
        <v>1034</v>
      </c>
      <c r="C1791" t="s">
        <v>276</v>
      </c>
      <c r="D1791" t="s">
        <v>5</v>
      </c>
      <c r="E1791" s="1">
        <v>46003</v>
      </c>
      <c r="F1791" t="s">
        <v>4315</v>
      </c>
      <c r="G1791" t="s">
        <v>3442</v>
      </c>
      <c r="H1791" t="s">
        <v>275</v>
      </c>
      <c r="I1791" t="s">
        <v>204</v>
      </c>
      <c r="J1791" s="1">
        <v>46904</v>
      </c>
      <c r="K1791" t="s">
        <v>717</v>
      </c>
      <c r="L1791">
        <v>19661.37</v>
      </c>
      <c r="M1791">
        <v>19661.37</v>
      </c>
      <c r="N1791" t="s">
        <v>710</v>
      </c>
      <c r="O1791" t="s">
        <v>1037</v>
      </c>
      <c r="P1791" t="s">
        <v>4776</v>
      </c>
      <c r="Q1791" t="s">
        <v>4852</v>
      </c>
      <c r="R1791" t="s">
        <v>4773</v>
      </c>
    </row>
    <row r="1792" spans="1:18" x14ac:dyDescent="0.3">
      <c r="A1792">
        <v>288012</v>
      </c>
      <c r="B1792" t="s">
        <v>4874</v>
      </c>
      <c r="C1792" t="s">
        <v>391</v>
      </c>
      <c r="D1792" t="s">
        <v>104</v>
      </c>
      <c r="E1792" s="1">
        <v>46003</v>
      </c>
      <c r="F1792" t="s">
        <v>4315</v>
      </c>
      <c r="G1792" t="s">
        <v>3431</v>
      </c>
      <c r="H1792" t="s">
        <v>390</v>
      </c>
      <c r="I1792" t="s">
        <v>204</v>
      </c>
      <c r="J1792" s="1">
        <v>54878</v>
      </c>
      <c r="K1792" t="s">
        <v>762</v>
      </c>
      <c r="L1792">
        <v>312.67</v>
      </c>
      <c r="M1792">
        <v>312.67</v>
      </c>
      <c r="N1792" t="s">
        <v>710</v>
      </c>
      <c r="O1792" t="s">
        <v>4833</v>
      </c>
      <c r="P1792" t="s">
        <v>4776</v>
      </c>
      <c r="Q1792" t="s">
        <v>4852</v>
      </c>
      <c r="R1792" t="s">
        <v>4773</v>
      </c>
    </row>
    <row r="1793" spans="1:18" x14ac:dyDescent="0.3">
      <c r="A1793">
        <v>28615</v>
      </c>
      <c r="B1793" t="s">
        <v>4874</v>
      </c>
      <c r="C1793" t="s">
        <v>592</v>
      </c>
      <c r="D1793" t="s">
        <v>8</v>
      </c>
      <c r="E1793" s="1">
        <v>46003</v>
      </c>
      <c r="F1793" t="s">
        <v>4352</v>
      </c>
      <c r="G1793" t="s">
        <v>3439</v>
      </c>
      <c r="H1793" t="s">
        <v>601</v>
      </c>
      <c r="I1793" t="s">
        <v>209</v>
      </c>
      <c r="J1793" s="1">
        <v>45945</v>
      </c>
      <c r="K1793" t="s">
        <v>762</v>
      </c>
      <c r="L1793">
        <v>1260</v>
      </c>
      <c r="M1793">
        <v>1260</v>
      </c>
      <c r="N1793" t="s">
        <v>890</v>
      </c>
      <c r="O1793" t="s">
        <v>4833</v>
      </c>
      <c r="P1793" t="s">
        <v>950</v>
      </c>
      <c r="Q1793" t="s">
        <v>4852</v>
      </c>
      <c r="R1793" t="s">
        <v>807</v>
      </c>
    </row>
    <row r="1794" spans="1:18" x14ac:dyDescent="0.3">
      <c r="A1794">
        <v>28661</v>
      </c>
      <c r="B1794" t="s">
        <v>4874</v>
      </c>
      <c r="C1794" t="s">
        <v>592</v>
      </c>
      <c r="D1794" t="s">
        <v>8</v>
      </c>
      <c r="E1794" s="1">
        <v>46003</v>
      </c>
      <c r="F1794" t="s">
        <v>4363</v>
      </c>
      <c r="G1794" t="s">
        <v>3437</v>
      </c>
      <c r="H1794" t="s">
        <v>601</v>
      </c>
      <c r="I1794" t="s">
        <v>209</v>
      </c>
      <c r="J1794" s="1">
        <v>45945</v>
      </c>
      <c r="K1794" t="s">
        <v>762</v>
      </c>
      <c r="L1794">
        <v>653.08000000000004</v>
      </c>
      <c r="M1794">
        <v>653.08000000000004</v>
      </c>
      <c r="N1794" t="s">
        <v>890</v>
      </c>
      <c r="O1794" t="s">
        <v>4833</v>
      </c>
      <c r="P1794" t="s">
        <v>950</v>
      </c>
      <c r="Q1794" t="s">
        <v>4852</v>
      </c>
      <c r="R1794" t="s">
        <v>807</v>
      </c>
    </row>
    <row r="1795" spans="1:18" x14ac:dyDescent="0.3">
      <c r="A1795">
        <v>15</v>
      </c>
      <c r="B1795" t="s">
        <v>4874</v>
      </c>
      <c r="C1795" t="s">
        <v>626</v>
      </c>
      <c r="D1795" t="s">
        <v>184</v>
      </c>
      <c r="E1795" s="1">
        <v>46003</v>
      </c>
      <c r="F1795" t="s">
        <v>4414</v>
      </c>
      <c r="G1795" t="s">
        <v>3382</v>
      </c>
      <c r="H1795" t="s">
        <v>625</v>
      </c>
      <c r="I1795" t="s">
        <v>204</v>
      </c>
      <c r="J1795" s="1">
        <v>46440</v>
      </c>
      <c r="K1795" t="s">
        <v>720</v>
      </c>
      <c r="L1795">
        <v>224.1789</v>
      </c>
      <c r="M1795">
        <v>21297</v>
      </c>
      <c r="N1795" t="s">
        <v>710</v>
      </c>
      <c r="O1795" t="s">
        <v>1039</v>
      </c>
      <c r="P1795" t="s">
        <v>4777</v>
      </c>
      <c r="Q1795" t="s">
        <v>4858</v>
      </c>
      <c r="R1795" t="s">
        <v>4773</v>
      </c>
    </row>
    <row r="1796" spans="1:18" x14ac:dyDescent="0.3">
      <c r="A1796">
        <v>2025322</v>
      </c>
      <c r="B1796" t="s">
        <v>4875</v>
      </c>
      <c r="C1796" t="s">
        <v>509</v>
      </c>
      <c r="D1796" t="s">
        <v>91</v>
      </c>
      <c r="E1796" s="1">
        <v>46003</v>
      </c>
      <c r="F1796" t="s">
        <v>4332</v>
      </c>
      <c r="G1796" t="s">
        <v>3278</v>
      </c>
      <c r="H1796" t="s">
        <v>531</v>
      </c>
      <c r="I1796" t="s">
        <v>204</v>
      </c>
      <c r="J1796" s="1">
        <v>45473</v>
      </c>
      <c r="K1796" t="s">
        <v>748</v>
      </c>
      <c r="L1796">
        <v>1</v>
      </c>
      <c r="M1796">
        <v>900</v>
      </c>
      <c r="N1796" t="s">
        <v>890</v>
      </c>
      <c r="O1796" t="s">
        <v>1040</v>
      </c>
      <c r="P1796" t="s">
        <v>4778</v>
      </c>
      <c r="Q1796" t="s">
        <v>4856</v>
      </c>
      <c r="R1796" t="s">
        <v>4771</v>
      </c>
    </row>
    <row r="1797" spans="1:18" x14ac:dyDescent="0.3">
      <c r="A1797">
        <v>138</v>
      </c>
      <c r="B1797" t="s">
        <v>1034</v>
      </c>
      <c r="C1797" t="s">
        <v>618</v>
      </c>
      <c r="D1797" t="s">
        <v>112</v>
      </c>
      <c r="E1797" s="1">
        <v>46003</v>
      </c>
      <c r="F1797" t="s">
        <v>4361</v>
      </c>
      <c r="G1797" t="s">
        <v>3379</v>
      </c>
      <c r="H1797" t="s">
        <v>617</v>
      </c>
      <c r="I1797" t="s">
        <v>204</v>
      </c>
      <c r="J1797" s="1">
        <v>46347</v>
      </c>
      <c r="K1797" t="s">
        <v>711</v>
      </c>
      <c r="L1797">
        <v>830</v>
      </c>
      <c r="M1797">
        <v>830</v>
      </c>
      <c r="N1797" t="s">
        <v>818</v>
      </c>
      <c r="O1797" t="s">
        <v>1036</v>
      </c>
      <c r="P1797" t="s">
        <v>4776</v>
      </c>
      <c r="Q1797" t="s">
        <v>4901</v>
      </c>
      <c r="R1797" t="s">
        <v>4771</v>
      </c>
    </row>
    <row r="1798" spans="1:18" x14ac:dyDescent="0.3">
      <c r="A1798">
        <v>1284</v>
      </c>
      <c r="B1798" t="s">
        <v>4874</v>
      </c>
      <c r="C1798" t="s">
        <v>305</v>
      </c>
      <c r="D1798" t="s">
        <v>59</v>
      </c>
      <c r="E1798" s="1">
        <v>46002</v>
      </c>
      <c r="F1798" t="s">
        <v>4359</v>
      </c>
      <c r="G1798" t="s">
        <v>3409</v>
      </c>
      <c r="H1798" t="s">
        <v>304</v>
      </c>
      <c r="I1798" t="s">
        <v>204</v>
      </c>
      <c r="J1798" s="1">
        <v>46481</v>
      </c>
      <c r="K1798" t="s">
        <v>720</v>
      </c>
      <c r="L1798">
        <v>1</v>
      </c>
      <c r="M1798">
        <v>3264.68</v>
      </c>
      <c r="N1798" t="s">
        <v>809</v>
      </c>
      <c r="O1798" t="s">
        <v>1038</v>
      </c>
      <c r="P1798" t="s">
        <v>4783</v>
      </c>
      <c r="Q1798" t="s">
        <v>4858</v>
      </c>
      <c r="R1798" t="s">
        <v>4771</v>
      </c>
    </row>
    <row r="1799" spans="1:18" x14ac:dyDescent="0.3">
      <c r="A1799">
        <v>107469</v>
      </c>
      <c r="B1799" t="s">
        <v>1034</v>
      </c>
      <c r="C1799" t="s">
        <v>495</v>
      </c>
      <c r="D1799" t="s">
        <v>44</v>
      </c>
      <c r="E1799" s="1">
        <v>46002</v>
      </c>
      <c r="F1799" t="s">
        <v>4303</v>
      </c>
      <c r="G1799" t="s">
        <v>3429</v>
      </c>
      <c r="H1799" t="s">
        <v>494</v>
      </c>
      <c r="I1799" t="s">
        <v>204</v>
      </c>
      <c r="J1799" s="1">
        <v>54878</v>
      </c>
      <c r="K1799" t="s">
        <v>717</v>
      </c>
      <c r="L1799">
        <v>1818.82</v>
      </c>
      <c r="M1799">
        <v>1818.82</v>
      </c>
      <c r="N1799" t="s">
        <v>710</v>
      </c>
      <c r="O1799" t="s">
        <v>4833</v>
      </c>
      <c r="P1799" t="s">
        <v>4776</v>
      </c>
      <c r="Q1799" t="s">
        <v>4852</v>
      </c>
      <c r="R1799" t="s">
        <v>4773</v>
      </c>
    </row>
    <row r="1800" spans="1:18" x14ac:dyDescent="0.3">
      <c r="A1800">
        <v>17907</v>
      </c>
      <c r="B1800" t="s">
        <v>4874</v>
      </c>
      <c r="C1800" t="s">
        <v>426</v>
      </c>
      <c r="D1800" t="s">
        <v>54</v>
      </c>
      <c r="E1800" s="1">
        <v>46002</v>
      </c>
      <c r="F1800" t="s">
        <v>4409</v>
      </c>
      <c r="G1800" t="s">
        <v>3432</v>
      </c>
      <c r="H1800" t="s">
        <v>425</v>
      </c>
      <c r="I1800" t="s">
        <v>204</v>
      </c>
      <c r="J1800" s="1">
        <v>46752</v>
      </c>
      <c r="K1800" t="s">
        <v>785</v>
      </c>
      <c r="L1800">
        <v>1</v>
      </c>
      <c r="M1800">
        <v>108186.47</v>
      </c>
      <c r="N1800" t="s">
        <v>710</v>
      </c>
      <c r="O1800" t="s">
        <v>1038</v>
      </c>
      <c r="P1800" t="s">
        <v>4787</v>
      </c>
      <c r="Q1800" t="s">
        <v>4858</v>
      </c>
      <c r="R1800" t="s">
        <v>4771</v>
      </c>
    </row>
    <row r="1801" spans="1:18" x14ac:dyDescent="0.3">
      <c r="A1801">
        <v>63071</v>
      </c>
      <c r="B1801" t="s">
        <v>4874</v>
      </c>
      <c r="C1801" t="s">
        <v>437</v>
      </c>
      <c r="D1801" t="s">
        <v>150</v>
      </c>
      <c r="E1801" s="1">
        <v>46002</v>
      </c>
      <c r="F1801" t="s">
        <v>4395</v>
      </c>
      <c r="G1801" t="s">
        <v>3419</v>
      </c>
      <c r="H1801" t="s">
        <v>436</v>
      </c>
      <c r="I1801" t="s">
        <v>204</v>
      </c>
      <c r="J1801" s="1">
        <v>54878</v>
      </c>
      <c r="K1801" t="s">
        <v>762</v>
      </c>
      <c r="L1801">
        <v>760</v>
      </c>
      <c r="M1801">
        <v>760</v>
      </c>
      <c r="N1801" t="s">
        <v>719</v>
      </c>
      <c r="O1801" t="s">
        <v>1037</v>
      </c>
      <c r="P1801" t="s">
        <v>4788</v>
      </c>
      <c r="Q1801" t="s">
        <v>4852</v>
      </c>
      <c r="R1801" t="s">
        <v>4771</v>
      </c>
    </row>
    <row r="1802" spans="1:18" x14ac:dyDescent="0.3">
      <c r="A1802">
        <v>1656082</v>
      </c>
      <c r="B1802" t="s">
        <v>4874</v>
      </c>
      <c r="C1802" t="s">
        <v>668</v>
      </c>
      <c r="D1802" t="s">
        <v>84</v>
      </c>
      <c r="E1802" s="1">
        <v>46002</v>
      </c>
      <c r="F1802" t="s">
        <v>4324</v>
      </c>
      <c r="G1802" t="s">
        <v>3390</v>
      </c>
      <c r="H1802" t="s">
        <v>667</v>
      </c>
      <c r="I1802" t="s">
        <v>204</v>
      </c>
      <c r="J1802" s="1">
        <v>46676</v>
      </c>
      <c r="K1802" t="s">
        <v>762</v>
      </c>
      <c r="L1802">
        <v>1</v>
      </c>
      <c r="M1802">
        <v>108116</v>
      </c>
      <c r="N1802" t="s">
        <v>1000</v>
      </c>
      <c r="O1802" t="s">
        <v>1037</v>
      </c>
      <c r="P1802" t="s">
        <v>4799</v>
      </c>
      <c r="Q1802" t="s">
        <v>4852</v>
      </c>
      <c r="R1802" t="s">
        <v>807</v>
      </c>
    </row>
    <row r="1803" spans="1:18" x14ac:dyDescent="0.3">
      <c r="A1803">
        <v>1656089</v>
      </c>
      <c r="B1803" t="s">
        <v>4875</v>
      </c>
      <c r="C1803" t="s">
        <v>668</v>
      </c>
      <c r="D1803" t="s">
        <v>84</v>
      </c>
      <c r="E1803" s="1">
        <v>46002</v>
      </c>
      <c r="F1803" t="s">
        <v>4324</v>
      </c>
      <c r="G1803" t="s">
        <v>3391</v>
      </c>
      <c r="H1803" t="s">
        <v>670</v>
      </c>
      <c r="I1803" t="s">
        <v>204</v>
      </c>
      <c r="J1803" s="1">
        <v>46677</v>
      </c>
      <c r="K1803" t="s">
        <v>768</v>
      </c>
      <c r="L1803">
        <v>47926</v>
      </c>
      <c r="M1803">
        <v>47926</v>
      </c>
      <c r="N1803" t="s">
        <v>1000</v>
      </c>
      <c r="O1803" t="s">
        <v>1037</v>
      </c>
      <c r="P1803" t="s">
        <v>4799</v>
      </c>
      <c r="Q1803" t="s">
        <v>4852</v>
      </c>
      <c r="R1803" t="s">
        <v>807</v>
      </c>
    </row>
    <row r="1804" spans="1:18" x14ac:dyDescent="0.3">
      <c r="A1804">
        <v>56784</v>
      </c>
      <c r="B1804" t="s">
        <v>4874</v>
      </c>
      <c r="C1804" t="s">
        <v>433</v>
      </c>
      <c r="D1804" t="s">
        <v>168</v>
      </c>
      <c r="E1804" s="1">
        <v>46002</v>
      </c>
      <c r="F1804" t="s">
        <v>4319</v>
      </c>
      <c r="G1804" t="s">
        <v>3421</v>
      </c>
      <c r="H1804" t="s">
        <v>432</v>
      </c>
      <c r="I1804" t="s">
        <v>204</v>
      </c>
      <c r="J1804" s="1">
        <v>46473</v>
      </c>
      <c r="K1804" t="s">
        <v>762</v>
      </c>
      <c r="L1804">
        <v>5300</v>
      </c>
      <c r="M1804">
        <v>5299.85</v>
      </c>
      <c r="N1804" t="s">
        <v>710</v>
      </c>
      <c r="O1804" t="s">
        <v>4833</v>
      </c>
      <c r="P1804" t="s">
        <v>4802</v>
      </c>
      <c r="Q1804" t="s">
        <v>4852</v>
      </c>
      <c r="R1804" t="s">
        <v>4771</v>
      </c>
    </row>
    <row r="1805" spans="1:18" x14ac:dyDescent="0.3">
      <c r="A1805">
        <v>500</v>
      </c>
      <c r="B1805" t="s">
        <v>4875</v>
      </c>
      <c r="C1805" t="s">
        <v>319</v>
      </c>
      <c r="D1805" t="s">
        <v>36</v>
      </c>
      <c r="E1805" s="1">
        <v>46002</v>
      </c>
      <c r="F1805" t="s">
        <v>4434</v>
      </c>
      <c r="G1805" t="s">
        <v>3367</v>
      </c>
      <c r="H1805" t="s">
        <v>336</v>
      </c>
      <c r="I1805" t="s">
        <v>204</v>
      </c>
      <c r="J1805" s="1">
        <v>46075</v>
      </c>
      <c r="K1805" t="s">
        <v>748</v>
      </c>
      <c r="L1805">
        <v>25425.99</v>
      </c>
      <c r="M1805">
        <v>25425.99</v>
      </c>
      <c r="N1805" t="s">
        <v>710</v>
      </c>
      <c r="O1805" t="s">
        <v>1040</v>
      </c>
      <c r="P1805" t="s">
        <v>4784</v>
      </c>
      <c r="Q1805" t="s">
        <v>4856</v>
      </c>
      <c r="R1805" t="s">
        <v>4771</v>
      </c>
    </row>
    <row r="1806" spans="1:18" x14ac:dyDescent="0.3">
      <c r="A1806">
        <v>111539</v>
      </c>
      <c r="B1806" t="s">
        <v>4874</v>
      </c>
      <c r="C1806" t="s">
        <v>379</v>
      </c>
      <c r="D1806" t="s">
        <v>131</v>
      </c>
      <c r="E1806" s="1">
        <v>46002</v>
      </c>
      <c r="F1806" t="s">
        <v>4315</v>
      </c>
      <c r="G1806" t="s">
        <v>3416</v>
      </c>
      <c r="H1806" t="s">
        <v>378</v>
      </c>
      <c r="I1806" t="s">
        <v>204</v>
      </c>
      <c r="J1806" s="1">
        <v>54878</v>
      </c>
      <c r="K1806" t="s">
        <v>762</v>
      </c>
      <c r="L1806">
        <v>68.510000000000005</v>
      </c>
      <c r="M1806">
        <v>68.510000000000005</v>
      </c>
      <c r="N1806" t="s">
        <v>710</v>
      </c>
      <c r="O1806" t="s">
        <v>4833</v>
      </c>
      <c r="P1806" t="s">
        <v>4776</v>
      </c>
      <c r="Q1806" t="s">
        <v>4852</v>
      </c>
      <c r="R1806" t="s">
        <v>4773</v>
      </c>
    </row>
    <row r="1807" spans="1:18" x14ac:dyDescent="0.3">
      <c r="A1807">
        <v>13392</v>
      </c>
      <c r="B1807" t="s">
        <v>1034</v>
      </c>
      <c r="C1807" t="s">
        <v>451</v>
      </c>
      <c r="D1807" t="s">
        <v>129</v>
      </c>
      <c r="E1807" s="1">
        <v>46002</v>
      </c>
      <c r="F1807" t="s">
        <v>4319</v>
      </c>
      <c r="G1807" t="s">
        <v>3413</v>
      </c>
      <c r="H1807" t="s">
        <v>662</v>
      </c>
      <c r="I1807" t="s">
        <v>204</v>
      </c>
      <c r="J1807" s="1">
        <v>46655</v>
      </c>
      <c r="K1807" t="s">
        <v>717</v>
      </c>
      <c r="L1807">
        <v>1647</v>
      </c>
      <c r="M1807">
        <v>1647.44</v>
      </c>
      <c r="N1807" t="s">
        <v>719</v>
      </c>
      <c r="O1807" t="s">
        <v>4833</v>
      </c>
      <c r="P1807" t="s">
        <v>4802</v>
      </c>
      <c r="Q1807" t="s">
        <v>4852</v>
      </c>
      <c r="R1807" t="s">
        <v>807</v>
      </c>
    </row>
    <row r="1808" spans="1:18" x14ac:dyDescent="0.3">
      <c r="A1808">
        <v>13482</v>
      </c>
      <c r="B1808" t="s">
        <v>1034</v>
      </c>
      <c r="C1808" t="s">
        <v>451</v>
      </c>
      <c r="D1808" t="s">
        <v>129</v>
      </c>
      <c r="E1808" s="1">
        <v>46002</v>
      </c>
      <c r="F1808" t="s">
        <v>4319</v>
      </c>
      <c r="G1808" t="s">
        <v>3413</v>
      </c>
      <c r="H1808" t="s">
        <v>662</v>
      </c>
      <c r="I1808" t="s">
        <v>204</v>
      </c>
      <c r="J1808" s="1">
        <v>46655</v>
      </c>
      <c r="K1808" t="s">
        <v>717</v>
      </c>
      <c r="L1808">
        <v>1557</v>
      </c>
      <c r="M1808">
        <v>1556.89</v>
      </c>
      <c r="N1808" t="s">
        <v>719</v>
      </c>
      <c r="O1808" t="s">
        <v>4833</v>
      </c>
      <c r="P1808" t="s">
        <v>4802</v>
      </c>
      <c r="Q1808" t="s">
        <v>4852</v>
      </c>
      <c r="R1808" t="s">
        <v>807</v>
      </c>
    </row>
    <row r="1809" spans="1:18" x14ac:dyDescent="0.3">
      <c r="A1809">
        <v>118650</v>
      </c>
      <c r="B1809" t="s">
        <v>1034</v>
      </c>
      <c r="C1809" t="s">
        <v>497</v>
      </c>
      <c r="D1809" t="s">
        <v>58</v>
      </c>
      <c r="E1809" s="1">
        <v>46002</v>
      </c>
      <c r="F1809" t="s">
        <v>4354</v>
      </c>
      <c r="G1809" t="s">
        <v>3414</v>
      </c>
      <c r="H1809" t="s">
        <v>496</v>
      </c>
      <c r="I1809" t="s">
        <v>204</v>
      </c>
      <c r="J1809" s="1">
        <v>46265</v>
      </c>
      <c r="K1809" t="s">
        <v>717</v>
      </c>
      <c r="L1809">
        <v>1</v>
      </c>
      <c r="M1809">
        <v>4397.3900000000003</v>
      </c>
      <c r="N1809" t="s">
        <v>710</v>
      </c>
      <c r="O1809" t="s">
        <v>4833</v>
      </c>
      <c r="P1809" t="s">
        <v>4776</v>
      </c>
      <c r="Q1809" t="s">
        <v>4852</v>
      </c>
      <c r="R1809" t="s">
        <v>4773</v>
      </c>
    </row>
    <row r="1810" spans="1:18" x14ac:dyDescent="0.3">
      <c r="A1810">
        <v>49455</v>
      </c>
      <c r="B1810" t="s">
        <v>1034</v>
      </c>
      <c r="C1810" t="s">
        <v>497</v>
      </c>
      <c r="D1810" t="s">
        <v>58</v>
      </c>
      <c r="E1810" s="1">
        <v>46002</v>
      </c>
      <c r="F1810" t="s">
        <v>4316</v>
      </c>
      <c r="G1810" t="s">
        <v>3415</v>
      </c>
      <c r="H1810" t="s">
        <v>498</v>
      </c>
      <c r="I1810" t="s">
        <v>204</v>
      </c>
      <c r="J1810" s="1">
        <v>46265</v>
      </c>
      <c r="K1810" t="s">
        <v>717</v>
      </c>
      <c r="L1810">
        <v>1</v>
      </c>
      <c r="M1810">
        <v>1288.8599999999999</v>
      </c>
      <c r="N1810" t="s">
        <v>710</v>
      </c>
      <c r="O1810" t="s">
        <v>4833</v>
      </c>
      <c r="P1810" t="s">
        <v>4776</v>
      </c>
      <c r="Q1810" t="s">
        <v>4852</v>
      </c>
      <c r="R1810" t="s">
        <v>4773</v>
      </c>
    </row>
    <row r="1811" spans="1:18" x14ac:dyDescent="0.3">
      <c r="A1811">
        <v>18049</v>
      </c>
      <c r="B1811" t="s">
        <v>1034</v>
      </c>
      <c r="C1811" t="s">
        <v>500</v>
      </c>
      <c r="D1811" t="s">
        <v>16</v>
      </c>
      <c r="E1811" s="1">
        <v>46002</v>
      </c>
      <c r="F1811" t="s">
        <v>4306</v>
      </c>
      <c r="G1811" t="s">
        <v>3417</v>
      </c>
      <c r="H1811" t="s">
        <v>499</v>
      </c>
      <c r="I1811" t="s">
        <v>204</v>
      </c>
      <c r="J1811" s="1">
        <v>54878</v>
      </c>
      <c r="K1811" t="s">
        <v>717</v>
      </c>
      <c r="L1811">
        <v>1633.45</v>
      </c>
      <c r="M1811">
        <v>1633.45</v>
      </c>
      <c r="N1811" t="s">
        <v>710</v>
      </c>
      <c r="O1811" t="s">
        <v>4833</v>
      </c>
      <c r="P1811" t="s">
        <v>4786</v>
      </c>
      <c r="Q1811" t="s">
        <v>4852</v>
      </c>
      <c r="R1811" t="s">
        <v>4773</v>
      </c>
    </row>
    <row r="1812" spans="1:18" x14ac:dyDescent="0.3">
      <c r="A1812">
        <v>3620</v>
      </c>
      <c r="B1812" t="s">
        <v>1034</v>
      </c>
      <c r="C1812" t="s">
        <v>590</v>
      </c>
      <c r="D1812" t="s">
        <v>79</v>
      </c>
      <c r="E1812" s="1">
        <v>46002</v>
      </c>
      <c r="F1812" t="s">
        <v>4365</v>
      </c>
      <c r="G1812" t="s">
        <v>3424</v>
      </c>
      <c r="H1812" t="s">
        <v>589</v>
      </c>
      <c r="I1812" t="s">
        <v>204</v>
      </c>
      <c r="J1812" s="1">
        <v>46387</v>
      </c>
      <c r="K1812" t="s">
        <v>717</v>
      </c>
      <c r="L1812">
        <v>500</v>
      </c>
      <c r="M1812">
        <v>500</v>
      </c>
      <c r="N1812" t="s">
        <v>814</v>
      </c>
      <c r="O1812" t="s">
        <v>4845</v>
      </c>
      <c r="P1812" t="s">
        <v>4793</v>
      </c>
      <c r="Q1812" t="s">
        <v>4845</v>
      </c>
      <c r="R1812" t="s">
        <v>4773</v>
      </c>
    </row>
    <row r="1813" spans="1:18" x14ac:dyDescent="0.3">
      <c r="A1813">
        <v>1656080</v>
      </c>
      <c r="B1813" t="s">
        <v>1034</v>
      </c>
      <c r="C1813" t="s">
        <v>668</v>
      </c>
      <c r="D1813" t="s">
        <v>84</v>
      </c>
      <c r="E1813" s="1">
        <v>46002</v>
      </c>
      <c r="F1813" t="s">
        <v>4324</v>
      </c>
      <c r="G1813" t="s">
        <v>3389</v>
      </c>
      <c r="H1813" t="s">
        <v>671</v>
      </c>
      <c r="I1813" t="s">
        <v>204</v>
      </c>
      <c r="J1813" s="1">
        <v>46324</v>
      </c>
      <c r="K1813" t="s">
        <v>717</v>
      </c>
      <c r="L1813">
        <v>1</v>
      </c>
      <c r="M1813">
        <v>149926</v>
      </c>
      <c r="N1813" t="s">
        <v>710</v>
      </c>
      <c r="O1813" t="s">
        <v>1037</v>
      </c>
      <c r="P1813" t="s">
        <v>4799</v>
      </c>
      <c r="Q1813" t="s">
        <v>4852</v>
      </c>
      <c r="R1813" t="s">
        <v>807</v>
      </c>
    </row>
    <row r="1814" spans="1:18" x14ac:dyDescent="0.3">
      <c r="A1814">
        <v>102159</v>
      </c>
      <c r="B1814" t="s">
        <v>1034</v>
      </c>
      <c r="C1814" t="s">
        <v>502</v>
      </c>
      <c r="D1814" t="s">
        <v>2</v>
      </c>
      <c r="E1814" s="1">
        <v>46002</v>
      </c>
      <c r="F1814" t="s">
        <v>4303</v>
      </c>
      <c r="G1814" t="s">
        <v>3428</v>
      </c>
      <c r="H1814" t="s">
        <v>501</v>
      </c>
      <c r="I1814" t="s">
        <v>204</v>
      </c>
      <c r="J1814" s="1">
        <v>54878</v>
      </c>
      <c r="K1814" t="s">
        <v>717</v>
      </c>
      <c r="L1814">
        <v>1901.56</v>
      </c>
      <c r="M1814">
        <v>1901.56</v>
      </c>
      <c r="N1814" t="s">
        <v>710</v>
      </c>
      <c r="O1814" t="s">
        <v>4833</v>
      </c>
      <c r="P1814" t="s">
        <v>4776</v>
      </c>
      <c r="Q1814" t="s">
        <v>4852</v>
      </c>
      <c r="R1814" t="s">
        <v>4774</v>
      </c>
    </row>
    <row r="1815" spans="1:18" x14ac:dyDescent="0.3">
      <c r="A1815">
        <v>13432</v>
      </c>
      <c r="B1815" t="s">
        <v>1034</v>
      </c>
      <c r="C1815" t="s">
        <v>451</v>
      </c>
      <c r="D1815" t="s">
        <v>129</v>
      </c>
      <c r="E1815" s="1">
        <v>46002</v>
      </c>
      <c r="F1815" t="s">
        <v>4319</v>
      </c>
      <c r="G1815" t="s">
        <v>3413</v>
      </c>
      <c r="H1815" t="s">
        <v>662</v>
      </c>
      <c r="I1815" t="s">
        <v>204</v>
      </c>
      <c r="J1815" s="1">
        <v>46655</v>
      </c>
      <c r="K1815" t="s">
        <v>717</v>
      </c>
      <c r="L1815">
        <v>1901</v>
      </c>
      <c r="M1815">
        <v>1901.08</v>
      </c>
      <c r="N1815" t="s">
        <v>719</v>
      </c>
      <c r="O1815" t="s">
        <v>4833</v>
      </c>
      <c r="P1815" t="s">
        <v>4802</v>
      </c>
      <c r="Q1815" t="s">
        <v>4852</v>
      </c>
      <c r="R1815" t="s">
        <v>807</v>
      </c>
    </row>
    <row r="1816" spans="1:18" x14ac:dyDescent="0.3">
      <c r="A1816">
        <v>65030</v>
      </c>
      <c r="B1816" t="s">
        <v>4874</v>
      </c>
      <c r="C1816" t="s">
        <v>514</v>
      </c>
      <c r="D1816" t="s">
        <v>47</v>
      </c>
      <c r="E1816" s="1">
        <v>46002</v>
      </c>
      <c r="F1816" t="s">
        <v>4362</v>
      </c>
      <c r="G1816" t="s">
        <v>3418</v>
      </c>
      <c r="H1816" t="s">
        <v>513</v>
      </c>
      <c r="I1816" t="s">
        <v>204</v>
      </c>
      <c r="J1816" s="1">
        <v>46386</v>
      </c>
      <c r="K1816" t="s">
        <v>762</v>
      </c>
      <c r="L1816">
        <v>6187.77</v>
      </c>
      <c r="M1816">
        <v>6187.77</v>
      </c>
      <c r="N1816" t="s">
        <v>710</v>
      </c>
      <c r="O1816" t="s">
        <v>4833</v>
      </c>
      <c r="P1816" t="s">
        <v>4779</v>
      </c>
      <c r="Q1816" t="s">
        <v>4852</v>
      </c>
    </row>
    <row r="1817" spans="1:18" x14ac:dyDescent="0.3">
      <c r="A1817">
        <v>5034</v>
      </c>
      <c r="B1817" t="s">
        <v>1034</v>
      </c>
      <c r="C1817" t="s">
        <v>319</v>
      </c>
      <c r="D1817" t="s">
        <v>36</v>
      </c>
      <c r="E1817" s="1">
        <v>46001</v>
      </c>
      <c r="F1817" t="s">
        <v>4298</v>
      </c>
      <c r="G1817" t="s">
        <v>3406</v>
      </c>
      <c r="H1817" t="s">
        <v>318</v>
      </c>
      <c r="I1817" t="s">
        <v>204</v>
      </c>
      <c r="J1817" s="1">
        <v>46214</v>
      </c>
      <c r="K1817" t="s">
        <v>711</v>
      </c>
      <c r="L1817">
        <v>1306</v>
      </c>
      <c r="M1817">
        <v>1305.78</v>
      </c>
      <c r="N1817" t="s">
        <v>710</v>
      </c>
      <c r="O1817" t="s">
        <v>1036</v>
      </c>
      <c r="P1817" t="s">
        <v>4784</v>
      </c>
      <c r="Q1817" t="s">
        <v>4901</v>
      </c>
      <c r="R1817" t="s">
        <v>4771</v>
      </c>
    </row>
    <row r="1818" spans="1:18" x14ac:dyDescent="0.3">
      <c r="A1818">
        <v>334</v>
      </c>
      <c r="B1818" t="s">
        <v>1034</v>
      </c>
      <c r="C1818" t="s">
        <v>479</v>
      </c>
      <c r="D1818" t="s">
        <v>99</v>
      </c>
      <c r="E1818" s="1">
        <v>46001</v>
      </c>
      <c r="F1818" t="s">
        <v>4310</v>
      </c>
      <c r="G1818" t="s">
        <v>3404</v>
      </c>
      <c r="H1818" t="s">
        <v>478</v>
      </c>
      <c r="I1818" t="s">
        <v>204</v>
      </c>
      <c r="J1818" s="1">
        <v>46239</v>
      </c>
      <c r="K1818" t="s">
        <v>717</v>
      </c>
      <c r="L1818">
        <v>40</v>
      </c>
      <c r="M1818">
        <v>142</v>
      </c>
      <c r="N1818" t="s">
        <v>710</v>
      </c>
      <c r="O1818" t="s">
        <v>1037</v>
      </c>
      <c r="P1818" t="s">
        <v>4790</v>
      </c>
      <c r="Q1818" t="s">
        <v>4852</v>
      </c>
      <c r="R1818" t="s">
        <v>4772</v>
      </c>
    </row>
    <row r="1819" spans="1:18" x14ac:dyDescent="0.3">
      <c r="A1819">
        <v>391688</v>
      </c>
      <c r="B1819" t="s">
        <v>1034</v>
      </c>
      <c r="C1819" t="s">
        <v>435</v>
      </c>
      <c r="D1819" t="s">
        <v>30</v>
      </c>
      <c r="E1819" s="1">
        <v>46001</v>
      </c>
      <c r="F1819" t="s">
        <v>4351</v>
      </c>
      <c r="G1819" t="s">
        <v>3375</v>
      </c>
      <c r="H1819" t="s">
        <v>434</v>
      </c>
      <c r="I1819" t="s">
        <v>204</v>
      </c>
      <c r="J1819" s="1">
        <v>46752</v>
      </c>
      <c r="K1819" t="s">
        <v>785</v>
      </c>
      <c r="L1819">
        <v>1</v>
      </c>
      <c r="M1819">
        <v>162800.78</v>
      </c>
      <c r="N1819" t="s">
        <v>998</v>
      </c>
      <c r="O1819" t="s">
        <v>1038</v>
      </c>
      <c r="P1819" t="s">
        <v>4787</v>
      </c>
      <c r="Q1819" t="s">
        <v>4858</v>
      </c>
      <c r="R1819" t="s">
        <v>4771</v>
      </c>
    </row>
    <row r="1820" spans="1:18" x14ac:dyDescent="0.3">
      <c r="A1820">
        <v>334</v>
      </c>
      <c r="B1820" t="s">
        <v>1034</v>
      </c>
      <c r="C1820" t="s">
        <v>479</v>
      </c>
      <c r="D1820" t="s">
        <v>99</v>
      </c>
      <c r="E1820" s="1">
        <v>46001</v>
      </c>
      <c r="F1820" t="s">
        <v>4307</v>
      </c>
      <c r="G1820" t="s">
        <v>3404</v>
      </c>
      <c r="H1820" t="s">
        <v>478</v>
      </c>
      <c r="I1820" t="s">
        <v>204</v>
      </c>
      <c r="J1820" s="1">
        <v>46239</v>
      </c>
      <c r="K1820" t="s">
        <v>717</v>
      </c>
      <c r="L1820">
        <v>3835</v>
      </c>
      <c r="M1820">
        <v>46825.35</v>
      </c>
      <c r="N1820" t="s">
        <v>710</v>
      </c>
      <c r="O1820" t="s">
        <v>1037</v>
      </c>
      <c r="P1820" t="s">
        <v>4790</v>
      </c>
      <c r="Q1820" t="s">
        <v>4852</v>
      </c>
      <c r="R1820" t="s">
        <v>4772</v>
      </c>
    </row>
    <row r="1821" spans="1:18" x14ac:dyDescent="0.3">
      <c r="A1821">
        <v>334</v>
      </c>
      <c r="B1821" t="s">
        <v>1034</v>
      </c>
      <c r="C1821" t="s">
        <v>479</v>
      </c>
      <c r="D1821" t="s">
        <v>99</v>
      </c>
      <c r="E1821" s="1">
        <v>46001</v>
      </c>
      <c r="F1821" t="s">
        <v>4308</v>
      </c>
      <c r="G1821" t="s">
        <v>3404</v>
      </c>
      <c r="H1821" t="s">
        <v>478</v>
      </c>
      <c r="I1821" t="s">
        <v>204</v>
      </c>
      <c r="J1821" s="1">
        <v>46239</v>
      </c>
      <c r="K1821" t="s">
        <v>717</v>
      </c>
      <c r="L1821">
        <v>2503</v>
      </c>
      <c r="M1821">
        <v>9911.8799999999992</v>
      </c>
      <c r="N1821" t="s">
        <v>710</v>
      </c>
      <c r="O1821" t="s">
        <v>1037</v>
      </c>
      <c r="P1821" t="s">
        <v>4790</v>
      </c>
      <c r="Q1821" t="s">
        <v>4852</v>
      </c>
      <c r="R1821" t="s">
        <v>4772</v>
      </c>
    </row>
    <row r="1822" spans="1:18" x14ac:dyDescent="0.3">
      <c r="A1822">
        <v>334</v>
      </c>
      <c r="B1822" t="s">
        <v>1034</v>
      </c>
      <c r="C1822" t="s">
        <v>479</v>
      </c>
      <c r="D1822" t="s">
        <v>99</v>
      </c>
      <c r="E1822" s="1">
        <v>46001</v>
      </c>
      <c r="F1822" t="s">
        <v>4312</v>
      </c>
      <c r="G1822" t="s">
        <v>3404</v>
      </c>
      <c r="H1822" t="s">
        <v>478</v>
      </c>
      <c r="I1822" t="s">
        <v>204</v>
      </c>
      <c r="J1822" s="1">
        <v>46239</v>
      </c>
      <c r="K1822" t="s">
        <v>717</v>
      </c>
      <c r="L1822">
        <v>47</v>
      </c>
      <c r="M1822">
        <v>223.25</v>
      </c>
      <c r="N1822" t="s">
        <v>710</v>
      </c>
      <c r="O1822" t="s">
        <v>1037</v>
      </c>
      <c r="P1822" t="s">
        <v>4790</v>
      </c>
      <c r="Q1822" t="s">
        <v>4852</v>
      </c>
      <c r="R1822" t="s">
        <v>4772</v>
      </c>
    </row>
    <row r="1823" spans="1:18" x14ac:dyDescent="0.3">
      <c r="A1823">
        <v>334</v>
      </c>
      <c r="B1823" t="s">
        <v>1034</v>
      </c>
      <c r="C1823" t="s">
        <v>479</v>
      </c>
      <c r="D1823" t="s">
        <v>99</v>
      </c>
      <c r="E1823" s="1">
        <v>46001</v>
      </c>
      <c r="F1823" t="s">
        <v>4372</v>
      </c>
      <c r="G1823" t="s">
        <v>3404</v>
      </c>
      <c r="H1823" t="s">
        <v>478</v>
      </c>
      <c r="I1823" t="s">
        <v>204</v>
      </c>
      <c r="J1823" s="1">
        <v>46239</v>
      </c>
      <c r="K1823" t="s">
        <v>717</v>
      </c>
      <c r="L1823">
        <v>40</v>
      </c>
      <c r="M1823">
        <v>340.8</v>
      </c>
      <c r="N1823" t="s">
        <v>710</v>
      </c>
      <c r="O1823" t="s">
        <v>1037</v>
      </c>
      <c r="P1823" t="s">
        <v>4790</v>
      </c>
      <c r="Q1823" t="s">
        <v>4852</v>
      </c>
      <c r="R1823" t="s">
        <v>4772</v>
      </c>
    </row>
    <row r="1824" spans="1:18" x14ac:dyDescent="0.3">
      <c r="A1824">
        <v>334</v>
      </c>
      <c r="B1824" t="s">
        <v>1034</v>
      </c>
      <c r="C1824" t="s">
        <v>479</v>
      </c>
      <c r="D1824" t="s">
        <v>99</v>
      </c>
      <c r="E1824" s="1">
        <v>46001</v>
      </c>
      <c r="F1824" t="s">
        <v>4329</v>
      </c>
      <c r="G1824" t="s">
        <v>3404</v>
      </c>
      <c r="H1824" t="s">
        <v>478</v>
      </c>
      <c r="I1824" t="s">
        <v>204</v>
      </c>
      <c r="J1824" s="1">
        <v>46239</v>
      </c>
      <c r="K1824" t="s">
        <v>717</v>
      </c>
      <c r="L1824">
        <v>44</v>
      </c>
      <c r="M1824">
        <v>496.76</v>
      </c>
      <c r="N1824" t="s">
        <v>710</v>
      </c>
      <c r="O1824" t="s">
        <v>1037</v>
      </c>
      <c r="P1824" t="s">
        <v>4790</v>
      </c>
      <c r="Q1824" t="s">
        <v>4852</v>
      </c>
      <c r="R1824" t="s">
        <v>4772</v>
      </c>
    </row>
    <row r="1825" spans="1:18" x14ac:dyDescent="0.3">
      <c r="A1825">
        <v>5812158</v>
      </c>
      <c r="B1825" t="s">
        <v>1034</v>
      </c>
      <c r="C1825" t="s">
        <v>463</v>
      </c>
      <c r="D1825" t="s">
        <v>147</v>
      </c>
      <c r="E1825" s="1">
        <v>46001</v>
      </c>
      <c r="F1825" t="s">
        <v>4334</v>
      </c>
      <c r="G1825" t="s">
        <v>3307</v>
      </c>
      <c r="H1825" t="s">
        <v>462</v>
      </c>
      <c r="I1825" t="s">
        <v>204</v>
      </c>
      <c r="J1825" s="1">
        <v>46752</v>
      </c>
      <c r="K1825" t="s">
        <v>717</v>
      </c>
      <c r="L1825">
        <v>1082.6300000000001</v>
      </c>
      <c r="M1825">
        <v>1082.6300000000001</v>
      </c>
      <c r="N1825" t="s">
        <v>719</v>
      </c>
      <c r="O1825" t="s">
        <v>1033</v>
      </c>
      <c r="P1825" t="s">
        <v>4776</v>
      </c>
      <c r="Q1825" t="s">
        <v>4852</v>
      </c>
      <c r="R1825" t="s">
        <v>4771</v>
      </c>
    </row>
    <row r="1826" spans="1:18" x14ac:dyDescent="0.3">
      <c r="A1826">
        <v>2061897</v>
      </c>
      <c r="B1826" t="s">
        <v>1034</v>
      </c>
      <c r="C1826" t="s">
        <v>417</v>
      </c>
      <c r="D1826" t="s">
        <v>185</v>
      </c>
      <c r="E1826" s="1">
        <v>46001</v>
      </c>
      <c r="F1826" t="s">
        <v>4346</v>
      </c>
      <c r="G1826" t="s">
        <v>3408</v>
      </c>
      <c r="H1826" t="s">
        <v>416</v>
      </c>
      <c r="I1826" t="s">
        <v>204</v>
      </c>
      <c r="J1826" s="1">
        <v>54878</v>
      </c>
      <c r="K1826" t="s">
        <v>717</v>
      </c>
      <c r="L1826">
        <v>545.4</v>
      </c>
      <c r="M1826">
        <v>545.4</v>
      </c>
      <c r="N1826" t="s">
        <v>710</v>
      </c>
      <c r="O1826" t="s">
        <v>1037</v>
      </c>
      <c r="P1826" t="s">
        <v>4780</v>
      </c>
      <c r="Q1826" t="s">
        <v>4852</v>
      </c>
      <c r="R1826" t="s">
        <v>4771</v>
      </c>
    </row>
    <row r="1827" spans="1:18" x14ac:dyDescent="0.3">
      <c r="A1827">
        <v>391733</v>
      </c>
      <c r="B1827" t="s">
        <v>4875</v>
      </c>
      <c r="C1827" t="s">
        <v>435</v>
      </c>
      <c r="D1827" t="s">
        <v>30</v>
      </c>
      <c r="E1827" s="1">
        <v>46001</v>
      </c>
      <c r="F1827" t="s">
        <v>4351</v>
      </c>
      <c r="G1827" t="s">
        <v>3374</v>
      </c>
      <c r="H1827" t="s">
        <v>434</v>
      </c>
      <c r="I1827" t="s">
        <v>204</v>
      </c>
      <c r="J1827" s="1">
        <v>46752</v>
      </c>
      <c r="K1827" t="s">
        <v>785</v>
      </c>
      <c r="L1827">
        <v>1</v>
      </c>
      <c r="M1827">
        <v>60471.88</v>
      </c>
      <c r="N1827" t="s">
        <v>998</v>
      </c>
      <c r="O1827" t="s">
        <v>1038</v>
      </c>
      <c r="P1827" t="s">
        <v>4787</v>
      </c>
      <c r="Q1827" t="s">
        <v>4858</v>
      </c>
      <c r="R1827" t="s">
        <v>4771</v>
      </c>
    </row>
    <row r="1828" spans="1:18" x14ac:dyDescent="0.3">
      <c r="A1828">
        <v>164548</v>
      </c>
      <c r="B1828" t="s">
        <v>4874</v>
      </c>
      <c r="C1828" t="s">
        <v>214</v>
      </c>
      <c r="D1828" t="s">
        <v>94</v>
      </c>
      <c r="E1828" s="1">
        <v>46001</v>
      </c>
      <c r="F1828" t="s">
        <v>4295</v>
      </c>
      <c r="G1828" t="s">
        <v>3247</v>
      </c>
      <c r="H1828" t="s">
        <v>213</v>
      </c>
      <c r="I1828" t="s">
        <v>204</v>
      </c>
      <c r="J1828" s="1">
        <v>46309</v>
      </c>
      <c r="K1828" t="s">
        <v>720</v>
      </c>
      <c r="L1828">
        <v>1</v>
      </c>
      <c r="M1828">
        <v>30009.69</v>
      </c>
      <c r="N1828" t="s">
        <v>710</v>
      </c>
      <c r="O1828" t="s">
        <v>4834</v>
      </c>
      <c r="P1828" t="s">
        <v>4776</v>
      </c>
      <c r="Q1828" t="s">
        <v>4858</v>
      </c>
      <c r="R1828" t="s">
        <v>4772</v>
      </c>
    </row>
    <row r="1829" spans="1:18" x14ac:dyDescent="0.3">
      <c r="A1829">
        <v>20887</v>
      </c>
      <c r="B1829" t="s">
        <v>4874</v>
      </c>
      <c r="C1829" t="s">
        <v>539</v>
      </c>
      <c r="D1829" t="s">
        <v>189</v>
      </c>
      <c r="E1829" s="1">
        <v>46001</v>
      </c>
      <c r="F1829" t="s">
        <v>4327</v>
      </c>
      <c r="G1829" t="s">
        <v>3334</v>
      </c>
      <c r="H1829" t="s">
        <v>573</v>
      </c>
      <c r="I1829" t="s">
        <v>209</v>
      </c>
      <c r="J1829" s="1">
        <v>45808</v>
      </c>
      <c r="K1829" t="s">
        <v>762</v>
      </c>
      <c r="L1829">
        <v>5732.31</v>
      </c>
      <c r="M1829">
        <v>5732.31</v>
      </c>
      <c r="N1829" t="s">
        <v>890</v>
      </c>
      <c r="Q1829" t="s">
        <v>807</v>
      </c>
    </row>
    <row r="1830" spans="1:18" x14ac:dyDescent="0.3">
      <c r="A1830">
        <v>10904</v>
      </c>
      <c r="B1830" t="s">
        <v>4874</v>
      </c>
      <c r="C1830" t="s">
        <v>546</v>
      </c>
      <c r="D1830" t="s">
        <v>75</v>
      </c>
      <c r="E1830" s="1">
        <v>46001</v>
      </c>
      <c r="F1830" t="s">
        <v>4355</v>
      </c>
      <c r="G1830" t="s">
        <v>3372</v>
      </c>
      <c r="H1830" t="s">
        <v>581</v>
      </c>
      <c r="I1830" t="s">
        <v>204</v>
      </c>
      <c r="J1830" s="1">
        <v>46233</v>
      </c>
      <c r="K1830" t="s">
        <v>720</v>
      </c>
      <c r="L1830">
        <v>1</v>
      </c>
      <c r="M1830">
        <v>3650</v>
      </c>
      <c r="N1830" t="s">
        <v>814</v>
      </c>
      <c r="O1830" t="s">
        <v>1038</v>
      </c>
      <c r="P1830" t="s">
        <v>4779</v>
      </c>
      <c r="Q1830" t="s">
        <v>4858</v>
      </c>
      <c r="R1830" t="s">
        <v>4773</v>
      </c>
    </row>
    <row r="1831" spans="1:18" x14ac:dyDescent="0.3">
      <c r="A1831">
        <v>2808104</v>
      </c>
      <c r="B1831" t="s">
        <v>4874</v>
      </c>
      <c r="C1831" t="s">
        <v>403</v>
      </c>
      <c r="D1831" t="s">
        <v>106</v>
      </c>
      <c r="E1831" s="1">
        <v>46001</v>
      </c>
      <c r="F1831" t="s">
        <v>4362</v>
      </c>
      <c r="G1831" t="s">
        <v>3420</v>
      </c>
      <c r="H1831" t="s">
        <v>402</v>
      </c>
      <c r="I1831" t="s">
        <v>204</v>
      </c>
      <c r="J1831" s="1">
        <v>46386</v>
      </c>
      <c r="K1831" t="s">
        <v>762</v>
      </c>
      <c r="L1831">
        <v>1900</v>
      </c>
      <c r="M1831">
        <v>1900</v>
      </c>
      <c r="N1831" t="s">
        <v>710</v>
      </c>
      <c r="O1831" t="s">
        <v>1037</v>
      </c>
      <c r="P1831" t="s">
        <v>4779</v>
      </c>
      <c r="Q1831" t="s">
        <v>4852</v>
      </c>
      <c r="R1831" t="s">
        <v>4772</v>
      </c>
    </row>
    <row r="1832" spans="1:18" x14ac:dyDescent="0.3">
      <c r="A1832">
        <v>392074</v>
      </c>
      <c r="B1832" t="s">
        <v>4874</v>
      </c>
      <c r="C1832" t="s">
        <v>435</v>
      </c>
      <c r="D1832" t="s">
        <v>30</v>
      </c>
      <c r="E1832" s="1">
        <v>46001</v>
      </c>
      <c r="F1832" t="s">
        <v>4351</v>
      </c>
      <c r="G1832" t="s">
        <v>3373</v>
      </c>
      <c r="H1832" t="s">
        <v>434</v>
      </c>
      <c r="I1832" t="s">
        <v>204</v>
      </c>
      <c r="J1832" s="1">
        <v>46752</v>
      </c>
      <c r="K1832" t="s">
        <v>785</v>
      </c>
      <c r="L1832">
        <v>1</v>
      </c>
      <c r="M1832">
        <v>150176.85999999999</v>
      </c>
      <c r="N1832" t="s">
        <v>998</v>
      </c>
      <c r="O1832" t="s">
        <v>1038</v>
      </c>
      <c r="P1832" t="s">
        <v>4787</v>
      </c>
      <c r="Q1832" t="s">
        <v>4858</v>
      </c>
      <c r="R1832" t="s">
        <v>4771</v>
      </c>
    </row>
    <row r="1833" spans="1:18" x14ac:dyDescent="0.3">
      <c r="A1833">
        <v>5102</v>
      </c>
      <c r="B1833" t="s">
        <v>4874</v>
      </c>
      <c r="C1833" t="s">
        <v>456</v>
      </c>
      <c r="D1833" t="s">
        <v>71</v>
      </c>
      <c r="E1833" s="1">
        <v>46001</v>
      </c>
      <c r="F1833" t="s">
        <v>4401</v>
      </c>
      <c r="G1833" t="s">
        <v>3393</v>
      </c>
      <c r="H1833" t="s">
        <v>455</v>
      </c>
      <c r="I1833" t="s">
        <v>204</v>
      </c>
      <c r="J1833" s="1">
        <v>54878</v>
      </c>
      <c r="K1833" t="s">
        <v>762</v>
      </c>
      <c r="L1833">
        <v>6885.9</v>
      </c>
      <c r="M1833">
        <v>6885.9</v>
      </c>
      <c r="N1833" t="s">
        <v>710</v>
      </c>
      <c r="O1833" t="s">
        <v>1042</v>
      </c>
      <c r="P1833" t="s">
        <v>1006</v>
      </c>
      <c r="Q1833" t="s">
        <v>4852</v>
      </c>
      <c r="R1833" t="s">
        <v>4771</v>
      </c>
    </row>
    <row r="1834" spans="1:18" x14ac:dyDescent="0.3">
      <c r="A1834">
        <v>4054320</v>
      </c>
      <c r="B1834" t="s">
        <v>1034</v>
      </c>
      <c r="C1834" t="s">
        <v>417</v>
      </c>
      <c r="D1834" t="s">
        <v>185</v>
      </c>
      <c r="E1834" s="1">
        <v>46001</v>
      </c>
      <c r="F1834" t="s">
        <v>4335</v>
      </c>
      <c r="G1834" t="s">
        <v>3408</v>
      </c>
      <c r="H1834" t="s">
        <v>416</v>
      </c>
      <c r="I1834" t="s">
        <v>204</v>
      </c>
      <c r="J1834" s="1">
        <v>54878</v>
      </c>
      <c r="K1834" t="s">
        <v>717</v>
      </c>
      <c r="L1834">
        <v>511.46</v>
      </c>
      <c r="M1834">
        <v>511.46</v>
      </c>
      <c r="N1834" t="s">
        <v>710</v>
      </c>
      <c r="O1834" t="s">
        <v>1037</v>
      </c>
      <c r="P1834" t="s">
        <v>4780</v>
      </c>
      <c r="Q1834" t="s">
        <v>4852</v>
      </c>
      <c r="R1834" t="s">
        <v>4771</v>
      </c>
    </row>
    <row r="1835" spans="1:18" x14ac:dyDescent="0.3">
      <c r="A1835">
        <v>2304</v>
      </c>
      <c r="B1835" t="s">
        <v>4874</v>
      </c>
      <c r="C1835" t="s">
        <v>616</v>
      </c>
      <c r="D1835" t="s">
        <v>152</v>
      </c>
      <c r="E1835" s="1">
        <v>46000</v>
      </c>
      <c r="F1835" t="s">
        <v>4338</v>
      </c>
      <c r="G1835" t="s">
        <v>3114</v>
      </c>
      <c r="H1835" t="s">
        <v>615</v>
      </c>
      <c r="I1835" t="s">
        <v>204</v>
      </c>
      <c r="J1835" s="1">
        <v>46327</v>
      </c>
      <c r="K1835" t="s">
        <v>720</v>
      </c>
      <c r="L1835">
        <v>1</v>
      </c>
      <c r="M1835">
        <v>101787.59</v>
      </c>
      <c r="N1835" t="s">
        <v>710</v>
      </c>
      <c r="O1835" t="s">
        <v>4834</v>
      </c>
      <c r="P1835" t="s">
        <v>4776</v>
      </c>
      <c r="Q1835" t="s">
        <v>4858</v>
      </c>
      <c r="R1835" t="s">
        <v>4772</v>
      </c>
    </row>
    <row r="1836" spans="1:18" x14ac:dyDescent="0.3">
      <c r="A1836">
        <v>19554</v>
      </c>
      <c r="B1836" t="s">
        <v>4874</v>
      </c>
      <c r="C1836" t="s">
        <v>212</v>
      </c>
      <c r="D1836" t="s">
        <v>62</v>
      </c>
      <c r="E1836" s="1">
        <v>46000</v>
      </c>
      <c r="F1836" t="s">
        <v>4318</v>
      </c>
      <c r="G1836" t="s">
        <v>3399</v>
      </c>
      <c r="H1836" t="s">
        <v>211</v>
      </c>
      <c r="I1836" t="s">
        <v>204</v>
      </c>
      <c r="J1836" s="1">
        <v>54878</v>
      </c>
      <c r="K1836" t="s">
        <v>720</v>
      </c>
      <c r="L1836">
        <v>1</v>
      </c>
      <c r="M1836">
        <v>1000</v>
      </c>
      <c r="N1836" t="s">
        <v>719</v>
      </c>
      <c r="O1836" t="s">
        <v>4834</v>
      </c>
      <c r="P1836" t="s">
        <v>4776</v>
      </c>
      <c r="Q1836" t="s">
        <v>4858</v>
      </c>
      <c r="R1836" t="s">
        <v>4771</v>
      </c>
    </row>
    <row r="1837" spans="1:18" x14ac:dyDescent="0.3">
      <c r="A1837">
        <v>4903</v>
      </c>
      <c r="B1837" t="s">
        <v>4874</v>
      </c>
      <c r="C1837" t="s">
        <v>444</v>
      </c>
      <c r="D1837" t="s">
        <v>21</v>
      </c>
      <c r="E1837" s="1">
        <v>46000</v>
      </c>
      <c r="F1837" t="s">
        <v>4380</v>
      </c>
      <c r="G1837" t="s">
        <v>3396</v>
      </c>
      <c r="H1837" t="s">
        <v>443</v>
      </c>
      <c r="I1837" t="s">
        <v>209</v>
      </c>
      <c r="J1837" s="1">
        <v>54878</v>
      </c>
      <c r="K1837" t="s">
        <v>762</v>
      </c>
      <c r="L1837">
        <v>1</v>
      </c>
      <c r="M1837">
        <v>120</v>
      </c>
      <c r="N1837" t="s">
        <v>710</v>
      </c>
      <c r="O1837" t="s">
        <v>1037</v>
      </c>
      <c r="P1837" t="s">
        <v>4808</v>
      </c>
      <c r="Q1837" t="s">
        <v>4852</v>
      </c>
      <c r="R1837" t="s">
        <v>4772</v>
      </c>
    </row>
    <row r="1838" spans="1:18" x14ac:dyDescent="0.3">
      <c r="A1838">
        <v>202526198</v>
      </c>
      <c r="B1838" t="s">
        <v>4874</v>
      </c>
      <c r="C1838" t="s">
        <v>222</v>
      </c>
      <c r="D1838" t="s">
        <v>80</v>
      </c>
      <c r="E1838" s="1">
        <v>46000</v>
      </c>
      <c r="F1838" t="s">
        <v>4406</v>
      </c>
      <c r="G1838" t="s">
        <v>3398</v>
      </c>
      <c r="H1838" t="s">
        <v>223</v>
      </c>
      <c r="I1838" t="s">
        <v>204</v>
      </c>
      <c r="J1838" s="1">
        <v>46504</v>
      </c>
      <c r="K1838" t="s">
        <v>720</v>
      </c>
      <c r="L1838">
        <v>1</v>
      </c>
      <c r="M1838">
        <v>1828.63</v>
      </c>
      <c r="N1838" t="s">
        <v>710</v>
      </c>
      <c r="O1838" t="s">
        <v>4834</v>
      </c>
      <c r="P1838" t="s">
        <v>4778</v>
      </c>
      <c r="Q1838" t="s">
        <v>4858</v>
      </c>
      <c r="R1838" t="s">
        <v>4773</v>
      </c>
    </row>
    <row r="1839" spans="1:18" x14ac:dyDescent="0.3">
      <c r="A1839">
        <v>595790</v>
      </c>
      <c r="B1839" t="s">
        <v>4874</v>
      </c>
      <c r="C1839" t="s">
        <v>248</v>
      </c>
      <c r="D1839" t="s">
        <v>13</v>
      </c>
      <c r="E1839" s="1">
        <v>46000</v>
      </c>
      <c r="F1839" t="s">
        <v>4297</v>
      </c>
      <c r="G1839" t="s">
        <v>3395</v>
      </c>
      <c r="H1839" t="s">
        <v>247</v>
      </c>
      <c r="I1839" t="s">
        <v>204</v>
      </c>
      <c r="J1839" s="1">
        <v>54878</v>
      </c>
      <c r="K1839" t="s">
        <v>720</v>
      </c>
      <c r="L1839">
        <v>1</v>
      </c>
      <c r="M1839">
        <v>573.72</v>
      </c>
      <c r="N1839" t="s">
        <v>710</v>
      </c>
      <c r="O1839" t="s">
        <v>1038</v>
      </c>
      <c r="P1839" t="s">
        <v>4779</v>
      </c>
      <c r="Q1839" t="s">
        <v>4858</v>
      </c>
      <c r="R1839" t="s">
        <v>4773</v>
      </c>
    </row>
    <row r="1840" spans="1:18" x14ac:dyDescent="0.3">
      <c r="A1840">
        <v>3053</v>
      </c>
      <c r="B1840" t="s">
        <v>4874</v>
      </c>
      <c r="C1840" t="s">
        <v>541</v>
      </c>
      <c r="D1840" t="s">
        <v>173</v>
      </c>
      <c r="E1840" s="1">
        <v>46000</v>
      </c>
      <c r="F1840" t="s">
        <v>4326</v>
      </c>
      <c r="G1840" t="s">
        <v>3394</v>
      </c>
      <c r="H1840" t="s">
        <v>548</v>
      </c>
      <c r="I1840" t="s">
        <v>204</v>
      </c>
      <c r="J1840" s="1">
        <v>46387</v>
      </c>
      <c r="K1840" t="s">
        <v>720</v>
      </c>
      <c r="L1840">
        <v>1</v>
      </c>
      <c r="M1840">
        <v>2300</v>
      </c>
      <c r="N1840" t="s">
        <v>710</v>
      </c>
      <c r="O1840" t="s">
        <v>1038</v>
      </c>
      <c r="P1840" t="s">
        <v>4791</v>
      </c>
      <c r="Q1840" t="s">
        <v>4858</v>
      </c>
      <c r="R1840" t="s">
        <v>4773</v>
      </c>
    </row>
    <row r="1841" spans="1:18" x14ac:dyDescent="0.3">
      <c r="A1841">
        <v>363</v>
      </c>
      <c r="B1841" t="s">
        <v>4874</v>
      </c>
      <c r="C1841" t="s">
        <v>575</v>
      </c>
      <c r="D1841" t="s">
        <v>174</v>
      </c>
      <c r="E1841" s="1">
        <v>46000</v>
      </c>
      <c r="F1841" t="s">
        <v>4412</v>
      </c>
      <c r="G1841" t="s">
        <v>3381</v>
      </c>
      <c r="H1841" t="s">
        <v>574</v>
      </c>
      <c r="I1841" t="s">
        <v>204</v>
      </c>
      <c r="J1841" s="1">
        <v>46203</v>
      </c>
      <c r="K1841" t="s">
        <v>720</v>
      </c>
      <c r="L1841">
        <v>1</v>
      </c>
      <c r="M1841">
        <v>15655.46</v>
      </c>
      <c r="N1841" t="s">
        <v>890</v>
      </c>
      <c r="O1841" t="s">
        <v>1039</v>
      </c>
      <c r="P1841" t="s">
        <v>4776</v>
      </c>
      <c r="Q1841" t="s">
        <v>4858</v>
      </c>
      <c r="R1841" t="s">
        <v>4771</v>
      </c>
    </row>
    <row r="1842" spans="1:18" x14ac:dyDescent="0.3">
      <c r="A1842">
        <v>166090</v>
      </c>
      <c r="B1842" t="s">
        <v>4874</v>
      </c>
      <c r="C1842" t="s">
        <v>301</v>
      </c>
      <c r="D1842" t="s">
        <v>23</v>
      </c>
      <c r="E1842" s="1">
        <v>46000</v>
      </c>
      <c r="F1842" t="s">
        <v>4321</v>
      </c>
      <c r="G1842" t="s">
        <v>3387</v>
      </c>
      <c r="H1842" t="s">
        <v>300</v>
      </c>
      <c r="I1842" t="s">
        <v>204</v>
      </c>
      <c r="J1842" s="1">
        <v>46418</v>
      </c>
      <c r="K1842" t="s">
        <v>720</v>
      </c>
      <c r="L1842">
        <v>1</v>
      </c>
      <c r="M1842">
        <v>5140.3900000000003</v>
      </c>
      <c r="N1842" t="s">
        <v>710</v>
      </c>
      <c r="O1842" t="s">
        <v>1038</v>
      </c>
      <c r="P1842" t="s">
        <v>4782</v>
      </c>
      <c r="Q1842" t="s">
        <v>4858</v>
      </c>
      <c r="R1842" t="s">
        <v>4773</v>
      </c>
    </row>
    <row r="1843" spans="1:18" x14ac:dyDescent="0.3">
      <c r="A1843">
        <v>644869</v>
      </c>
      <c r="B1843" t="s">
        <v>4874</v>
      </c>
      <c r="C1843" t="s">
        <v>298</v>
      </c>
      <c r="D1843" t="s">
        <v>11</v>
      </c>
      <c r="E1843" s="1">
        <v>46000</v>
      </c>
      <c r="F1843" t="s">
        <v>4297</v>
      </c>
      <c r="G1843" t="s">
        <v>3386</v>
      </c>
      <c r="H1843" t="s">
        <v>297</v>
      </c>
      <c r="I1843" t="s">
        <v>204</v>
      </c>
      <c r="J1843" s="1">
        <v>54878</v>
      </c>
      <c r="K1843" t="s">
        <v>720</v>
      </c>
      <c r="L1843">
        <v>1</v>
      </c>
      <c r="M1843">
        <v>1185.78</v>
      </c>
      <c r="N1843" t="s">
        <v>710</v>
      </c>
      <c r="O1843" t="s">
        <v>1038</v>
      </c>
      <c r="P1843" t="s">
        <v>4779</v>
      </c>
      <c r="Q1843" t="s">
        <v>4858</v>
      </c>
      <c r="R1843" t="s">
        <v>4771</v>
      </c>
    </row>
    <row r="1844" spans="1:18" x14ac:dyDescent="0.3">
      <c r="A1844">
        <v>188751</v>
      </c>
      <c r="B1844" t="s">
        <v>4874</v>
      </c>
      <c r="C1844" t="s">
        <v>411</v>
      </c>
      <c r="D1844" t="s">
        <v>154</v>
      </c>
      <c r="E1844" s="1">
        <v>46000</v>
      </c>
      <c r="F1844" t="s">
        <v>4345</v>
      </c>
      <c r="G1844" t="s">
        <v>3354</v>
      </c>
      <c r="H1844" t="s">
        <v>410</v>
      </c>
      <c r="I1844" t="s">
        <v>204</v>
      </c>
      <c r="J1844" s="1">
        <v>46344</v>
      </c>
      <c r="K1844" t="s">
        <v>762</v>
      </c>
      <c r="L1844">
        <v>16275.21</v>
      </c>
      <c r="M1844">
        <v>16275.21</v>
      </c>
      <c r="N1844" t="s">
        <v>710</v>
      </c>
      <c r="O1844" t="s">
        <v>4833</v>
      </c>
      <c r="P1844" t="s">
        <v>4776</v>
      </c>
      <c r="Q1844" t="s">
        <v>4852</v>
      </c>
      <c r="R1844" t="s">
        <v>4773</v>
      </c>
    </row>
    <row r="1845" spans="1:18" x14ac:dyDescent="0.3">
      <c r="A1845">
        <v>1382813</v>
      </c>
      <c r="B1845" t="s">
        <v>4874</v>
      </c>
      <c r="C1845" t="s">
        <v>433</v>
      </c>
      <c r="D1845" t="s">
        <v>168</v>
      </c>
      <c r="E1845" s="1">
        <v>46000</v>
      </c>
      <c r="F1845" t="s">
        <v>4319</v>
      </c>
      <c r="G1845" t="s">
        <v>3384</v>
      </c>
      <c r="H1845" t="s">
        <v>432</v>
      </c>
      <c r="I1845" t="s">
        <v>204</v>
      </c>
      <c r="J1845" s="1">
        <v>46473</v>
      </c>
      <c r="K1845" t="s">
        <v>762</v>
      </c>
      <c r="L1845">
        <v>1365</v>
      </c>
      <c r="M1845">
        <v>1364.88</v>
      </c>
      <c r="N1845" t="s">
        <v>710</v>
      </c>
      <c r="O1845" t="s">
        <v>4833</v>
      </c>
      <c r="P1845" t="s">
        <v>4802</v>
      </c>
      <c r="Q1845" t="s">
        <v>4852</v>
      </c>
      <c r="R1845" t="s">
        <v>4771</v>
      </c>
    </row>
    <row r="1846" spans="1:18" x14ac:dyDescent="0.3">
      <c r="A1846">
        <v>394310</v>
      </c>
      <c r="B1846" t="s">
        <v>4874</v>
      </c>
      <c r="C1846" t="s">
        <v>250</v>
      </c>
      <c r="D1846" t="s">
        <v>55</v>
      </c>
      <c r="E1846" s="1">
        <v>46000</v>
      </c>
      <c r="F1846" t="s">
        <v>4391</v>
      </c>
      <c r="G1846" t="s">
        <v>3388</v>
      </c>
      <c r="H1846" t="s">
        <v>249</v>
      </c>
      <c r="I1846" t="s">
        <v>204</v>
      </c>
      <c r="J1846" s="1">
        <v>54878</v>
      </c>
      <c r="K1846" t="s">
        <v>720</v>
      </c>
      <c r="L1846">
        <v>1</v>
      </c>
      <c r="M1846">
        <v>643.59</v>
      </c>
      <c r="N1846" t="s">
        <v>719</v>
      </c>
      <c r="O1846" t="s">
        <v>1038</v>
      </c>
      <c r="P1846" t="s">
        <v>4778</v>
      </c>
      <c r="Q1846" t="s">
        <v>4858</v>
      </c>
      <c r="R1846" t="s">
        <v>4771</v>
      </c>
    </row>
    <row r="1847" spans="1:18" x14ac:dyDescent="0.3">
      <c r="A1847">
        <v>41988</v>
      </c>
      <c r="B1847" t="s">
        <v>4874</v>
      </c>
      <c r="C1847" t="s">
        <v>294</v>
      </c>
      <c r="D1847" t="s">
        <v>101</v>
      </c>
      <c r="E1847" s="1">
        <v>46000</v>
      </c>
      <c r="F1847" t="s">
        <v>4304</v>
      </c>
      <c r="G1847" t="s">
        <v>3400</v>
      </c>
      <c r="H1847" t="s">
        <v>293</v>
      </c>
      <c r="I1847" t="s">
        <v>204</v>
      </c>
      <c r="J1847" s="1">
        <v>46191</v>
      </c>
      <c r="K1847" t="s">
        <v>720</v>
      </c>
      <c r="L1847">
        <v>1</v>
      </c>
      <c r="M1847">
        <v>640</v>
      </c>
      <c r="N1847" t="s">
        <v>710</v>
      </c>
      <c r="O1847" t="s">
        <v>4834</v>
      </c>
      <c r="P1847" t="s">
        <v>4776</v>
      </c>
      <c r="Q1847" t="s">
        <v>4858</v>
      </c>
      <c r="R1847" t="s">
        <v>4773</v>
      </c>
    </row>
    <row r="1848" spans="1:18" x14ac:dyDescent="0.3">
      <c r="A1848">
        <v>26830</v>
      </c>
      <c r="B1848" t="s">
        <v>4875</v>
      </c>
      <c r="C1848" t="s">
        <v>609</v>
      </c>
      <c r="D1848" t="s">
        <v>182</v>
      </c>
      <c r="E1848" s="1">
        <v>46000</v>
      </c>
      <c r="F1848" t="s">
        <v>4336</v>
      </c>
      <c r="G1848" t="s">
        <v>3352</v>
      </c>
      <c r="H1848" t="s">
        <v>610</v>
      </c>
      <c r="I1848" t="s">
        <v>204</v>
      </c>
      <c r="J1848" s="1">
        <v>46282</v>
      </c>
      <c r="K1848" t="s">
        <v>768</v>
      </c>
      <c r="L1848">
        <v>1</v>
      </c>
      <c r="M1848">
        <v>8174.24</v>
      </c>
      <c r="N1848" t="s">
        <v>710</v>
      </c>
      <c r="O1848" t="s">
        <v>1037</v>
      </c>
      <c r="P1848" t="s">
        <v>4794</v>
      </c>
      <c r="Q1848" t="s">
        <v>4852</v>
      </c>
      <c r="R1848" t="s">
        <v>4772</v>
      </c>
    </row>
    <row r="1849" spans="1:18" x14ac:dyDescent="0.3">
      <c r="A1849">
        <v>5823</v>
      </c>
      <c r="B1849" t="s">
        <v>1034</v>
      </c>
      <c r="C1849" t="s">
        <v>399</v>
      </c>
      <c r="D1849" t="s">
        <v>97</v>
      </c>
      <c r="E1849" s="1">
        <v>46000</v>
      </c>
      <c r="F1849" t="s">
        <v>4301</v>
      </c>
      <c r="G1849" t="s">
        <v>2843</v>
      </c>
      <c r="H1849" t="s">
        <v>398</v>
      </c>
      <c r="I1849" t="s">
        <v>204</v>
      </c>
      <c r="J1849" s="1">
        <v>46274</v>
      </c>
      <c r="K1849" t="s">
        <v>717</v>
      </c>
      <c r="L1849">
        <v>1</v>
      </c>
      <c r="M1849">
        <v>21070.42</v>
      </c>
      <c r="N1849" t="s">
        <v>710</v>
      </c>
      <c r="O1849" t="s">
        <v>4902</v>
      </c>
      <c r="P1849" t="s">
        <v>4776</v>
      </c>
      <c r="Q1849" t="s">
        <v>4852</v>
      </c>
      <c r="R1849" t="s">
        <v>4773</v>
      </c>
    </row>
    <row r="1850" spans="1:18" x14ac:dyDescent="0.3">
      <c r="A1850">
        <v>30493</v>
      </c>
      <c r="B1850" t="s">
        <v>1034</v>
      </c>
      <c r="C1850" t="s">
        <v>660</v>
      </c>
      <c r="D1850" t="s">
        <v>96</v>
      </c>
      <c r="E1850" s="1">
        <v>46000</v>
      </c>
      <c r="F1850" t="s">
        <v>4378</v>
      </c>
      <c r="G1850" t="s">
        <v>2842</v>
      </c>
      <c r="H1850" t="s">
        <v>661</v>
      </c>
      <c r="I1850" t="s">
        <v>204</v>
      </c>
      <c r="J1850" s="1">
        <v>46537</v>
      </c>
      <c r="K1850" t="s">
        <v>717</v>
      </c>
      <c r="L1850">
        <v>1</v>
      </c>
      <c r="M1850">
        <v>40349.85</v>
      </c>
      <c r="N1850" t="s">
        <v>710</v>
      </c>
      <c r="O1850" t="s">
        <v>4902</v>
      </c>
      <c r="P1850" t="s">
        <v>4776</v>
      </c>
      <c r="Q1850" t="s">
        <v>4852</v>
      </c>
      <c r="R1850" t="s">
        <v>807</v>
      </c>
    </row>
    <row r="1851" spans="1:18" x14ac:dyDescent="0.3">
      <c r="A1851">
        <v>6093</v>
      </c>
      <c r="B1851" t="s">
        <v>1034</v>
      </c>
      <c r="C1851" t="s">
        <v>208</v>
      </c>
      <c r="D1851" t="s">
        <v>164</v>
      </c>
      <c r="E1851" s="1">
        <v>46000</v>
      </c>
      <c r="F1851" t="s">
        <v>4342</v>
      </c>
      <c r="G1851" t="s">
        <v>3397</v>
      </c>
      <c r="H1851" t="s">
        <v>604</v>
      </c>
      <c r="I1851" t="s">
        <v>204</v>
      </c>
      <c r="J1851" s="1">
        <v>46256</v>
      </c>
      <c r="K1851" t="s">
        <v>711</v>
      </c>
      <c r="L1851">
        <v>1</v>
      </c>
      <c r="M1851">
        <v>340</v>
      </c>
      <c r="N1851" t="s">
        <v>710</v>
      </c>
      <c r="O1851" t="s">
        <v>1036</v>
      </c>
      <c r="P1851" t="s">
        <v>4784</v>
      </c>
      <c r="Q1851" t="s">
        <v>4901</v>
      </c>
    </row>
    <row r="1852" spans="1:18" x14ac:dyDescent="0.3">
      <c r="A1852">
        <v>202585</v>
      </c>
      <c r="B1852" t="s">
        <v>1034</v>
      </c>
      <c r="C1852" t="s">
        <v>507</v>
      </c>
      <c r="D1852" t="s">
        <v>18</v>
      </c>
      <c r="E1852" s="1">
        <v>46000</v>
      </c>
      <c r="F1852" t="s">
        <v>4322</v>
      </c>
      <c r="G1852" t="s">
        <v>3182</v>
      </c>
      <c r="H1852" t="s">
        <v>506</v>
      </c>
      <c r="I1852" t="s">
        <v>204</v>
      </c>
      <c r="J1852" s="1">
        <v>46741</v>
      </c>
      <c r="K1852" t="s">
        <v>711</v>
      </c>
      <c r="L1852">
        <v>22</v>
      </c>
      <c r="M1852">
        <v>7700</v>
      </c>
      <c r="N1852" t="s">
        <v>710</v>
      </c>
      <c r="O1852" t="s">
        <v>1036</v>
      </c>
      <c r="P1852" t="s">
        <v>4777</v>
      </c>
      <c r="Q1852" t="s">
        <v>4901</v>
      </c>
      <c r="R1852" t="s">
        <v>4773</v>
      </c>
    </row>
    <row r="1853" spans="1:18" x14ac:dyDescent="0.3">
      <c r="A1853">
        <v>202585</v>
      </c>
      <c r="B1853" t="s">
        <v>1034</v>
      </c>
      <c r="C1853" t="s">
        <v>507</v>
      </c>
      <c r="D1853" t="s">
        <v>18</v>
      </c>
      <c r="E1853" s="1">
        <v>46000</v>
      </c>
      <c r="F1853" t="s">
        <v>4322</v>
      </c>
      <c r="G1853" t="s">
        <v>3182</v>
      </c>
      <c r="H1853" t="s">
        <v>506</v>
      </c>
      <c r="I1853" t="s">
        <v>204</v>
      </c>
      <c r="J1853" s="1">
        <v>46741</v>
      </c>
      <c r="K1853" t="s">
        <v>711</v>
      </c>
      <c r="L1853">
        <v>22</v>
      </c>
      <c r="M1853">
        <v>7700</v>
      </c>
      <c r="N1853" t="s">
        <v>710</v>
      </c>
      <c r="O1853" t="s">
        <v>1036</v>
      </c>
      <c r="P1853" t="s">
        <v>4777</v>
      </c>
      <c r="Q1853" t="s">
        <v>4901</v>
      </c>
      <c r="R1853" t="s">
        <v>4773</v>
      </c>
    </row>
    <row r="1854" spans="1:18" x14ac:dyDescent="0.3">
      <c r="A1854">
        <v>3891</v>
      </c>
      <c r="B1854" t="s">
        <v>1034</v>
      </c>
      <c r="C1854" t="s">
        <v>535</v>
      </c>
      <c r="D1854" t="s">
        <v>148</v>
      </c>
      <c r="E1854" s="1">
        <v>46000</v>
      </c>
      <c r="F1854" t="s">
        <v>4355</v>
      </c>
      <c r="G1854" t="s">
        <v>3341</v>
      </c>
      <c r="H1854" t="s">
        <v>534</v>
      </c>
      <c r="I1854" t="s">
        <v>209</v>
      </c>
      <c r="J1854" s="1">
        <v>46295</v>
      </c>
      <c r="K1854" t="s">
        <v>711</v>
      </c>
      <c r="L1854">
        <v>1</v>
      </c>
      <c r="M1854">
        <v>4500</v>
      </c>
      <c r="N1854" t="s">
        <v>890</v>
      </c>
      <c r="O1854" t="s">
        <v>1036</v>
      </c>
      <c r="P1854" t="s">
        <v>4779</v>
      </c>
      <c r="Q1854" t="s">
        <v>4856</v>
      </c>
      <c r="R1854" t="s">
        <v>807</v>
      </c>
    </row>
    <row r="1855" spans="1:18" x14ac:dyDescent="0.3">
      <c r="A1855">
        <v>17455</v>
      </c>
      <c r="B1855" t="s">
        <v>1034</v>
      </c>
      <c r="C1855" t="s">
        <v>359</v>
      </c>
      <c r="D1855" t="s">
        <v>53</v>
      </c>
      <c r="E1855" s="1">
        <v>46000</v>
      </c>
      <c r="F1855" t="s">
        <v>4305</v>
      </c>
      <c r="G1855" t="s">
        <v>3403</v>
      </c>
      <c r="H1855" t="s">
        <v>358</v>
      </c>
      <c r="I1855" t="s">
        <v>204</v>
      </c>
      <c r="J1855" s="1">
        <v>54878</v>
      </c>
      <c r="K1855" t="s">
        <v>711</v>
      </c>
      <c r="L1855">
        <v>1</v>
      </c>
      <c r="M1855">
        <v>625.37</v>
      </c>
      <c r="N1855" t="s">
        <v>710</v>
      </c>
      <c r="O1855" t="s">
        <v>1036</v>
      </c>
      <c r="P1855" t="s">
        <v>4776</v>
      </c>
      <c r="Q1855" t="s">
        <v>4901</v>
      </c>
      <c r="R1855" t="s">
        <v>4773</v>
      </c>
    </row>
    <row r="1856" spans="1:18" x14ac:dyDescent="0.3">
      <c r="A1856">
        <v>20251375</v>
      </c>
      <c r="B1856" t="s">
        <v>1034</v>
      </c>
      <c r="C1856" t="s">
        <v>675</v>
      </c>
      <c r="D1856" t="s">
        <v>177</v>
      </c>
      <c r="E1856" s="1">
        <v>45999</v>
      </c>
      <c r="F1856" t="s">
        <v>4380</v>
      </c>
      <c r="G1856" t="s">
        <v>3228</v>
      </c>
      <c r="H1856" t="s">
        <v>676</v>
      </c>
      <c r="I1856" t="s">
        <v>204</v>
      </c>
      <c r="J1856" s="1">
        <v>46356</v>
      </c>
      <c r="K1856" t="s">
        <v>768</v>
      </c>
      <c r="L1856">
        <v>1205</v>
      </c>
      <c r="M1856">
        <v>1205</v>
      </c>
      <c r="N1856" t="s">
        <v>818</v>
      </c>
      <c r="O1856" t="s">
        <v>1037</v>
      </c>
      <c r="P1856" t="s">
        <v>4776</v>
      </c>
      <c r="Q1856" t="s">
        <v>4852</v>
      </c>
      <c r="R1856" t="s">
        <v>807</v>
      </c>
    </row>
    <row r="1857" spans="1:18" x14ac:dyDescent="0.3">
      <c r="A1857">
        <v>5805</v>
      </c>
      <c r="B1857" t="s">
        <v>1034</v>
      </c>
      <c r="C1857" t="s">
        <v>399</v>
      </c>
      <c r="D1857" t="s">
        <v>97</v>
      </c>
      <c r="E1857" s="1">
        <v>45999</v>
      </c>
      <c r="F1857" t="s">
        <v>4301</v>
      </c>
      <c r="G1857" t="s">
        <v>2843</v>
      </c>
      <c r="H1857" t="s">
        <v>398</v>
      </c>
      <c r="I1857" t="s">
        <v>204</v>
      </c>
      <c r="J1857" s="1">
        <v>46274</v>
      </c>
      <c r="K1857" t="s">
        <v>717</v>
      </c>
      <c r="L1857">
        <v>1</v>
      </c>
      <c r="M1857">
        <v>21070.42</v>
      </c>
      <c r="N1857" t="s">
        <v>710</v>
      </c>
      <c r="O1857" t="s">
        <v>4902</v>
      </c>
      <c r="P1857" t="s">
        <v>4776</v>
      </c>
      <c r="Q1857" t="s">
        <v>4852</v>
      </c>
      <c r="R1857" t="s">
        <v>4773</v>
      </c>
    </row>
    <row r="1858" spans="1:18" x14ac:dyDescent="0.3">
      <c r="A1858">
        <v>373</v>
      </c>
      <c r="B1858" t="s">
        <v>4874</v>
      </c>
      <c r="C1858" t="s">
        <v>645</v>
      </c>
      <c r="D1858" t="s">
        <v>76</v>
      </c>
      <c r="E1858" s="1">
        <v>45999</v>
      </c>
      <c r="F1858" t="s">
        <v>4318</v>
      </c>
      <c r="G1858" t="s">
        <v>3321</v>
      </c>
      <c r="H1858" t="s">
        <v>644</v>
      </c>
      <c r="I1858" t="s">
        <v>204</v>
      </c>
      <c r="J1858" s="1">
        <v>46478</v>
      </c>
      <c r="K1858" t="s">
        <v>720</v>
      </c>
      <c r="L1858">
        <v>1</v>
      </c>
      <c r="M1858">
        <v>4027.7</v>
      </c>
      <c r="N1858" t="s">
        <v>710</v>
      </c>
      <c r="O1858" t="s">
        <v>1038</v>
      </c>
      <c r="P1858" t="s">
        <v>4776</v>
      </c>
      <c r="Q1858" t="s">
        <v>4858</v>
      </c>
      <c r="R1858" t="s">
        <v>4773</v>
      </c>
    </row>
    <row r="1859" spans="1:18" x14ac:dyDescent="0.3">
      <c r="A1859">
        <v>25840</v>
      </c>
      <c r="B1859" t="s">
        <v>4875</v>
      </c>
      <c r="C1859" t="s">
        <v>609</v>
      </c>
      <c r="D1859" t="s">
        <v>182</v>
      </c>
      <c r="E1859" s="1">
        <v>45999</v>
      </c>
      <c r="F1859" t="s">
        <v>4336</v>
      </c>
      <c r="G1859" t="s">
        <v>3351</v>
      </c>
      <c r="H1859" t="s">
        <v>610</v>
      </c>
      <c r="I1859" t="s">
        <v>204</v>
      </c>
      <c r="J1859" s="1">
        <v>46282</v>
      </c>
      <c r="K1859" t="s">
        <v>768</v>
      </c>
      <c r="L1859">
        <v>1</v>
      </c>
      <c r="M1859">
        <v>62514</v>
      </c>
      <c r="N1859" t="s">
        <v>710</v>
      </c>
      <c r="O1859" t="s">
        <v>1037</v>
      </c>
      <c r="P1859" t="s">
        <v>4794</v>
      </c>
      <c r="Q1859" t="s">
        <v>4852</v>
      </c>
      <c r="R1859" t="s">
        <v>4772</v>
      </c>
    </row>
    <row r="1860" spans="1:18" x14ac:dyDescent="0.3">
      <c r="A1860">
        <v>39534</v>
      </c>
      <c r="B1860" t="s">
        <v>4874</v>
      </c>
      <c r="C1860" t="s">
        <v>447</v>
      </c>
      <c r="D1860" t="s">
        <v>57</v>
      </c>
      <c r="E1860" s="1">
        <v>45999</v>
      </c>
      <c r="F1860" t="s">
        <v>4383</v>
      </c>
      <c r="G1860" t="s">
        <v>3385</v>
      </c>
      <c r="H1860" t="s">
        <v>446</v>
      </c>
      <c r="I1860" t="s">
        <v>204</v>
      </c>
      <c r="J1860" s="1">
        <v>46203</v>
      </c>
      <c r="K1860" t="s">
        <v>762</v>
      </c>
      <c r="L1860">
        <v>793.23</v>
      </c>
      <c r="M1860">
        <v>793.23</v>
      </c>
      <c r="N1860" t="s">
        <v>710</v>
      </c>
      <c r="O1860" t="s">
        <v>1038</v>
      </c>
      <c r="P1860" t="s">
        <v>4776</v>
      </c>
      <c r="Q1860" t="s">
        <v>4858</v>
      </c>
      <c r="R1860" t="s">
        <v>4774</v>
      </c>
    </row>
    <row r="1861" spans="1:18" x14ac:dyDescent="0.3">
      <c r="A1861">
        <v>20251376</v>
      </c>
      <c r="B1861" t="s">
        <v>4875</v>
      </c>
      <c r="C1861" t="s">
        <v>675</v>
      </c>
      <c r="D1861" t="s">
        <v>177</v>
      </c>
      <c r="E1861" s="1">
        <v>45999</v>
      </c>
      <c r="F1861" t="s">
        <v>4380</v>
      </c>
      <c r="G1861" t="s">
        <v>3227</v>
      </c>
      <c r="H1861" t="s">
        <v>674</v>
      </c>
      <c r="I1861" t="s">
        <v>204</v>
      </c>
      <c r="J1861" s="1">
        <v>46356</v>
      </c>
      <c r="K1861" t="s">
        <v>717</v>
      </c>
      <c r="L1861">
        <v>570</v>
      </c>
      <c r="M1861">
        <v>570</v>
      </c>
      <c r="N1861" t="s">
        <v>818</v>
      </c>
      <c r="O1861" t="s">
        <v>1037</v>
      </c>
      <c r="P1861" t="s">
        <v>4776</v>
      </c>
      <c r="Q1861" t="s">
        <v>4852</v>
      </c>
      <c r="R1861" t="s">
        <v>807</v>
      </c>
    </row>
    <row r="1862" spans="1:18" x14ac:dyDescent="0.3">
      <c r="A1862">
        <v>203982</v>
      </c>
      <c r="B1862" t="s">
        <v>4874</v>
      </c>
      <c r="C1862" t="s">
        <v>467</v>
      </c>
      <c r="D1862" t="s">
        <v>175</v>
      </c>
      <c r="E1862" s="1">
        <v>45999</v>
      </c>
      <c r="F1862" t="s">
        <v>4315</v>
      </c>
      <c r="G1862" t="s">
        <v>2840</v>
      </c>
      <c r="H1862" t="s">
        <v>466</v>
      </c>
      <c r="I1862" t="s">
        <v>204</v>
      </c>
      <c r="J1862" s="1">
        <v>46266</v>
      </c>
      <c r="K1862" t="s">
        <v>762</v>
      </c>
      <c r="L1862">
        <v>1</v>
      </c>
      <c r="M1862">
        <v>16567.98</v>
      </c>
      <c r="N1862" t="s">
        <v>710</v>
      </c>
      <c r="O1862" t="s">
        <v>4845</v>
      </c>
      <c r="P1862" t="s">
        <v>4776</v>
      </c>
      <c r="Q1862" t="s">
        <v>4845</v>
      </c>
      <c r="R1862" t="s">
        <v>4773</v>
      </c>
    </row>
    <row r="1863" spans="1:18" x14ac:dyDescent="0.3">
      <c r="A1863">
        <v>42882</v>
      </c>
      <c r="B1863" t="s">
        <v>1034</v>
      </c>
      <c r="C1863" t="s">
        <v>220</v>
      </c>
      <c r="D1863" t="s">
        <v>15</v>
      </c>
      <c r="E1863" s="1">
        <v>45999</v>
      </c>
      <c r="F1863" t="s">
        <v>4304</v>
      </c>
      <c r="G1863" t="s">
        <v>3370</v>
      </c>
      <c r="H1863" t="s">
        <v>219</v>
      </c>
      <c r="I1863" t="s">
        <v>204</v>
      </c>
      <c r="J1863" s="1">
        <v>54878</v>
      </c>
      <c r="K1863" t="s">
        <v>711</v>
      </c>
      <c r="L1863">
        <v>1305</v>
      </c>
      <c r="M1863">
        <v>1305</v>
      </c>
      <c r="N1863" t="s">
        <v>710</v>
      </c>
      <c r="O1863" t="s">
        <v>4834</v>
      </c>
      <c r="P1863" t="s">
        <v>4776</v>
      </c>
      <c r="Q1863" t="s">
        <v>4901</v>
      </c>
      <c r="R1863" t="s">
        <v>4773</v>
      </c>
    </row>
    <row r="1864" spans="1:18" x14ac:dyDescent="0.3">
      <c r="A1864">
        <v>94</v>
      </c>
      <c r="B1864" t="s">
        <v>4874</v>
      </c>
      <c r="C1864" t="s">
        <v>607</v>
      </c>
      <c r="D1864" t="s">
        <v>81</v>
      </c>
      <c r="E1864" s="1">
        <v>45999</v>
      </c>
      <c r="F1864" t="s">
        <v>4357</v>
      </c>
      <c r="G1864" t="s">
        <v>3376</v>
      </c>
      <c r="H1864" t="s">
        <v>606</v>
      </c>
      <c r="I1864" t="s">
        <v>204</v>
      </c>
      <c r="J1864" s="1">
        <v>46387</v>
      </c>
      <c r="K1864" t="s">
        <v>720</v>
      </c>
      <c r="L1864">
        <v>1</v>
      </c>
      <c r="M1864">
        <v>19380.61</v>
      </c>
      <c r="N1864" t="s">
        <v>710</v>
      </c>
      <c r="O1864" t="s">
        <v>1038</v>
      </c>
      <c r="P1864" t="s">
        <v>4777</v>
      </c>
      <c r="Q1864" t="s">
        <v>4858</v>
      </c>
      <c r="R1864" t="s">
        <v>4773</v>
      </c>
    </row>
    <row r="1865" spans="1:18" x14ac:dyDescent="0.3">
      <c r="A1865">
        <v>42881</v>
      </c>
      <c r="B1865" t="s">
        <v>4875</v>
      </c>
      <c r="C1865" t="s">
        <v>220</v>
      </c>
      <c r="D1865" t="s">
        <v>15</v>
      </c>
      <c r="E1865" s="1">
        <v>45999</v>
      </c>
      <c r="F1865" t="s">
        <v>4304</v>
      </c>
      <c r="G1865" t="s">
        <v>3377</v>
      </c>
      <c r="H1865" t="s">
        <v>273</v>
      </c>
      <c r="I1865" t="s">
        <v>204</v>
      </c>
      <c r="J1865" s="1">
        <v>54878</v>
      </c>
      <c r="K1865" t="s">
        <v>748</v>
      </c>
      <c r="L1865">
        <v>1305</v>
      </c>
      <c r="M1865">
        <v>1305</v>
      </c>
      <c r="N1865" t="s">
        <v>710</v>
      </c>
      <c r="O1865" t="s">
        <v>4834</v>
      </c>
      <c r="P1865" t="s">
        <v>4776</v>
      </c>
      <c r="Q1865" t="s">
        <v>4856</v>
      </c>
      <c r="R1865" t="s">
        <v>4773</v>
      </c>
    </row>
    <row r="1866" spans="1:18" x14ac:dyDescent="0.3">
      <c r="A1866">
        <v>21637</v>
      </c>
      <c r="B1866" t="s">
        <v>1034</v>
      </c>
      <c r="C1866" t="s">
        <v>243</v>
      </c>
      <c r="D1866" t="s">
        <v>61</v>
      </c>
      <c r="E1866" s="1">
        <v>45999</v>
      </c>
      <c r="F1866" t="s">
        <v>4304</v>
      </c>
      <c r="G1866" t="s">
        <v>3209</v>
      </c>
      <c r="H1866" t="s">
        <v>246</v>
      </c>
      <c r="I1866" t="s">
        <v>204</v>
      </c>
      <c r="J1866" s="1">
        <v>46203</v>
      </c>
      <c r="K1866" t="s">
        <v>711</v>
      </c>
      <c r="L1866">
        <v>14078.29</v>
      </c>
      <c r="M1866">
        <v>14078.29</v>
      </c>
      <c r="N1866" t="s">
        <v>710</v>
      </c>
      <c r="O1866" t="s">
        <v>4834</v>
      </c>
      <c r="P1866" t="s">
        <v>4776</v>
      </c>
      <c r="Q1866" t="s">
        <v>4901</v>
      </c>
      <c r="R1866" t="s">
        <v>4771</v>
      </c>
    </row>
    <row r="1867" spans="1:18" x14ac:dyDescent="0.3">
      <c r="A1867">
        <v>2945</v>
      </c>
      <c r="B1867" t="s">
        <v>4874</v>
      </c>
      <c r="C1867" t="s">
        <v>630</v>
      </c>
      <c r="D1867" t="s">
        <v>145</v>
      </c>
      <c r="E1867" s="1">
        <v>45999</v>
      </c>
      <c r="F1867" t="s">
        <v>4300</v>
      </c>
      <c r="G1867" t="s">
        <v>3380</v>
      </c>
      <c r="H1867" t="s">
        <v>629</v>
      </c>
      <c r="I1867" t="s">
        <v>204</v>
      </c>
      <c r="J1867" s="1">
        <v>46264</v>
      </c>
      <c r="K1867" t="s">
        <v>720</v>
      </c>
      <c r="L1867">
        <v>1</v>
      </c>
      <c r="M1867">
        <v>18000</v>
      </c>
      <c r="N1867" t="s">
        <v>710</v>
      </c>
      <c r="O1867" t="s">
        <v>4849</v>
      </c>
      <c r="P1867" t="s">
        <v>4777</v>
      </c>
      <c r="Q1867" t="s">
        <v>4855</v>
      </c>
      <c r="R1867" t="s">
        <v>4771</v>
      </c>
    </row>
    <row r="1868" spans="1:18" x14ac:dyDescent="0.3">
      <c r="A1868">
        <v>1815</v>
      </c>
      <c r="B1868" t="s">
        <v>1034</v>
      </c>
      <c r="C1868" t="s">
        <v>312</v>
      </c>
      <c r="D1868" t="s">
        <v>73</v>
      </c>
      <c r="E1868" s="1">
        <v>45999</v>
      </c>
      <c r="F1868" t="s">
        <v>4300</v>
      </c>
      <c r="G1868" t="s">
        <v>3364</v>
      </c>
      <c r="H1868" t="s">
        <v>311</v>
      </c>
      <c r="I1868" t="s">
        <v>204</v>
      </c>
      <c r="J1868" s="1">
        <v>54878</v>
      </c>
      <c r="K1868" t="s">
        <v>711</v>
      </c>
      <c r="L1868">
        <v>2255</v>
      </c>
      <c r="M1868">
        <v>2255</v>
      </c>
      <c r="N1868" t="s">
        <v>719</v>
      </c>
      <c r="O1868" t="s">
        <v>4834</v>
      </c>
      <c r="P1868" t="s">
        <v>1006</v>
      </c>
      <c r="Q1868" t="s">
        <v>4901</v>
      </c>
      <c r="R1868" t="s">
        <v>4773</v>
      </c>
    </row>
    <row r="1869" spans="1:18" x14ac:dyDescent="0.3">
      <c r="A1869">
        <v>42660</v>
      </c>
      <c r="B1869" t="s">
        <v>1034</v>
      </c>
      <c r="C1869" t="s">
        <v>327</v>
      </c>
      <c r="D1869" t="s">
        <v>159</v>
      </c>
      <c r="E1869" s="1">
        <v>45999</v>
      </c>
      <c r="F1869" t="s">
        <v>4295</v>
      </c>
      <c r="G1869" t="s">
        <v>3365</v>
      </c>
      <c r="H1869" t="s">
        <v>357</v>
      </c>
      <c r="I1869" t="s">
        <v>204</v>
      </c>
      <c r="J1869" s="1">
        <v>46476</v>
      </c>
      <c r="K1869" t="s">
        <v>711</v>
      </c>
      <c r="L1869">
        <v>2150</v>
      </c>
      <c r="M1869">
        <v>2150</v>
      </c>
      <c r="N1869" t="s">
        <v>890</v>
      </c>
      <c r="O1869" t="s">
        <v>4834</v>
      </c>
      <c r="P1869" t="s">
        <v>4776</v>
      </c>
      <c r="Q1869" t="s">
        <v>4901</v>
      </c>
      <c r="R1869" t="s">
        <v>4773</v>
      </c>
    </row>
    <row r="1870" spans="1:18" x14ac:dyDescent="0.3">
      <c r="A1870">
        <v>26831</v>
      </c>
      <c r="B1870" t="s">
        <v>1034</v>
      </c>
      <c r="C1870" t="s">
        <v>609</v>
      </c>
      <c r="D1870" t="s">
        <v>182</v>
      </c>
      <c r="E1870" s="1">
        <v>45999</v>
      </c>
      <c r="F1870" t="s">
        <v>4336</v>
      </c>
      <c r="G1870" t="s">
        <v>3350</v>
      </c>
      <c r="H1870" t="s">
        <v>608</v>
      </c>
      <c r="I1870" t="s">
        <v>204</v>
      </c>
      <c r="J1870" s="1">
        <v>46281</v>
      </c>
      <c r="K1870" t="s">
        <v>717</v>
      </c>
      <c r="L1870">
        <v>1</v>
      </c>
      <c r="M1870">
        <v>33910.06</v>
      </c>
      <c r="N1870" t="s">
        <v>719</v>
      </c>
      <c r="O1870" t="s">
        <v>1037</v>
      </c>
      <c r="P1870" t="s">
        <v>4794</v>
      </c>
      <c r="Q1870" t="s">
        <v>4852</v>
      </c>
      <c r="R1870" t="s">
        <v>4772</v>
      </c>
    </row>
    <row r="1871" spans="1:18" x14ac:dyDescent="0.3">
      <c r="A1871">
        <v>25841</v>
      </c>
      <c r="B1871" t="s">
        <v>1034</v>
      </c>
      <c r="C1871" t="s">
        <v>609</v>
      </c>
      <c r="D1871" t="s">
        <v>182</v>
      </c>
      <c r="E1871" s="1">
        <v>45999</v>
      </c>
      <c r="F1871" t="s">
        <v>4336</v>
      </c>
      <c r="G1871" t="s">
        <v>3348</v>
      </c>
      <c r="H1871" t="s">
        <v>608</v>
      </c>
      <c r="I1871" t="s">
        <v>204</v>
      </c>
      <c r="J1871" s="1">
        <v>46281</v>
      </c>
      <c r="K1871" t="s">
        <v>717</v>
      </c>
      <c r="L1871">
        <v>1</v>
      </c>
      <c r="M1871">
        <v>211484.63</v>
      </c>
      <c r="N1871" t="s">
        <v>719</v>
      </c>
      <c r="O1871" t="s">
        <v>1037</v>
      </c>
      <c r="P1871" t="s">
        <v>4794</v>
      </c>
      <c r="Q1871" t="s">
        <v>4852</v>
      </c>
      <c r="R1871" t="s">
        <v>4772</v>
      </c>
    </row>
    <row r="1872" spans="1:18" x14ac:dyDescent="0.3">
      <c r="A1872">
        <v>21638</v>
      </c>
      <c r="B1872" t="s">
        <v>1034</v>
      </c>
      <c r="C1872" t="s">
        <v>243</v>
      </c>
      <c r="D1872" t="s">
        <v>61</v>
      </c>
      <c r="E1872" s="1">
        <v>45999</v>
      </c>
      <c r="F1872" t="s">
        <v>4304</v>
      </c>
      <c r="G1872" t="s">
        <v>3254</v>
      </c>
      <c r="H1872" t="s">
        <v>246</v>
      </c>
      <c r="I1872" t="s">
        <v>204</v>
      </c>
      <c r="J1872" s="1">
        <v>46203</v>
      </c>
      <c r="K1872" t="s">
        <v>711</v>
      </c>
      <c r="L1872">
        <v>1004.94</v>
      </c>
      <c r="M1872">
        <v>1004.94</v>
      </c>
      <c r="N1872" t="s">
        <v>710</v>
      </c>
      <c r="O1872" t="s">
        <v>4834</v>
      </c>
      <c r="P1872" t="s">
        <v>4776</v>
      </c>
      <c r="Q1872" t="s">
        <v>4901</v>
      </c>
      <c r="R1872" t="s">
        <v>4771</v>
      </c>
    </row>
    <row r="1873" spans="1:18" x14ac:dyDescent="0.3">
      <c r="A1873">
        <v>3033</v>
      </c>
      <c r="B1873" t="s">
        <v>1034</v>
      </c>
      <c r="C1873" t="s">
        <v>541</v>
      </c>
      <c r="D1873" t="s">
        <v>173</v>
      </c>
      <c r="E1873" s="1">
        <v>45999</v>
      </c>
      <c r="F1873" t="s">
        <v>4326</v>
      </c>
      <c r="G1873" t="s">
        <v>3402</v>
      </c>
      <c r="H1873" t="s">
        <v>540</v>
      </c>
      <c r="I1873" t="s">
        <v>204</v>
      </c>
      <c r="J1873" s="1">
        <v>46386</v>
      </c>
      <c r="K1873" t="s">
        <v>711</v>
      </c>
      <c r="L1873">
        <v>1</v>
      </c>
      <c r="M1873">
        <v>2337.9499999999998</v>
      </c>
      <c r="N1873" t="s">
        <v>890</v>
      </c>
      <c r="O1873" t="s">
        <v>1036</v>
      </c>
      <c r="P1873" t="s">
        <v>4791</v>
      </c>
      <c r="Q1873" t="s">
        <v>4901</v>
      </c>
      <c r="R1873" t="s">
        <v>4773</v>
      </c>
    </row>
    <row r="1874" spans="1:18" x14ac:dyDescent="0.3">
      <c r="A1874">
        <v>42663</v>
      </c>
      <c r="B1874" t="s">
        <v>1034</v>
      </c>
      <c r="C1874" t="s">
        <v>327</v>
      </c>
      <c r="D1874" t="s">
        <v>159</v>
      </c>
      <c r="E1874" s="1">
        <v>45999</v>
      </c>
      <c r="F1874" t="s">
        <v>4296</v>
      </c>
      <c r="G1874" t="s">
        <v>3369</v>
      </c>
      <c r="H1874" t="s">
        <v>357</v>
      </c>
      <c r="I1874" t="s">
        <v>204</v>
      </c>
      <c r="J1874" s="1">
        <v>46476</v>
      </c>
      <c r="K1874" t="s">
        <v>711</v>
      </c>
      <c r="L1874">
        <v>2389.58</v>
      </c>
      <c r="M1874">
        <v>2389.58</v>
      </c>
      <c r="N1874" t="s">
        <v>890</v>
      </c>
      <c r="O1874" t="s">
        <v>4834</v>
      </c>
      <c r="P1874" t="s">
        <v>4776</v>
      </c>
      <c r="Q1874" t="s">
        <v>4901</v>
      </c>
      <c r="R1874" t="s">
        <v>4773</v>
      </c>
    </row>
    <row r="1875" spans="1:18" x14ac:dyDescent="0.3">
      <c r="A1875">
        <v>42661</v>
      </c>
      <c r="B1875" t="s">
        <v>1034</v>
      </c>
      <c r="C1875" t="s">
        <v>327</v>
      </c>
      <c r="D1875" t="s">
        <v>159</v>
      </c>
      <c r="E1875" s="1">
        <v>45999</v>
      </c>
      <c r="F1875" t="s">
        <v>4295</v>
      </c>
      <c r="G1875" t="s">
        <v>3366</v>
      </c>
      <c r="H1875" t="s">
        <v>357</v>
      </c>
      <c r="I1875" t="s">
        <v>204</v>
      </c>
      <c r="J1875" s="1">
        <v>46476</v>
      </c>
      <c r="K1875" t="s">
        <v>711</v>
      </c>
      <c r="L1875">
        <v>1185.98</v>
      </c>
      <c r="M1875">
        <v>1185.98</v>
      </c>
      <c r="N1875" t="s">
        <v>890</v>
      </c>
      <c r="O1875" t="s">
        <v>4834</v>
      </c>
      <c r="P1875" t="s">
        <v>4776</v>
      </c>
      <c r="Q1875" t="s">
        <v>4901</v>
      </c>
      <c r="R1875" t="s">
        <v>4773</v>
      </c>
    </row>
    <row r="1876" spans="1:18" x14ac:dyDescent="0.3">
      <c r="A1876">
        <v>497</v>
      </c>
      <c r="B1876" t="s">
        <v>1034</v>
      </c>
      <c r="C1876" t="s">
        <v>319</v>
      </c>
      <c r="D1876" t="s">
        <v>36</v>
      </c>
      <c r="E1876" s="1">
        <v>45999</v>
      </c>
      <c r="F1876" t="s">
        <v>4298</v>
      </c>
      <c r="G1876" t="s">
        <v>3371</v>
      </c>
      <c r="H1876" t="s">
        <v>318</v>
      </c>
      <c r="I1876" t="s">
        <v>204</v>
      </c>
      <c r="J1876" s="1">
        <v>46214</v>
      </c>
      <c r="K1876" t="s">
        <v>711</v>
      </c>
      <c r="L1876">
        <v>825</v>
      </c>
      <c r="M1876">
        <v>824.69</v>
      </c>
      <c r="N1876" t="s">
        <v>710</v>
      </c>
      <c r="O1876" t="s">
        <v>1036</v>
      </c>
      <c r="P1876" t="s">
        <v>4784</v>
      </c>
      <c r="Q1876" t="s">
        <v>4901</v>
      </c>
      <c r="R1876" t="s">
        <v>4771</v>
      </c>
    </row>
    <row r="1877" spans="1:18" x14ac:dyDescent="0.3">
      <c r="A1877">
        <v>56436</v>
      </c>
      <c r="B1877" t="s">
        <v>1034</v>
      </c>
      <c r="C1877" t="s">
        <v>790</v>
      </c>
      <c r="D1877" t="s">
        <v>19</v>
      </c>
      <c r="E1877" s="1">
        <v>45999</v>
      </c>
      <c r="F1877" t="s">
        <v>4348</v>
      </c>
      <c r="G1877" t="s">
        <v>3346</v>
      </c>
      <c r="H1877" t="s">
        <v>287</v>
      </c>
      <c r="I1877" t="s">
        <v>209</v>
      </c>
      <c r="J1877" s="1">
        <v>54878</v>
      </c>
      <c r="K1877" t="s">
        <v>711</v>
      </c>
      <c r="L1877">
        <v>1</v>
      </c>
      <c r="M1877">
        <v>2950</v>
      </c>
      <c r="N1877" t="s">
        <v>710</v>
      </c>
      <c r="O1877" t="s">
        <v>1037</v>
      </c>
      <c r="P1877" t="s">
        <v>4781</v>
      </c>
      <c r="Q1877" t="s">
        <v>4852</v>
      </c>
      <c r="R1877" t="s">
        <v>4771</v>
      </c>
    </row>
    <row r="1878" spans="1:18" x14ac:dyDescent="0.3">
      <c r="A1878">
        <v>42662</v>
      </c>
      <c r="B1878" t="s">
        <v>1034</v>
      </c>
      <c r="C1878" t="s">
        <v>327</v>
      </c>
      <c r="D1878" t="s">
        <v>159</v>
      </c>
      <c r="E1878" s="1">
        <v>45999</v>
      </c>
      <c r="F1878" t="s">
        <v>4295</v>
      </c>
      <c r="G1878" t="s">
        <v>3368</v>
      </c>
      <c r="H1878" t="s">
        <v>357</v>
      </c>
      <c r="I1878" t="s">
        <v>204</v>
      </c>
      <c r="J1878" s="1">
        <v>46476</v>
      </c>
      <c r="K1878" t="s">
        <v>711</v>
      </c>
      <c r="L1878">
        <v>2150</v>
      </c>
      <c r="M1878">
        <v>2150</v>
      </c>
      <c r="N1878" t="s">
        <v>890</v>
      </c>
      <c r="O1878" t="s">
        <v>4834</v>
      </c>
      <c r="P1878" t="s">
        <v>4776</v>
      </c>
      <c r="Q1878" t="s">
        <v>4901</v>
      </c>
      <c r="R1878" t="s">
        <v>4773</v>
      </c>
    </row>
    <row r="1879" spans="1:18" x14ac:dyDescent="0.3">
      <c r="A1879">
        <v>878699</v>
      </c>
      <c r="B1879" t="s">
        <v>4874</v>
      </c>
      <c r="C1879" t="s">
        <v>389</v>
      </c>
      <c r="D1879" t="s">
        <v>32</v>
      </c>
      <c r="E1879" s="1">
        <v>45996</v>
      </c>
      <c r="F1879" t="s">
        <v>4299</v>
      </c>
      <c r="G1879" t="s">
        <v>3378</v>
      </c>
      <c r="H1879" t="s">
        <v>388</v>
      </c>
      <c r="I1879" t="s">
        <v>204</v>
      </c>
      <c r="J1879" s="1">
        <v>46752</v>
      </c>
      <c r="K1879" t="s">
        <v>785</v>
      </c>
      <c r="L1879">
        <v>1</v>
      </c>
      <c r="M1879">
        <v>46001.3</v>
      </c>
      <c r="N1879" t="s">
        <v>710</v>
      </c>
      <c r="O1879" t="s">
        <v>1038</v>
      </c>
      <c r="P1879" t="s">
        <v>4785</v>
      </c>
      <c r="Q1879" t="s">
        <v>4858</v>
      </c>
      <c r="R1879" t="s">
        <v>4771</v>
      </c>
    </row>
    <row r="1880" spans="1:18" x14ac:dyDescent="0.3">
      <c r="A1880">
        <v>7111</v>
      </c>
      <c r="B1880" t="s">
        <v>1035</v>
      </c>
      <c r="C1880" t="s">
        <v>230</v>
      </c>
      <c r="D1880" t="s">
        <v>85</v>
      </c>
      <c r="E1880" s="1">
        <v>45996</v>
      </c>
      <c r="F1880" t="s">
        <v>4436</v>
      </c>
      <c r="G1880" t="s">
        <v>3304</v>
      </c>
      <c r="H1880" t="s">
        <v>229</v>
      </c>
      <c r="I1880" t="s">
        <v>204</v>
      </c>
      <c r="J1880" s="1">
        <v>46203</v>
      </c>
      <c r="K1880" t="s">
        <v>744</v>
      </c>
      <c r="L1880">
        <v>1</v>
      </c>
      <c r="M1880">
        <v>1605.77</v>
      </c>
      <c r="N1880" t="s">
        <v>710</v>
      </c>
      <c r="O1880" t="s">
        <v>1033</v>
      </c>
      <c r="P1880" t="s">
        <v>4781</v>
      </c>
      <c r="Q1880" t="s">
        <v>4852</v>
      </c>
      <c r="R1880" t="s">
        <v>4771</v>
      </c>
    </row>
    <row r="1881" spans="1:18" x14ac:dyDescent="0.3">
      <c r="A1881">
        <v>7132</v>
      </c>
      <c r="B1881" t="s">
        <v>1035</v>
      </c>
      <c r="C1881" t="s">
        <v>230</v>
      </c>
      <c r="D1881" t="s">
        <v>85</v>
      </c>
      <c r="E1881" s="1">
        <v>45996</v>
      </c>
      <c r="F1881" t="s">
        <v>4348</v>
      </c>
      <c r="G1881" t="s">
        <v>3304</v>
      </c>
      <c r="H1881" t="s">
        <v>229</v>
      </c>
      <c r="I1881" t="s">
        <v>204</v>
      </c>
      <c r="J1881" s="1">
        <v>46203</v>
      </c>
      <c r="K1881" t="s">
        <v>744</v>
      </c>
      <c r="L1881">
        <v>1</v>
      </c>
      <c r="M1881">
        <v>7000</v>
      </c>
      <c r="N1881" t="s">
        <v>710</v>
      </c>
      <c r="O1881" t="s">
        <v>1033</v>
      </c>
      <c r="P1881" t="s">
        <v>4781</v>
      </c>
      <c r="Q1881" t="s">
        <v>4852</v>
      </c>
      <c r="R1881" t="s">
        <v>4771</v>
      </c>
    </row>
    <row r="1882" spans="1:18" x14ac:dyDescent="0.3">
      <c r="A1882">
        <v>7133</v>
      </c>
      <c r="B1882" t="s">
        <v>1035</v>
      </c>
      <c r="C1882" t="s">
        <v>230</v>
      </c>
      <c r="D1882" t="s">
        <v>85</v>
      </c>
      <c r="E1882" s="1">
        <v>45996</v>
      </c>
      <c r="F1882" t="s">
        <v>4421</v>
      </c>
      <c r="G1882" t="s">
        <v>3304</v>
      </c>
      <c r="H1882" t="s">
        <v>229</v>
      </c>
      <c r="I1882" t="s">
        <v>204</v>
      </c>
      <c r="J1882" s="1">
        <v>46203</v>
      </c>
      <c r="K1882" t="s">
        <v>744</v>
      </c>
      <c r="L1882">
        <v>1</v>
      </c>
      <c r="M1882">
        <v>5099.68</v>
      </c>
      <c r="N1882" t="s">
        <v>710</v>
      </c>
      <c r="O1882" t="s">
        <v>1033</v>
      </c>
      <c r="P1882" t="s">
        <v>4781</v>
      </c>
      <c r="Q1882" t="s">
        <v>4852</v>
      </c>
      <c r="R1882" t="s">
        <v>4771</v>
      </c>
    </row>
    <row r="1883" spans="1:18" x14ac:dyDescent="0.3">
      <c r="A1883">
        <v>7168</v>
      </c>
      <c r="B1883" t="s">
        <v>1035</v>
      </c>
      <c r="C1883" t="s">
        <v>230</v>
      </c>
      <c r="D1883" t="s">
        <v>85</v>
      </c>
      <c r="E1883" s="1">
        <v>45996</v>
      </c>
      <c r="F1883" t="s">
        <v>4299</v>
      </c>
      <c r="G1883" t="s">
        <v>3304</v>
      </c>
      <c r="H1883" t="s">
        <v>229</v>
      </c>
      <c r="I1883" t="s">
        <v>204</v>
      </c>
      <c r="J1883" s="1">
        <v>46203</v>
      </c>
      <c r="K1883" t="s">
        <v>744</v>
      </c>
      <c r="L1883">
        <v>1</v>
      </c>
      <c r="M1883">
        <v>63.34</v>
      </c>
      <c r="N1883" t="s">
        <v>710</v>
      </c>
      <c r="O1883" t="s">
        <v>1033</v>
      </c>
      <c r="P1883" t="s">
        <v>4781</v>
      </c>
      <c r="Q1883" t="s">
        <v>4852</v>
      </c>
      <c r="R1883" t="s">
        <v>4771</v>
      </c>
    </row>
    <row r="1884" spans="1:18" x14ac:dyDescent="0.3">
      <c r="A1884">
        <v>55924</v>
      </c>
      <c r="B1884" t="s">
        <v>4875</v>
      </c>
      <c r="C1884" t="s">
        <v>208</v>
      </c>
      <c r="D1884" t="s">
        <v>164</v>
      </c>
      <c r="E1884" s="1">
        <v>45996</v>
      </c>
      <c r="F1884" t="s">
        <v>4297</v>
      </c>
      <c r="G1884" t="s">
        <v>3275</v>
      </c>
      <c r="H1884" t="s">
        <v>605</v>
      </c>
      <c r="I1884" t="s">
        <v>204</v>
      </c>
      <c r="J1884" s="1">
        <v>46256</v>
      </c>
      <c r="K1884" t="s">
        <v>748</v>
      </c>
      <c r="L1884">
        <v>1</v>
      </c>
      <c r="M1884">
        <v>120</v>
      </c>
      <c r="N1884" t="s">
        <v>710</v>
      </c>
      <c r="O1884" t="s">
        <v>1040</v>
      </c>
      <c r="P1884" t="s">
        <v>4795</v>
      </c>
      <c r="Q1884" t="s">
        <v>4856</v>
      </c>
    </row>
    <row r="1885" spans="1:18" x14ac:dyDescent="0.3">
      <c r="A1885">
        <v>3032</v>
      </c>
      <c r="B1885" t="s">
        <v>4875</v>
      </c>
      <c r="C1885" t="s">
        <v>541</v>
      </c>
      <c r="D1885" t="s">
        <v>173</v>
      </c>
      <c r="E1885" s="1">
        <v>45996</v>
      </c>
      <c r="F1885" t="s">
        <v>4326</v>
      </c>
      <c r="G1885" t="s">
        <v>3273</v>
      </c>
      <c r="H1885" t="s">
        <v>542</v>
      </c>
      <c r="I1885" t="s">
        <v>204</v>
      </c>
      <c r="J1885" s="1">
        <v>46537</v>
      </c>
      <c r="K1885" t="s">
        <v>748</v>
      </c>
      <c r="L1885">
        <v>1</v>
      </c>
      <c r="M1885">
        <v>2337.9499999999998</v>
      </c>
      <c r="N1885" t="s">
        <v>814</v>
      </c>
      <c r="O1885" t="s">
        <v>1040</v>
      </c>
      <c r="P1885" t="s">
        <v>4791</v>
      </c>
      <c r="Q1885" t="s">
        <v>4856</v>
      </c>
      <c r="R1885" t="s">
        <v>4773</v>
      </c>
    </row>
    <row r="1886" spans="1:18" x14ac:dyDescent="0.3">
      <c r="A1886">
        <v>38095</v>
      </c>
      <c r="B1886" t="s">
        <v>4875</v>
      </c>
      <c r="C1886" t="s">
        <v>530</v>
      </c>
      <c r="D1886" t="s">
        <v>24</v>
      </c>
      <c r="E1886" s="1">
        <v>45996</v>
      </c>
      <c r="F1886" t="s">
        <v>4297</v>
      </c>
      <c r="G1886" t="s">
        <v>3299</v>
      </c>
      <c r="H1886" t="s">
        <v>529</v>
      </c>
      <c r="I1886" t="s">
        <v>204</v>
      </c>
      <c r="J1886" s="1">
        <v>46477</v>
      </c>
      <c r="K1886" t="s">
        <v>748</v>
      </c>
      <c r="L1886">
        <v>1</v>
      </c>
      <c r="M1886">
        <v>8033.45</v>
      </c>
      <c r="N1886" t="s">
        <v>710</v>
      </c>
      <c r="O1886" t="s">
        <v>1040</v>
      </c>
      <c r="P1886" t="s">
        <v>4779</v>
      </c>
      <c r="Q1886" t="s">
        <v>4856</v>
      </c>
      <c r="R1886" t="s">
        <v>4773</v>
      </c>
    </row>
    <row r="1887" spans="1:18" x14ac:dyDescent="0.3">
      <c r="A1887">
        <v>936</v>
      </c>
      <c r="B1887" t="s">
        <v>4875</v>
      </c>
      <c r="C1887" t="s">
        <v>638</v>
      </c>
      <c r="D1887" t="s">
        <v>134</v>
      </c>
      <c r="E1887" s="1">
        <v>45996</v>
      </c>
      <c r="F1887" t="s">
        <v>4296</v>
      </c>
      <c r="G1887" t="s">
        <v>3274</v>
      </c>
      <c r="H1887" t="s">
        <v>639</v>
      </c>
      <c r="I1887" t="s">
        <v>204</v>
      </c>
      <c r="J1887" s="1">
        <v>46537</v>
      </c>
      <c r="K1887" t="s">
        <v>748</v>
      </c>
      <c r="L1887">
        <v>1301</v>
      </c>
      <c r="M1887">
        <v>1301</v>
      </c>
      <c r="N1887" t="s">
        <v>710</v>
      </c>
      <c r="O1887" t="s">
        <v>1040</v>
      </c>
      <c r="P1887" t="s">
        <v>4776</v>
      </c>
      <c r="Q1887" t="s">
        <v>4856</v>
      </c>
    </row>
    <row r="1888" spans="1:18" x14ac:dyDescent="0.3">
      <c r="A1888">
        <v>15941</v>
      </c>
      <c r="B1888" t="s">
        <v>4876</v>
      </c>
      <c r="C1888" t="s">
        <v>439</v>
      </c>
      <c r="D1888" t="s">
        <v>156</v>
      </c>
      <c r="E1888" s="1">
        <v>45995</v>
      </c>
      <c r="F1888" t="s">
        <v>4396</v>
      </c>
      <c r="G1888" t="s">
        <v>3361</v>
      </c>
      <c r="H1888" t="s">
        <v>485</v>
      </c>
      <c r="I1888" t="s">
        <v>204</v>
      </c>
      <c r="J1888" s="1">
        <v>54878</v>
      </c>
      <c r="K1888" t="s">
        <v>839</v>
      </c>
      <c r="L1888">
        <v>5202.24</v>
      </c>
      <c r="M1888">
        <v>5202.24</v>
      </c>
      <c r="N1888" t="s">
        <v>710</v>
      </c>
      <c r="O1888" t="s">
        <v>1037</v>
      </c>
      <c r="P1888" t="s">
        <v>4776</v>
      </c>
      <c r="Q1888" t="s">
        <v>4852</v>
      </c>
      <c r="R1888" t="s">
        <v>4771</v>
      </c>
    </row>
    <row r="1889" spans="1:18" x14ac:dyDescent="0.3">
      <c r="A1889">
        <v>445</v>
      </c>
      <c r="B1889" t="s">
        <v>4874</v>
      </c>
      <c r="C1889" t="s">
        <v>673</v>
      </c>
      <c r="D1889" t="s">
        <v>90</v>
      </c>
      <c r="E1889" s="1">
        <v>45995</v>
      </c>
      <c r="F1889" t="s">
        <v>4402</v>
      </c>
      <c r="G1889" t="s">
        <v>3187</v>
      </c>
      <c r="H1889" t="s">
        <v>672</v>
      </c>
      <c r="I1889" t="s">
        <v>204</v>
      </c>
      <c r="J1889" s="1">
        <v>46337</v>
      </c>
      <c r="K1889" t="s">
        <v>720</v>
      </c>
      <c r="L1889">
        <v>1</v>
      </c>
      <c r="M1889">
        <v>64044.33</v>
      </c>
      <c r="N1889" t="s">
        <v>710</v>
      </c>
      <c r="O1889" t="s">
        <v>4905</v>
      </c>
      <c r="P1889" t="s">
        <v>4776</v>
      </c>
      <c r="Q1889" t="s">
        <v>4855</v>
      </c>
      <c r="R1889" t="s">
        <v>807</v>
      </c>
    </row>
    <row r="1890" spans="1:18" x14ac:dyDescent="0.3">
      <c r="A1890">
        <v>114560</v>
      </c>
      <c r="B1890" t="s">
        <v>4874</v>
      </c>
      <c r="C1890" t="s">
        <v>227</v>
      </c>
      <c r="D1890" t="s">
        <v>191</v>
      </c>
      <c r="E1890" s="1">
        <v>45995</v>
      </c>
      <c r="F1890" t="s">
        <v>4387</v>
      </c>
      <c r="G1890" t="s">
        <v>3343</v>
      </c>
      <c r="H1890" t="s">
        <v>577</v>
      </c>
      <c r="I1890" t="s">
        <v>204</v>
      </c>
      <c r="J1890" s="1">
        <v>46493</v>
      </c>
      <c r="K1890" t="s">
        <v>762</v>
      </c>
      <c r="L1890">
        <v>33060.36</v>
      </c>
      <c r="M1890">
        <v>33060.36</v>
      </c>
      <c r="N1890" t="s">
        <v>809</v>
      </c>
      <c r="O1890" t="s">
        <v>4904</v>
      </c>
      <c r="P1890" t="s">
        <v>4792</v>
      </c>
      <c r="Q1890" t="s">
        <v>4904</v>
      </c>
      <c r="R1890" t="s">
        <v>4772</v>
      </c>
    </row>
    <row r="1891" spans="1:18" x14ac:dyDescent="0.3">
      <c r="A1891">
        <v>1280</v>
      </c>
      <c r="B1891" t="s">
        <v>4874</v>
      </c>
      <c r="C1891" t="s">
        <v>305</v>
      </c>
      <c r="D1891" t="s">
        <v>59</v>
      </c>
      <c r="E1891" s="1">
        <v>45995</v>
      </c>
      <c r="F1891" t="s">
        <v>4359</v>
      </c>
      <c r="G1891" t="s">
        <v>3309</v>
      </c>
      <c r="H1891" t="s">
        <v>304</v>
      </c>
      <c r="I1891" t="s">
        <v>204</v>
      </c>
      <c r="J1891" s="1">
        <v>46481</v>
      </c>
      <c r="K1891" t="s">
        <v>720</v>
      </c>
      <c r="L1891">
        <v>1</v>
      </c>
      <c r="M1891">
        <v>689.16</v>
      </c>
      <c r="N1891" t="s">
        <v>809</v>
      </c>
      <c r="O1891" t="s">
        <v>1038</v>
      </c>
      <c r="P1891" t="s">
        <v>4783</v>
      </c>
      <c r="Q1891" t="s">
        <v>4858</v>
      </c>
      <c r="R1891" t="s">
        <v>4771</v>
      </c>
    </row>
    <row r="1892" spans="1:18" x14ac:dyDescent="0.3">
      <c r="A1892">
        <v>15942</v>
      </c>
      <c r="B1892" t="s">
        <v>4874</v>
      </c>
      <c r="C1892" t="s">
        <v>439</v>
      </c>
      <c r="D1892" t="s">
        <v>156</v>
      </c>
      <c r="E1892" s="1">
        <v>45995</v>
      </c>
      <c r="F1892" t="s">
        <v>4396</v>
      </c>
      <c r="G1892" t="s">
        <v>3362</v>
      </c>
      <c r="H1892" t="s">
        <v>438</v>
      </c>
      <c r="I1892" t="s">
        <v>204</v>
      </c>
      <c r="J1892" s="1">
        <v>46265</v>
      </c>
      <c r="K1892" t="s">
        <v>762</v>
      </c>
      <c r="L1892">
        <v>20845.43</v>
      </c>
      <c r="M1892">
        <v>20845.43</v>
      </c>
      <c r="N1892" t="s">
        <v>710</v>
      </c>
      <c r="O1892" t="s">
        <v>1037</v>
      </c>
      <c r="P1892" t="s">
        <v>4789</v>
      </c>
      <c r="Q1892" t="s">
        <v>4852</v>
      </c>
      <c r="R1892" t="s">
        <v>4771</v>
      </c>
    </row>
    <row r="1893" spans="1:18" x14ac:dyDescent="0.3">
      <c r="A1893">
        <v>3455</v>
      </c>
      <c r="B1893" t="s">
        <v>4874</v>
      </c>
      <c r="C1893" t="s">
        <v>612</v>
      </c>
      <c r="D1893" t="s">
        <v>102</v>
      </c>
      <c r="E1893" s="1">
        <v>45995</v>
      </c>
      <c r="F1893" t="s">
        <v>4300</v>
      </c>
      <c r="G1893" t="s">
        <v>3358</v>
      </c>
      <c r="H1893" t="s">
        <v>611</v>
      </c>
      <c r="I1893" t="s">
        <v>209</v>
      </c>
      <c r="J1893" s="1">
        <v>45961</v>
      </c>
      <c r="K1893" t="s">
        <v>720</v>
      </c>
      <c r="L1893">
        <v>20748</v>
      </c>
      <c r="M1893">
        <v>20748</v>
      </c>
      <c r="N1893" t="s">
        <v>710</v>
      </c>
      <c r="O1893" t="s">
        <v>1037</v>
      </c>
      <c r="P1893" t="s">
        <v>4777</v>
      </c>
      <c r="Q1893" t="s">
        <v>4852</v>
      </c>
      <c r="R1893" t="s">
        <v>4773</v>
      </c>
    </row>
    <row r="1894" spans="1:18" x14ac:dyDescent="0.3">
      <c r="A1894">
        <v>3376</v>
      </c>
      <c r="B1894" t="s">
        <v>4874</v>
      </c>
      <c r="C1894" t="s">
        <v>572</v>
      </c>
      <c r="D1894" t="s">
        <v>43</v>
      </c>
      <c r="E1894" s="1">
        <v>45995</v>
      </c>
      <c r="F1894" t="s">
        <v>4321</v>
      </c>
      <c r="G1894" t="s">
        <v>3308</v>
      </c>
      <c r="H1894" t="s">
        <v>571</v>
      </c>
      <c r="I1894" t="s">
        <v>204</v>
      </c>
      <c r="J1894" s="1">
        <v>46387</v>
      </c>
      <c r="K1894" t="s">
        <v>720</v>
      </c>
      <c r="L1894">
        <v>1</v>
      </c>
      <c r="M1894">
        <v>10122.379999999999</v>
      </c>
      <c r="N1894" t="s">
        <v>814</v>
      </c>
      <c r="O1894" t="s">
        <v>1038</v>
      </c>
      <c r="P1894" t="s">
        <v>4782</v>
      </c>
      <c r="Q1894" t="s">
        <v>4858</v>
      </c>
      <c r="R1894" t="s">
        <v>4771</v>
      </c>
    </row>
    <row r="1895" spans="1:18" x14ac:dyDescent="0.3">
      <c r="A1895">
        <v>1589488</v>
      </c>
      <c r="B1895" t="s">
        <v>4874</v>
      </c>
      <c r="C1895" t="s">
        <v>668</v>
      </c>
      <c r="D1895" t="s">
        <v>84</v>
      </c>
      <c r="E1895" s="1">
        <v>45995</v>
      </c>
      <c r="F1895" t="s">
        <v>4302</v>
      </c>
      <c r="G1895" t="s">
        <v>3296</v>
      </c>
      <c r="H1895" t="s">
        <v>667</v>
      </c>
      <c r="I1895" t="s">
        <v>204</v>
      </c>
      <c r="J1895" s="1">
        <v>46676</v>
      </c>
      <c r="K1895" t="s">
        <v>762</v>
      </c>
      <c r="L1895">
        <v>1</v>
      </c>
      <c r="M1895">
        <v>22650</v>
      </c>
      <c r="N1895" t="s">
        <v>1000</v>
      </c>
      <c r="O1895" t="s">
        <v>1037</v>
      </c>
      <c r="P1895" t="s">
        <v>4799</v>
      </c>
      <c r="Q1895" t="s">
        <v>4852</v>
      </c>
      <c r="R1895" t="s">
        <v>807</v>
      </c>
    </row>
    <row r="1896" spans="1:18" x14ac:dyDescent="0.3">
      <c r="A1896">
        <v>26980</v>
      </c>
      <c r="B1896" t="s">
        <v>4874</v>
      </c>
      <c r="C1896" t="s">
        <v>592</v>
      </c>
      <c r="D1896" t="s">
        <v>8</v>
      </c>
      <c r="E1896" s="1">
        <v>45995</v>
      </c>
      <c r="F1896" t="s">
        <v>4363</v>
      </c>
      <c r="G1896" t="s">
        <v>3217</v>
      </c>
      <c r="H1896" t="s">
        <v>601</v>
      </c>
      <c r="I1896" t="s">
        <v>209</v>
      </c>
      <c r="J1896" s="1">
        <v>45945</v>
      </c>
      <c r="K1896" t="s">
        <v>762</v>
      </c>
      <c r="L1896">
        <v>653.08000000000004</v>
      </c>
      <c r="M1896">
        <v>653.08000000000004</v>
      </c>
      <c r="N1896" t="s">
        <v>890</v>
      </c>
      <c r="O1896" t="s">
        <v>4833</v>
      </c>
      <c r="P1896" t="s">
        <v>950</v>
      </c>
      <c r="Q1896" t="s">
        <v>4852</v>
      </c>
      <c r="R1896" t="s">
        <v>807</v>
      </c>
    </row>
    <row r="1897" spans="1:18" x14ac:dyDescent="0.3">
      <c r="A1897">
        <v>7224</v>
      </c>
      <c r="B1897" t="s">
        <v>1035</v>
      </c>
      <c r="C1897" t="s">
        <v>230</v>
      </c>
      <c r="D1897" t="s">
        <v>85</v>
      </c>
      <c r="E1897" s="1">
        <v>45995</v>
      </c>
      <c r="F1897" t="s">
        <v>4421</v>
      </c>
      <c r="G1897" t="s">
        <v>3291</v>
      </c>
      <c r="H1897" t="s">
        <v>229</v>
      </c>
      <c r="I1897" t="s">
        <v>204</v>
      </c>
      <c r="J1897" s="1">
        <v>46203</v>
      </c>
      <c r="K1897" t="s">
        <v>744</v>
      </c>
      <c r="L1897">
        <v>1</v>
      </c>
      <c r="M1897">
        <v>3820.9</v>
      </c>
      <c r="N1897" t="s">
        <v>710</v>
      </c>
      <c r="O1897" t="s">
        <v>1033</v>
      </c>
      <c r="P1897" t="s">
        <v>4781</v>
      </c>
      <c r="Q1897" t="s">
        <v>4852</v>
      </c>
      <c r="R1897" t="s">
        <v>4771</v>
      </c>
    </row>
    <row r="1898" spans="1:18" x14ac:dyDescent="0.3">
      <c r="A1898">
        <v>7213</v>
      </c>
      <c r="B1898" t="s">
        <v>1035</v>
      </c>
      <c r="C1898" t="s">
        <v>230</v>
      </c>
      <c r="D1898" t="s">
        <v>85</v>
      </c>
      <c r="E1898" s="1">
        <v>45995</v>
      </c>
      <c r="F1898" t="s">
        <v>4421</v>
      </c>
      <c r="G1898" t="s">
        <v>3292</v>
      </c>
      <c r="H1898" t="s">
        <v>229</v>
      </c>
      <c r="I1898" t="s">
        <v>204</v>
      </c>
      <c r="J1898" s="1">
        <v>46203</v>
      </c>
      <c r="K1898" t="s">
        <v>744</v>
      </c>
      <c r="L1898">
        <v>1</v>
      </c>
      <c r="M1898">
        <v>5099.68</v>
      </c>
      <c r="N1898" t="s">
        <v>710</v>
      </c>
      <c r="O1898" t="s">
        <v>1033</v>
      </c>
      <c r="P1898" t="s">
        <v>4781</v>
      </c>
      <c r="Q1898" t="s">
        <v>4852</v>
      </c>
      <c r="R1898" t="s">
        <v>4771</v>
      </c>
    </row>
    <row r="1899" spans="1:18" x14ac:dyDescent="0.3">
      <c r="A1899">
        <v>7028</v>
      </c>
      <c r="B1899" t="s">
        <v>1035</v>
      </c>
      <c r="C1899" t="s">
        <v>230</v>
      </c>
      <c r="D1899" t="s">
        <v>85</v>
      </c>
      <c r="E1899" s="1">
        <v>45995</v>
      </c>
      <c r="F1899" t="s">
        <v>4348</v>
      </c>
      <c r="G1899" t="s">
        <v>3293</v>
      </c>
      <c r="H1899" t="s">
        <v>229</v>
      </c>
      <c r="I1899" t="s">
        <v>204</v>
      </c>
      <c r="J1899" s="1">
        <v>46203</v>
      </c>
      <c r="K1899" t="s">
        <v>744</v>
      </c>
      <c r="L1899">
        <v>1</v>
      </c>
      <c r="M1899">
        <v>9503.19</v>
      </c>
      <c r="N1899" t="s">
        <v>710</v>
      </c>
      <c r="O1899" t="s">
        <v>1033</v>
      </c>
      <c r="P1899" t="s">
        <v>4781</v>
      </c>
      <c r="Q1899" t="s">
        <v>4852</v>
      </c>
      <c r="R1899" t="s">
        <v>4771</v>
      </c>
    </row>
    <row r="1900" spans="1:18" x14ac:dyDescent="0.3">
      <c r="A1900">
        <v>3890</v>
      </c>
      <c r="B1900" t="s">
        <v>1034</v>
      </c>
      <c r="C1900" t="s">
        <v>535</v>
      </c>
      <c r="D1900" t="s">
        <v>148</v>
      </c>
      <c r="E1900" s="1">
        <v>45995</v>
      </c>
      <c r="F1900" t="s">
        <v>4355</v>
      </c>
      <c r="G1900" t="s">
        <v>3339</v>
      </c>
      <c r="H1900" t="s">
        <v>534</v>
      </c>
      <c r="I1900" t="s">
        <v>209</v>
      </c>
      <c r="J1900" s="1">
        <v>46295</v>
      </c>
      <c r="K1900" t="s">
        <v>711</v>
      </c>
      <c r="L1900">
        <v>1</v>
      </c>
      <c r="M1900">
        <v>3300</v>
      </c>
      <c r="N1900" t="s">
        <v>890</v>
      </c>
      <c r="O1900" t="s">
        <v>1036</v>
      </c>
      <c r="P1900" t="s">
        <v>4779</v>
      </c>
      <c r="Q1900" t="s">
        <v>4856</v>
      </c>
      <c r="R1900" t="s">
        <v>807</v>
      </c>
    </row>
    <row r="1901" spans="1:18" x14ac:dyDescent="0.3">
      <c r="A1901">
        <v>3885</v>
      </c>
      <c r="B1901" t="s">
        <v>1034</v>
      </c>
      <c r="C1901" t="s">
        <v>535</v>
      </c>
      <c r="D1901" t="s">
        <v>148</v>
      </c>
      <c r="E1901" s="1">
        <v>45995</v>
      </c>
      <c r="F1901" t="s">
        <v>4355</v>
      </c>
      <c r="G1901" t="s">
        <v>3329</v>
      </c>
      <c r="H1901" t="s">
        <v>534</v>
      </c>
      <c r="I1901" t="s">
        <v>209</v>
      </c>
      <c r="J1901" s="1">
        <v>46295</v>
      </c>
      <c r="K1901" t="s">
        <v>711</v>
      </c>
      <c r="L1901">
        <v>1</v>
      </c>
      <c r="M1901">
        <v>5750</v>
      </c>
      <c r="N1901" t="s">
        <v>890</v>
      </c>
      <c r="O1901" t="s">
        <v>1036</v>
      </c>
      <c r="P1901" t="s">
        <v>4779</v>
      </c>
      <c r="Q1901" t="s">
        <v>4856</v>
      </c>
      <c r="R1901" t="s">
        <v>807</v>
      </c>
    </row>
    <row r="1902" spans="1:18" x14ac:dyDescent="0.3">
      <c r="A1902">
        <v>20258063</v>
      </c>
      <c r="B1902" t="s">
        <v>1034</v>
      </c>
      <c r="C1902" t="s">
        <v>203</v>
      </c>
      <c r="D1902" t="s">
        <v>118</v>
      </c>
      <c r="E1902" s="1">
        <v>45995</v>
      </c>
      <c r="F1902" t="s">
        <v>4353</v>
      </c>
      <c r="G1902" t="s">
        <v>3360</v>
      </c>
      <c r="H1902" t="s">
        <v>202</v>
      </c>
      <c r="I1902" t="s">
        <v>204</v>
      </c>
      <c r="J1902" s="1">
        <v>46387</v>
      </c>
      <c r="K1902" t="s">
        <v>717</v>
      </c>
      <c r="L1902">
        <v>183.84</v>
      </c>
      <c r="M1902">
        <v>183.84</v>
      </c>
      <c r="N1902" t="s">
        <v>710</v>
      </c>
      <c r="O1902" t="s">
        <v>1037</v>
      </c>
      <c r="P1902" t="s">
        <v>4776</v>
      </c>
      <c r="Q1902" t="s">
        <v>4852</v>
      </c>
      <c r="R1902" t="s">
        <v>4772</v>
      </c>
    </row>
    <row r="1903" spans="1:18" x14ac:dyDescent="0.3">
      <c r="A1903">
        <v>595851</v>
      </c>
      <c r="B1903" t="s">
        <v>1034</v>
      </c>
      <c r="C1903" t="s">
        <v>248</v>
      </c>
      <c r="D1903" t="s">
        <v>13</v>
      </c>
      <c r="E1903" s="1">
        <v>45995</v>
      </c>
      <c r="F1903" t="s">
        <v>4297</v>
      </c>
      <c r="G1903" t="s">
        <v>3331</v>
      </c>
      <c r="H1903" t="s">
        <v>315</v>
      </c>
      <c r="I1903" t="s">
        <v>204</v>
      </c>
      <c r="J1903" s="1">
        <v>46073</v>
      </c>
      <c r="K1903" t="s">
        <v>711</v>
      </c>
      <c r="L1903">
        <v>5391.91</v>
      </c>
      <c r="M1903">
        <v>5391.91</v>
      </c>
      <c r="N1903" t="s">
        <v>710</v>
      </c>
      <c r="O1903" t="s">
        <v>1036</v>
      </c>
      <c r="P1903" t="s">
        <v>4779</v>
      </c>
      <c r="Q1903" t="s">
        <v>4901</v>
      </c>
      <c r="R1903" t="s">
        <v>4773</v>
      </c>
    </row>
    <row r="1904" spans="1:18" x14ac:dyDescent="0.3">
      <c r="A1904">
        <v>1587866</v>
      </c>
      <c r="B1904" t="s">
        <v>1034</v>
      </c>
      <c r="C1904" t="s">
        <v>668</v>
      </c>
      <c r="D1904" t="s">
        <v>84</v>
      </c>
      <c r="E1904" s="1">
        <v>45995</v>
      </c>
      <c r="F1904" t="s">
        <v>4302</v>
      </c>
      <c r="G1904" t="s">
        <v>3298</v>
      </c>
      <c r="H1904" t="s">
        <v>669</v>
      </c>
      <c r="I1904" t="s">
        <v>204</v>
      </c>
      <c r="J1904" s="1">
        <v>46326</v>
      </c>
      <c r="K1904" t="s">
        <v>717</v>
      </c>
      <c r="L1904">
        <v>1</v>
      </c>
      <c r="M1904">
        <v>18441.32</v>
      </c>
      <c r="N1904" t="s">
        <v>1000</v>
      </c>
      <c r="O1904" t="s">
        <v>1037</v>
      </c>
      <c r="P1904" t="s">
        <v>4799</v>
      </c>
      <c r="Q1904" t="s">
        <v>4852</v>
      </c>
      <c r="R1904" t="s">
        <v>807</v>
      </c>
    </row>
    <row r="1905" spans="1:18" x14ac:dyDescent="0.3">
      <c r="A1905">
        <v>3393</v>
      </c>
      <c r="B1905" t="s">
        <v>1034</v>
      </c>
      <c r="C1905" t="s">
        <v>329</v>
      </c>
      <c r="D1905" t="s">
        <v>125</v>
      </c>
      <c r="E1905" s="1">
        <v>45995</v>
      </c>
      <c r="F1905" t="s">
        <v>4320</v>
      </c>
      <c r="G1905" t="s">
        <v>3311</v>
      </c>
      <c r="H1905" t="s">
        <v>328</v>
      </c>
      <c r="I1905" t="s">
        <v>204</v>
      </c>
      <c r="J1905" s="1">
        <v>54878</v>
      </c>
      <c r="K1905" t="s">
        <v>711</v>
      </c>
      <c r="L1905">
        <v>430</v>
      </c>
      <c r="M1905">
        <v>429.84</v>
      </c>
      <c r="N1905" t="s">
        <v>710</v>
      </c>
      <c r="O1905" t="s">
        <v>4834</v>
      </c>
      <c r="P1905" t="s">
        <v>4784</v>
      </c>
      <c r="Q1905" t="s">
        <v>4901</v>
      </c>
      <c r="R1905" t="s">
        <v>4771</v>
      </c>
    </row>
    <row r="1906" spans="1:18" x14ac:dyDescent="0.3">
      <c r="A1906">
        <v>595543</v>
      </c>
      <c r="B1906" t="s">
        <v>4875</v>
      </c>
      <c r="C1906" t="s">
        <v>248</v>
      </c>
      <c r="D1906" t="s">
        <v>13</v>
      </c>
      <c r="E1906" s="1">
        <v>45995</v>
      </c>
      <c r="F1906" t="s">
        <v>4430</v>
      </c>
      <c r="G1906" t="s">
        <v>3272</v>
      </c>
      <c r="H1906" t="s">
        <v>351</v>
      </c>
      <c r="I1906" t="s">
        <v>204</v>
      </c>
      <c r="J1906" s="1">
        <v>54878</v>
      </c>
      <c r="K1906" t="s">
        <v>748</v>
      </c>
      <c r="L1906">
        <v>1450.04</v>
      </c>
      <c r="M1906">
        <v>1450.04</v>
      </c>
      <c r="N1906" t="s">
        <v>710</v>
      </c>
      <c r="O1906" t="s">
        <v>1040</v>
      </c>
      <c r="P1906" t="s">
        <v>4779</v>
      </c>
      <c r="Q1906" t="s">
        <v>4856</v>
      </c>
      <c r="R1906" t="s">
        <v>4773</v>
      </c>
    </row>
    <row r="1907" spans="1:18" x14ac:dyDescent="0.3">
      <c r="A1907">
        <v>1587870</v>
      </c>
      <c r="B1907" t="s">
        <v>4875</v>
      </c>
      <c r="C1907" t="s">
        <v>668</v>
      </c>
      <c r="D1907" t="s">
        <v>84</v>
      </c>
      <c r="E1907" s="1">
        <v>45995</v>
      </c>
      <c r="F1907" t="s">
        <v>4302</v>
      </c>
      <c r="G1907" t="s">
        <v>3295</v>
      </c>
      <c r="H1907" t="s">
        <v>670</v>
      </c>
      <c r="I1907" t="s">
        <v>204</v>
      </c>
      <c r="J1907" s="1">
        <v>46677</v>
      </c>
      <c r="K1907" t="s">
        <v>768</v>
      </c>
      <c r="L1907">
        <v>1</v>
      </c>
      <c r="M1907">
        <v>2200</v>
      </c>
      <c r="N1907" t="s">
        <v>1000</v>
      </c>
      <c r="O1907" t="s">
        <v>1037</v>
      </c>
      <c r="P1907" t="s">
        <v>4799</v>
      </c>
      <c r="Q1907" t="s">
        <v>4852</v>
      </c>
      <c r="R1907" t="s">
        <v>807</v>
      </c>
    </row>
    <row r="1908" spans="1:18" x14ac:dyDescent="0.3">
      <c r="A1908">
        <v>7225</v>
      </c>
      <c r="B1908" t="s">
        <v>1035</v>
      </c>
      <c r="C1908" t="s">
        <v>230</v>
      </c>
      <c r="D1908" t="s">
        <v>85</v>
      </c>
      <c r="E1908" s="1">
        <v>45995</v>
      </c>
      <c r="F1908" t="s">
        <v>4348</v>
      </c>
      <c r="G1908" t="s">
        <v>3291</v>
      </c>
      <c r="H1908" t="s">
        <v>229</v>
      </c>
      <c r="I1908" t="s">
        <v>204</v>
      </c>
      <c r="J1908" s="1">
        <v>46203</v>
      </c>
      <c r="K1908" t="s">
        <v>744</v>
      </c>
      <c r="L1908">
        <v>1</v>
      </c>
      <c r="M1908">
        <v>9503.19</v>
      </c>
      <c r="N1908" t="s">
        <v>710</v>
      </c>
      <c r="O1908" t="s">
        <v>1033</v>
      </c>
      <c r="P1908" t="s">
        <v>4781</v>
      </c>
      <c r="Q1908" t="s">
        <v>4852</v>
      </c>
      <c r="R1908" t="s">
        <v>4771</v>
      </c>
    </row>
    <row r="1909" spans="1:18" x14ac:dyDescent="0.3">
      <c r="A1909">
        <v>459</v>
      </c>
      <c r="B1909" t="s">
        <v>4874</v>
      </c>
      <c r="C1909" t="s">
        <v>391</v>
      </c>
      <c r="D1909" t="s">
        <v>104</v>
      </c>
      <c r="E1909" s="1">
        <v>45995</v>
      </c>
      <c r="F1909" t="s">
        <v>4354</v>
      </c>
      <c r="G1909" t="s">
        <v>3216</v>
      </c>
      <c r="H1909" t="s">
        <v>390</v>
      </c>
      <c r="I1909" t="s">
        <v>204</v>
      </c>
      <c r="J1909" s="1">
        <v>54878</v>
      </c>
      <c r="K1909" t="s">
        <v>762</v>
      </c>
      <c r="L1909">
        <v>224.98</v>
      </c>
      <c r="M1909">
        <v>224.98</v>
      </c>
      <c r="N1909" t="s">
        <v>710</v>
      </c>
      <c r="O1909" t="s">
        <v>4833</v>
      </c>
      <c r="P1909" t="s">
        <v>4776</v>
      </c>
      <c r="Q1909" t="s">
        <v>4852</v>
      </c>
      <c r="R1909" t="s">
        <v>4773</v>
      </c>
    </row>
    <row r="1910" spans="1:18" x14ac:dyDescent="0.3">
      <c r="A1910">
        <v>7212</v>
      </c>
      <c r="B1910" t="s">
        <v>1035</v>
      </c>
      <c r="C1910" t="s">
        <v>230</v>
      </c>
      <c r="D1910" t="s">
        <v>85</v>
      </c>
      <c r="E1910" s="1">
        <v>45995</v>
      </c>
      <c r="F1910" t="s">
        <v>4348</v>
      </c>
      <c r="G1910" t="s">
        <v>3292</v>
      </c>
      <c r="H1910" t="s">
        <v>229</v>
      </c>
      <c r="I1910" t="s">
        <v>204</v>
      </c>
      <c r="J1910" s="1">
        <v>46203</v>
      </c>
      <c r="K1910" t="s">
        <v>744</v>
      </c>
      <c r="L1910">
        <v>1</v>
      </c>
      <c r="M1910">
        <v>12110.4</v>
      </c>
      <c r="N1910" t="s">
        <v>710</v>
      </c>
      <c r="O1910" t="s">
        <v>1033</v>
      </c>
      <c r="P1910" t="s">
        <v>4781</v>
      </c>
      <c r="Q1910" t="s">
        <v>4852</v>
      </c>
      <c r="R1910" t="s">
        <v>4771</v>
      </c>
    </row>
    <row r="1911" spans="1:18" x14ac:dyDescent="0.3">
      <c r="A1911">
        <v>459</v>
      </c>
      <c r="B1911" t="s">
        <v>4874</v>
      </c>
      <c r="C1911" t="s">
        <v>391</v>
      </c>
      <c r="D1911" t="s">
        <v>104</v>
      </c>
      <c r="E1911" s="1">
        <v>45995</v>
      </c>
      <c r="F1911" t="s">
        <v>4306</v>
      </c>
      <c r="G1911" t="s">
        <v>3216</v>
      </c>
      <c r="H1911" t="s">
        <v>390</v>
      </c>
      <c r="I1911" t="s">
        <v>204</v>
      </c>
      <c r="J1911" s="1">
        <v>54878</v>
      </c>
      <c r="K1911" t="s">
        <v>762</v>
      </c>
      <c r="L1911">
        <v>1435.1</v>
      </c>
      <c r="M1911">
        <v>1435.1</v>
      </c>
      <c r="N1911" t="s">
        <v>710</v>
      </c>
      <c r="O1911" t="s">
        <v>4833</v>
      </c>
      <c r="P1911" t="s">
        <v>4776</v>
      </c>
      <c r="Q1911" t="s">
        <v>4852</v>
      </c>
      <c r="R1911" t="s">
        <v>4773</v>
      </c>
    </row>
    <row r="1912" spans="1:18" x14ac:dyDescent="0.3">
      <c r="A1912">
        <v>166078</v>
      </c>
      <c r="B1912" t="s">
        <v>4875</v>
      </c>
      <c r="C1912" t="s">
        <v>301</v>
      </c>
      <c r="D1912" t="s">
        <v>23</v>
      </c>
      <c r="E1912" s="1">
        <v>45994</v>
      </c>
      <c r="F1912" t="s">
        <v>4321</v>
      </c>
      <c r="G1912" t="s">
        <v>3259</v>
      </c>
      <c r="H1912" t="s">
        <v>342</v>
      </c>
      <c r="I1912" t="s">
        <v>204</v>
      </c>
      <c r="J1912" s="1">
        <v>46285</v>
      </c>
      <c r="K1912" t="s">
        <v>748</v>
      </c>
      <c r="L1912">
        <v>5127.5200000000004</v>
      </c>
      <c r="M1912">
        <v>5127.51</v>
      </c>
      <c r="N1912" t="s">
        <v>710</v>
      </c>
      <c r="O1912" t="s">
        <v>1040</v>
      </c>
      <c r="P1912" t="s">
        <v>4782</v>
      </c>
      <c r="Q1912" t="s">
        <v>4856</v>
      </c>
      <c r="R1912" t="s">
        <v>4773</v>
      </c>
    </row>
    <row r="1913" spans="1:18" x14ac:dyDescent="0.3">
      <c r="A1913">
        <v>12233</v>
      </c>
      <c r="B1913" t="s">
        <v>4874</v>
      </c>
      <c r="C1913" t="s">
        <v>237</v>
      </c>
      <c r="D1913" t="s">
        <v>4</v>
      </c>
      <c r="E1913" s="1">
        <v>45994</v>
      </c>
      <c r="F1913" t="s">
        <v>4368</v>
      </c>
      <c r="G1913" t="s">
        <v>3345</v>
      </c>
      <c r="H1913" t="s">
        <v>236</v>
      </c>
      <c r="I1913" t="s">
        <v>204</v>
      </c>
      <c r="J1913" s="1">
        <v>54878</v>
      </c>
      <c r="K1913" t="s">
        <v>720</v>
      </c>
      <c r="L1913">
        <v>1</v>
      </c>
      <c r="M1913">
        <v>5271</v>
      </c>
      <c r="N1913" t="s">
        <v>710</v>
      </c>
      <c r="O1913" t="s">
        <v>1038</v>
      </c>
      <c r="P1913" t="s">
        <v>4776</v>
      </c>
      <c r="Q1913" t="s">
        <v>4858</v>
      </c>
      <c r="R1913" t="s">
        <v>4771</v>
      </c>
    </row>
    <row r="1914" spans="1:18" x14ac:dyDescent="0.3">
      <c r="A1914">
        <v>189467</v>
      </c>
      <c r="B1914" t="s">
        <v>4874</v>
      </c>
      <c r="C1914" t="s">
        <v>411</v>
      </c>
      <c r="D1914" t="s">
        <v>154</v>
      </c>
      <c r="E1914" s="1">
        <v>45994</v>
      </c>
      <c r="F1914" t="s">
        <v>4315</v>
      </c>
      <c r="G1914" t="s">
        <v>3357</v>
      </c>
      <c r="H1914" t="s">
        <v>410</v>
      </c>
      <c r="I1914" t="s">
        <v>204</v>
      </c>
      <c r="J1914" s="1">
        <v>46344</v>
      </c>
      <c r="K1914" t="s">
        <v>762</v>
      </c>
      <c r="L1914">
        <v>2236.94</v>
      </c>
      <c r="M1914">
        <v>2236.94</v>
      </c>
      <c r="N1914" t="s">
        <v>710</v>
      </c>
      <c r="O1914" t="s">
        <v>4833</v>
      </c>
      <c r="P1914" t="s">
        <v>4776</v>
      </c>
      <c r="Q1914" t="s">
        <v>4852</v>
      </c>
      <c r="R1914" t="s">
        <v>4773</v>
      </c>
    </row>
    <row r="1915" spans="1:18" x14ac:dyDescent="0.3">
      <c r="A1915">
        <v>202526107</v>
      </c>
      <c r="B1915" t="s">
        <v>4874</v>
      </c>
      <c r="C1915" t="s">
        <v>222</v>
      </c>
      <c r="D1915" t="s">
        <v>80</v>
      </c>
      <c r="E1915" s="1">
        <v>45994</v>
      </c>
      <c r="F1915" t="s">
        <v>4419</v>
      </c>
      <c r="G1915" t="s">
        <v>3255</v>
      </c>
      <c r="H1915" t="s">
        <v>223</v>
      </c>
      <c r="I1915" t="s">
        <v>204</v>
      </c>
      <c r="J1915" s="1">
        <v>46504</v>
      </c>
      <c r="K1915" t="s">
        <v>720</v>
      </c>
      <c r="L1915">
        <v>1</v>
      </c>
      <c r="M1915">
        <v>425</v>
      </c>
      <c r="N1915" t="s">
        <v>710</v>
      </c>
      <c r="O1915" t="s">
        <v>4834</v>
      </c>
      <c r="P1915" t="s">
        <v>4778</v>
      </c>
      <c r="Q1915" t="s">
        <v>4858</v>
      </c>
      <c r="R1915" t="s">
        <v>4773</v>
      </c>
    </row>
    <row r="1916" spans="1:18" x14ac:dyDescent="0.3">
      <c r="A1916">
        <v>7277</v>
      </c>
      <c r="B1916" t="s">
        <v>4874</v>
      </c>
      <c r="C1916" t="s">
        <v>484</v>
      </c>
      <c r="D1916" t="s">
        <v>140</v>
      </c>
      <c r="E1916" s="1">
        <v>45994</v>
      </c>
      <c r="F1916" t="s">
        <v>4345</v>
      </c>
      <c r="G1916" t="s">
        <v>3326</v>
      </c>
      <c r="H1916" t="s">
        <v>483</v>
      </c>
      <c r="I1916" t="s">
        <v>204</v>
      </c>
      <c r="J1916" s="1">
        <v>46508</v>
      </c>
      <c r="K1916" t="s">
        <v>762</v>
      </c>
      <c r="L1916">
        <v>49120</v>
      </c>
      <c r="M1916">
        <v>49120</v>
      </c>
      <c r="N1916" t="s">
        <v>710</v>
      </c>
      <c r="O1916" t="s">
        <v>4833</v>
      </c>
      <c r="P1916" t="s">
        <v>4776</v>
      </c>
      <c r="Q1916" t="s">
        <v>4852</v>
      </c>
      <c r="R1916" t="s">
        <v>4773</v>
      </c>
    </row>
    <row r="1917" spans="1:18" x14ac:dyDescent="0.3">
      <c r="A1917">
        <v>215179</v>
      </c>
      <c r="B1917" t="s">
        <v>4874</v>
      </c>
      <c r="C1917" t="s">
        <v>441</v>
      </c>
      <c r="D1917" t="s">
        <v>38</v>
      </c>
      <c r="E1917" s="1">
        <v>45994</v>
      </c>
      <c r="F1917" t="s">
        <v>4393</v>
      </c>
      <c r="G1917" t="s">
        <v>3337</v>
      </c>
      <c r="H1917" t="s">
        <v>440</v>
      </c>
      <c r="I1917" t="s">
        <v>204</v>
      </c>
      <c r="J1917" s="1">
        <v>46191</v>
      </c>
      <c r="K1917" t="s">
        <v>762</v>
      </c>
      <c r="L1917">
        <v>11315</v>
      </c>
      <c r="M1917">
        <v>11315</v>
      </c>
      <c r="N1917" t="s">
        <v>710</v>
      </c>
      <c r="O1917" t="s">
        <v>4833</v>
      </c>
      <c r="P1917" t="s">
        <v>4786</v>
      </c>
      <c r="Q1917" t="s">
        <v>4852</v>
      </c>
      <c r="R1917" t="s">
        <v>4773</v>
      </c>
    </row>
    <row r="1918" spans="1:18" x14ac:dyDescent="0.3">
      <c r="A1918">
        <v>5713</v>
      </c>
      <c r="B1918" t="s">
        <v>4874</v>
      </c>
      <c r="C1918" t="s">
        <v>401</v>
      </c>
      <c r="D1918" t="s">
        <v>187</v>
      </c>
      <c r="E1918" s="1">
        <v>45994</v>
      </c>
      <c r="F1918" t="s">
        <v>4345</v>
      </c>
      <c r="G1918" t="s">
        <v>3353</v>
      </c>
      <c r="H1918" t="s">
        <v>400</v>
      </c>
      <c r="I1918" t="s">
        <v>204</v>
      </c>
      <c r="J1918" s="1">
        <v>54878</v>
      </c>
      <c r="K1918" t="s">
        <v>762</v>
      </c>
      <c r="L1918">
        <v>390</v>
      </c>
      <c r="M1918">
        <v>390</v>
      </c>
      <c r="N1918" t="s">
        <v>710</v>
      </c>
      <c r="O1918" t="s">
        <v>4833</v>
      </c>
      <c r="P1918" t="s">
        <v>4776</v>
      </c>
      <c r="Q1918" t="s">
        <v>4852</v>
      </c>
      <c r="R1918" t="s">
        <v>4773</v>
      </c>
    </row>
    <row r="1919" spans="1:18" x14ac:dyDescent="0.3">
      <c r="A1919">
        <v>202526107</v>
      </c>
      <c r="B1919" t="s">
        <v>4874</v>
      </c>
      <c r="C1919" t="s">
        <v>222</v>
      </c>
      <c r="D1919" t="s">
        <v>80</v>
      </c>
      <c r="E1919" s="1">
        <v>45994</v>
      </c>
      <c r="F1919" t="s">
        <v>4419</v>
      </c>
      <c r="G1919" t="s">
        <v>3255</v>
      </c>
      <c r="H1919" t="s">
        <v>223</v>
      </c>
      <c r="I1919" t="s">
        <v>204</v>
      </c>
      <c r="J1919" s="1">
        <v>46504</v>
      </c>
      <c r="K1919" t="s">
        <v>720</v>
      </c>
      <c r="L1919">
        <v>1</v>
      </c>
      <c r="M1919">
        <v>500</v>
      </c>
      <c r="N1919" t="s">
        <v>710</v>
      </c>
      <c r="O1919" t="s">
        <v>4834</v>
      </c>
      <c r="P1919" t="s">
        <v>4778</v>
      </c>
      <c r="Q1919" t="s">
        <v>4858</v>
      </c>
      <c r="R1919" t="s">
        <v>4773</v>
      </c>
    </row>
    <row r="1920" spans="1:18" x14ac:dyDescent="0.3">
      <c r="A1920">
        <v>202526107</v>
      </c>
      <c r="B1920" t="s">
        <v>4874</v>
      </c>
      <c r="C1920" t="s">
        <v>222</v>
      </c>
      <c r="D1920" t="s">
        <v>80</v>
      </c>
      <c r="E1920" s="1">
        <v>45994</v>
      </c>
      <c r="F1920" t="s">
        <v>4419</v>
      </c>
      <c r="G1920" t="s">
        <v>3255</v>
      </c>
      <c r="H1920" t="s">
        <v>223</v>
      </c>
      <c r="I1920" t="s">
        <v>204</v>
      </c>
      <c r="J1920" s="1">
        <v>46504</v>
      </c>
      <c r="K1920" t="s">
        <v>720</v>
      </c>
      <c r="L1920">
        <v>1</v>
      </c>
      <c r="M1920">
        <v>390</v>
      </c>
      <c r="N1920" t="s">
        <v>710</v>
      </c>
      <c r="O1920" t="s">
        <v>4834</v>
      </c>
      <c r="P1920" t="s">
        <v>4778</v>
      </c>
      <c r="Q1920" t="s">
        <v>4858</v>
      </c>
      <c r="R1920" t="s">
        <v>4773</v>
      </c>
    </row>
    <row r="1921" spans="1:18" x14ac:dyDescent="0.3">
      <c r="A1921">
        <v>7199</v>
      </c>
      <c r="B1921" t="s">
        <v>1035</v>
      </c>
      <c r="C1921" t="s">
        <v>230</v>
      </c>
      <c r="D1921" t="s">
        <v>85</v>
      </c>
      <c r="E1921" s="1">
        <v>45994</v>
      </c>
      <c r="F1921" t="s">
        <v>4348</v>
      </c>
      <c r="G1921" t="s">
        <v>3363</v>
      </c>
      <c r="H1921" t="s">
        <v>229</v>
      </c>
      <c r="I1921" t="s">
        <v>204</v>
      </c>
      <c r="J1921" s="1">
        <v>46203</v>
      </c>
      <c r="K1921" t="s">
        <v>744</v>
      </c>
      <c r="L1921">
        <v>1</v>
      </c>
      <c r="M1921">
        <v>48517.85</v>
      </c>
      <c r="N1921" t="s">
        <v>710</v>
      </c>
      <c r="O1921" t="s">
        <v>1033</v>
      </c>
      <c r="P1921" t="s">
        <v>4781</v>
      </c>
      <c r="Q1921" t="s">
        <v>4852</v>
      </c>
      <c r="R1921" t="s">
        <v>4771</v>
      </c>
    </row>
    <row r="1922" spans="1:18" x14ac:dyDescent="0.3">
      <c r="A1922">
        <v>7200</v>
      </c>
      <c r="B1922" t="s">
        <v>1035</v>
      </c>
      <c r="C1922" t="s">
        <v>230</v>
      </c>
      <c r="D1922" t="s">
        <v>85</v>
      </c>
      <c r="E1922" s="1">
        <v>45994</v>
      </c>
      <c r="F1922" t="s">
        <v>4348</v>
      </c>
      <c r="G1922" t="s">
        <v>3363</v>
      </c>
      <c r="H1922" t="s">
        <v>229</v>
      </c>
      <c r="I1922" t="s">
        <v>204</v>
      </c>
      <c r="J1922" s="1">
        <v>46203</v>
      </c>
      <c r="K1922" t="s">
        <v>744</v>
      </c>
      <c r="L1922">
        <v>1</v>
      </c>
      <c r="M1922">
        <v>18802.560000000001</v>
      </c>
      <c r="N1922" t="s">
        <v>710</v>
      </c>
      <c r="O1922" t="s">
        <v>1033</v>
      </c>
      <c r="P1922" t="s">
        <v>4781</v>
      </c>
      <c r="Q1922" t="s">
        <v>4852</v>
      </c>
      <c r="R1922" t="s">
        <v>4771</v>
      </c>
    </row>
    <row r="1923" spans="1:18" x14ac:dyDescent="0.3">
      <c r="A1923">
        <v>2620</v>
      </c>
      <c r="B1923" t="s">
        <v>4874</v>
      </c>
      <c r="C1923" t="s">
        <v>422</v>
      </c>
      <c r="D1923" t="s">
        <v>37</v>
      </c>
      <c r="E1923" s="1">
        <v>45994</v>
      </c>
      <c r="F1923" t="s">
        <v>4306</v>
      </c>
      <c r="G1923" t="s">
        <v>3349</v>
      </c>
      <c r="H1923" t="s">
        <v>421</v>
      </c>
      <c r="I1923" t="s">
        <v>204</v>
      </c>
      <c r="J1923" s="1">
        <v>46080</v>
      </c>
      <c r="K1923" t="s">
        <v>762</v>
      </c>
      <c r="L1923">
        <v>800</v>
      </c>
      <c r="M1923">
        <v>800</v>
      </c>
      <c r="N1923" t="s">
        <v>710</v>
      </c>
      <c r="O1923" t="s">
        <v>4833</v>
      </c>
      <c r="P1923" t="s">
        <v>4786</v>
      </c>
      <c r="Q1923" t="s">
        <v>4852</v>
      </c>
      <c r="R1923" t="s">
        <v>4773</v>
      </c>
    </row>
    <row r="1924" spans="1:18" x14ac:dyDescent="0.3">
      <c r="A1924">
        <v>271</v>
      </c>
      <c r="B1924" t="s">
        <v>1034</v>
      </c>
      <c r="C1924" t="s">
        <v>325</v>
      </c>
      <c r="D1924" t="s">
        <v>193</v>
      </c>
      <c r="E1924" s="1">
        <v>45994</v>
      </c>
      <c r="F1924" t="s">
        <v>4297</v>
      </c>
      <c r="G1924" t="s">
        <v>3333</v>
      </c>
      <c r="H1924" t="s">
        <v>324</v>
      </c>
      <c r="I1924" t="s">
        <v>204</v>
      </c>
      <c r="J1924" s="1">
        <v>54878</v>
      </c>
      <c r="K1924" t="s">
        <v>711</v>
      </c>
      <c r="L1924">
        <v>3900</v>
      </c>
      <c r="M1924">
        <v>3900</v>
      </c>
      <c r="N1924" t="s">
        <v>710</v>
      </c>
      <c r="O1924" t="s">
        <v>4844</v>
      </c>
      <c r="P1924" t="s">
        <v>4779</v>
      </c>
      <c r="Q1924" t="s">
        <v>4901</v>
      </c>
      <c r="R1924" t="s">
        <v>4773</v>
      </c>
    </row>
    <row r="1925" spans="1:18" x14ac:dyDescent="0.3">
      <c r="A1925">
        <v>20251353</v>
      </c>
      <c r="B1925" t="s">
        <v>1034</v>
      </c>
      <c r="C1925" t="s">
        <v>364</v>
      </c>
      <c r="D1925" t="s">
        <v>72</v>
      </c>
      <c r="E1925" s="1">
        <v>45994</v>
      </c>
      <c r="F1925" t="s">
        <v>4295</v>
      </c>
      <c r="G1925" t="s">
        <v>3301</v>
      </c>
      <c r="H1925" t="s">
        <v>363</v>
      </c>
      <c r="I1925" t="s">
        <v>209</v>
      </c>
      <c r="J1925" s="1">
        <v>46092</v>
      </c>
      <c r="K1925" t="s">
        <v>711</v>
      </c>
      <c r="L1925">
        <v>7516.8</v>
      </c>
      <c r="M1925">
        <v>7788</v>
      </c>
      <c r="N1925" t="s">
        <v>710</v>
      </c>
      <c r="O1925" t="s">
        <v>4834</v>
      </c>
      <c r="P1925" t="s">
        <v>4776</v>
      </c>
      <c r="Q1925" t="s">
        <v>4901</v>
      </c>
      <c r="R1925" t="s">
        <v>4773</v>
      </c>
    </row>
    <row r="1926" spans="1:18" x14ac:dyDescent="0.3">
      <c r="A1926">
        <v>803</v>
      </c>
      <c r="B1926" t="s">
        <v>1034</v>
      </c>
      <c r="C1926" t="s">
        <v>603</v>
      </c>
      <c r="D1926" t="s">
        <v>69</v>
      </c>
      <c r="E1926" s="1">
        <v>45994</v>
      </c>
      <c r="F1926" t="s">
        <v>4345</v>
      </c>
      <c r="G1926" t="s">
        <v>3090</v>
      </c>
      <c r="H1926" t="s">
        <v>602</v>
      </c>
      <c r="I1926" t="s">
        <v>209</v>
      </c>
      <c r="J1926" s="1">
        <v>46276</v>
      </c>
      <c r="K1926" t="s">
        <v>720</v>
      </c>
      <c r="L1926">
        <v>1</v>
      </c>
      <c r="M1926">
        <v>2413.6799999999998</v>
      </c>
      <c r="N1926" t="s">
        <v>954</v>
      </c>
      <c r="O1926" t="s">
        <v>4834</v>
      </c>
      <c r="P1926" t="s">
        <v>952</v>
      </c>
      <c r="Q1926" t="s">
        <v>4901</v>
      </c>
      <c r="R1926" t="s">
        <v>4771</v>
      </c>
    </row>
    <row r="1927" spans="1:18" x14ac:dyDescent="0.3">
      <c r="A1927">
        <v>4073</v>
      </c>
      <c r="B1927" t="s">
        <v>1034</v>
      </c>
      <c r="C1927" t="s">
        <v>319</v>
      </c>
      <c r="D1927" t="s">
        <v>36</v>
      </c>
      <c r="E1927" s="1">
        <v>45994</v>
      </c>
      <c r="F1927" t="s">
        <v>4298</v>
      </c>
      <c r="G1927" t="s">
        <v>3347</v>
      </c>
      <c r="H1927" t="s">
        <v>318</v>
      </c>
      <c r="I1927" t="s">
        <v>204</v>
      </c>
      <c r="J1927" s="1">
        <v>46214</v>
      </c>
      <c r="K1927" t="s">
        <v>711</v>
      </c>
      <c r="L1927">
        <v>1119</v>
      </c>
      <c r="M1927">
        <v>1119.24</v>
      </c>
      <c r="N1927" t="s">
        <v>710</v>
      </c>
      <c r="O1927" t="s">
        <v>1036</v>
      </c>
      <c r="P1927" t="s">
        <v>4784</v>
      </c>
      <c r="Q1927" t="s">
        <v>4901</v>
      </c>
      <c r="R1927" t="s">
        <v>4771</v>
      </c>
    </row>
    <row r="1928" spans="1:18" x14ac:dyDescent="0.3">
      <c r="A1928">
        <v>332</v>
      </c>
      <c r="B1928" t="s">
        <v>1034</v>
      </c>
      <c r="C1928" t="s">
        <v>479</v>
      </c>
      <c r="D1928" t="s">
        <v>99</v>
      </c>
      <c r="E1928" s="1">
        <v>45994</v>
      </c>
      <c r="F1928" t="s">
        <v>4375</v>
      </c>
      <c r="G1928" t="s">
        <v>3320</v>
      </c>
      <c r="H1928" t="s">
        <v>478</v>
      </c>
      <c r="I1928" t="s">
        <v>204</v>
      </c>
      <c r="J1928" s="1">
        <v>46239</v>
      </c>
      <c r="K1928" t="s">
        <v>717</v>
      </c>
      <c r="L1928">
        <v>31</v>
      </c>
      <c r="M1928">
        <v>371.38</v>
      </c>
      <c r="N1928" t="s">
        <v>710</v>
      </c>
      <c r="O1928" t="s">
        <v>1037</v>
      </c>
      <c r="P1928" t="s">
        <v>4790</v>
      </c>
      <c r="Q1928" t="s">
        <v>4852</v>
      </c>
      <c r="R1928" t="s">
        <v>4772</v>
      </c>
    </row>
    <row r="1929" spans="1:18" x14ac:dyDescent="0.3">
      <c r="A1929">
        <v>332</v>
      </c>
      <c r="B1929" t="s">
        <v>1034</v>
      </c>
      <c r="C1929" t="s">
        <v>479</v>
      </c>
      <c r="D1929" t="s">
        <v>99</v>
      </c>
      <c r="E1929" s="1">
        <v>45994</v>
      </c>
      <c r="F1929" t="s">
        <v>4376</v>
      </c>
      <c r="G1929" t="s">
        <v>3320</v>
      </c>
      <c r="H1929" t="s">
        <v>478</v>
      </c>
      <c r="I1929" t="s">
        <v>204</v>
      </c>
      <c r="J1929" s="1">
        <v>46239</v>
      </c>
      <c r="K1929" t="s">
        <v>717</v>
      </c>
      <c r="L1929">
        <v>3</v>
      </c>
      <c r="M1929">
        <v>35.94</v>
      </c>
      <c r="N1929" t="s">
        <v>710</v>
      </c>
      <c r="O1929" t="s">
        <v>1037</v>
      </c>
      <c r="P1929" t="s">
        <v>4790</v>
      </c>
      <c r="Q1929" t="s">
        <v>4852</v>
      </c>
      <c r="R1929" t="s">
        <v>4772</v>
      </c>
    </row>
    <row r="1930" spans="1:18" x14ac:dyDescent="0.3">
      <c r="A1930">
        <v>332</v>
      </c>
      <c r="B1930" t="s">
        <v>1034</v>
      </c>
      <c r="C1930" t="s">
        <v>479</v>
      </c>
      <c r="D1930" t="s">
        <v>99</v>
      </c>
      <c r="E1930" s="1">
        <v>45994</v>
      </c>
      <c r="F1930" t="s">
        <v>4374</v>
      </c>
      <c r="G1930" t="s">
        <v>3320</v>
      </c>
      <c r="H1930" t="s">
        <v>478</v>
      </c>
      <c r="I1930" t="s">
        <v>204</v>
      </c>
      <c r="J1930" s="1">
        <v>46239</v>
      </c>
      <c r="K1930" t="s">
        <v>717</v>
      </c>
      <c r="L1930">
        <v>1</v>
      </c>
      <c r="M1930">
        <v>22.53</v>
      </c>
      <c r="N1930" t="s">
        <v>710</v>
      </c>
      <c r="O1930" t="s">
        <v>1037</v>
      </c>
      <c r="P1930" t="s">
        <v>4790</v>
      </c>
      <c r="Q1930" t="s">
        <v>4852</v>
      </c>
      <c r="R1930" t="s">
        <v>4772</v>
      </c>
    </row>
    <row r="1931" spans="1:18" x14ac:dyDescent="0.3">
      <c r="A1931">
        <v>183364</v>
      </c>
      <c r="B1931" t="s">
        <v>1034</v>
      </c>
      <c r="C1931" t="s">
        <v>522</v>
      </c>
      <c r="D1931" t="s">
        <v>50</v>
      </c>
      <c r="E1931" s="1">
        <v>45994</v>
      </c>
      <c r="F1931" t="s">
        <v>4352</v>
      </c>
      <c r="G1931" t="s">
        <v>3359</v>
      </c>
      <c r="H1931" t="s">
        <v>521</v>
      </c>
      <c r="I1931" t="s">
        <v>204</v>
      </c>
      <c r="J1931" s="1">
        <v>46387</v>
      </c>
      <c r="K1931" t="s">
        <v>717</v>
      </c>
      <c r="L1931">
        <v>562.80999999999995</v>
      </c>
      <c r="M1931">
        <v>562.80999999999995</v>
      </c>
      <c r="N1931" t="s">
        <v>884</v>
      </c>
      <c r="O1931" t="s">
        <v>1037</v>
      </c>
      <c r="P1931" t="s">
        <v>4776</v>
      </c>
      <c r="Q1931" t="s">
        <v>4852</v>
      </c>
      <c r="R1931" t="s">
        <v>4773</v>
      </c>
    </row>
    <row r="1932" spans="1:18" x14ac:dyDescent="0.3">
      <c r="A1932">
        <v>332</v>
      </c>
      <c r="B1932" t="s">
        <v>1034</v>
      </c>
      <c r="C1932" t="s">
        <v>479</v>
      </c>
      <c r="D1932" t="s">
        <v>99</v>
      </c>
      <c r="E1932" s="1">
        <v>45994</v>
      </c>
      <c r="F1932" t="s">
        <v>4373</v>
      </c>
      <c r="G1932" t="s">
        <v>3320</v>
      </c>
      <c r="H1932" t="s">
        <v>478</v>
      </c>
      <c r="I1932" t="s">
        <v>204</v>
      </c>
      <c r="J1932" s="1">
        <v>46239</v>
      </c>
      <c r="K1932" t="s">
        <v>717</v>
      </c>
      <c r="L1932">
        <v>12</v>
      </c>
      <c r="M1932">
        <v>185.04</v>
      </c>
      <c r="N1932" t="s">
        <v>710</v>
      </c>
      <c r="O1932" t="s">
        <v>1037</v>
      </c>
      <c r="P1932" t="s">
        <v>4790</v>
      </c>
      <c r="Q1932" t="s">
        <v>4852</v>
      </c>
      <c r="R1932" t="s">
        <v>4772</v>
      </c>
    </row>
    <row r="1933" spans="1:18" x14ac:dyDescent="0.3">
      <c r="A1933">
        <v>32</v>
      </c>
      <c r="B1933" t="s">
        <v>1034</v>
      </c>
      <c r="C1933" t="s">
        <v>449</v>
      </c>
      <c r="D1933" t="s">
        <v>20</v>
      </c>
      <c r="E1933" s="1">
        <v>45994</v>
      </c>
      <c r="F1933" t="s">
        <v>4331</v>
      </c>
      <c r="G1933" t="s">
        <v>3313</v>
      </c>
      <c r="H1933" t="s">
        <v>448</v>
      </c>
      <c r="I1933" t="s">
        <v>204</v>
      </c>
      <c r="J1933" s="1">
        <v>46219</v>
      </c>
      <c r="K1933" t="s">
        <v>717</v>
      </c>
      <c r="L1933">
        <v>8182.1</v>
      </c>
      <c r="M1933">
        <v>8182.1</v>
      </c>
      <c r="N1933" t="s">
        <v>710</v>
      </c>
      <c r="O1933" t="s">
        <v>4902</v>
      </c>
      <c r="P1933" t="s">
        <v>4776</v>
      </c>
      <c r="Q1933" t="s">
        <v>4852</v>
      </c>
      <c r="R1933" t="s">
        <v>4771</v>
      </c>
    </row>
    <row r="1934" spans="1:18" x14ac:dyDescent="0.3">
      <c r="A1934">
        <v>3889</v>
      </c>
      <c r="B1934" t="s">
        <v>4875</v>
      </c>
      <c r="C1934" t="s">
        <v>535</v>
      </c>
      <c r="D1934" t="s">
        <v>148</v>
      </c>
      <c r="E1934" s="1">
        <v>45993</v>
      </c>
      <c r="F1934" t="s">
        <v>4297</v>
      </c>
      <c r="G1934" t="s">
        <v>3260</v>
      </c>
      <c r="H1934" t="s">
        <v>654</v>
      </c>
      <c r="I1934" t="s">
        <v>204</v>
      </c>
      <c r="J1934" s="1">
        <v>46227</v>
      </c>
      <c r="K1934" t="s">
        <v>748</v>
      </c>
      <c r="L1934">
        <v>1</v>
      </c>
      <c r="M1934">
        <v>5500</v>
      </c>
      <c r="N1934" t="s">
        <v>954</v>
      </c>
      <c r="O1934" t="s">
        <v>1040</v>
      </c>
      <c r="P1934" t="s">
        <v>4779</v>
      </c>
      <c r="Q1934" t="s">
        <v>4856</v>
      </c>
      <c r="R1934" t="s">
        <v>807</v>
      </c>
    </row>
    <row r="1935" spans="1:18" x14ac:dyDescent="0.3">
      <c r="A1935">
        <v>493</v>
      </c>
      <c r="B1935" t="s">
        <v>4875</v>
      </c>
      <c r="C1935" t="s">
        <v>585</v>
      </c>
      <c r="D1935" t="s">
        <v>179</v>
      </c>
      <c r="E1935" s="1">
        <v>45993</v>
      </c>
      <c r="F1935" t="s">
        <v>4306</v>
      </c>
      <c r="G1935" t="s">
        <v>3336</v>
      </c>
      <c r="H1935" t="s">
        <v>586</v>
      </c>
      <c r="I1935" t="s">
        <v>204</v>
      </c>
      <c r="J1935" s="1">
        <v>46477</v>
      </c>
      <c r="K1935" t="s">
        <v>768</v>
      </c>
      <c r="L1935">
        <v>1</v>
      </c>
      <c r="M1935">
        <v>1139.9000000000001</v>
      </c>
      <c r="N1935" t="s">
        <v>719</v>
      </c>
      <c r="O1935" t="s">
        <v>4833</v>
      </c>
      <c r="P1935" t="s">
        <v>4786</v>
      </c>
      <c r="Q1935" t="s">
        <v>4852</v>
      </c>
      <c r="R1935" t="s">
        <v>4771</v>
      </c>
    </row>
    <row r="1936" spans="1:18" x14ac:dyDescent="0.3">
      <c r="A1936">
        <v>3371</v>
      </c>
      <c r="B1936" t="s">
        <v>4875</v>
      </c>
      <c r="C1936" t="s">
        <v>493</v>
      </c>
      <c r="D1936" t="s">
        <v>197</v>
      </c>
      <c r="E1936" s="1">
        <v>45993</v>
      </c>
      <c r="F1936" t="s">
        <v>4306</v>
      </c>
      <c r="G1936" t="s">
        <v>3338</v>
      </c>
      <c r="H1936" t="s">
        <v>492</v>
      </c>
      <c r="I1936" t="s">
        <v>204</v>
      </c>
      <c r="J1936" s="1">
        <v>54878</v>
      </c>
      <c r="K1936" t="s">
        <v>768</v>
      </c>
      <c r="L1936">
        <v>799</v>
      </c>
      <c r="M1936">
        <v>799</v>
      </c>
      <c r="N1936" t="s">
        <v>710</v>
      </c>
      <c r="O1936" t="s">
        <v>4833</v>
      </c>
      <c r="P1936" t="s">
        <v>4786</v>
      </c>
      <c r="Q1936" t="s">
        <v>4852</v>
      </c>
      <c r="R1936" t="s">
        <v>4773</v>
      </c>
    </row>
    <row r="1937" spans="1:18" x14ac:dyDescent="0.3">
      <c r="A1937">
        <v>834</v>
      </c>
      <c r="B1937" t="s">
        <v>4875</v>
      </c>
      <c r="C1937" t="s">
        <v>314</v>
      </c>
      <c r="D1937" t="s">
        <v>39</v>
      </c>
      <c r="E1937" s="1">
        <v>45993</v>
      </c>
      <c r="F1937" t="s">
        <v>4347</v>
      </c>
      <c r="G1937" t="s">
        <v>3183</v>
      </c>
      <c r="H1937" t="s">
        <v>341</v>
      </c>
      <c r="I1937" t="s">
        <v>204</v>
      </c>
      <c r="J1937" s="1">
        <v>46266</v>
      </c>
      <c r="K1937" t="s">
        <v>748</v>
      </c>
      <c r="L1937">
        <v>1</v>
      </c>
      <c r="M1937">
        <v>1100</v>
      </c>
      <c r="N1937" t="s">
        <v>710</v>
      </c>
      <c r="O1937" t="s">
        <v>4834</v>
      </c>
      <c r="P1937" t="s">
        <v>4776</v>
      </c>
      <c r="Q1937" t="s">
        <v>4856</v>
      </c>
      <c r="R1937" t="s">
        <v>4773</v>
      </c>
    </row>
    <row r="1938" spans="1:18" x14ac:dyDescent="0.3">
      <c r="A1938">
        <v>42588</v>
      </c>
      <c r="B1938" t="s">
        <v>1034</v>
      </c>
      <c r="C1938" t="s">
        <v>327</v>
      </c>
      <c r="D1938" t="s">
        <v>159</v>
      </c>
      <c r="E1938" s="1">
        <v>45993</v>
      </c>
      <c r="F1938" t="s">
        <v>4295</v>
      </c>
      <c r="G1938" t="s">
        <v>3316</v>
      </c>
      <c r="H1938" t="s">
        <v>357</v>
      </c>
      <c r="I1938" t="s">
        <v>204</v>
      </c>
      <c r="J1938" s="1">
        <v>46476</v>
      </c>
      <c r="K1938" t="s">
        <v>711</v>
      </c>
      <c r="L1938">
        <v>2150</v>
      </c>
      <c r="M1938">
        <v>2150</v>
      </c>
      <c r="N1938" t="s">
        <v>890</v>
      </c>
      <c r="O1938" t="s">
        <v>4834</v>
      </c>
      <c r="P1938" t="s">
        <v>4776</v>
      </c>
      <c r="Q1938" t="s">
        <v>4901</v>
      </c>
      <c r="R1938" t="s">
        <v>4773</v>
      </c>
    </row>
    <row r="1939" spans="1:18" x14ac:dyDescent="0.3">
      <c r="A1939">
        <v>42589</v>
      </c>
      <c r="B1939" t="s">
        <v>1034</v>
      </c>
      <c r="C1939" t="s">
        <v>327</v>
      </c>
      <c r="D1939" t="s">
        <v>159</v>
      </c>
      <c r="E1939" s="1">
        <v>45993</v>
      </c>
      <c r="F1939" t="s">
        <v>4296</v>
      </c>
      <c r="G1939" t="s">
        <v>3316</v>
      </c>
      <c r="H1939" t="s">
        <v>357</v>
      </c>
      <c r="I1939" t="s">
        <v>204</v>
      </c>
      <c r="J1939" s="1">
        <v>46476</v>
      </c>
      <c r="K1939" t="s">
        <v>711</v>
      </c>
      <c r="L1939">
        <v>2793.5</v>
      </c>
      <c r="M1939">
        <v>2793.5</v>
      </c>
      <c r="N1939" t="s">
        <v>890</v>
      </c>
      <c r="O1939" t="s">
        <v>4834</v>
      </c>
      <c r="P1939" t="s">
        <v>4776</v>
      </c>
      <c r="Q1939" t="s">
        <v>4901</v>
      </c>
      <c r="R1939" t="s">
        <v>4773</v>
      </c>
    </row>
    <row r="1940" spans="1:18" x14ac:dyDescent="0.3">
      <c r="A1940">
        <v>837</v>
      </c>
      <c r="B1940" t="s">
        <v>1034</v>
      </c>
      <c r="C1940" t="s">
        <v>314</v>
      </c>
      <c r="D1940" t="s">
        <v>39</v>
      </c>
      <c r="E1940" s="1">
        <v>45993</v>
      </c>
      <c r="F1940" t="s">
        <v>4347</v>
      </c>
      <c r="G1940" t="s">
        <v>3289</v>
      </c>
      <c r="H1940" t="s">
        <v>313</v>
      </c>
      <c r="I1940" t="s">
        <v>204</v>
      </c>
      <c r="J1940" s="1">
        <v>46237</v>
      </c>
      <c r="K1940" t="s">
        <v>711</v>
      </c>
      <c r="L1940">
        <v>1150</v>
      </c>
      <c r="M1940">
        <v>1150</v>
      </c>
      <c r="N1940" t="s">
        <v>710</v>
      </c>
      <c r="O1940" t="s">
        <v>4834</v>
      </c>
      <c r="P1940" t="s">
        <v>4779</v>
      </c>
      <c r="Q1940" t="s">
        <v>4901</v>
      </c>
      <c r="R1940" t="s">
        <v>4773</v>
      </c>
    </row>
    <row r="1941" spans="1:18" x14ac:dyDescent="0.3">
      <c r="A1941">
        <v>4044280</v>
      </c>
      <c r="B1941" t="s">
        <v>4874</v>
      </c>
      <c r="C1941" t="s">
        <v>417</v>
      </c>
      <c r="D1941" t="s">
        <v>185</v>
      </c>
      <c r="E1941" s="1">
        <v>45993</v>
      </c>
      <c r="F1941" t="s">
        <v>4335</v>
      </c>
      <c r="G1941" t="s">
        <v>3303</v>
      </c>
      <c r="H1941" t="s">
        <v>461</v>
      </c>
      <c r="I1941" t="s">
        <v>204</v>
      </c>
      <c r="J1941" s="1">
        <v>54878</v>
      </c>
      <c r="K1941" t="s">
        <v>762</v>
      </c>
      <c r="L1941">
        <v>4645.7700000000004</v>
      </c>
      <c r="M1941">
        <v>4645.7700000000004</v>
      </c>
      <c r="N1941" t="s">
        <v>710</v>
      </c>
      <c r="O1941" t="s">
        <v>1037</v>
      </c>
      <c r="P1941" t="s">
        <v>4780</v>
      </c>
      <c r="Q1941" t="s">
        <v>4852</v>
      </c>
      <c r="R1941" t="s">
        <v>4771</v>
      </c>
    </row>
    <row r="1942" spans="1:18" x14ac:dyDescent="0.3">
      <c r="A1942">
        <v>7264</v>
      </c>
      <c r="B1942" t="s">
        <v>4874</v>
      </c>
      <c r="C1942" t="s">
        <v>387</v>
      </c>
      <c r="D1942" t="s">
        <v>42</v>
      </c>
      <c r="E1942" s="1">
        <v>45993</v>
      </c>
      <c r="F1942" t="s">
        <v>4345</v>
      </c>
      <c r="G1942" t="s">
        <v>3356</v>
      </c>
      <c r="H1942" t="s">
        <v>386</v>
      </c>
      <c r="I1942" t="s">
        <v>204</v>
      </c>
      <c r="J1942" s="1">
        <v>54878</v>
      </c>
      <c r="K1942" t="s">
        <v>762</v>
      </c>
      <c r="L1942">
        <v>1887</v>
      </c>
      <c r="M1942">
        <v>1887</v>
      </c>
      <c r="N1942" t="s">
        <v>719</v>
      </c>
      <c r="O1942" t="s">
        <v>4833</v>
      </c>
      <c r="P1942" t="s">
        <v>4776</v>
      </c>
      <c r="Q1942" t="s">
        <v>4852</v>
      </c>
      <c r="R1942" t="s">
        <v>4773</v>
      </c>
    </row>
    <row r="1943" spans="1:18" x14ac:dyDescent="0.3">
      <c r="A1943">
        <v>7227</v>
      </c>
      <c r="B1943" t="s">
        <v>4874</v>
      </c>
      <c r="C1943" t="s">
        <v>230</v>
      </c>
      <c r="D1943" t="s">
        <v>85</v>
      </c>
      <c r="E1943" s="1">
        <v>45993</v>
      </c>
      <c r="F1943" t="s">
        <v>4421</v>
      </c>
      <c r="G1943" t="s">
        <v>3322</v>
      </c>
      <c r="H1943" t="s">
        <v>299</v>
      </c>
      <c r="I1943" t="s">
        <v>204</v>
      </c>
      <c r="J1943" s="1">
        <v>46536</v>
      </c>
      <c r="K1943" t="s">
        <v>762</v>
      </c>
      <c r="L1943">
        <v>12092.8</v>
      </c>
      <c r="M1943">
        <v>12092.8</v>
      </c>
      <c r="N1943" t="s">
        <v>710</v>
      </c>
      <c r="O1943" t="s">
        <v>1033</v>
      </c>
      <c r="P1943" t="s">
        <v>4781</v>
      </c>
      <c r="Q1943" t="s">
        <v>4852</v>
      </c>
      <c r="R1943" t="s">
        <v>4771</v>
      </c>
    </row>
    <row r="1944" spans="1:18" x14ac:dyDescent="0.3">
      <c r="A1944">
        <v>1505874</v>
      </c>
      <c r="B1944" t="s">
        <v>4874</v>
      </c>
      <c r="C1944" t="s">
        <v>407</v>
      </c>
      <c r="D1944" t="s">
        <v>170</v>
      </c>
      <c r="E1944" s="1">
        <v>45993</v>
      </c>
      <c r="F1944" t="s">
        <v>4388</v>
      </c>
      <c r="G1944" t="s">
        <v>3325</v>
      </c>
      <c r="H1944" t="s">
        <v>406</v>
      </c>
      <c r="I1944" t="s">
        <v>204</v>
      </c>
      <c r="J1944" s="1">
        <v>46387</v>
      </c>
      <c r="K1944" t="s">
        <v>762</v>
      </c>
      <c r="L1944">
        <v>38765</v>
      </c>
      <c r="M1944">
        <v>38764.92</v>
      </c>
      <c r="N1944" t="s">
        <v>710</v>
      </c>
      <c r="O1944" t="s">
        <v>4833</v>
      </c>
      <c r="P1944" t="s">
        <v>4776</v>
      </c>
      <c r="Q1944" t="s">
        <v>4852</v>
      </c>
      <c r="R1944" t="s">
        <v>4771</v>
      </c>
    </row>
    <row r="1945" spans="1:18" x14ac:dyDescent="0.3">
      <c r="A1945">
        <v>745434</v>
      </c>
      <c r="B1945" t="s">
        <v>4874</v>
      </c>
      <c r="C1945" t="s">
        <v>409</v>
      </c>
      <c r="D1945" t="s">
        <v>28</v>
      </c>
      <c r="E1945" s="1">
        <v>45993</v>
      </c>
      <c r="F1945" t="s">
        <v>4388</v>
      </c>
      <c r="G1945" t="s">
        <v>3328</v>
      </c>
      <c r="H1945" t="s">
        <v>408</v>
      </c>
      <c r="I1945" t="s">
        <v>204</v>
      </c>
      <c r="J1945" s="1">
        <v>54878</v>
      </c>
      <c r="K1945" t="s">
        <v>762</v>
      </c>
      <c r="L1945">
        <v>24843</v>
      </c>
      <c r="M1945">
        <v>24843.13</v>
      </c>
      <c r="N1945" t="s">
        <v>710</v>
      </c>
      <c r="O1945" t="s">
        <v>4833</v>
      </c>
      <c r="P1945" t="s">
        <v>4776</v>
      </c>
      <c r="Q1945" t="s">
        <v>4852</v>
      </c>
      <c r="R1945" t="s">
        <v>4773</v>
      </c>
    </row>
    <row r="1946" spans="1:18" x14ac:dyDescent="0.3">
      <c r="A1946">
        <v>59</v>
      </c>
      <c r="B1946" t="s">
        <v>4875</v>
      </c>
      <c r="C1946" t="s">
        <v>561</v>
      </c>
      <c r="D1946" t="s">
        <v>121</v>
      </c>
      <c r="E1946" s="1">
        <v>45993</v>
      </c>
      <c r="F1946" t="s">
        <v>4390</v>
      </c>
      <c r="G1946" t="s">
        <v>3257</v>
      </c>
      <c r="H1946" t="s">
        <v>560</v>
      </c>
      <c r="I1946" t="s">
        <v>204</v>
      </c>
      <c r="J1946" s="1">
        <v>46732</v>
      </c>
      <c r="K1946" t="s">
        <v>748</v>
      </c>
      <c r="L1946">
        <v>1</v>
      </c>
      <c r="M1946">
        <v>6700</v>
      </c>
      <c r="N1946" t="s">
        <v>818</v>
      </c>
      <c r="O1946" t="s">
        <v>1040</v>
      </c>
      <c r="P1946" t="s">
        <v>4777</v>
      </c>
      <c r="Q1946" t="s">
        <v>4856</v>
      </c>
      <c r="R1946" t="s">
        <v>4771</v>
      </c>
    </row>
    <row r="1947" spans="1:18" x14ac:dyDescent="0.3">
      <c r="A1947">
        <v>1819</v>
      </c>
      <c r="B1947" t="s">
        <v>4874</v>
      </c>
      <c r="C1947" t="s">
        <v>252</v>
      </c>
      <c r="D1947" t="s">
        <v>183</v>
      </c>
      <c r="E1947" s="1">
        <v>45993</v>
      </c>
      <c r="F1947" t="s">
        <v>4404</v>
      </c>
      <c r="G1947" t="s">
        <v>1270</v>
      </c>
      <c r="H1947" t="s">
        <v>251</v>
      </c>
      <c r="I1947" t="s">
        <v>204</v>
      </c>
      <c r="J1947" s="1">
        <v>46418</v>
      </c>
      <c r="K1947" t="s">
        <v>762</v>
      </c>
      <c r="L1947">
        <v>18900</v>
      </c>
      <c r="M1947">
        <v>18900</v>
      </c>
      <c r="N1947" t="s">
        <v>719</v>
      </c>
      <c r="O1947" t="s">
        <v>4904</v>
      </c>
      <c r="P1947" t="s">
        <v>4792</v>
      </c>
      <c r="Q1947" t="s">
        <v>4904</v>
      </c>
      <c r="R1947" t="s">
        <v>4773</v>
      </c>
    </row>
    <row r="1948" spans="1:18" x14ac:dyDescent="0.3">
      <c r="A1948">
        <v>3185</v>
      </c>
      <c r="B1948" t="s">
        <v>4874</v>
      </c>
      <c r="C1948" t="s">
        <v>533</v>
      </c>
      <c r="D1948" t="s">
        <v>103</v>
      </c>
      <c r="E1948" s="1">
        <v>45993</v>
      </c>
      <c r="F1948" t="s">
        <v>4416</v>
      </c>
      <c r="G1948" t="s">
        <v>3342</v>
      </c>
      <c r="H1948" t="s">
        <v>532</v>
      </c>
      <c r="I1948" t="s">
        <v>204</v>
      </c>
      <c r="J1948" s="1">
        <v>46568</v>
      </c>
      <c r="K1948" t="s">
        <v>892</v>
      </c>
      <c r="L1948">
        <v>12367.55</v>
      </c>
      <c r="M1948">
        <v>12367.55</v>
      </c>
      <c r="N1948" t="s">
        <v>710</v>
      </c>
      <c r="O1948" t="s">
        <v>4811</v>
      </c>
      <c r="P1948" t="s">
        <v>4776</v>
      </c>
      <c r="Q1948" t="s">
        <v>4859</v>
      </c>
      <c r="R1948" t="s">
        <v>4771</v>
      </c>
    </row>
    <row r="1949" spans="1:18" x14ac:dyDescent="0.3">
      <c r="A1949">
        <v>3842</v>
      </c>
      <c r="B1949" t="s">
        <v>4874</v>
      </c>
      <c r="C1949" t="s">
        <v>225</v>
      </c>
      <c r="D1949" t="s">
        <v>166</v>
      </c>
      <c r="E1949" s="1">
        <v>45993</v>
      </c>
      <c r="F1949" t="s">
        <v>4383</v>
      </c>
      <c r="G1949" t="s">
        <v>3332</v>
      </c>
      <c r="H1949" t="s">
        <v>224</v>
      </c>
      <c r="I1949" t="s">
        <v>204</v>
      </c>
      <c r="J1949" s="1">
        <v>54878</v>
      </c>
      <c r="K1949" t="s">
        <v>720</v>
      </c>
      <c r="L1949">
        <v>476.36</v>
      </c>
      <c r="M1949">
        <v>476.36</v>
      </c>
      <c r="N1949" t="s">
        <v>710</v>
      </c>
      <c r="O1949" t="s">
        <v>4849</v>
      </c>
      <c r="P1949" t="s">
        <v>4776</v>
      </c>
      <c r="Q1949" t="s">
        <v>4855</v>
      </c>
      <c r="R1949" t="s">
        <v>4773</v>
      </c>
    </row>
    <row r="1950" spans="1:18" x14ac:dyDescent="0.3">
      <c r="A1950">
        <v>7205</v>
      </c>
      <c r="B1950" t="s">
        <v>4874</v>
      </c>
      <c r="C1950" t="s">
        <v>230</v>
      </c>
      <c r="D1950" t="s">
        <v>85</v>
      </c>
      <c r="E1950" s="1">
        <v>45993</v>
      </c>
      <c r="F1950" t="s">
        <v>4348</v>
      </c>
      <c r="G1950" t="s">
        <v>3323</v>
      </c>
      <c r="H1950" t="s">
        <v>299</v>
      </c>
      <c r="I1950" t="s">
        <v>204</v>
      </c>
      <c r="J1950" s="1">
        <v>46536</v>
      </c>
      <c r="K1950" t="s">
        <v>762</v>
      </c>
      <c r="L1950">
        <v>198518.11</v>
      </c>
      <c r="M1950">
        <v>198518.11</v>
      </c>
      <c r="N1950" t="s">
        <v>710</v>
      </c>
      <c r="O1950" t="s">
        <v>1033</v>
      </c>
      <c r="P1950" t="s">
        <v>4781</v>
      </c>
      <c r="Q1950" t="s">
        <v>4852</v>
      </c>
      <c r="R1950" t="s">
        <v>4771</v>
      </c>
    </row>
    <row r="1951" spans="1:18" x14ac:dyDescent="0.3">
      <c r="A1951">
        <v>1827</v>
      </c>
      <c r="B1951" t="s">
        <v>4875</v>
      </c>
      <c r="C1951" t="s">
        <v>312</v>
      </c>
      <c r="D1951" t="s">
        <v>73</v>
      </c>
      <c r="E1951" s="1">
        <v>45993</v>
      </c>
      <c r="F1951" t="s">
        <v>4300</v>
      </c>
      <c r="G1951" t="s">
        <v>3266</v>
      </c>
      <c r="H1951" t="s">
        <v>365</v>
      </c>
      <c r="I1951" t="s">
        <v>204</v>
      </c>
      <c r="J1951" s="1">
        <v>46418</v>
      </c>
      <c r="K1951" t="s">
        <v>748</v>
      </c>
      <c r="L1951">
        <v>2255</v>
      </c>
      <c r="M1951">
        <v>2255</v>
      </c>
      <c r="N1951" t="s">
        <v>710</v>
      </c>
      <c r="O1951" t="s">
        <v>4834</v>
      </c>
      <c r="P1951" t="s">
        <v>1006</v>
      </c>
      <c r="Q1951" t="s">
        <v>4856</v>
      </c>
      <c r="R1951" t="s">
        <v>4773</v>
      </c>
    </row>
    <row r="1952" spans="1:18" x14ac:dyDescent="0.3">
      <c r="A1952">
        <v>49</v>
      </c>
      <c r="B1952" t="s">
        <v>4876</v>
      </c>
      <c r="C1952" t="s">
        <v>476</v>
      </c>
      <c r="D1952" t="s">
        <v>195</v>
      </c>
      <c r="E1952" s="1">
        <v>45993</v>
      </c>
      <c r="F1952" t="s">
        <v>4401</v>
      </c>
      <c r="G1952" t="s">
        <v>3327</v>
      </c>
      <c r="H1952" t="s">
        <v>475</v>
      </c>
      <c r="I1952" t="s">
        <v>204</v>
      </c>
      <c r="J1952" s="1">
        <v>54878</v>
      </c>
      <c r="K1952" t="s">
        <v>839</v>
      </c>
      <c r="L1952">
        <v>39330</v>
      </c>
      <c r="M1952">
        <v>39330</v>
      </c>
      <c r="N1952" t="s">
        <v>710</v>
      </c>
      <c r="O1952" t="s">
        <v>1042</v>
      </c>
      <c r="P1952" t="s">
        <v>1006</v>
      </c>
      <c r="Q1952" t="s">
        <v>4852</v>
      </c>
      <c r="R1952" t="s">
        <v>4771</v>
      </c>
    </row>
    <row r="1953" spans="1:18" x14ac:dyDescent="0.3">
      <c r="A1953">
        <v>492</v>
      </c>
      <c r="B1953" t="s">
        <v>1034</v>
      </c>
      <c r="C1953" t="s">
        <v>585</v>
      </c>
      <c r="D1953" t="s">
        <v>179</v>
      </c>
      <c r="E1953" s="1">
        <v>45993</v>
      </c>
      <c r="F1953" t="s">
        <v>4306</v>
      </c>
      <c r="G1953" t="s">
        <v>3335</v>
      </c>
      <c r="H1953" t="s">
        <v>584</v>
      </c>
      <c r="I1953" t="s">
        <v>204</v>
      </c>
      <c r="J1953" s="1">
        <v>46477</v>
      </c>
      <c r="K1953" t="s">
        <v>717</v>
      </c>
      <c r="L1953">
        <v>1</v>
      </c>
      <c r="M1953">
        <v>1139.9000000000001</v>
      </c>
      <c r="N1953" t="s">
        <v>719</v>
      </c>
      <c r="O1953" t="s">
        <v>4833</v>
      </c>
      <c r="P1953" t="s">
        <v>4786</v>
      </c>
      <c r="Q1953" t="s">
        <v>4852</v>
      </c>
      <c r="R1953" t="s">
        <v>4771</v>
      </c>
    </row>
    <row r="1954" spans="1:18" x14ac:dyDescent="0.3">
      <c r="A1954">
        <v>17335</v>
      </c>
      <c r="B1954" t="s">
        <v>1034</v>
      </c>
      <c r="C1954" t="s">
        <v>632</v>
      </c>
      <c r="D1954" t="s">
        <v>41</v>
      </c>
      <c r="E1954" s="1">
        <v>45993</v>
      </c>
      <c r="F1954" t="s">
        <v>4352</v>
      </c>
      <c r="G1954" t="s">
        <v>2047</v>
      </c>
      <c r="H1954" t="s">
        <v>631</v>
      </c>
      <c r="I1954" t="s">
        <v>204</v>
      </c>
      <c r="J1954" s="1">
        <v>50860</v>
      </c>
      <c r="K1954" t="s">
        <v>717</v>
      </c>
      <c r="L1954">
        <v>1</v>
      </c>
      <c r="M1954">
        <v>6240</v>
      </c>
      <c r="N1954" t="s">
        <v>710</v>
      </c>
      <c r="O1954" t="s">
        <v>4833</v>
      </c>
      <c r="P1954" t="s">
        <v>4776</v>
      </c>
      <c r="Q1954" t="s">
        <v>4852</v>
      </c>
      <c r="R1954" t="s">
        <v>4771</v>
      </c>
    </row>
    <row r="1955" spans="1:18" x14ac:dyDescent="0.3">
      <c r="A1955">
        <v>255</v>
      </c>
      <c r="B1955" t="s">
        <v>1034</v>
      </c>
      <c r="C1955" t="s">
        <v>643</v>
      </c>
      <c r="D1955" t="s">
        <v>52</v>
      </c>
      <c r="E1955" s="1">
        <v>45993</v>
      </c>
      <c r="F1955" t="s">
        <v>4318</v>
      </c>
      <c r="G1955" t="s">
        <v>3277</v>
      </c>
      <c r="H1955" t="s">
        <v>642</v>
      </c>
      <c r="I1955" t="s">
        <v>204</v>
      </c>
      <c r="J1955" s="1">
        <v>46548</v>
      </c>
      <c r="K1955" t="s">
        <v>711</v>
      </c>
      <c r="L1955">
        <v>1</v>
      </c>
      <c r="M1955">
        <v>2300</v>
      </c>
      <c r="N1955" t="s">
        <v>710</v>
      </c>
      <c r="O1955" t="s">
        <v>4834</v>
      </c>
      <c r="P1955" t="s">
        <v>4776</v>
      </c>
      <c r="Q1955" t="s">
        <v>4901</v>
      </c>
    </row>
    <row r="1956" spans="1:18" x14ac:dyDescent="0.3">
      <c r="A1956">
        <v>42584</v>
      </c>
      <c r="B1956" t="s">
        <v>1034</v>
      </c>
      <c r="C1956" t="s">
        <v>327</v>
      </c>
      <c r="D1956" t="s">
        <v>159</v>
      </c>
      <c r="E1956" s="1">
        <v>45993</v>
      </c>
      <c r="F1956" t="s">
        <v>4295</v>
      </c>
      <c r="G1956" t="s">
        <v>3314</v>
      </c>
      <c r="H1956" t="s">
        <v>357</v>
      </c>
      <c r="I1956" t="s">
        <v>204</v>
      </c>
      <c r="J1956" s="1">
        <v>46476</v>
      </c>
      <c r="K1956" t="s">
        <v>711</v>
      </c>
      <c r="L1956">
        <v>2150</v>
      </c>
      <c r="M1956">
        <v>2150</v>
      </c>
      <c r="N1956" t="s">
        <v>890</v>
      </c>
      <c r="O1956" t="s">
        <v>4834</v>
      </c>
      <c r="P1956" t="s">
        <v>4776</v>
      </c>
      <c r="Q1956" t="s">
        <v>4901</v>
      </c>
      <c r="R1956" t="s">
        <v>4773</v>
      </c>
    </row>
    <row r="1957" spans="1:18" x14ac:dyDescent="0.3">
      <c r="A1957">
        <v>42585</v>
      </c>
      <c r="B1957" t="s">
        <v>1034</v>
      </c>
      <c r="C1957" t="s">
        <v>327</v>
      </c>
      <c r="D1957" t="s">
        <v>159</v>
      </c>
      <c r="E1957" s="1">
        <v>45993</v>
      </c>
      <c r="F1957" t="s">
        <v>4295</v>
      </c>
      <c r="G1957" t="s">
        <v>3319</v>
      </c>
      <c r="H1957" t="s">
        <v>357</v>
      </c>
      <c r="I1957" t="s">
        <v>204</v>
      </c>
      <c r="J1957" s="1">
        <v>46476</v>
      </c>
      <c r="K1957" t="s">
        <v>711</v>
      </c>
      <c r="L1957">
        <v>1568.7</v>
      </c>
      <c r="M1957">
        <v>1568.7</v>
      </c>
      <c r="N1957" t="s">
        <v>890</v>
      </c>
      <c r="O1957" t="s">
        <v>4834</v>
      </c>
      <c r="P1957" t="s">
        <v>4776</v>
      </c>
      <c r="Q1957" t="s">
        <v>4901</v>
      </c>
      <c r="R1957" t="s">
        <v>4773</v>
      </c>
    </row>
    <row r="1958" spans="1:18" x14ac:dyDescent="0.3">
      <c r="A1958">
        <v>42586</v>
      </c>
      <c r="B1958" t="s">
        <v>1034</v>
      </c>
      <c r="C1958" t="s">
        <v>327</v>
      </c>
      <c r="D1958" t="s">
        <v>159</v>
      </c>
      <c r="E1958" s="1">
        <v>45993</v>
      </c>
      <c r="F1958" t="s">
        <v>4295</v>
      </c>
      <c r="G1958" t="s">
        <v>3317</v>
      </c>
      <c r="H1958" t="s">
        <v>357</v>
      </c>
      <c r="I1958" t="s">
        <v>204</v>
      </c>
      <c r="J1958" s="1">
        <v>46476</v>
      </c>
      <c r="K1958" t="s">
        <v>711</v>
      </c>
      <c r="L1958">
        <v>2150</v>
      </c>
      <c r="M1958">
        <v>2150</v>
      </c>
      <c r="N1958" t="s">
        <v>890</v>
      </c>
      <c r="O1958" t="s">
        <v>4834</v>
      </c>
      <c r="P1958" t="s">
        <v>4776</v>
      </c>
      <c r="Q1958" t="s">
        <v>4901</v>
      </c>
      <c r="R1958" t="s">
        <v>4773</v>
      </c>
    </row>
    <row r="1959" spans="1:18" x14ac:dyDescent="0.3">
      <c r="A1959">
        <v>7209</v>
      </c>
      <c r="B1959" t="s">
        <v>1034</v>
      </c>
      <c r="C1959" t="s">
        <v>230</v>
      </c>
      <c r="D1959" t="s">
        <v>85</v>
      </c>
      <c r="E1959" s="1">
        <v>45993</v>
      </c>
      <c r="F1959" t="s">
        <v>4348</v>
      </c>
      <c r="G1959" t="s">
        <v>3324</v>
      </c>
      <c r="H1959" t="s">
        <v>570</v>
      </c>
      <c r="I1959" t="s">
        <v>204</v>
      </c>
      <c r="J1959" s="1">
        <v>46418</v>
      </c>
      <c r="K1959" t="s">
        <v>717</v>
      </c>
      <c r="L1959">
        <v>508195.8</v>
      </c>
      <c r="M1959">
        <v>508195.8</v>
      </c>
      <c r="N1959" t="s">
        <v>719</v>
      </c>
      <c r="O1959" t="s">
        <v>1033</v>
      </c>
      <c r="P1959" t="s">
        <v>4781</v>
      </c>
      <c r="Q1959" t="s">
        <v>4852</v>
      </c>
      <c r="R1959" t="s">
        <v>4771</v>
      </c>
    </row>
    <row r="1960" spans="1:18" x14ac:dyDescent="0.3">
      <c r="A1960">
        <v>42591</v>
      </c>
      <c r="B1960" t="s">
        <v>1034</v>
      </c>
      <c r="C1960" t="s">
        <v>327</v>
      </c>
      <c r="D1960" t="s">
        <v>159</v>
      </c>
      <c r="E1960" s="1">
        <v>45993</v>
      </c>
      <c r="F1960" t="s">
        <v>4295</v>
      </c>
      <c r="G1960" t="s">
        <v>3318</v>
      </c>
      <c r="H1960" t="s">
        <v>357</v>
      </c>
      <c r="I1960" t="s">
        <v>204</v>
      </c>
      <c r="J1960" s="1">
        <v>46476</v>
      </c>
      <c r="K1960" t="s">
        <v>711</v>
      </c>
      <c r="L1960">
        <v>1181.25</v>
      </c>
      <c r="M1960">
        <v>1181.25</v>
      </c>
      <c r="N1960" t="s">
        <v>890</v>
      </c>
      <c r="O1960" t="s">
        <v>4834</v>
      </c>
      <c r="P1960" t="s">
        <v>4776</v>
      </c>
      <c r="Q1960" t="s">
        <v>4901</v>
      </c>
      <c r="R1960" t="s">
        <v>4773</v>
      </c>
    </row>
    <row r="1961" spans="1:18" x14ac:dyDescent="0.3">
      <c r="A1961">
        <v>202526043</v>
      </c>
      <c r="B1961" t="s">
        <v>1034</v>
      </c>
      <c r="C1961" t="s">
        <v>222</v>
      </c>
      <c r="D1961" t="s">
        <v>80</v>
      </c>
      <c r="E1961" s="1">
        <v>45993</v>
      </c>
      <c r="F1961" t="s">
        <v>4327</v>
      </c>
      <c r="G1961" t="s">
        <v>3245</v>
      </c>
      <c r="H1961" t="s">
        <v>233</v>
      </c>
      <c r="I1961" t="s">
        <v>204</v>
      </c>
      <c r="J1961" s="1">
        <v>54878</v>
      </c>
      <c r="K1961" t="s">
        <v>711</v>
      </c>
      <c r="L1961">
        <v>1</v>
      </c>
      <c r="M1961">
        <v>4664.04</v>
      </c>
      <c r="N1961" t="s">
        <v>710</v>
      </c>
      <c r="O1961" t="s">
        <v>4834</v>
      </c>
      <c r="P1961" t="s">
        <v>4776</v>
      </c>
      <c r="Q1961" t="s">
        <v>4901</v>
      </c>
      <c r="R1961" t="s">
        <v>4773</v>
      </c>
    </row>
    <row r="1962" spans="1:18" x14ac:dyDescent="0.3">
      <c r="A1962">
        <v>724001842</v>
      </c>
      <c r="B1962" t="s">
        <v>1034</v>
      </c>
      <c r="C1962" t="s">
        <v>338</v>
      </c>
      <c r="D1962" t="s">
        <v>31</v>
      </c>
      <c r="E1962" s="1">
        <v>45993</v>
      </c>
      <c r="F1962" t="s">
        <v>4299</v>
      </c>
      <c r="G1962" t="s">
        <v>3312</v>
      </c>
      <c r="H1962" t="s">
        <v>337</v>
      </c>
      <c r="I1962" t="s">
        <v>204</v>
      </c>
      <c r="J1962" s="1">
        <v>54878</v>
      </c>
      <c r="K1962" t="s">
        <v>711</v>
      </c>
      <c r="L1962">
        <v>22760</v>
      </c>
      <c r="M1962">
        <v>22760.1</v>
      </c>
      <c r="N1962" t="s">
        <v>710</v>
      </c>
      <c r="O1962" t="s">
        <v>1036</v>
      </c>
      <c r="P1962" t="s">
        <v>4785</v>
      </c>
      <c r="Q1962" t="s">
        <v>4901</v>
      </c>
      <c r="R1962" t="s">
        <v>4773</v>
      </c>
    </row>
    <row r="1963" spans="1:18" x14ac:dyDescent="0.3">
      <c r="A1963">
        <v>2305</v>
      </c>
      <c r="B1963" t="s">
        <v>1034</v>
      </c>
      <c r="C1963" t="s">
        <v>616</v>
      </c>
      <c r="D1963" t="s">
        <v>152</v>
      </c>
      <c r="E1963" s="1">
        <v>45993</v>
      </c>
      <c r="F1963" t="s">
        <v>4338</v>
      </c>
      <c r="G1963" t="s">
        <v>3290</v>
      </c>
      <c r="H1963" t="s">
        <v>621</v>
      </c>
      <c r="I1963" t="s">
        <v>204</v>
      </c>
      <c r="J1963" s="1">
        <v>46349</v>
      </c>
      <c r="K1963" t="s">
        <v>711</v>
      </c>
      <c r="L1963">
        <v>67259.55</v>
      </c>
      <c r="M1963">
        <v>67259.55</v>
      </c>
      <c r="N1963" t="s">
        <v>710</v>
      </c>
      <c r="O1963" t="s">
        <v>4904</v>
      </c>
      <c r="P1963" t="s">
        <v>4796</v>
      </c>
      <c r="Q1963" t="s">
        <v>4901</v>
      </c>
      <c r="R1963" t="s">
        <v>4772</v>
      </c>
    </row>
    <row r="1964" spans="1:18" x14ac:dyDescent="0.3">
      <c r="A1964">
        <v>42587</v>
      </c>
      <c r="B1964" t="s">
        <v>1034</v>
      </c>
      <c r="C1964" t="s">
        <v>327</v>
      </c>
      <c r="D1964" t="s">
        <v>159</v>
      </c>
      <c r="E1964" s="1">
        <v>45993</v>
      </c>
      <c r="F1964" t="s">
        <v>4295</v>
      </c>
      <c r="G1964" t="s">
        <v>3315</v>
      </c>
      <c r="H1964" t="s">
        <v>357</v>
      </c>
      <c r="I1964" t="s">
        <v>204</v>
      </c>
      <c r="J1964" s="1">
        <v>46476</v>
      </c>
      <c r="K1964" t="s">
        <v>711</v>
      </c>
      <c r="L1964">
        <v>1563.98</v>
      </c>
      <c r="M1964">
        <v>1563.98</v>
      </c>
      <c r="N1964" t="s">
        <v>890</v>
      </c>
      <c r="O1964" t="s">
        <v>4834</v>
      </c>
      <c r="P1964" t="s">
        <v>4776</v>
      </c>
      <c r="Q1964" t="s">
        <v>4901</v>
      </c>
      <c r="R1964" t="s">
        <v>4773</v>
      </c>
    </row>
    <row r="1965" spans="1:18" x14ac:dyDescent="0.3">
      <c r="A1965">
        <v>7314</v>
      </c>
      <c r="B1965" t="s">
        <v>4874</v>
      </c>
      <c r="C1965" t="s">
        <v>628</v>
      </c>
      <c r="D1965" t="s">
        <v>25</v>
      </c>
      <c r="E1965" s="1">
        <v>45992</v>
      </c>
      <c r="F1965" t="s">
        <v>4415</v>
      </c>
      <c r="G1965" t="s">
        <v>3092</v>
      </c>
      <c r="H1965" t="s">
        <v>627</v>
      </c>
      <c r="I1965" t="s">
        <v>209</v>
      </c>
      <c r="J1965" s="1">
        <v>46476</v>
      </c>
      <c r="K1965" t="s">
        <v>720</v>
      </c>
      <c r="L1965">
        <v>1</v>
      </c>
      <c r="M1965">
        <v>380</v>
      </c>
      <c r="N1965" t="s">
        <v>710</v>
      </c>
      <c r="O1965" t="s">
        <v>1038</v>
      </c>
      <c r="P1965" t="s">
        <v>4776</v>
      </c>
      <c r="Q1965" t="s">
        <v>4858</v>
      </c>
      <c r="R1965" t="s">
        <v>4771</v>
      </c>
    </row>
    <row r="1966" spans="1:18" x14ac:dyDescent="0.3">
      <c r="A1966">
        <v>114266</v>
      </c>
      <c r="B1966" t="s">
        <v>4874</v>
      </c>
      <c r="C1966" t="s">
        <v>227</v>
      </c>
      <c r="D1966" t="s">
        <v>191</v>
      </c>
      <c r="E1966" s="1">
        <v>45992</v>
      </c>
      <c r="F1966" t="s">
        <v>4387</v>
      </c>
      <c r="G1966" t="s">
        <v>3244</v>
      </c>
      <c r="H1966" t="s">
        <v>577</v>
      </c>
      <c r="I1966" t="s">
        <v>204</v>
      </c>
      <c r="J1966" s="1">
        <v>46493</v>
      </c>
      <c r="K1966" t="s">
        <v>762</v>
      </c>
      <c r="L1966">
        <v>63721.97</v>
      </c>
      <c r="M1966">
        <v>-63721.97</v>
      </c>
      <c r="N1966" t="s">
        <v>809</v>
      </c>
      <c r="O1966" t="s">
        <v>4904</v>
      </c>
      <c r="P1966" t="s">
        <v>4792</v>
      </c>
      <c r="Q1966" t="s">
        <v>4904</v>
      </c>
      <c r="R1966" t="s">
        <v>4772</v>
      </c>
    </row>
    <row r="1967" spans="1:18" x14ac:dyDescent="0.3">
      <c r="A1967">
        <v>2973</v>
      </c>
      <c r="B1967" t="s">
        <v>4874</v>
      </c>
      <c r="C1967" t="s">
        <v>469</v>
      </c>
      <c r="D1967" t="s">
        <v>124</v>
      </c>
      <c r="E1967" s="1">
        <v>45992</v>
      </c>
      <c r="F1967" t="s">
        <v>4361</v>
      </c>
      <c r="G1967" t="s">
        <v>3297</v>
      </c>
      <c r="H1967" t="s">
        <v>468</v>
      </c>
      <c r="I1967" t="s">
        <v>204</v>
      </c>
      <c r="J1967" s="1">
        <v>54878</v>
      </c>
      <c r="K1967" t="s">
        <v>762</v>
      </c>
      <c r="L1967">
        <v>1290</v>
      </c>
      <c r="M1967">
        <v>1290</v>
      </c>
      <c r="N1967" t="s">
        <v>719</v>
      </c>
      <c r="O1967" t="s">
        <v>4845</v>
      </c>
      <c r="P1967" t="s">
        <v>4776</v>
      </c>
      <c r="Q1967" t="s">
        <v>4845</v>
      </c>
      <c r="R1967" t="s">
        <v>4771</v>
      </c>
    </row>
    <row r="1968" spans="1:18" x14ac:dyDescent="0.3">
      <c r="A1968">
        <v>89318</v>
      </c>
      <c r="B1968" t="s">
        <v>4875</v>
      </c>
      <c r="C1968" t="s">
        <v>319</v>
      </c>
      <c r="D1968" t="s">
        <v>36</v>
      </c>
      <c r="E1968" s="1">
        <v>45992</v>
      </c>
      <c r="F1968" t="s">
        <v>4434</v>
      </c>
      <c r="G1968" t="s">
        <v>3248</v>
      </c>
      <c r="H1968" t="s">
        <v>336</v>
      </c>
      <c r="I1968" t="s">
        <v>204</v>
      </c>
      <c r="J1968" s="1">
        <v>46075</v>
      </c>
      <c r="K1968" t="s">
        <v>748</v>
      </c>
      <c r="L1968">
        <v>20917.25</v>
      </c>
      <c r="M1968">
        <v>20917.25</v>
      </c>
      <c r="N1968" t="s">
        <v>710</v>
      </c>
      <c r="O1968" t="s">
        <v>1040</v>
      </c>
      <c r="P1968" t="s">
        <v>4784</v>
      </c>
      <c r="Q1968" t="s">
        <v>4856</v>
      </c>
      <c r="R1968" t="s">
        <v>4771</v>
      </c>
    </row>
    <row r="1969" spans="1:18" x14ac:dyDescent="0.3">
      <c r="A1969">
        <v>3884</v>
      </c>
      <c r="B1969" t="s">
        <v>1034</v>
      </c>
      <c r="C1969" t="s">
        <v>535</v>
      </c>
      <c r="D1969" t="s">
        <v>148</v>
      </c>
      <c r="E1969" s="1">
        <v>45992</v>
      </c>
      <c r="F1969" t="s">
        <v>4355</v>
      </c>
      <c r="G1969" t="s">
        <v>3112</v>
      </c>
      <c r="H1969" t="s">
        <v>534</v>
      </c>
      <c r="I1969" t="s">
        <v>209</v>
      </c>
      <c r="J1969" s="1">
        <v>46295</v>
      </c>
      <c r="K1969" t="s">
        <v>711</v>
      </c>
      <c r="L1969">
        <v>1</v>
      </c>
      <c r="M1969">
        <v>3300</v>
      </c>
      <c r="N1969" t="s">
        <v>890</v>
      </c>
      <c r="O1969" t="s">
        <v>1036</v>
      </c>
      <c r="P1969" t="s">
        <v>4779</v>
      </c>
      <c r="Q1969" t="s">
        <v>4856</v>
      </c>
      <c r="R1969" t="s">
        <v>807</v>
      </c>
    </row>
    <row r="1970" spans="1:18" x14ac:dyDescent="0.3">
      <c r="A1970">
        <v>2892875</v>
      </c>
      <c r="B1970" t="s">
        <v>4874</v>
      </c>
      <c r="C1970" t="s">
        <v>257</v>
      </c>
      <c r="D1970" t="s">
        <v>139</v>
      </c>
      <c r="E1970" s="1">
        <v>45992</v>
      </c>
      <c r="F1970" t="s">
        <v>4402</v>
      </c>
      <c r="G1970" t="s">
        <v>3281</v>
      </c>
      <c r="H1970" t="s">
        <v>256</v>
      </c>
      <c r="I1970" t="s">
        <v>204</v>
      </c>
      <c r="J1970" s="1">
        <v>54878</v>
      </c>
      <c r="K1970" t="s">
        <v>762</v>
      </c>
      <c r="L1970">
        <v>16140</v>
      </c>
      <c r="M1970">
        <v>16140</v>
      </c>
      <c r="N1970" t="s">
        <v>710</v>
      </c>
      <c r="O1970" t="s">
        <v>4811</v>
      </c>
      <c r="P1970" t="s">
        <v>4776</v>
      </c>
      <c r="Q1970" t="s">
        <v>4859</v>
      </c>
      <c r="R1970" t="s">
        <v>4773</v>
      </c>
    </row>
    <row r="1971" spans="1:18" x14ac:dyDescent="0.3">
      <c r="A1971">
        <v>26890</v>
      </c>
      <c r="B1971" t="s">
        <v>4874</v>
      </c>
      <c r="C1971" t="s">
        <v>592</v>
      </c>
      <c r="D1971" t="s">
        <v>8</v>
      </c>
      <c r="E1971" s="1">
        <v>45992</v>
      </c>
      <c r="F1971" t="s">
        <v>4363</v>
      </c>
      <c r="G1971" t="s">
        <v>3217</v>
      </c>
      <c r="H1971" t="s">
        <v>601</v>
      </c>
      <c r="I1971" t="s">
        <v>209</v>
      </c>
      <c r="J1971" s="1">
        <v>45945</v>
      </c>
      <c r="K1971" t="s">
        <v>762</v>
      </c>
      <c r="L1971">
        <v>653.08000000000004</v>
      </c>
      <c r="M1971">
        <v>-653.08000000000004</v>
      </c>
      <c r="N1971" t="s">
        <v>890</v>
      </c>
      <c r="O1971" t="s">
        <v>4833</v>
      </c>
      <c r="P1971" t="s">
        <v>950</v>
      </c>
      <c r="Q1971" t="s">
        <v>4852</v>
      </c>
      <c r="R1971" t="s">
        <v>807</v>
      </c>
    </row>
    <row r="1972" spans="1:18" x14ac:dyDescent="0.3">
      <c r="A1972">
        <v>2025222</v>
      </c>
      <c r="B1972" t="s">
        <v>4875</v>
      </c>
      <c r="C1972" t="s">
        <v>322</v>
      </c>
      <c r="D1972" t="s">
        <v>158</v>
      </c>
      <c r="E1972" s="1">
        <v>45992</v>
      </c>
      <c r="F1972" t="s">
        <v>4431</v>
      </c>
      <c r="G1972" t="s">
        <v>3249</v>
      </c>
      <c r="H1972" t="s">
        <v>321</v>
      </c>
      <c r="I1972" t="s">
        <v>204</v>
      </c>
      <c r="J1972" s="1">
        <v>46310</v>
      </c>
      <c r="K1972" t="s">
        <v>748</v>
      </c>
      <c r="L1972">
        <v>1</v>
      </c>
      <c r="M1972">
        <v>12340.5</v>
      </c>
      <c r="N1972" t="s">
        <v>710</v>
      </c>
      <c r="O1972" t="s">
        <v>1040</v>
      </c>
      <c r="P1972" t="s">
        <v>4782</v>
      </c>
      <c r="Q1972" t="s">
        <v>4856</v>
      </c>
      <c r="R1972" t="s">
        <v>4773</v>
      </c>
    </row>
    <row r="1973" spans="1:18" x14ac:dyDescent="0.3">
      <c r="A1973">
        <v>5124</v>
      </c>
      <c r="B1973" t="s">
        <v>4875</v>
      </c>
      <c r="C1973" t="s">
        <v>319</v>
      </c>
      <c r="D1973" t="s">
        <v>36</v>
      </c>
      <c r="E1973" s="1">
        <v>45992</v>
      </c>
      <c r="F1973" t="s">
        <v>4298</v>
      </c>
      <c r="G1973" t="s">
        <v>3300</v>
      </c>
      <c r="H1973" t="s">
        <v>336</v>
      </c>
      <c r="I1973" t="s">
        <v>204</v>
      </c>
      <c r="J1973" s="1">
        <v>46075</v>
      </c>
      <c r="K1973" t="s">
        <v>748</v>
      </c>
      <c r="L1973">
        <v>2</v>
      </c>
      <c r="M1973">
        <v>373.08</v>
      </c>
      <c r="N1973" t="s">
        <v>710</v>
      </c>
      <c r="O1973" t="s">
        <v>1040</v>
      </c>
      <c r="P1973" t="s">
        <v>4784</v>
      </c>
      <c r="Q1973" t="s">
        <v>4856</v>
      </c>
      <c r="R1973" t="s">
        <v>4771</v>
      </c>
    </row>
    <row r="1974" spans="1:18" x14ac:dyDescent="0.3">
      <c r="A1974">
        <v>460</v>
      </c>
      <c r="B1974" t="s">
        <v>1034</v>
      </c>
      <c r="C1974" t="s">
        <v>319</v>
      </c>
      <c r="D1974" t="s">
        <v>36</v>
      </c>
      <c r="E1974" s="1">
        <v>45989</v>
      </c>
      <c r="F1974" t="s">
        <v>4298</v>
      </c>
      <c r="G1974" t="s">
        <v>3305</v>
      </c>
      <c r="H1974" t="s">
        <v>318</v>
      </c>
      <c r="I1974" t="s">
        <v>204</v>
      </c>
      <c r="J1974" s="1">
        <v>46214</v>
      </c>
      <c r="K1974" t="s">
        <v>711</v>
      </c>
      <c r="L1974">
        <v>599</v>
      </c>
      <c r="M1974">
        <v>599.25</v>
      </c>
      <c r="N1974" t="s">
        <v>710</v>
      </c>
      <c r="O1974" t="s">
        <v>1036</v>
      </c>
      <c r="P1974" t="s">
        <v>4784</v>
      </c>
      <c r="Q1974" t="s">
        <v>4901</v>
      </c>
      <c r="R1974" t="s">
        <v>4771</v>
      </c>
    </row>
    <row r="1975" spans="1:18" x14ac:dyDescent="0.3">
      <c r="A1975">
        <v>114266</v>
      </c>
      <c r="B1975" t="s">
        <v>4874</v>
      </c>
      <c r="C1975" t="s">
        <v>227</v>
      </c>
      <c r="D1975" t="s">
        <v>191</v>
      </c>
      <c r="E1975" s="1">
        <v>45989</v>
      </c>
      <c r="F1975" t="s">
        <v>4387</v>
      </c>
      <c r="G1975" t="s">
        <v>3244</v>
      </c>
      <c r="H1975" t="s">
        <v>577</v>
      </c>
      <c r="I1975" t="s">
        <v>204</v>
      </c>
      <c r="J1975" s="1">
        <v>46493</v>
      </c>
      <c r="K1975" t="s">
        <v>762</v>
      </c>
      <c r="L1975">
        <v>63721.97</v>
      </c>
      <c r="M1975">
        <v>63721.97</v>
      </c>
      <c r="N1975" t="s">
        <v>809</v>
      </c>
      <c r="O1975" t="s">
        <v>4904</v>
      </c>
      <c r="P1975" t="s">
        <v>4792</v>
      </c>
      <c r="Q1975" t="s">
        <v>4904</v>
      </c>
      <c r="R1975" t="s">
        <v>4772</v>
      </c>
    </row>
    <row r="1976" spans="1:18" x14ac:dyDescent="0.3">
      <c r="A1976">
        <v>106524</v>
      </c>
      <c r="B1976" t="s">
        <v>4874</v>
      </c>
      <c r="C1976" t="s">
        <v>614</v>
      </c>
      <c r="D1976" t="s">
        <v>74</v>
      </c>
      <c r="E1976" s="1">
        <v>45989</v>
      </c>
      <c r="F1976" t="s">
        <v>4362</v>
      </c>
      <c r="G1976" t="s">
        <v>2622</v>
      </c>
      <c r="H1976" t="s">
        <v>613</v>
      </c>
      <c r="I1976" t="s">
        <v>204</v>
      </c>
      <c r="J1976" s="1">
        <v>46993</v>
      </c>
      <c r="K1976" t="s">
        <v>720</v>
      </c>
      <c r="L1976">
        <v>1</v>
      </c>
      <c r="M1976">
        <v>1515</v>
      </c>
      <c r="N1976" t="s">
        <v>710</v>
      </c>
      <c r="O1976" t="s">
        <v>1038</v>
      </c>
      <c r="P1976" t="s">
        <v>4779</v>
      </c>
      <c r="Q1976" t="s">
        <v>4858</v>
      </c>
      <c r="R1976" t="s">
        <v>4771</v>
      </c>
    </row>
    <row r="1977" spans="1:18" x14ac:dyDescent="0.3">
      <c r="A1977">
        <v>79163</v>
      </c>
      <c r="B1977" t="s">
        <v>4874</v>
      </c>
      <c r="C1977" t="s">
        <v>634</v>
      </c>
      <c r="D1977" t="s">
        <v>99</v>
      </c>
      <c r="E1977" s="1">
        <v>45988</v>
      </c>
      <c r="F1977" t="s">
        <v>4403</v>
      </c>
      <c r="G1977" t="s">
        <v>3258</v>
      </c>
      <c r="H1977" t="s">
        <v>633</v>
      </c>
      <c r="I1977" t="s">
        <v>204</v>
      </c>
      <c r="J1977" s="1">
        <v>46204</v>
      </c>
      <c r="K1977" t="s">
        <v>762</v>
      </c>
      <c r="L1977">
        <v>1</v>
      </c>
      <c r="M1977">
        <v>15.3</v>
      </c>
      <c r="N1977" t="s">
        <v>719</v>
      </c>
      <c r="O1977" t="s">
        <v>1037</v>
      </c>
      <c r="P1977" t="s">
        <v>4790</v>
      </c>
      <c r="Q1977" t="s">
        <v>4852</v>
      </c>
    </row>
    <row r="1978" spans="1:18" x14ac:dyDescent="0.3">
      <c r="A1978">
        <v>10784</v>
      </c>
      <c r="B1978" t="s">
        <v>4874</v>
      </c>
      <c r="C1978" t="s">
        <v>546</v>
      </c>
      <c r="D1978" t="s">
        <v>75</v>
      </c>
      <c r="E1978" s="1">
        <v>45988</v>
      </c>
      <c r="F1978" t="s">
        <v>4355</v>
      </c>
      <c r="G1978" t="s">
        <v>3276</v>
      </c>
      <c r="H1978" t="s">
        <v>581</v>
      </c>
      <c r="I1978" t="s">
        <v>204</v>
      </c>
      <c r="J1978" s="1">
        <v>46233</v>
      </c>
      <c r="K1978" t="s">
        <v>720</v>
      </c>
      <c r="L1978">
        <v>1</v>
      </c>
      <c r="M1978">
        <v>3090.55</v>
      </c>
      <c r="N1978" t="s">
        <v>814</v>
      </c>
      <c r="O1978" t="s">
        <v>1038</v>
      </c>
      <c r="P1978" t="s">
        <v>4779</v>
      </c>
      <c r="Q1978" t="s">
        <v>4858</v>
      </c>
      <c r="R1978" t="s">
        <v>4773</v>
      </c>
    </row>
    <row r="1979" spans="1:18" x14ac:dyDescent="0.3">
      <c r="A1979">
        <v>10786</v>
      </c>
      <c r="B1979" t="s">
        <v>4874</v>
      </c>
      <c r="C1979" t="s">
        <v>546</v>
      </c>
      <c r="D1979" t="s">
        <v>75</v>
      </c>
      <c r="E1979" s="1">
        <v>45988</v>
      </c>
      <c r="F1979" t="s">
        <v>4355</v>
      </c>
      <c r="G1979" t="s">
        <v>3276</v>
      </c>
      <c r="H1979" t="s">
        <v>581</v>
      </c>
      <c r="I1979" t="s">
        <v>204</v>
      </c>
      <c r="J1979" s="1">
        <v>46233</v>
      </c>
      <c r="K1979" t="s">
        <v>720</v>
      </c>
      <c r="L1979">
        <v>1</v>
      </c>
      <c r="M1979">
        <v>3650</v>
      </c>
      <c r="N1979" t="s">
        <v>814</v>
      </c>
      <c r="O1979" t="s">
        <v>1038</v>
      </c>
      <c r="P1979" t="s">
        <v>4779</v>
      </c>
      <c r="Q1979" t="s">
        <v>4858</v>
      </c>
      <c r="R1979" t="s">
        <v>4773</v>
      </c>
    </row>
    <row r="1980" spans="1:18" x14ac:dyDescent="0.3">
      <c r="A1980">
        <v>79163</v>
      </c>
      <c r="B1980" t="s">
        <v>4874</v>
      </c>
      <c r="C1980" t="s">
        <v>634</v>
      </c>
      <c r="D1980" t="s">
        <v>99</v>
      </c>
      <c r="E1980" s="1">
        <v>45988</v>
      </c>
      <c r="F1980" t="s">
        <v>4329</v>
      </c>
      <c r="G1980" t="s">
        <v>3258</v>
      </c>
      <c r="H1980" t="s">
        <v>633</v>
      </c>
      <c r="I1980" t="s">
        <v>204</v>
      </c>
      <c r="J1980" s="1">
        <v>46204</v>
      </c>
      <c r="K1980" t="s">
        <v>762</v>
      </c>
      <c r="L1980">
        <v>14</v>
      </c>
      <c r="M1980">
        <v>186.06</v>
      </c>
      <c r="N1980" t="s">
        <v>719</v>
      </c>
      <c r="O1980" t="s">
        <v>1037</v>
      </c>
      <c r="P1980" t="s">
        <v>4790</v>
      </c>
      <c r="Q1980" t="s">
        <v>4852</v>
      </c>
    </row>
    <row r="1981" spans="1:18" x14ac:dyDescent="0.3">
      <c r="A1981">
        <v>79163</v>
      </c>
      <c r="B1981" t="s">
        <v>4874</v>
      </c>
      <c r="C1981" t="s">
        <v>634</v>
      </c>
      <c r="D1981" t="s">
        <v>99</v>
      </c>
      <c r="E1981" s="1">
        <v>45988</v>
      </c>
      <c r="F1981" t="s">
        <v>4310</v>
      </c>
      <c r="G1981" t="s">
        <v>3258</v>
      </c>
      <c r="H1981" t="s">
        <v>633</v>
      </c>
      <c r="I1981" t="s">
        <v>204</v>
      </c>
      <c r="J1981" s="1">
        <v>46204</v>
      </c>
      <c r="K1981" t="s">
        <v>762</v>
      </c>
      <c r="L1981">
        <v>174</v>
      </c>
      <c r="M1981">
        <v>636.84</v>
      </c>
      <c r="N1981" t="s">
        <v>719</v>
      </c>
      <c r="O1981" t="s">
        <v>1037</v>
      </c>
      <c r="P1981" t="s">
        <v>4790</v>
      </c>
      <c r="Q1981" t="s">
        <v>4852</v>
      </c>
    </row>
    <row r="1982" spans="1:18" x14ac:dyDescent="0.3">
      <c r="A1982">
        <v>79163</v>
      </c>
      <c r="B1982" t="s">
        <v>4874</v>
      </c>
      <c r="C1982" t="s">
        <v>634</v>
      </c>
      <c r="D1982" t="s">
        <v>99</v>
      </c>
      <c r="E1982" s="1">
        <v>45988</v>
      </c>
      <c r="F1982" t="s">
        <v>4398</v>
      </c>
      <c r="G1982" t="s">
        <v>3258</v>
      </c>
      <c r="H1982" t="s">
        <v>633</v>
      </c>
      <c r="I1982" t="s">
        <v>204</v>
      </c>
      <c r="J1982" s="1">
        <v>46204</v>
      </c>
      <c r="K1982" t="s">
        <v>762</v>
      </c>
      <c r="L1982">
        <v>100</v>
      </c>
      <c r="M1982">
        <v>10</v>
      </c>
      <c r="N1982" t="s">
        <v>719</v>
      </c>
      <c r="O1982" t="s">
        <v>1037</v>
      </c>
      <c r="P1982" t="s">
        <v>4790</v>
      </c>
      <c r="Q1982" t="s">
        <v>4852</v>
      </c>
    </row>
    <row r="1983" spans="1:18" x14ac:dyDescent="0.3">
      <c r="A1983">
        <v>79163</v>
      </c>
      <c r="B1983" t="s">
        <v>4874</v>
      </c>
      <c r="C1983" t="s">
        <v>634</v>
      </c>
      <c r="D1983" t="s">
        <v>99</v>
      </c>
      <c r="E1983" s="1">
        <v>45988</v>
      </c>
      <c r="F1983" t="s">
        <v>4394</v>
      </c>
      <c r="G1983" t="s">
        <v>3258</v>
      </c>
      <c r="H1983" t="s">
        <v>633</v>
      </c>
      <c r="I1983" t="s">
        <v>204</v>
      </c>
      <c r="J1983" s="1">
        <v>46204</v>
      </c>
      <c r="K1983" t="s">
        <v>762</v>
      </c>
      <c r="L1983">
        <v>2</v>
      </c>
      <c r="M1983">
        <v>22.5</v>
      </c>
      <c r="N1983" t="s">
        <v>719</v>
      </c>
      <c r="O1983" t="s">
        <v>1037</v>
      </c>
      <c r="P1983" t="s">
        <v>4790</v>
      </c>
      <c r="Q1983" t="s">
        <v>4852</v>
      </c>
    </row>
    <row r="1984" spans="1:18" x14ac:dyDescent="0.3">
      <c r="A1984">
        <v>7</v>
      </c>
      <c r="B1984" t="s">
        <v>1034</v>
      </c>
      <c r="C1984" t="s">
        <v>636</v>
      </c>
      <c r="D1984" t="s">
        <v>51</v>
      </c>
      <c r="E1984" s="1">
        <v>45988</v>
      </c>
      <c r="F1984" t="s">
        <v>4297</v>
      </c>
      <c r="G1984" t="s">
        <v>2293</v>
      </c>
      <c r="H1984" t="s">
        <v>635</v>
      </c>
      <c r="I1984" t="s">
        <v>204</v>
      </c>
      <c r="J1984" s="1">
        <v>46193</v>
      </c>
      <c r="K1984" t="s">
        <v>711</v>
      </c>
      <c r="L1984">
        <v>1</v>
      </c>
      <c r="M1984">
        <v>7933</v>
      </c>
      <c r="N1984" t="s">
        <v>710</v>
      </c>
      <c r="O1984" t="s">
        <v>4844</v>
      </c>
      <c r="P1984" t="s">
        <v>4779</v>
      </c>
      <c r="Q1984" t="s">
        <v>4845</v>
      </c>
      <c r="R1984" t="s">
        <v>4771</v>
      </c>
    </row>
    <row r="1985" spans="1:18" x14ac:dyDescent="0.3">
      <c r="A1985">
        <v>430435</v>
      </c>
      <c r="B1985" t="s">
        <v>1034</v>
      </c>
      <c r="C1985" t="s">
        <v>452</v>
      </c>
      <c r="D1985" t="s">
        <v>171</v>
      </c>
      <c r="E1985" s="1">
        <v>45988</v>
      </c>
      <c r="F1985" t="s">
        <v>4319</v>
      </c>
      <c r="G1985" t="s">
        <v>3280</v>
      </c>
      <c r="H1985" t="s">
        <v>512</v>
      </c>
      <c r="I1985" t="s">
        <v>209</v>
      </c>
      <c r="J1985" s="1">
        <v>45138</v>
      </c>
      <c r="K1985" t="s">
        <v>762</v>
      </c>
      <c r="L1985">
        <v>235</v>
      </c>
      <c r="M1985">
        <v>235.21</v>
      </c>
      <c r="N1985" t="s">
        <v>710</v>
      </c>
      <c r="O1985" t="s">
        <v>4833</v>
      </c>
      <c r="P1985" t="s">
        <v>4802</v>
      </c>
      <c r="Q1985" t="s">
        <v>4852</v>
      </c>
      <c r="R1985" t="s">
        <v>4771</v>
      </c>
    </row>
    <row r="1986" spans="1:18" x14ac:dyDescent="0.3">
      <c r="A1986">
        <v>79163</v>
      </c>
      <c r="B1986" t="s">
        <v>4874</v>
      </c>
      <c r="C1986" t="s">
        <v>634</v>
      </c>
      <c r="D1986" t="s">
        <v>99</v>
      </c>
      <c r="E1986" s="1">
        <v>45988</v>
      </c>
      <c r="F1986" t="s">
        <v>4307</v>
      </c>
      <c r="G1986" t="s">
        <v>3258</v>
      </c>
      <c r="H1986" t="s">
        <v>633</v>
      </c>
      <c r="I1986" t="s">
        <v>204</v>
      </c>
      <c r="J1986" s="1">
        <v>46204</v>
      </c>
      <c r="K1986" t="s">
        <v>762</v>
      </c>
      <c r="L1986">
        <v>2296</v>
      </c>
      <c r="M1986">
        <v>35794.639999999999</v>
      </c>
      <c r="N1986" t="s">
        <v>719</v>
      </c>
      <c r="O1986" t="s">
        <v>1037</v>
      </c>
      <c r="P1986" t="s">
        <v>4790</v>
      </c>
      <c r="Q1986" t="s">
        <v>4852</v>
      </c>
    </row>
    <row r="1987" spans="1:18" x14ac:dyDescent="0.3">
      <c r="A1987">
        <v>79163</v>
      </c>
      <c r="B1987" t="s">
        <v>4874</v>
      </c>
      <c r="C1987" t="s">
        <v>634</v>
      </c>
      <c r="D1987" t="s">
        <v>99</v>
      </c>
      <c r="E1987" s="1">
        <v>45988</v>
      </c>
      <c r="F1987" t="s">
        <v>4394</v>
      </c>
      <c r="G1987" t="s">
        <v>3258</v>
      </c>
      <c r="H1987" t="s">
        <v>633</v>
      </c>
      <c r="I1987" t="s">
        <v>204</v>
      </c>
      <c r="J1987" s="1">
        <v>46204</v>
      </c>
      <c r="K1987" t="s">
        <v>762</v>
      </c>
      <c r="L1987">
        <v>2296</v>
      </c>
      <c r="M1987">
        <v>2296</v>
      </c>
      <c r="N1987" t="s">
        <v>719</v>
      </c>
      <c r="O1987" t="s">
        <v>1037</v>
      </c>
      <c r="P1987" t="s">
        <v>4790</v>
      </c>
      <c r="Q1987" t="s">
        <v>4852</v>
      </c>
    </row>
    <row r="1988" spans="1:18" x14ac:dyDescent="0.3">
      <c r="A1988">
        <v>79163</v>
      </c>
      <c r="B1988" t="s">
        <v>4874</v>
      </c>
      <c r="C1988" t="s">
        <v>634</v>
      </c>
      <c r="D1988" t="s">
        <v>99</v>
      </c>
      <c r="E1988" s="1">
        <v>45988</v>
      </c>
      <c r="F1988" t="s">
        <v>4308</v>
      </c>
      <c r="G1988" t="s">
        <v>3258</v>
      </c>
      <c r="H1988" t="s">
        <v>633</v>
      </c>
      <c r="I1988" t="s">
        <v>204</v>
      </c>
      <c r="J1988" s="1">
        <v>46204</v>
      </c>
      <c r="K1988" t="s">
        <v>762</v>
      </c>
      <c r="L1988">
        <v>117</v>
      </c>
      <c r="M1988">
        <v>569.79</v>
      </c>
      <c r="N1988" t="s">
        <v>719</v>
      </c>
      <c r="O1988" t="s">
        <v>1037</v>
      </c>
      <c r="P1988" t="s">
        <v>4790</v>
      </c>
      <c r="Q1988" t="s">
        <v>4852</v>
      </c>
    </row>
    <row r="1989" spans="1:18" x14ac:dyDescent="0.3">
      <c r="A1989">
        <v>89317</v>
      </c>
      <c r="B1989" t="s">
        <v>1034</v>
      </c>
      <c r="C1989" t="s">
        <v>319</v>
      </c>
      <c r="D1989" t="s">
        <v>36</v>
      </c>
      <c r="E1989" s="1">
        <v>45987</v>
      </c>
      <c r="F1989" t="s">
        <v>4298</v>
      </c>
      <c r="G1989" t="s">
        <v>3287</v>
      </c>
      <c r="H1989" t="s">
        <v>318</v>
      </c>
      <c r="I1989" t="s">
        <v>204</v>
      </c>
      <c r="J1989" s="1">
        <v>46214</v>
      </c>
      <c r="K1989" t="s">
        <v>711</v>
      </c>
      <c r="L1989">
        <v>521</v>
      </c>
      <c r="M1989">
        <v>521.37</v>
      </c>
      <c r="N1989" t="s">
        <v>710</v>
      </c>
      <c r="O1989" t="s">
        <v>1036</v>
      </c>
      <c r="P1989" t="s">
        <v>4784</v>
      </c>
      <c r="Q1989" t="s">
        <v>4901</v>
      </c>
      <c r="R1989" t="s">
        <v>4771</v>
      </c>
    </row>
    <row r="1990" spans="1:18" x14ac:dyDescent="0.3">
      <c r="A1990">
        <v>5132</v>
      </c>
      <c r="B1990" t="s">
        <v>1034</v>
      </c>
      <c r="C1990" t="s">
        <v>319</v>
      </c>
      <c r="D1990" t="s">
        <v>36</v>
      </c>
      <c r="E1990" s="1">
        <v>45987</v>
      </c>
      <c r="F1990" t="s">
        <v>4298</v>
      </c>
      <c r="G1990" t="s">
        <v>3288</v>
      </c>
      <c r="H1990" t="s">
        <v>318</v>
      </c>
      <c r="I1990" t="s">
        <v>204</v>
      </c>
      <c r="J1990" s="1">
        <v>46214</v>
      </c>
      <c r="K1990" t="s">
        <v>711</v>
      </c>
      <c r="L1990">
        <v>1306</v>
      </c>
      <c r="M1990">
        <v>1305.78</v>
      </c>
      <c r="N1990" t="s">
        <v>710</v>
      </c>
      <c r="O1990" t="s">
        <v>1036</v>
      </c>
      <c r="P1990" t="s">
        <v>4784</v>
      </c>
      <c r="Q1990" t="s">
        <v>4901</v>
      </c>
      <c r="R1990" t="s">
        <v>4771</v>
      </c>
    </row>
    <row r="1991" spans="1:18" x14ac:dyDescent="0.3">
      <c r="A1991">
        <v>428</v>
      </c>
      <c r="B1991" t="s">
        <v>1034</v>
      </c>
      <c r="C1991" t="s">
        <v>319</v>
      </c>
      <c r="D1991" t="s">
        <v>36</v>
      </c>
      <c r="E1991" s="1">
        <v>45987</v>
      </c>
      <c r="F1991" t="s">
        <v>4298</v>
      </c>
      <c r="G1991" t="s">
        <v>3285</v>
      </c>
      <c r="H1991" t="s">
        <v>318</v>
      </c>
      <c r="I1991" t="s">
        <v>204</v>
      </c>
      <c r="J1991" s="1">
        <v>46214</v>
      </c>
      <c r="K1991" t="s">
        <v>711</v>
      </c>
      <c r="L1991">
        <v>995</v>
      </c>
      <c r="M1991">
        <v>995.2</v>
      </c>
      <c r="N1991" t="s">
        <v>710</v>
      </c>
      <c r="O1991" t="s">
        <v>1036</v>
      </c>
      <c r="P1991" t="s">
        <v>4784</v>
      </c>
      <c r="Q1991" t="s">
        <v>4901</v>
      </c>
      <c r="R1991" t="s">
        <v>4771</v>
      </c>
    </row>
    <row r="1992" spans="1:18" x14ac:dyDescent="0.3">
      <c r="A1992">
        <v>4979</v>
      </c>
      <c r="B1992" t="s">
        <v>1034</v>
      </c>
      <c r="C1992" t="s">
        <v>319</v>
      </c>
      <c r="D1992" t="s">
        <v>36</v>
      </c>
      <c r="E1992" s="1">
        <v>45987</v>
      </c>
      <c r="F1992" t="s">
        <v>4298</v>
      </c>
      <c r="G1992" t="s">
        <v>3284</v>
      </c>
      <c r="H1992" t="s">
        <v>318</v>
      </c>
      <c r="I1992" t="s">
        <v>204</v>
      </c>
      <c r="J1992" s="1">
        <v>46214</v>
      </c>
      <c r="K1992" t="s">
        <v>711</v>
      </c>
      <c r="L1992">
        <v>933</v>
      </c>
      <c r="M1992">
        <v>932.7</v>
      </c>
      <c r="N1992" t="s">
        <v>710</v>
      </c>
      <c r="O1992" t="s">
        <v>1036</v>
      </c>
      <c r="P1992" t="s">
        <v>4784</v>
      </c>
      <c r="Q1992" t="s">
        <v>4901</v>
      </c>
      <c r="R1992" t="s">
        <v>4771</v>
      </c>
    </row>
    <row r="1993" spans="1:18" x14ac:dyDescent="0.3">
      <c r="A1993">
        <v>131</v>
      </c>
      <c r="B1993" t="s">
        <v>1034</v>
      </c>
      <c r="C1993" t="s">
        <v>355</v>
      </c>
      <c r="D1993" t="s">
        <v>143</v>
      </c>
      <c r="E1993" s="1">
        <v>45987</v>
      </c>
      <c r="F1993" t="s">
        <v>4368</v>
      </c>
      <c r="G1993" t="s">
        <v>3283</v>
      </c>
      <c r="H1993" t="s">
        <v>361</v>
      </c>
      <c r="I1993" t="s">
        <v>204</v>
      </c>
      <c r="J1993" s="1">
        <v>54878</v>
      </c>
      <c r="K1993" t="s">
        <v>711</v>
      </c>
      <c r="L1993">
        <v>1</v>
      </c>
      <c r="M1993">
        <v>2320</v>
      </c>
      <c r="N1993" t="s">
        <v>710</v>
      </c>
      <c r="O1993" t="s">
        <v>4834</v>
      </c>
      <c r="P1993" t="s">
        <v>4776</v>
      </c>
      <c r="Q1993" t="s">
        <v>4901</v>
      </c>
      <c r="R1993" t="s">
        <v>4771</v>
      </c>
    </row>
    <row r="1994" spans="1:18" x14ac:dyDescent="0.3">
      <c r="A1994">
        <v>848</v>
      </c>
      <c r="B1994" t="s">
        <v>1034</v>
      </c>
      <c r="C1994" t="s">
        <v>638</v>
      </c>
      <c r="D1994" t="s">
        <v>134</v>
      </c>
      <c r="E1994" s="1">
        <v>45987</v>
      </c>
      <c r="F1994" t="s">
        <v>4296</v>
      </c>
      <c r="G1994" t="s">
        <v>3282</v>
      </c>
      <c r="H1994" t="s">
        <v>637</v>
      </c>
      <c r="I1994" t="s">
        <v>204</v>
      </c>
      <c r="J1994" s="1">
        <v>46537</v>
      </c>
      <c r="K1994" t="s">
        <v>711</v>
      </c>
      <c r="L1994">
        <v>1941</v>
      </c>
      <c r="M1994">
        <v>1941</v>
      </c>
      <c r="N1994" t="s">
        <v>710</v>
      </c>
      <c r="O1994" t="s">
        <v>1036</v>
      </c>
      <c r="P1994" t="s">
        <v>4776</v>
      </c>
      <c r="Q1994" t="s">
        <v>4901</v>
      </c>
    </row>
    <row r="1995" spans="1:18" x14ac:dyDescent="0.3">
      <c r="A1995">
        <v>4335</v>
      </c>
      <c r="B1995" t="s">
        <v>1034</v>
      </c>
      <c r="C1995" t="s">
        <v>319</v>
      </c>
      <c r="D1995" t="s">
        <v>36</v>
      </c>
      <c r="E1995" s="1">
        <v>45987</v>
      </c>
      <c r="F1995" t="s">
        <v>4298</v>
      </c>
      <c r="G1995" t="s">
        <v>3286</v>
      </c>
      <c r="H1995" t="s">
        <v>318</v>
      </c>
      <c r="I1995" t="s">
        <v>204</v>
      </c>
      <c r="J1995" s="1">
        <v>46214</v>
      </c>
      <c r="K1995" t="s">
        <v>711</v>
      </c>
      <c r="L1995">
        <v>1865</v>
      </c>
      <c r="M1995">
        <v>1865.4</v>
      </c>
      <c r="N1995" t="s">
        <v>710</v>
      </c>
      <c r="O1995" t="s">
        <v>1036</v>
      </c>
      <c r="P1995" t="s">
        <v>4784</v>
      </c>
      <c r="Q1995" t="s">
        <v>4901</v>
      </c>
      <c r="R1995" t="s">
        <v>4771</v>
      </c>
    </row>
    <row r="1996" spans="1:18" x14ac:dyDescent="0.3">
      <c r="A1996">
        <v>13382</v>
      </c>
      <c r="B1996" t="s">
        <v>4874</v>
      </c>
      <c r="C1996" t="s">
        <v>594</v>
      </c>
      <c r="D1996" t="s">
        <v>27</v>
      </c>
      <c r="E1996" s="1">
        <v>45986</v>
      </c>
      <c r="F1996" t="s">
        <v>4323</v>
      </c>
      <c r="G1996" t="s">
        <v>3240</v>
      </c>
      <c r="H1996" t="s">
        <v>593</v>
      </c>
      <c r="I1996" t="s">
        <v>204</v>
      </c>
      <c r="J1996" s="1">
        <v>46204</v>
      </c>
      <c r="K1996" t="s">
        <v>762</v>
      </c>
      <c r="L1996">
        <v>1</v>
      </c>
      <c r="M1996">
        <v>405688.39</v>
      </c>
      <c r="N1996" t="s">
        <v>814</v>
      </c>
      <c r="O1996" t="s">
        <v>1037</v>
      </c>
      <c r="P1996" t="s">
        <v>4794</v>
      </c>
      <c r="Q1996" t="s">
        <v>4852</v>
      </c>
      <c r="R1996" t="s">
        <v>4772</v>
      </c>
    </row>
    <row r="1997" spans="1:18" x14ac:dyDescent="0.3">
      <c r="A1997">
        <v>158126</v>
      </c>
      <c r="B1997" t="s">
        <v>4875</v>
      </c>
      <c r="C1997" t="s">
        <v>415</v>
      </c>
      <c r="D1997" t="s">
        <v>60</v>
      </c>
      <c r="E1997" s="1">
        <v>45986</v>
      </c>
      <c r="F1997" t="s">
        <v>4333</v>
      </c>
      <c r="G1997" t="s">
        <v>3267</v>
      </c>
      <c r="H1997" t="s">
        <v>414</v>
      </c>
      <c r="I1997" t="s">
        <v>204</v>
      </c>
      <c r="J1997" s="1">
        <v>46386</v>
      </c>
      <c r="K1997" t="s">
        <v>768</v>
      </c>
      <c r="L1997">
        <v>2254.2399999999998</v>
      </c>
      <c r="M1997">
        <v>2254.2399999999998</v>
      </c>
      <c r="N1997" t="s">
        <v>814</v>
      </c>
      <c r="O1997" t="s">
        <v>1037</v>
      </c>
      <c r="P1997" t="s">
        <v>4807</v>
      </c>
      <c r="Q1997" t="s">
        <v>4852</v>
      </c>
      <c r="R1997" t="s">
        <v>4771</v>
      </c>
    </row>
    <row r="1998" spans="1:18" x14ac:dyDescent="0.3">
      <c r="A1998">
        <v>157175</v>
      </c>
      <c r="B1998" t="s">
        <v>4874</v>
      </c>
      <c r="C1998" t="s">
        <v>415</v>
      </c>
      <c r="D1998" t="s">
        <v>60</v>
      </c>
      <c r="E1998" s="1">
        <v>45986</v>
      </c>
      <c r="F1998" t="s">
        <v>4333</v>
      </c>
      <c r="G1998" t="s">
        <v>3271</v>
      </c>
      <c r="H1998" t="s">
        <v>457</v>
      </c>
      <c r="I1998" t="s">
        <v>204</v>
      </c>
      <c r="J1998" s="1">
        <v>46387</v>
      </c>
      <c r="K1998" t="s">
        <v>762</v>
      </c>
      <c r="L1998">
        <v>343.2</v>
      </c>
      <c r="M1998">
        <v>343.2</v>
      </c>
      <c r="N1998" t="s">
        <v>814</v>
      </c>
      <c r="O1998" t="s">
        <v>1037</v>
      </c>
      <c r="P1998" t="s">
        <v>4807</v>
      </c>
      <c r="Q1998" t="s">
        <v>4852</v>
      </c>
      <c r="R1998" t="s">
        <v>4771</v>
      </c>
    </row>
    <row r="1999" spans="1:18" x14ac:dyDescent="0.3">
      <c r="A1999">
        <v>64573034</v>
      </c>
      <c r="B1999" t="s">
        <v>4874</v>
      </c>
      <c r="C1999" t="s">
        <v>653</v>
      </c>
      <c r="D1999" t="s">
        <v>14</v>
      </c>
      <c r="E1999" s="1">
        <v>45986</v>
      </c>
      <c r="F1999" t="s">
        <v>4336</v>
      </c>
      <c r="G1999" t="s">
        <v>3236</v>
      </c>
      <c r="H1999" t="s">
        <v>652</v>
      </c>
      <c r="I1999" t="s">
        <v>204</v>
      </c>
      <c r="J1999" s="1">
        <v>46583</v>
      </c>
      <c r="K1999" t="s">
        <v>762</v>
      </c>
      <c r="L1999">
        <v>1</v>
      </c>
      <c r="M1999">
        <v>112816.02</v>
      </c>
      <c r="N1999" t="s">
        <v>710</v>
      </c>
      <c r="O1999" t="s">
        <v>1037</v>
      </c>
      <c r="P1999" t="s">
        <v>4794</v>
      </c>
      <c r="Q1999" t="s">
        <v>4852</v>
      </c>
      <c r="R1999" t="s">
        <v>807</v>
      </c>
    </row>
    <row r="2000" spans="1:18" x14ac:dyDescent="0.3">
      <c r="A2000">
        <v>13391</v>
      </c>
      <c r="B2000" t="s">
        <v>4875</v>
      </c>
      <c r="C2000" t="s">
        <v>594</v>
      </c>
      <c r="D2000" t="s">
        <v>27</v>
      </c>
      <c r="E2000" s="1">
        <v>45986</v>
      </c>
      <c r="F2000" t="s">
        <v>4323</v>
      </c>
      <c r="G2000" t="s">
        <v>3241</v>
      </c>
      <c r="H2000" t="s">
        <v>596</v>
      </c>
      <c r="I2000" t="s">
        <v>204</v>
      </c>
      <c r="J2000" s="1">
        <v>46204</v>
      </c>
      <c r="K2000" t="s">
        <v>768</v>
      </c>
      <c r="L2000">
        <v>1</v>
      </c>
      <c r="M2000">
        <v>14414.11</v>
      </c>
      <c r="N2000" t="s">
        <v>814</v>
      </c>
      <c r="O2000" t="s">
        <v>1037</v>
      </c>
      <c r="P2000" t="s">
        <v>4794</v>
      </c>
      <c r="Q2000" t="s">
        <v>4852</v>
      </c>
      <c r="R2000" t="s">
        <v>4772</v>
      </c>
    </row>
    <row r="2001" spans="1:18" x14ac:dyDescent="0.3">
      <c r="A2001">
        <v>158125</v>
      </c>
      <c r="B2001" t="s">
        <v>4874</v>
      </c>
      <c r="C2001" t="s">
        <v>415</v>
      </c>
      <c r="D2001" t="s">
        <v>60</v>
      </c>
      <c r="E2001" s="1">
        <v>45986</v>
      </c>
      <c r="F2001" t="s">
        <v>4333</v>
      </c>
      <c r="G2001" t="s">
        <v>3268</v>
      </c>
      <c r="H2001" t="s">
        <v>457</v>
      </c>
      <c r="I2001" t="s">
        <v>204</v>
      </c>
      <c r="J2001" s="1">
        <v>46387</v>
      </c>
      <c r="K2001" t="s">
        <v>762</v>
      </c>
      <c r="L2001">
        <v>2560.9699999999998</v>
      </c>
      <c r="M2001">
        <v>2560.9699999999998</v>
      </c>
      <c r="N2001" t="s">
        <v>814</v>
      </c>
      <c r="O2001" t="s">
        <v>1037</v>
      </c>
      <c r="P2001" t="s">
        <v>4807</v>
      </c>
      <c r="Q2001" t="s">
        <v>4852</v>
      </c>
      <c r="R2001" t="s">
        <v>4771</v>
      </c>
    </row>
    <row r="2002" spans="1:18" x14ac:dyDescent="0.3">
      <c r="A2002">
        <v>331</v>
      </c>
      <c r="B2002" t="s">
        <v>1034</v>
      </c>
      <c r="C2002" t="s">
        <v>479</v>
      </c>
      <c r="D2002" t="s">
        <v>99</v>
      </c>
      <c r="E2002" s="1">
        <v>45986</v>
      </c>
      <c r="F2002" t="s">
        <v>4312</v>
      </c>
      <c r="G2002" t="s">
        <v>3256</v>
      </c>
      <c r="H2002" t="s">
        <v>478</v>
      </c>
      <c r="I2002" t="s">
        <v>204</v>
      </c>
      <c r="J2002" s="1">
        <v>46239</v>
      </c>
      <c r="K2002" t="s">
        <v>717</v>
      </c>
      <c r="L2002">
        <v>56</v>
      </c>
      <c r="M2002">
        <v>266</v>
      </c>
      <c r="N2002" t="s">
        <v>710</v>
      </c>
      <c r="O2002" t="s">
        <v>1037</v>
      </c>
      <c r="P2002" t="s">
        <v>4790</v>
      </c>
      <c r="Q2002" t="s">
        <v>4852</v>
      </c>
      <c r="R2002" t="s">
        <v>4772</v>
      </c>
    </row>
    <row r="2003" spans="1:18" x14ac:dyDescent="0.3">
      <c r="A2003">
        <v>158120</v>
      </c>
      <c r="B2003" t="s">
        <v>1034</v>
      </c>
      <c r="C2003" t="s">
        <v>415</v>
      </c>
      <c r="D2003" t="s">
        <v>60</v>
      </c>
      <c r="E2003" s="1">
        <v>45986</v>
      </c>
      <c r="F2003" t="s">
        <v>4333</v>
      </c>
      <c r="G2003" t="s">
        <v>3269</v>
      </c>
      <c r="H2003" t="s">
        <v>431</v>
      </c>
      <c r="I2003" t="s">
        <v>204</v>
      </c>
      <c r="J2003" s="1">
        <v>46386</v>
      </c>
      <c r="K2003" t="s">
        <v>717</v>
      </c>
      <c r="L2003">
        <v>13158.04</v>
      </c>
      <c r="M2003">
        <v>13158.04</v>
      </c>
      <c r="N2003" t="s">
        <v>814</v>
      </c>
      <c r="O2003" t="s">
        <v>1037</v>
      </c>
      <c r="P2003" t="s">
        <v>4807</v>
      </c>
      <c r="Q2003" t="s">
        <v>4852</v>
      </c>
      <c r="R2003" t="s">
        <v>4771</v>
      </c>
    </row>
    <row r="2004" spans="1:18" x14ac:dyDescent="0.3">
      <c r="A2004">
        <v>331</v>
      </c>
      <c r="B2004" t="s">
        <v>1034</v>
      </c>
      <c r="C2004" t="s">
        <v>479</v>
      </c>
      <c r="D2004" t="s">
        <v>99</v>
      </c>
      <c r="E2004" s="1">
        <v>45986</v>
      </c>
      <c r="F2004" t="s">
        <v>4372</v>
      </c>
      <c r="G2004" t="s">
        <v>3256</v>
      </c>
      <c r="H2004" t="s">
        <v>478</v>
      </c>
      <c r="I2004" t="s">
        <v>204</v>
      </c>
      <c r="J2004" s="1">
        <v>46239</v>
      </c>
      <c r="K2004" t="s">
        <v>717</v>
      </c>
      <c r="L2004">
        <v>197</v>
      </c>
      <c r="M2004">
        <v>1678.44</v>
      </c>
      <c r="N2004" t="s">
        <v>710</v>
      </c>
      <c r="O2004" t="s">
        <v>1037</v>
      </c>
      <c r="P2004" t="s">
        <v>4790</v>
      </c>
      <c r="Q2004" t="s">
        <v>4852</v>
      </c>
      <c r="R2004" t="s">
        <v>4772</v>
      </c>
    </row>
    <row r="2005" spans="1:18" x14ac:dyDescent="0.3">
      <c r="A2005">
        <v>6023</v>
      </c>
      <c r="B2005" t="s">
        <v>1034</v>
      </c>
      <c r="C2005" t="s">
        <v>208</v>
      </c>
      <c r="D2005" t="s">
        <v>164</v>
      </c>
      <c r="E2005" s="1">
        <v>45986</v>
      </c>
      <c r="F2005" t="s">
        <v>4343</v>
      </c>
      <c r="G2005" t="s">
        <v>3270</v>
      </c>
      <c r="H2005" t="s">
        <v>604</v>
      </c>
      <c r="I2005" t="s">
        <v>204</v>
      </c>
      <c r="J2005" s="1">
        <v>46256</v>
      </c>
      <c r="K2005" t="s">
        <v>711</v>
      </c>
      <c r="L2005">
        <v>2</v>
      </c>
      <c r="M2005">
        <v>280</v>
      </c>
      <c r="N2005" t="s">
        <v>710</v>
      </c>
      <c r="O2005" t="s">
        <v>1036</v>
      </c>
      <c r="P2005" t="s">
        <v>4784</v>
      </c>
      <c r="Q2005" t="s">
        <v>4901</v>
      </c>
    </row>
    <row r="2006" spans="1:18" x14ac:dyDescent="0.3">
      <c r="A2006">
        <v>331</v>
      </c>
      <c r="B2006" t="s">
        <v>1034</v>
      </c>
      <c r="C2006" t="s">
        <v>479</v>
      </c>
      <c r="D2006" t="s">
        <v>99</v>
      </c>
      <c r="E2006" s="1">
        <v>45986</v>
      </c>
      <c r="F2006" t="s">
        <v>4310</v>
      </c>
      <c r="G2006" t="s">
        <v>3256</v>
      </c>
      <c r="H2006" t="s">
        <v>478</v>
      </c>
      <c r="I2006" t="s">
        <v>204</v>
      </c>
      <c r="J2006" s="1">
        <v>46239</v>
      </c>
      <c r="K2006" t="s">
        <v>717</v>
      </c>
      <c r="L2006">
        <v>36</v>
      </c>
      <c r="M2006">
        <v>127.8</v>
      </c>
      <c r="N2006" t="s">
        <v>710</v>
      </c>
      <c r="O2006" t="s">
        <v>1037</v>
      </c>
      <c r="P2006" t="s">
        <v>4790</v>
      </c>
      <c r="Q2006" t="s">
        <v>4852</v>
      </c>
      <c r="R2006" t="s">
        <v>4772</v>
      </c>
    </row>
    <row r="2007" spans="1:18" x14ac:dyDescent="0.3">
      <c r="A2007">
        <v>331</v>
      </c>
      <c r="B2007" t="s">
        <v>1034</v>
      </c>
      <c r="C2007" t="s">
        <v>479</v>
      </c>
      <c r="D2007" t="s">
        <v>99</v>
      </c>
      <c r="E2007" s="1">
        <v>45986</v>
      </c>
      <c r="F2007" t="s">
        <v>4356</v>
      </c>
      <c r="G2007" t="s">
        <v>3256</v>
      </c>
      <c r="H2007" t="s">
        <v>478</v>
      </c>
      <c r="I2007" t="s">
        <v>204</v>
      </c>
      <c r="J2007" s="1">
        <v>46239</v>
      </c>
      <c r="K2007" t="s">
        <v>717</v>
      </c>
      <c r="L2007">
        <v>404</v>
      </c>
      <c r="M2007">
        <v>1022.12</v>
      </c>
      <c r="N2007" t="s">
        <v>710</v>
      </c>
      <c r="O2007" t="s">
        <v>1037</v>
      </c>
      <c r="P2007" t="s">
        <v>4790</v>
      </c>
      <c r="Q2007" t="s">
        <v>4852</v>
      </c>
      <c r="R2007" t="s">
        <v>4772</v>
      </c>
    </row>
    <row r="2008" spans="1:18" x14ac:dyDescent="0.3">
      <c r="A2008">
        <v>331</v>
      </c>
      <c r="B2008" t="s">
        <v>1034</v>
      </c>
      <c r="C2008" t="s">
        <v>479</v>
      </c>
      <c r="D2008" t="s">
        <v>99</v>
      </c>
      <c r="E2008" s="1">
        <v>45986</v>
      </c>
      <c r="F2008" t="s">
        <v>4308</v>
      </c>
      <c r="G2008" t="s">
        <v>3256</v>
      </c>
      <c r="H2008" t="s">
        <v>478</v>
      </c>
      <c r="I2008" t="s">
        <v>204</v>
      </c>
      <c r="J2008" s="1">
        <v>46239</v>
      </c>
      <c r="K2008" t="s">
        <v>717</v>
      </c>
      <c r="L2008">
        <v>2877</v>
      </c>
      <c r="M2008">
        <v>11392.92</v>
      </c>
      <c r="N2008" t="s">
        <v>710</v>
      </c>
      <c r="O2008" t="s">
        <v>1037</v>
      </c>
      <c r="P2008" t="s">
        <v>4790</v>
      </c>
      <c r="Q2008" t="s">
        <v>4852</v>
      </c>
      <c r="R2008" t="s">
        <v>4772</v>
      </c>
    </row>
    <row r="2009" spans="1:18" x14ac:dyDescent="0.3">
      <c r="A2009">
        <v>331</v>
      </c>
      <c r="B2009" t="s">
        <v>1034</v>
      </c>
      <c r="C2009" t="s">
        <v>479</v>
      </c>
      <c r="D2009" t="s">
        <v>99</v>
      </c>
      <c r="E2009" s="1">
        <v>45986</v>
      </c>
      <c r="F2009" t="s">
        <v>4307</v>
      </c>
      <c r="G2009" t="s">
        <v>3256</v>
      </c>
      <c r="H2009" t="s">
        <v>478</v>
      </c>
      <c r="I2009" t="s">
        <v>204</v>
      </c>
      <c r="J2009" s="1">
        <v>46239</v>
      </c>
      <c r="K2009" t="s">
        <v>717</v>
      </c>
      <c r="L2009">
        <v>4496</v>
      </c>
      <c r="M2009">
        <v>54896.160000000003</v>
      </c>
      <c r="N2009" t="s">
        <v>710</v>
      </c>
      <c r="O2009" t="s">
        <v>1037</v>
      </c>
      <c r="P2009" t="s">
        <v>4790</v>
      </c>
      <c r="Q2009" t="s">
        <v>4852</v>
      </c>
      <c r="R2009" t="s">
        <v>4772</v>
      </c>
    </row>
    <row r="2010" spans="1:18" x14ac:dyDescent="0.3">
      <c r="A2010">
        <v>96</v>
      </c>
      <c r="B2010" t="s">
        <v>1034</v>
      </c>
      <c r="C2010" t="s">
        <v>658</v>
      </c>
      <c r="D2010" t="s">
        <v>192</v>
      </c>
      <c r="E2010" s="1">
        <v>45986</v>
      </c>
      <c r="F2010" t="s">
        <v>4377</v>
      </c>
      <c r="G2010" t="s">
        <v>3246</v>
      </c>
      <c r="H2010" t="s">
        <v>657</v>
      </c>
      <c r="I2010" t="s">
        <v>204</v>
      </c>
      <c r="J2010" s="1">
        <v>46218</v>
      </c>
      <c r="K2010" t="s">
        <v>711</v>
      </c>
      <c r="L2010">
        <v>1</v>
      </c>
      <c r="M2010">
        <v>2150</v>
      </c>
      <c r="N2010" t="s">
        <v>710</v>
      </c>
      <c r="O2010" t="s">
        <v>4834</v>
      </c>
      <c r="P2010" t="s">
        <v>4776</v>
      </c>
      <c r="Q2010" t="s">
        <v>4901</v>
      </c>
      <c r="R2010" t="s">
        <v>807</v>
      </c>
    </row>
    <row r="2011" spans="1:18" x14ac:dyDescent="0.3">
      <c r="A2011">
        <v>10718</v>
      </c>
      <c r="B2011" t="s">
        <v>1034</v>
      </c>
      <c r="C2011" t="s">
        <v>624</v>
      </c>
      <c r="D2011" t="s">
        <v>68</v>
      </c>
      <c r="E2011" s="1">
        <v>45986</v>
      </c>
      <c r="F2011" t="s">
        <v>4367</v>
      </c>
      <c r="G2011" t="s">
        <v>3265</v>
      </c>
      <c r="H2011" t="s">
        <v>623</v>
      </c>
      <c r="I2011" t="s">
        <v>204</v>
      </c>
      <c r="J2011" s="1">
        <v>46017</v>
      </c>
      <c r="K2011" t="s">
        <v>839</v>
      </c>
      <c r="L2011">
        <v>1682</v>
      </c>
      <c r="M2011">
        <v>1682.08</v>
      </c>
      <c r="N2011" t="s">
        <v>710</v>
      </c>
      <c r="O2011" t="s">
        <v>1041</v>
      </c>
      <c r="P2011" t="s">
        <v>4776</v>
      </c>
      <c r="Q2011" t="s">
        <v>4852</v>
      </c>
      <c r="R2011" t="s">
        <v>4771</v>
      </c>
    </row>
    <row r="2012" spans="1:18" x14ac:dyDescent="0.3">
      <c r="A2012">
        <v>594715</v>
      </c>
      <c r="B2012" t="s">
        <v>1034</v>
      </c>
      <c r="C2012" t="s">
        <v>248</v>
      </c>
      <c r="D2012" t="s">
        <v>13</v>
      </c>
      <c r="E2012" s="1">
        <v>45986</v>
      </c>
      <c r="F2012" t="s">
        <v>4297</v>
      </c>
      <c r="G2012" t="s">
        <v>3225</v>
      </c>
      <c r="H2012" t="s">
        <v>315</v>
      </c>
      <c r="I2012" t="s">
        <v>204</v>
      </c>
      <c r="J2012" s="1">
        <v>46073</v>
      </c>
      <c r="K2012" t="s">
        <v>711</v>
      </c>
      <c r="L2012">
        <v>5391.91</v>
      </c>
      <c r="M2012">
        <v>5391.91</v>
      </c>
      <c r="N2012" t="s">
        <v>710</v>
      </c>
      <c r="O2012" t="s">
        <v>1036</v>
      </c>
      <c r="P2012" t="s">
        <v>4779</v>
      </c>
      <c r="Q2012" t="s">
        <v>4901</v>
      </c>
      <c r="R2012" t="s">
        <v>4773</v>
      </c>
    </row>
    <row r="2013" spans="1:18" x14ac:dyDescent="0.3">
      <c r="A2013">
        <v>6023</v>
      </c>
      <c r="B2013" t="s">
        <v>1034</v>
      </c>
      <c r="C2013" t="s">
        <v>208</v>
      </c>
      <c r="D2013" t="s">
        <v>164</v>
      </c>
      <c r="E2013" s="1">
        <v>45986</v>
      </c>
      <c r="F2013" t="s">
        <v>4342</v>
      </c>
      <c r="G2013" t="s">
        <v>3270</v>
      </c>
      <c r="H2013" t="s">
        <v>604</v>
      </c>
      <c r="I2013" t="s">
        <v>204</v>
      </c>
      <c r="J2013" s="1">
        <v>46256</v>
      </c>
      <c r="K2013" t="s">
        <v>711</v>
      </c>
      <c r="L2013">
        <v>2</v>
      </c>
      <c r="M2013">
        <v>680</v>
      </c>
      <c r="N2013" t="s">
        <v>710</v>
      </c>
      <c r="O2013" t="s">
        <v>1036</v>
      </c>
      <c r="P2013" t="s">
        <v>4784</v>
      </c>
      <c r="Q2013" t="s">
        <v>4901</v>
      </c>
    </row>
    <row r="2014" spans="1:18" x14ac:dyDescent="0.3">
      <c r="A2014">
        <v>14232</v>
      </c>
      <c r="B2014" t="s">
        <v>4875</v>
      </c>
      <c r="C2014" t="s">
        <v>598</v>
      </c>
      <c r="D2014" t="s">
        <v>128</v>
      </c>
      <c r="E2014" s="1">
        <v>45985</v>
      </c>
      <c r="F2014" t="s">
        <v>4336</v>
      </c>
      <c r="G2014" t="s">
        <v>3239</v>
      </c>
      <c r="H2014" t="s">
        <v>600</v>
      </c>
      <c r="I2014" t="s">
        <v>204</v>
      </c>
      <c r="J2014" s="1">
        <v>45869</v>
      </c>
      <c r="K2014" t="s">
        <v>768</v>
      </c>
      <c r="L2014">
        <v>994.5</v>
      </c>
      <c r="M2014">
        <v>994.5</v>
      </c>
      <c r="N2014" t="s">
        <v>710</v>
      </c>
      <c r="O2014" t="s">
        <v>1037</v>
      </c>
      <c r="P2014" t="s">
        <v>4794</v>
      </c>
      <c r="Q2014" t="s">
        <v>4852</v>
      </c>
      <c r="R2014" t="s">
        <v>4772</v>
      </c>
    </row>
    <row r="2015" spans="1:18" x14ac:dyDescent="0.3">
      <c r="A2015">
        <v>14216</v>
      </c>
      <c r="B2015" t="s">
        <v>4874</v>
      </c>
      <c r="C2015" t="s">
        <v>598</v>
      </c>
      <c r="D2015" t="s">
        <v>128</v>
      </c>
      <c r="E2015" s="1">
        <v>45985</v>
      </c>
      <c r="F2015" t="s">
        <v>4336</v>
      </c>
      <c r="G2015" t="s">
        <v>3237</v>
      </c>
      <c r="H2015" t="s">
        <v>599</v>
      </c>
      <c r="I2015" t="s">
        <v>204</v>
      </c>
      <c r="J2015" s="1">
        <v>45869</v>
      </c>
      <c r="K2015" t="s">
        <v>762</v>
      </c>
      <c r="L2015">
        <v>1</v>
      </c>
      <c r="M2015">
        <v>3987.73</v>
      </c>
      <c r="N2015" t="s">
        <v>710</v>
      </c>
      <c r="O2015" t="s">
        <v>1037</v>
      </c>
      <c r="P2015" t="s">
        <v>4794</v>
      </c>
      <c r="Q2015" t="s">
        <v>4852</v>
      </c>
      <c r="R2015" t="s">
        <v>4772</v>
      </c>
    </row>
    <row r="2016" spans="1:18" x14ac:dyDescent="0.3">
      <c r="A2016">
        <v>1076839</v>
      </c>
      <c r="B2016" t="s">
        <v>4874</v>
      </c>
      <c r="C2016" t="s">
        <v>433</v>
      </c>
      <c r="D2016" t="s">
        <v>168</v>
      </c>
      <c r="E2016" s="1">
        <v>45985</v>
      </c>
      <c r="F2016" t="s">
        <v>4319</v>
      </c>
      <c r="G2016" t="s">
        <v>3253</v>
      </c>
      <c r="H2016" t="s">
        <v>432</v>
      </c>
      <c r="I2016" t="s">
        <v>204</v>
      </c>
      <c r="J2016" s="1">
        <v>46473</v>
      </c>
      <c r="K2016" t="s">
        <v>762</v>
      </c>
      <c r="L2016">
        <v>189</v>
      </c>
      <c r="M2016">
        <v>188.94</v>
      </c>
      <c r="N2016" t="s">
        <v>710</v>
      </c>
      <c r="O2016" t="s">
        <v>4833</v>
      </c>
      <c r="P2016" t="s">
        <v>4802</v>
      </c>
      <c r="Q2016" t="s">
        <v>4852</v>
      </c>
      <c r="R2016" t="s">
        <v>4771</v>
      </c>
    </row>
    <row r="2017" spans="1:18" x14ac:dyDescent="0.3">
      <c r="A2017">
        <v>1566431</v>
      </c>
      <c r="B2017" t="s">
        <v>4874</v>
      </c>
      <c r="C2017" t="s">
        <v>668</v>
      </c>
      <c r="D2017" t="s">
        <v>84</v>
      </c>
      <c r="E2017" s="1">
        <v>45985</v>
      </c>
      <c r="F2017" t="s">
        <v>4324</v>
      </c>
      <c r="G2017" t="s">
        <v>3264</v>
      </c>
      <c r="H2017" t="s">
        <v>667</v>
      </c>
      <c r="I2017" t="s">
        <v>204</v>
      </c>
      <c r="J2017" s="1">
        <v>46676</v>
      </c>
      <c r="K2017" t="s">
        <v>762</v>
      </c>
      <c r="L2017">
        <v>1</v>
      </c>
      <c r="M2017">
        <v>2250</v>
      </c>
      <c r="N2017" t="s">
        <v>1000</v>
      </c>
      <c r="O2017" t="s">
        <v>1037</v>
      </c>
      <c r="P2017" t="s">
        <v>4799</v>
      </c>
      <c r="Q2017" t="s">
        <v>4852</v>
      </c>
      <c r="R2017" t="s">
        <v>807</v>
      </c>
    </row>
    <row r="2018" spans="1:18" x14ac:dyDescent="0.3">
      <c r="A2018">
        <v>2303</v>
      </c>
      <c r="B2018" t="s">
        <v>4875</v>
      </c>
      <c r="C2018" t="s">
        <v>616</v>
      </c>
      <c r="D2018" t="s">
        <v>152</v>
      </c>
      <c r="E2018" s="1">
        <v>45985</v>
      </c>
      <c r="F2018" t="s">
        <v>4338</v>
      </c>
      <c r="G2018" t="s">
        <v>3071</v>
      </c>
      <c r="H2018" t="s">
        <v>622</v>
      </c>
      <c r="I2018" t="s">
        <v>204</v>
      </c>
      <c r="J2018" s="1">
        <v>46351</v>
      </c>
      <c r="K2018" t="s">
        <v>748</v>
      </c>
      <c r="L2018">
        <v>28600.99</v>
      </c>
      <c r="M2018">
        <v>28600.99</v>
      </c>
      <c r="N2018" t="s">
        <v>710</v>
      </c>
      <c r="O2018" t="s">
        <v>4904</v>
      </c>
      <c r="P2018" t="s">
        <v>4796</v>
      </c>
      <c r="Q2018" t="s">
        <v>4856</v>
      </c>
      <c r="R2018" t="s">
        <v>4772</v>
      </c>
    </row>
    <row r="2019" spans="1:18" x14ac:dyDescent="0.3">
      <c r="A2019">
        <v>14224</v>
      </c>
      <c r="B2019" t="s">
        <v>1034</v>
      </c>
      <c r="C2019" t="s">
        <v>598</v>
      </c>
      <c r="D2019" t="s">
        <v>128</v>
      </c>
      <c r="E2019" s="1">
        <v>45985</v>
      </c>
      <c r="F2019" t="s">
        <v>4336</v>
      </c>
      <c r="G2019" t="s">
        <v>3238</v>
      </c>
      <c r="H2019" t="s">
        <v>597</v>
      </c>
      <c r="I2019" t="s">
        <v>204</v>
      </c>
      <c r="J2019" s="1">
        <v>45839</v>
      </c>
      <c r="K2019" t="s">
        <v>717</v>
      </c>
      <c r="L2019">
        <v>1</v>
      </c>
      <c r="M2019">
        <v>4929.2</v>
      </c>
      <c r="N2019" t="s">
        <v>710</v>
      </c>
      <c r="O2019" t="s">
        <v>1037</v>
      </c>
      <c r="P2019" t="s">
        <v>4794</v>
      </c>
      <c r="Q2019" t="s">
        <v>4852</v>
      </c>
      <c r="R2019" t="s">
        <v>4772</v>
      </c>
    </row>
    <row r="2020" spans="1:18" x14ac:dyDescent="0.3">
      <c r="A2020">
        <v>1566424</v>
      </c>
      <c r="B2020" t="s">
        <v>1034</v>
      </c>
      <c r="C2020" t="s">
        <v>668</v>
      </c>
      <c r="D2020" t="s">
        <v>84</v>
      </c>
      <c r="E2020" s="1">
        <v>45985</v>
      </c>
      <c r="F2020" t="s">
        <v>4324</v>
      </c>
      <c r="G2020" t="s">
        <v>3262</v>
      </c>
      <c r="H2020" t="s">
        <v>671</v>
      </c>
      <c r="I2020" t="s">
        <v>204</v>
      </c>
      <c r="J2020" s="1">
        <v>46324</v>
      </c>
      <c r="K2020" t="s">
        <v>717</v>
      </c>
      <c r="L2020">
        <v>1</v>
      </c>
      <c r="M2020">
        <v>4100</v>
      </c>
      <c r="N2020" t="s">
        <v>710</v>
      </c>
      <c r="O2020" t="s">
        <v>1037</v>
      </c>
      <c r="P2020" t="s">
        <v>4799</v>
      </c>
      <c r="Q2020" t="s">
        <v>4852</v>
      </c>
      <c r="R2020" t="s">
        <v>807</v>
      </c>
    </row>
    <row r="2021" spans="1:18" x14ac:dyDescent="0.3">
      <c r="A2021">
        <v>1566437</v>
      </c>
      <c r="B2021" t="s">
        <v>4875</v>
      </c>
      <c r="C2021" t="s">
        <v>668</v>
      </c>
      <c r="D2021" t="s">
        <v>84</v>
      </c>
      <c r="E2021" s="1">
        <v>45985</v>
      </c>
      <c r="F2021" t="s">
        <v>4324</v>
      </c>
      <c r="G2021" t="s">
        <v>3263</v>
      </c>
      <c r="H2021" t="s">
        <v>670</v>
      </c>
      <c r="I2021" t="s">
        <v>204</v>
      </c>
      <c r="J2021" s="1">
        <v>46677</v>
      </c>
      <c r="K2021" t="s">
        <v>768</v>
      </c>
      <c r="L2021">
        <v>2050</v>
      </c>
      <c r="M2021">
        <v>2050</v>
      </c>
      <c r="N2021" t="s">
        <v>1000</v>
      </c>
      <c r="O2021" t="s">
        <v>1037</v>
      </c>
      <c r="P2021" t="s">
        <v>4799</v>
      </c>
      <c r="Q2021" t="s">
        <v>4852</v>
      </c>
      <c r="R2021" t="s">
        <v>807</v>
      </c>
    </row>
    <row r="2022" spans="1:18" x14ac:dyDescent="0.3">
      <c r="A2022">
        <v>8848</v>
      </c>
      <c r="B2022" t="s">
        <v>1034</v>
      </c>
      <c r="C2022" t="s">
        <v>500</v>
      </c>
      <c r="D2022" t="s">
        <v>16</v>
      </c>
      <c r="E2022" s="1">
        <v>45981</v>
      </c>
      <c r="F2022" t="s">
        <v>4306</v>
      </c>
      <c r="G2022" t="s">
        <v>3190</v>
      </c>
      <c r="H2022" t="s">
        <v>499</v>
      </c>
      <c r="I2022" t="s">
        <v>204</v>
      </c>
      <c r="J2022" s="1">
        <v>54878</v>
      </c>
      <c r="K2022" t="s">
        <v>717</v>
      </c>
      <c r="L2022">
        <v>1633.45</v>
      </c>
      <c r="M2022">
        <v>1633.45</v>
      </c>
      <c r="N2022" t="s">
        <v>710</v>
      </c>
      <c r="O2022" t="s">
        <v>4833</v>
      </c>
      <c r="P2022" t="s">
        <v>4786</v>
      </c>
      <c r="Q2022" t="s">
        <v>4852</v>
      </c>
      <c r="R2022" t="s">
        <v>4773</v>
      </c>
    </row>
    <row r="2023" spans="1:18" x14ac:dyDescent="0.3">
      <c r="A2023">
        <v>7198</v>
      </c>
      <c r="B2023" t="s">
        <v>1035</v>
      </c>
      <c r="C2023" t="s">
        <v>230</v>
      </c>
      <c r="D2023" t="s">
        <v>85</v>
      </c>
      <c r="E2023" s="1">
        <v>45981</v>
      </c>
      <c r="F2023" t="s">
        <v>4299</v>
      </c>
      <c r="G2023" t="s">
        <v>3226</v>
      </c>
      <c r="H2023" t="s">
        <v>229</v>
      </c>
      <c r="I2023" t="s">
        <v>204</v>
      </c>
      <c r="J2023" s="1">
        <v>46203</v>
      </c>
      <c r="K2023" t="s">
        <v>744</v>
      </c>
      <c r="L2023">
        <v>1</v>
      </c>
      <c r="M2023">
        <v>57.93</v>
      </c>
      <c r="N2023" t="s">
        <v>710</v>
      </c>
      <c r="O2023" t="s">
        <v>1033</v>
      </c>
      <c r="P2023" t="s">
        <v>4781</v>
      </c>
      <c r="Q2023" t="s">
        <v>4852</v>
      </c>
      <c r="R2023" t="s">
        <v>4771</v>
      </c>
    </row>
    <row r="2024" spans="1:18" x14ac:dyDescent="0.3">
      <c r="A2024">
        <v>21553</v>
      </c>
      <c r="B2024" t="s">
        <v>4875</v>
      </c>
      <c r="C2024" t="s">
        <v>243</v>
      </c>
      <c r="D2024" t="s">
        <v>61</v>
      </c>
      <c r="E2024" s="1">
        <v>45981</v>
      </c>
      <c r="F2024" t="s">
        <v>4304</v>
      </c>
      <c r="G2024" t="s">
        <v>3251</v>
      </c>
      <c r="H2024" t="s">
        <v>242</v>
      </c>
      <c r="I2024" t="s">
        <v>204</v>
      </c>
      <c r="J2024" s="1">
        <v>54878</v>
      </c>
      <c r="K2024" t="s">
        <v>748</v>
      </c>
      <c r="L2024">
        <v>2919.43</v>
      </c>
      <c r="M2024">
        <v>2919.43</v>
      </c>
      <c r="N2024" t="s">
        <v>710</v>
      </c>
      <c r="O2024" t="s">
        <v>4834</v>
      </c>
      <c r="P2024" t="s">
        <v>4776</v>
      </c>
      <c r="Q2024" t="s">
        <v>4856</v>
      </c>
      <c r="R2024" t="s">
        <v>4771</v>
      </c>
    </row>
    <row r="2025" spans="1:18" x14ac:dyDescent="0.3">
      <c r="A2025">
        <v>7192</v>
      </c>
      <c r="B2025" t="s">
        <v>1035</v>
      </c>
      <c r="C2025" t="s">
        <v>230</v>
      </c>
      <c r="D2025" t="s">
        <v>85</v>
      </c>
      <c r="E2025" s="1">
        <v>45981</v>
      </c>
      <c r="F2025" t="s">
        <v>4348</v>
      </c>
      <c r="G2025" t="s">
        <v>3261</v>
      </c>
      <c r="H2025" t="s">
        <v>229</v>
      </c>
      <c r="I2025" t="s">
        <v>204</v>
      </c>
      <c r="J2025" s="1">
        <v>46203</v>
      </c>
      <c r="K2025" t="s">
        <v>744</v>
      </c>
      <c r="L2025">
        <v>1</v>
      </c>
      <c r="M2025">
        <v>6346.79</v>
      </c>
      <c r="N2025" t="s">
        <v>710</v>
      </c>
      <c r="O2025" t="s">
        <v>1033</v>
      </c>
      <c r="P2025" t="s">
        <v>4781</v>
      </c>
      <c r="Q2025" t="s">
        <v>4852</v>
      </c>
      <c r="R2025" t="s">
        <v>4771</v>
      </c>
    </row>
    <row r="2026" spans="1:18" x14ac:dyDescent="0.3">
      <c r="A2026">
        <v>1264</v>
      </c>
      <c r="B2026" t="s">
        <v>4874</v>
      </c>
      <c r="C2026" t="s">
        <v>422</v>
      </c>
      <c r="D2026" t="s">
        <v>37</v>
      </c>
      <c r="E2026" s="1">
        <v>45981</v>
      </c>
      <c r="F2026" t="s">
        <v>4306</v>
      </c>
      <c r="G2026" t="s">
        <v>3164</v>
      </c>
      <c r="H2026" t="s">
        <v>421</v>
      </c>
      <c r="I2026" t="s">
        <v>204</v>
      </c>
      <c r="J2026" s="1">
        <v>46080</v>
      </c>
      <c r="K2026" t="s">
        <v>762</v>
      </c>
      <c r="L2026">
        <v>800</v>
      </c>
      <c r="M2026">
        <v>800</v>
      </c>
      <c r="N2026" t="s">
        <v>710</v>
      </c>
      <c r="O2026" t="s">
        <v>4833</v>
      </c>
      <c r="P2026" t="s">
        <v>4786</v>
      </c>
      <c r="Q2026" t="s">
        <v>4852</v>
      </c>
      <c r="R2026" t="s">
        <v>4773</v>
      </c>
    </row>
    <row r="2027" spans="1:18" x14ac:dyDescent="0.3">
      <c r="A2027">
        <v>284312</v>
      </c>
      <c r="B2027" t="s">
        <v>4874</v>
      </c>
      <c r="C2027" t="s">
        <v>391</v>
      </c>
      <c r="D2027" t="s">
        <v>104</v>
      </c>
      <c r="E2027" s="1">
        <v>45981</v>
      </c>
      <c r="F2027" t="s">
        <v>4315</v>
      </c>
      <c r="G2027" t="s">
        <v>3216</v>
      </c>
      <c r="H2027" t="s">
        <v>390</v>
      </c>
      <c r="I2027" t="s">
        <v>204</v>
      </c>
      <c r="J2027" s="1">
        <v>54878</v>
      </c>
      <c r="K2027" t="s">
        <v>762</v>
      </c>
      <c r="L2027">
        <v>312.67</v>
      </c>
      <c r="M2027">
        <v>312.67</v>
      </c>
      <c r="N2027" t="s">
        <v>710</v>
      </c>
      <c r="O2027" t="s">
        <v>4833</v>
      </c>
      <c r="P2027" t="s">
        <v>4776</v>
      </c>
      <c r="Q2027" t="s">
        <v>4852</v>
      </c>
      <c r="R2027" t="s">
        <v>4773</v>
      </c>
    </row>
    <row r="2028" spans="1:18" x14ac:dyDescent="0.3">
      <c r="A2028">
        <v>2874</v>
      </c>
      <c r="B2028" t="s">
        <v>4874</v>
      </c>
      <c r="C2028" t="s">
        <v>630</v>
      </c>
      <c r="D2028" t="s">
        <v>145</v>
      </c>
      <c r="E2028" s="1">
        <v>45981</v>
      </c>
      <c r="F2028" t="s">
        <v>4300</v>
      </c>
      <c r="G2028" t="s">
        <v>3242</v>
      </c>
      <c r="H2028" t="s">
        <v>629</v>
      </c>
      <c r="I2028" t="s">
        <v>204</v>
      </c>
      <c r="J2028" s="1">
        <v>46264</v>
      </c>
      <c r="K2028" t="s">
        <v>720</v>
      </c>
      <c r="L2028">
        <v>1</v>
      </c>
      <c r="M2028">
        <v>18000</v>
      </c>
      <c r="N2028" t="s">
        <v>710</v>
      </c>
      <c r="O2028" t="s">
        <v>4849</v>
      </c>
      <c r="P2028" t="s">
        <v>4777</v>
      </c>
      <c r="Q2028" t="s">
        <v>4855</v>
      </c>
      <c r="R2028" t="s">
        <v>4771</v>
      </c>
    </row>
    <row r="2029" spans="1:18" x14ac:dyDescent="0.3">
      <c r="A2029">
        <v>2362</v>
      </c>
      <c r="B2029" t="s">
        <v>4874</v>
      </c>
      <c r="C2029" t="s">
        <v>424</v>
      </c>
      <c r="D2029" t="s">
        <v>132</v>
      </c>
      <c r="E2029" s="1">
        <v>45981</v>
      </c>
      <c r="F2029" t="s">
        <v>4386</v>
      </c>
      <c r="G2029" t="s">
        <v>3215</v>
      </c>
      <c r="H2029" t="s">
        <v>423</v>
      </c>
      <c r="I2029" t="s">
        <v>204</v>
      </c>
      <c r="J2029" s="1">
        <v>54878</v>
      </c>
      <c r="K2029" t="s">
        <v>845</v>
      </c>
      <c r="L2029">
        <v>1</v>
      </c>
      <c r="M2029">
        <v>3350</v>
      </c>
      <c r="N2029" t="s">
        <v>710</v>
      </c>
      <c r="O2029" t="s">
        <v>1042</v>
      </c>
      <c r="P2029" t="s">
        <v>1006</v>
      </c>
      <c r="Q2029" t="s">
        <v>4852</v>
      </c>
      <c r="R2029" t="s">
        <v>4771</v>
      </c>
    </row>
    <row r="2030" spans="1:18" x14ac:dyDescent="0.3">
      <c r="A2030">
        <v>97</v>
      </c>
      <c r="B2030" t="s">
        <v>4875</v>
      </c>
      <c r="C2030" t="s">
        <v>585</v>
      </c>
      <c r="D2030" t="s">
        <v>179</v>
      </c>
      <c r="E2030" s="1">
        <v>45981</v>
      </c>
      <c r="F2030" t="s">
        <v>4306</v>
      </c>
      <c r="G2030" t="s">
        <v>3224</v>
      </c>
      <c r="H2030" t="s">
        <v>586</v>
      </c>
      <c r="I2030" t="s">
        <v>204</v>
      </c>
      <c r="J2030" s="1">
        <v>46477</v>
      </c>
      <c r="K2030" t="s">
        <v>768</v>
      </c>
      <c r="L2030">
        <v>1</v>
      </c>
      <c r="M2030">
        <v>1139.9000000000001</v>
      </c>
      <c r="N2030" t="s">
        <v>719</v>
      </c>
      <c r="O2030" t="s">
        <v>4833</v>
      </c>
      <c r="P2030" t="s">
        <v>4786</v>
      </c>
      <c r="Q2030" t="s">
        <v>4852</v>
      </c>
      <c r="R2030" t="s">
        <v>4771</v>
      </c>
    </row>
    <row r="2031" spans="1:18" x14ac:dyDescent="0.3">
      <c r="A2031">
        <v>96</v>
      </c>
      <c r="B2031" t="s">
        <v>1034</v>
      </c>
      <c r="C2031" t="s">
        <v>585</v>
      </c>
      <c r="D2031" t="s">
        <v>179</v>
      </c>
      <c r="E2031" s="1">
        <v>45981</v>
      </c>
      <c r="F2031" t="s">
        <v>4306</v>
      </c>
      <c r="G2031" t="s">
        <v>3223</v>
      </c>
      <c r="H2031" t="s">
        <v>584</v>
      </c>
      <c r="I2031" t="s">
        <v>204</v>
      </c>
      <c r="J2031" s="1">
        <v>46477</v>
      </c>
      <c r="K2031" t="s">
        <v>717</v>
      </c>
      <c r="L2031">
        <v>1</v>
      </c>
      <c r="M2031">
        <v>1139.9000000000001</v>
      </c>
      <c r="N2031" t="s">
        <v>719</v>
      </c>
      <c r="O2031" t="s">
        <v>4833</v>
      </c>
      <c r="P2031" t="s">
        <v>4786</v>
      </c>
      <c r="Q2031" t="s">
        <v>4852</v>
      </c>
      <c r="R2031" t="s">
        <v>4771</v>
      </c>
    </row>
    <row r="2032" spans="1:18" x14ac:dyDescent="0.3">
      <c r="A2032">
        <v>7175</v>
      </c>
      <c r="B2032" t="s">
        <v>1035</v>
      </c>
      <c r="C2032" t="s">
        <v>230</v>
      </c>
      <c r="D2032" t="s">
        <v>85</v>
      </c>
      <c r="E2032" s="1">
        <v>45981</v>
      </c>
      <c r="F2032" t="s">
        <v>4348</v>
      </c>
      <c r="G2032" t="s">
        <v>3261</v>
      </c>
      <c r="H2032" t="s">
        <v>229</v>
      </c>
      <c r="I2032" t="s">
        <v>204</v>
      </c>
      <c r="J2032" s="1">
        <v>46203</v>
      </c>
      <c r="K2032" t="s">
        <v>744</v>
      </c>
      <c r="L2032">
        <v>1</v>
      </c>
      <c r="M2032">
        <v>3549.08</v>
      </c>
      <c r="N2032" t="s">
        <v>710</v>
      </c>
      <c r="O2032" t="s">
        <v>1033</v>
      </c>
      <c r="P2032" t="s">
        <v>4781</v>
      </c>
      <c r="Q2032" t="s">
        <v>4852</v>
      </c>
      <c r="R2032" t="s">
        <v>4771</v>
      </c>
    </row>
    <row r="2033" spans="1:18" x14ac:dyDescent="0.3">
      <c r="A2033">
        <v>1542063</v>
      </c>
      <c r="B2033" t="s">
        <v>4875</v>
      </c>
      <c r="C2033" t="s">
        <v>668</v>
      </c>
      <c r="D2033" t="s">
        <v>84</v>
      </c>
      <c r="E2033" s="1">
        <v>45980</v>
      </c>
      <c r="F2033" t="s">
        <v>4324</v>
      </c>
      <c r="G2033" t="s">
        <v>3199</v>
      </c>
      <c r="H2033" t="s">
        <v>670</v>
      </c>
      <c r="I2033" t="s">
        <v>204</v>
      </c>
      <c r="J2033" s="1">
        <v>46677</v>
      </c>
      <c r="K2033" t="s">
        <v>768</v>
      </c>
      <c r="L2033">
        <v>48386</v>
      </c>
      <c r="M2033">
        <v>48386</v>
      </c>
      <c r="N2033" t="s">
        <v>1000</v>
      </c>
      <c r="O2033" t="s">
        <v>1037</v>
      </c>
      <c r="P2033" t="s">
        <v>4799</v>
      </c>
      <c r="Q2033" t="s">
        <v>4852</v>
      </c>
      <c r="R2033" t="s">
        <v>807</v>
      </c>
    </row>
    <row r="2034" spans="1:18" x14ac:dyDescent="0.3">
      <c r="A2034">
        <v>1542392</v>
      </c>
      <c r="B2034" t="s">
        <v>4874</v>
      </c>
      <c r="C2034" t="s">
        <v>668</v>
      </c>
      <c r="D2034" t="s">
        <v>84</v>
      </c>
      <c r="E2034" s="1">
        <v>45980</v>
      </c>
      <c r="F2034" t="s">
        <v>4324</v>
      </c>
      <c r="G2034" t="s">
        <v>3197</v>
      </c>
      <c r="H2034" t="s">
        <v>667</v>
      </c>
      <c r="I2034" t="s">
        <v>204</v>
      </c>
      <c r="J2034" s="1">
        <v>46676</v>
      </c>
      <c r="K2034" t="s">
        <v>762</v>
      </c>
      <c r="L2034">
        <v>1</v>
      </c>
      <c r="M2034">
        <v>97574</v>
      </c>
      <c r="N2034" t="s">
        <v>1000</v>
      </c>
      <c r="O2034" t="s">
        <v>1037</v>
      </c>
      <c r="P2034" t="s">
        <v>4799</v>
      </c>
      <c r="Q2034" t="s">
        <v>4852</v>
      </c>
      <c r="R2034" t="s">
        <v>807</v>
      </c>
    </row>
    <row r="2035" spans="1:18" x14ac:dyDescent="0.3">
      <c r="A2035">
        <v>42539</v>
      </c>
      <c r="B2035" t="s">
        <v>4875</v>
      </c>
      <c r="C2035" t="s">
        <v>327</v>
      </c>
      <c r="D2035" t="s">
        <v>159</v>
      </c>
      <c r="E2035" s="1">
        <v>45980</v>
      </c>
      <c r="F2035" t="s">
        <v>4295</v>
      </c>
      <c r="G2035" t="s">
        <v>3185</v>
      </c>
      <c r="H2035" t="s">
        <v>326</v>
      </c>
      <c r="I2035" t="s">
        <v>204</v>
      </c>
      <c r="J2035" s="1">
        <v>54878</v>
      </c>
      <c r="K2035" t="s">
        <v>748</v>
      </c>
      <c r="L2035">
        <v>2150</v>
      </c>
      <c r="M2035">
        <v>2150</v>
      </c>
      <c r="N2035" t="s">
        <v>719</v>
      </c>
      <c r="O2035" t="s">
        <v>4834</v>
      </c>
      <c r="P2035" t="s">
        <v>4776</v>
      </c>
      <c r="Q2035" t="s">
        <v>4856</v>
      </c>
      <c r="R2035" t="s">
        <v>4773</v>
      </c>
    </row>
    <row r="2036" spans="1:18" x14ac:dyDescent="0.3">
      <c r="A2036">
        <v>3540</v>
      </c>
      <c r="B2036" t="s">
        <v>1034</v>
      </c>
      <c r="C2036" t="s">
        <v>590</v>
      </c>
      <c r="D2036" t="s">
        <v>79</v>
      </c>
      <c r="E2036" s="1">
        <v>45980</v>
      </c>
      <c r="F2036" t="s">
        <v>4365</v>
      </c>
      <c r="G2036" t="s">
        <v>3250</v>
      </c>
      <c r="H2036" t="s">
        <v>589</v>
      </c>
      <c r="I2036" t="s">
        <v>204</v>
      </c>
      <c r="J2036" s="1">
        <v>46387</v>
      </c>
      <c r="K2036" t="s">
        <v>717</v>
      </c>
      <c r="L2036">
        <v>500</v>
      </c>
      <c r="M2036">
        <v>500</v>
      </c>
      <c r="N2036" t="s">
        <v>814</v>
      </c>
      <c r="O2036" t="s">
        <v>4845</v>
      </c>
      <c r="P2036" t="s">
        <v>4793</v>
      </c>
      <c r="Q2036" t="s">
        <v>4845</v>
      </c>
      <c r="R2036" t="s">
        <v>4773</v>
      </c>
    </row>
    <row r="2037" spans="1:18" x14ac:dyDescent="0.3">
      <c r="A2037">
        <v>1542390</v>
      </c>
      <c r="B2037" t="s">
        <v>1034</v>
      </c>
      <c r="C2037" t="s">
        <v>668</v>
      </c>
      <c r="D2037" t="s">
        <v>84</v>
      </c>
      <c r="E2037" s="1">
        <v>45980</v>
      </c>
      <c r="F2037" t="s">
        <v>4324</v>
      </c>
      <c r="G2037" t="s">
        <v>3198</v>
      </c>
      <c r="H2037" t="s">
        <v>671</v>
      </c>
      <c r="I2037" t="s">
        <v>204</v>
      </c>
      <c r="J2037" s="1">
        <v>46324</v>
      </c>
      <c r="K2037" t="s">
        <v>717</v>
      </c>
      <c r="L2037">
        <v>1</v>
      </c>
      <c r="M2037">
        <v>153557</v>
      </c>
      <c r="N2037" t="s">
        <v>710</v>
      </c>
      <c r="O2037" t="s">
        <v>1037</v>
      </c>
      <c r="P2037" t="s">
        <v>4799</v>
      </c>
      <c r="Q2037" t="s">
        <v>4852</v>
      </c>
      <c r="R2037" t="s">
        <v>807</v>
      </c>
    </row>
    <row r="2038" spans="1:18" x14ac:dyDescent="0.3">
      <c r="A2038">
        <v>95</v>
      </c>
      <c r="B2038" t="s">
        <v>1034</v>
      </c>
      <c r="C2038" t="s">
        <v>658</v>
      </c>
      <c r="D2038" t="s">
        <v>192</v>
      </c>
      <c r="E2038" s="1">
        <v>45980</v>
      </c>
      <c r="F2038" t="s">
        <v>4377</v>
      </c>
      <c r="G2038" t="s">
        <v>3143</v>
      </c>
      <c r="H2038" t="s">
        <v>657</v>
      </c>
      <c r="I2038" t="s">
        <v>204</v>
      </c>
      <c r="J2038" s="1">
        <v>46218</v>
      </c>
      <c r="K2038" t="s">
        <v>711</v>
      </c>
      <c r="L2038">
        <v>1</v>
      </c>
      <c r="M2038">
        <v>2150</v>
      </c>
      <c r="N2038" t="s">
        <v>710</v>
      </c>
      <c r="O2038" t="s">
        <v>4834</v>
      </c>
      <c r="P2038" t="s">
        <v>4776</v>
      </c>
      <c r="Q2038" t="s">
        <v>4901</v>
      </c>
      <c r="R2038" t="s">
        <v>807</v>
      </c>
    </row>
    <row r="2039" spans="1:18" x14ac:dyDescent="0.3">
      <c r="A2039">
        <v>20251873</v>
      </c>
      <c r="B2039" t="s">
        <v>1034</v>
      </c>
      <c r="C2039" t="s">
        <v>550</v>
      </c>
      <c r="D2039" t="s">
        <v>189</v>
      </c>
      <c r="E2039" s="1">
        <v>45980</v>
      </c>
      <c r="F2039" t="s">
        <v>4338</v>
      </c>
      <c r="G2039" t="s">
        <v>3222</v>
      </c>
      <c r="H2039" t="s">
        <v>582</v>
      </c>
      <c r="I2039" t="s">
        <v>204</v>
      </c>
      <c r="J2039" s="1">
        <v>46599</v>
      </c>
      <c r="K2039" t="s">
        <v>717</v>
      </c>
      <c r="L2039">
        <v>27301.11</v>
      </c>
      <c r="M2039">
        <v>27301.11</v>
      </c>
      <c r="N2039" t="s">
        <v>710</v>
      </c>
      <c r="O2039" t="s">
        <v>4904</v>
      </c>
      <c r="P2039" t="s">
        <v>4792</v>
      </c>
      <c r="Q2039" t="s">
        <v>4904</v>
      </c>
      <c r="R2039" t="s">
        <v>4772</v>
      </c>
    </row>
    <row r="2040" spans="1:18" x14ac:dyDescent="0.3">
      <c r="A2040">
        <v>2025381</v>
      </c>
      <c r="B2040" t="s">
        <v>1034</v>
      </c>
      <c r="C2040" t="s">
        <v>552</v>
      </c>
      <c r="D2040" t="s">
        <v>190</v>
      </c>
      <c r="E2040" s="1">
        <v>45980</v>
      </c>
      <c r="F2040" t="s">
        <v>4339</v>
      </c>
      <c r="G2040" t="s">
        <v>3220</v>
      </c>
      <c r="H2040" t="s">
        <v>583</v>
      </c>
      <c r="I2040" t="s">
        <v>204</v>
      </c>
      <c r="J2040" s="1">
        <v>46441</v>
      </c>
      <c r="K2040" t="s">
        <v>717</v>
      </c>
      <c r="L2040">
        <v>64252.04</v>
      </c>
      <c r="M2040">
        <v>64252.04</v>
      </c>
      <c r="N2040" t="s">
        <v>710</v>
      </c>
      <c r="O2040" t="s">
        <v>4904</v>
      </c>
      <c r="P2040" t="s">
        <v>4792</v>
      </c>
      <c r="Q2040" t="s">
        <v>4904</v>
      </c>
      <c r="R2040" t="s">
        <v>4772</v>
      </c>
    </row>
    <row r="2041" spans="1:18" x14ac:dyDescent="0.3">
      <c r="A2041">
        <v>724001761</v>
      </c>
      <c r="B2041" t="s">
        <v>4875</v>
      </c>
      <c r="C2041" t="s">
        <v>338</v>
      </c>
      <c r="D2041" t="s">
        <v>31</v>
      </c>
      <c r="E2041" s="1">
        <v>45980</v>
      </c>
      <c r="F2041" t="s">
        <v>4299</v>
      </c>
      <c r="G2041" t="s">
        <v>3173</v>
      </c>
      <c r="H2041" t="s">
        <v>353</v>
      </c>
      <c r="I2041" t="s">
        <v>204</v>
      </c>
      <c r="J2041" s="1">
        <v>54878</v>
      </c>
      <c r="K2041" t="s">
        <v>748</v>
      </c>
      <c r="L2041">
        <v>7100</v>
      </c>
      <c r="M2041">
        <v>7100.34</v>
      </c>
      <c r="N2041" t="s">
        <v>710</v>
      </c>
      <c r="O2041" t="s">
        <v>1040</v>
      </c>
      <c r="P2041" t="s">
        <v>4785</v>
      </c>
      <c r="Q2041" t="s">
        <v>4856</v>
      </c>
      <c r="R2041" t="s">
        <v>4773</v>
      </c>
    </row>
    <row r="2042" spans="1:18" x14ac:dyDescent="0.3">
      <c r="A2042">
        <v>10755</v>
      </c>
      <c r="B2042" t="s">
        <v>4874</v>
      </c>
      <c r="C2042" t="s">
        <v>546</v>
      </c>
      <c r="D2042" t="s">
        <v>75</v>
      </c>
      <c r="E2042" s="1">
        <v>45980</v>
      </c>
      <c r="F2042" t="s">
        <v>4355</v>
      </c>
      <c r="G2042" t="s">
        <v>3177</v>
      </c>
      <c r="H2042" t="s">
        <v>581</v>
      </c>
      <c r="I2042" t="s">
        <v>204</v>
      </c>
      <c r="J2042" s="1">
        <v>46233</v>
      </c>
      <c r="K2042" t="s">
        <v>720</v>
      </c>
      <c r="L2042">
        <v>1</v>
      </c>
      <c r="M2042">
        <v>3090.55</v>
      </c>
      <c r="N2042" t="s">
        <v>814</v>
      </c>
      <c r="O2042" t="s">
        <v>1038</v>
      </c>
      <c r="P2042" t="s">
        <v>4779</v>
      </c>
      <c r="Q2042" t="s">
        <v>4858</v>
      </c>
      <c r="R2042" t="s">
        <v>4773</v>
      </c>
    </row>
    <row r="2043" spans="1:18" x14ac:dyDescent="0.3">
      <c r="A2043">
        <v>10752</v>
      </c>
      <c r="B2043" t="s">
        <v>4874</v>
      </c>
      <c r="C2043" t="s">
        <v>546</v>
      </c>
      <c r="D2043" t="s">
        <v>75</v>
      </c>
      <c r="E2043" s="1">
        <v>45980</v>
      </c>
      <c r="F2043" t="s">
        <v>4355</v>
      </c>
      <c r="G2043" t="s">
        <v>3177</v>
      </c>
      <c r="H2043" t="s">
        <v>581</v>
      </c>
      <c r="I2043" t="s">
        <v>204</v>
      </c>
      <c r="J2043" s="1">
        <v>46233</v>
      </c>
      <c r="K2043" t="s">
        <v>720</v>
      </c>
      <c r="L2043">
        <v>1</v>
      </c>
      <c r="M2043">
        <v>5250</v>
      </c>
      <c r="N2043" t="s">
        <v>814</v>
      </c>
      <c r="O2043" t="s">
        <v>1038</v>
      </c>
      <c r="P2043" t="s">
        <v>4779</v>
      </c>
      <c r="Q2043" t="s">
        <v>4858</v>
      </c>
      <c r="R2043" t="s">
        <v>4773</v>
      </c>
    </row>
    <row r="2044" spans="1:18" x14ac:dyDescent="0.3">
      <c r="A2044">
        <v>20251872</v>
      </c>
      <c r="B2044" t="s">
        <v>4875</v>
      </c>
      <c r="C2044" t="s">
        <v>550</v>
      </c>
      <c r="D2044" t="s">
        <v>189</v>
      </c>
      <c r="E2044" s="1">
        <v>45980</v>
      </c>
      <c r="F2044" t="s">
        <v>4338</v>
      </c>
      <c r="G2044" t="s">
        <v>3221</v>
      </c>
      <c r="H2044" t="s">
        <v>569</v>
      </c>
      <c r="I2044" t="s">
        <v>204</v>
      </c>
      <c r="J2044" s="1">
        <v>46599</v>
      </c>
      <c r="K2044" t="s">
        <v>768</v>
      </c>
      <c r="L2044">
        <v>23437.4</v>
      </c>
      <c r="M2044">
        <v>23437.4</v>
      </c>
      <c r="N2044" t="s">
        <v>710</v>
      </c>
      <c r="O2044" t="s">
        <v>4904</v>
      </c>
      <c r="P2044" t="s">
        <v>4792</v>
      </c>
      <c r="Q2044" t="s">
        <v>4904</v>
      </c>
      <c r="R2044" t="s">
        <v>4772</v>
      </c>
    </row>
    <row r="2045" spans="1:18" x14ac:dyDescent="0.3">
      <c r="A2045">
        <v>42540</v>
      </c>
      <c r="B2045" t="s">
        <v>4875</v>
      </c>
      <c r="C2045" t="s">
        <v>327</v>
      </c>
      <c r="D2045" t="s">
        <v>159</v>
      </c>
      <c r="E2045" s="1">
        <v>45980</v>
      </c>
      <c r="F2045" t="s">
        <v>4295</v>
      </c>
      <c r="G2045" t="s">
        <v>3184</v>
      </c>
      <c r="H2045" t="s">
        <v>326</v>
      </c>
      <c r="I2045" t="s">
        <v>204</v>
      </c>
      <c r="J2045" s="1">
        <v>54878</v>
      </c>
      <c r="K2045" t="s">
        <v>748</v>
      </c>
      <c r="L2045">
        <v>3321.94</v>
      </c>
      <c r="M2045">
        <v>3321.94</v>
      </c>
      <c r="N2045" t="s">
        <v>719</v>
      </c>
      <c r="O2045" t="s">
        <v>4834</v>
      </c>
      <c r="P2045" t="s">
        <v>4776</v>
      </c>
      <c r="Q2045" t="s">
        <v>4856</v>
      </c>
      <c r="R2045" t="s">
        <v>4773</v>
      </c>
    </row>
    <row r="2046" spans="1:18" x14ac:dyDescent="0.3">
      <c r="A2046">
        <v>2025216</v>
      </c>
      <c r="B2046" t="s">
        <v>4875</v>
      </c>
      <c r="C2046" t="s">
        <v>322</v>
      </c>
      <c r="D2046" t="s">
        <v>158</v>
      </c>
      <c r="E2046" s="1">
        <v>45979</v>
      </c>
      <c r="F2046" t="s">
        <v>4432</v>
      </c>
      <c r="G2046" t="s">
        <v>3124</v>
      </c>
      <c r="H2046" t="s">
        <v>352</v>
      </c>
      <c r="I2046" t="s">
        <v>204</v>
      </c>
      <c r="J2046" s="1">
        <v>46310</v>
      </c>
      <c r="K2046" t="s">
        <v>748</v>
      </c>
      <c r="L2046">
        <v>2898.55</v>
      </c>
      <c r="M2046">
        <v>2898.55</v>
      </c>
      <c r="N2046" t="s">
        <v>710</v>
      </c>
      <c r="O2046" t="s">
        <v>1040</v>
      </c>
      <c r="P2046" t="s">
        <v>4782</v>
      </c>
      <c r="Q2046" t="s">
        <v>4856</v>
      </c>
      <c r="R2046" t="s">
        <v>4773</v>
      </c>
    </row>
    <row r="2047" spans="1:18" x14ac:dyDescent="0.3">
      <c r="A2047">
        <v>345</v>
      </c>
      <c r="B2047" t="s">
        <v>4875</v>
      </c>
      <c r="C2047" t="s">
        <v>319</v>
      </c>
      <c r="D2047" t="s">
        <v>36</v>
      </c>
      <c r="E2047" s="1">
        <v>45979</v>
      </c>
      <c r="F2047" t="s">
        <v>4434</v>
      </c>
      <c r="G2047" t="s">
        <v>3117</v>
      </c>
      <c r="H2047" t="s">
        <v>336</v>
      </c>
      <c r="I2047" t="s">
        <v>204</v>
      </c>
      <c r="J2047" s="1">
        <v>46075</v>
      </c>
      <c r="K2047" t="s">
        <v>748</v>
      </c>
      <c r="L2047">
        <v>21323.040000000001</v>
      </c>
      <c r="M2047">
        <v>21323.040000000001</v>
      </c>
      <c r="N2047" t="s">
        <v>710</v>
      </c>
      <c r="O2047" t="s">
        <v>1040</v>
      </c>
      <c r="P2047" t="s">
        <v>4784</v>
      </c>
      <c r="Q2047" t="s">
        <v>4856</v>
      </c>
      <c r="R2047" t="s">
        <v>4771</v>
      </c>
    </row>
    <row r="2048" spans="1:18" x14ac:dyDescent="0.3">
      <c r="A2048">
        <v>795</v>
      </c>
      <c r="B2048" t="s">
        <v>1034</v>
      </c>
      <c r="C2048" t="s">
        <v>603</v>
      </c>
      <c r="D2048" t="s">
        <v>69</v>
      </c>
      <c r="E2048" s="1">
        <v>45979</v>
      </c>
      <c r="F2048" t="s">
        <v>4345</v>
      </c>
      <c r="G2048" t="s">
        <v>3090</v>
      </c>
      <c r="H2048" t="s">
        <v>602</v>
      </c>
      <c r="I2048" t="s">
        <v>209</v>
      </c>
      <c r="J2048" s="1">
        <v>46276</v>
      </c>
      <c r="K2048" t="s">
        <v>720</v>
      </c>
      <c r="L2048">
        <v>1</v>
      </c>
      <c r="M2048">
        <v>2480</v>
      </c>
      <c r="N2048" t="s">
        <v>954</v>
      </c>
      <c r="O2048" t="s">
        <v>4834</v>
      </c>
      <c r="P2048" t="s">
        <v>952</v>
      </c>
      <c r="Q2048" t="s">
        <v>4901</v>
      </c>
      <c r="R2048" t="s">
        <v>4771</v>
      </c>
    </row>
    <row r="2049" spans="1:18" x14ac:dyDescent="0.3">
      <c r="A2049">
        <v>63409</v>
      </c>
      <c r="B2049" t="s">
        <v>4874</v>
      </c>
      <c r="C2049" t="s">
        <v>514</v>
      </c>
      <c r="D2049" t="s">
        <v>47</v>
      </c>
      <c r="E2049" s="1">
        <v>45979</v>
      </c>
      <c r="F2049" t="s">
        <v>4362</v>
      </c>
      <c r="G2049" t="s">
        <v>3219</v>
      </c>
      <c r="H2049" t="s">
        <v>513</v>
      </c>
      <c r="I2049" t="s">
        <v>204</v>
      </c>
      <c r="J2049" s="1">
        <v>46386</v>
      </c>
      <c r="K2049" t="s">
        <v>762</v>
      </c>
      <c r="L2049">
        <v>6542.6</v>
      </c>
      <c r="M2049">
        <v>6542.6</v>
      </c>
      <c r="N2049" t="s">
        <v>710</v>
      </c>
      <c r="O2049" t="s">
        <v>4833</v>
      </c>
      <c r="P2049" t="s">
        <v>4779</v>
      </c>
      <c r="Q2049" t="s">
        <v>4852</v>
      </c>
    </row>
    <row r="2050" spans="1:18" x14ac:dyDescent="0.3">
      <c r="A2050">
        <v>15822</v>
      </c>
      <c r="B2050" t="s">
        <v>4876</v>
      </c>
      <c r="C2050" t="s">
        <v>439</v>
      </c>
      <c r="D2050" t="s">
        <v>156</v>
      </c>
      <c r="E2050" s="1">
        <v>45979</v>
      </c>
      <c r="F2050" t="s">
        <v>4396</v>
      </c>
      <c r="G2050" t="s">
        <v>3229</v>
      </c>
      <c r="H2050" t="s">
        <v>485</v>
      </c>
      <c r="I2050" t="s">
        <v>204</v>
      </c>
      <c r="J2050" s="1">
        <v>54878</v>
      </c>
      <c r="K2050" t="s">
        <v>839</v>
      </c>
      <c r="L2050">
        <v>5202.24</v>
      </c>
      <c r="M2050">
        <v>5202.24</v>
      </c>
      <c r="N2050" t="s">
        <v>710</v>
      </c>
      <c r="O2050" t="s">
        <v>1037</v>
      </c>
      <c r="P2050" t="s">
        <v>4776</v>
      </c>
      <c r="Q2050" t="s">
        <v>4852</v>
      </c>
      <c r="R2050" t="s">
        <v>4771</v>
      </c>
    </row>
    <row r="2051" spans="1:18" x14ac:dyDescent="0.3">
      <c r="A2051">
        <v>789456</v>
      </c>
      <c r="B2051" t="s">
        <v>1035</v>
      </c>
      <c r="C2051" t="s">
        <v>239</v>
      </c>
      <c r="D2051" t="s">
        <v>199</v>
      </c>
      <c r="E2051" s="1">
        <v>45979</v>
      </c>
      <c r="F2051" t="s">
        <v>4325</v>
      </c>
      <c r="G2051" t="s">
        <v>3233</v>
      </c>
      <c r="H2051" t="s">
        <v>238</v>
      </c>
      <c r="I2051" t="s">
        <v>204</v>
      </c>
      <c r="J2051" s="1">
        <v>54878</v>
      </c>
      <c r="K2051" t="s">
        <v>754</v>
      </c>
      <c r="L2051">
        <v>1</v>
      </c>
      <c r="M2051">
        <v>87.32</v>
      </c>
      <c r="N2051" t="s">
        <v>710</v>
      </c>
      <c r="O2051" t="s">
        <v>4903</v>
      </c>
      <c r="P2051" t="s">
        <v>4779</v>
      </c>
      <c r="Q2051" t="s">
        <v>4858</v>
      </c>
      <c r="R2051" t="s">
        <v>4771</v>
      </c>
    </row>
    <row r="2052" spans="1:18" x14ac:dyDescent="0.3">
      <c r="A2052">
        <v>2240</v>
      </c>
      <c r="B2052" t="s">
        <v>1034</v>
      </c>
      <c r="C2052" t="s">
        <v>451</v>
      </c>
      <c r="D2052" t="s">
        <v>129</v>
      </c>
      <c r="E2052" s="1">
        <v>45979</v>
      </c>
      <c r="F2052" t="s">
        <v>4319</v>
      </c>
      <c r="G2052" t="s">
        <v>3195</v>
      </c>
      <c r="H2052" t="s">
        <v>662</v>
      </c>
      <c r="I2052" t="s">
        <v>204</v>
      </c>
      <c r="J2052" s="1">
        <v>46655</v>
      </c>
      <c r="K2052" t="s">
        <v>717</v>
      </c>
      <c r="L2052">
        <v>1533</v>
      </c>
      <c r="M2052">
        <v>1532.6</v>
      </c>
      <c r="N2052" t="s">
        <v>719</v>
      </c>
      <c r="O2052" t="s">
        <v>4833</v>
      </c>
      <c r="P2052" t="s">
        <v>4802</v>
      </c>
      <c r="Q2052" t="s">
        <v>4852</v>
      </c>
      <c r="R2052" t="s">
        <v>807</v>
      </c>
    </row>
    <row r="2053" spans="1:18" x14ac:dyDescent="0.3">
      <c r="A2053">
        <v>2188</v>
      </c>
      <c r="B2053" t="s">
        <v>1034</v>
      </c>
      <c r="C2053" t="s">
        <v>451</v>
      </c>
      <c r="D2053" t="s">
        <v>129</v>
      </c>
      <c r="E2053" s="1">
        <v>45979</v>
      </c>
      <c r="F2053" t="s">
        <v>4319</v>
      </c>
      <c r="G2053" t="s">
        <v>3195</v>
      </c>
      <c r="H2053" t="s">
        <v>662</v>
      </c>
      <c r="I2053" t="s">
        <v>204</v>
      </c>
      <c r="J2053" s="1">
        <v>46655</v>
      </c>
      <c r="K2053" t="s">
        <v>717</v>
      </c>
      <c r="L2053">
        <v>2618</v>
      </c>
      <c r="M2053">
        <v>2618.17</v>
      </c>
      <c r="N2053" t="s">
        <v>719</v>
      </c>
      <c r="O2053" t="s">
        <v>4833</v>
      </c>
      <c r="P2053" t="s">
        <v>4802</v>
      </c>
      <c r="Q2053" t="s">
        <v>4852</v>
      </c>
      <c r="R2053" t="s">
        <v>807</v>
      </c>
    </row>
    <row r="2054" spans="1:18" x14ac:dyDescent="0.3">
      <c r="A2054">
        <v>2145</v>
      </c>
      <c r="B2054" t="s">
        <v>1034</v>
      </c>
      <c r="C2054" t="s">
        <v>451</v>
      </c>
      <c r="D2054" t="s">
        <v>129</v>
      </c>
      <c r="E2054" s="1">
        <v>45979</v>
      </c>
      <c r="F2054" t="s">
        <v>4319</v>
      </c>
      <c r="G2054" t="s">
        <v>3195</v>
      </c>
      <c r="H2054" t="s">
        <v>662</v>
      </c>
      <c r="I2054" t="s">
        <v>204</v>
      </c>
      <c r="J2054" s="1">
        <v>46655</v>
      </c>
      <c r="K2054" t="s">
        <v>717</v>
      </c>
      <c r="L2054">
        <v>1631</v>
      </c>
      <c r="M2054">
        <v>1630.62</v>
      </c>
      <c r="N2054" t="s">
        <v>719</v>
      </c>
      <c r="O2054" t="s">
        <v>4833</v>
      </c>
      <c r="P2054" t="s">
        <v>4802</v>
      </c>
      <c r="Q2054" t="s">
        <v>4852</v>
      </c>
      <c r="R2054" t="s">
        <v>807</v>
      </c>
    </row>
    <row r="2055" spans="1:18" x14ac:dyDescent="0.3">
      <c r="A2055">
        <v>795</v>
      </c>
      <c r="B2055" t="s">
        <v>1034</v>
      </c>
      <c r="C2055" t="s">
        <v>603</v>
      </c>
      <c r="D2055" t="s">
        <v>69</v>
      </c>
      <c r="E2055" s="1">
        <v>45979</v>
      </c>
      <c r="F2055" t="s">
        <v>4345</v>
      </c>
      <c r="G2055" t="s">
        <v>3090</v>
      </c>
      <c r="H2055" t="s">
        <v>602</v>
      </c>
      <c r="I2055" t="s">
        <v>209</v>
      </c>
      <c r="J2055" s="1">
        <v>46276</v>
      </c>
      <c r="K2055" t="s">
        <v>720</v>
      </c>
      <c r="L2055">
        <v>1</v>
      </c>
      <c r="M2055">
        <v>2281.04</v>
      </c>
      <c r="N2055" t="s">
        <v>954</v>
      </c>
      <c r="O2055" t="s">
        <v>4834</v>
      </c>
      <c r="P2055" t="s">
        <v>952</v>
      </c>
      <c r="Q2055" t="s">
        <v>4901</v>
      </c>
      <c r="R2055" t="s">
        <v>4771</v>
      </c>
    </row>
    <row r="2056" spans="1:18" x14ac:dyDescent="0.3">
      <c r="A2056">
        <v>795</v>
      </c>
      <c r="B2056" t="s">
        <v>1034</v>
      </c>
      <c r="C2056" t="s">
        <v>603</v>
      </c>
      <c r="D2056" t="s">
        <v>69</v>
      </c>
      <c r="E2056" s="1">
        <v>45979</v>
      </c>
      <c r="F2056" t="s">
        <v>4345</v>
      </c>
      <c r="G2056" t="s">
        <v>3090</v>
      </c>
      <c r="H2056" t="s">
        <v>602</v>
      </c>
      <c r="I2056" t="s">
        <v>209</v>
      </c>
      <c r="J2056" s="1">
        <v>46276</v>
      </c>
      <c r="K2056" t="s">
        <v>720</v>
      </c>
      <c r="L2056">
        <v>1</v>
      </c>
      <c r="M2056">
        <v>2480</v>
      </c>
      <c r="N2056" t="s">
        <v>954</v>
      </c>
      <c r="O2056" t="s">
        <v>4834</v>
      </c>
      <c r="P2056" t="s">
        <v>952</v>
      </c>
      <c r="Q2056" t="s">
        <v>4901</v>
      </c>
      <c r="R2056" t="s">
        <v>4771</v>
      </c>
    </row>
    <row r="2057" spans="1:18" x14ac:dyDescent="0.3">
      <c r="A2057">
        <v>1273</v>
      </c>
      <c r="B2057" t="s">
        <v>4874</v>
      </c>
      <c r="C2057" t="s">
        <v>305</v>
      </c>
      <c r="D2057" t="s">
        <v>59</v>
      </c>
      <c r="E2057" s="1">
        <v>45979</v>
      </c>
      <c r="F2057" t="s">
        <v>4359</v>
      </c>
      <c r="G2057" t="s">
        <v>3235</v>
      </c>
      <c r="H2057" t="s">
        <v>304</v>
      </c>
      <c r="I2057" t="s">
        <v>204</v>
      </c>
      <c r="J2057" s="1">
        <v>46481</v>
      </c>
      <c r="K2057" t="s">
        <v>720</v>
      </c>
      <c r="L2057">
        <v>1</v>
      </c>
      <c r="M2057">
        <v>873.74</v>
      </c>
      <c r="N2057" t="s">
        <v>809</v>
      </c>
      <c r="O2057" t="s">
        <v>1038</v>
      </c>
      <c r="P2057" t="s">
        <v>4783</v>
      </c>
      <c r="Q2057" t="s">
        <v>4858</v>
      </c>
      <c r="R2057" t="s">
        <v>4771</v>
      </c>
    </row>
    <row r="2058" spans="1:18" x14ac:dyDescent="0.3">
      <c r="A2058">
        <v>270</v>
      </c>
      <c r="B2058" t="s">
        <v>1034</v>
      </c>
      <c r="C2058" t="s">
        <v>325</v>
      </c>
      <c r="D2058" t="s">
        <v>193</v>
      </c>
      <c r="E2058" s="1">
        <v>45979</v>
      </c>
      <c r="F2058" t="s">
        <v>4297</v>
      </c>
      <c r="G2058" t="s">
        <v>3243</v>
      </c>
      <c r="H2058" t="s">
        <v>324</v>
      </c>
      <c r="I2058" t="s">
        <v>204</v>
      </c>
      <c r="J2058" s="1">
        <v>54878</v>
      </c>
      <c r="K2058" t="s">
        <v>711</v>
      </c>
      <c r="L2058">
        <v>3900</v>
      </c>
      <c r="M2058">
        <v>3900</v>
      </c>
      <c r="N2058" t="s">
        <v>710</v>
      </c>
      <c r="O2058" t="s">
        <v>4844</v>
      </c>
      <c r="P2058" t="s">
        <v>4779</v>
      </c>
      <c r="Q2058" t="s">
        <v>4901</v>
      </c>
      <c r="R2058" t="s">
        <v>4773</v>
      </c>
    </row>
    <row r="2059" spans="1:18" x14ac:dyDescent="0.3">
      <c r="A2059">
        <v>785248</v>
      </c>
      <c r="B2059" t="s">
        <v>4874</v>
      </c>
      <c r="C2059" t="s">
        <v>239</v>
      </c>
      <c r="D2059" t="s">
        <v>199</v>
      </c>
      <c r="E2059" s="1">
        <v>45979</v>
      </c>
      <c r="F2059" t="s">
        <v>4325</v>
      </c>
      <c r="G2059" t="s">
        <v>3232</v>
      </c>
      <c r="H2059" t="s">
        <v>268</v>
      </c>
      <c r="I2059" t="s">
        <v>204</v>
      </c>
      <c r="J2059" s="1">
        <v>46172</v>
      </c>
      <c r="K2059" t="s">
        <v>720</v>
      </c>
      <c r="L2059">
        <v>1</v>
      </c>
      <c r="M2059">
        <v>785.88</v>
      </c>
      <c r="N2059" t="s">
        <v>710</v>
      </c>
      <c r="O2059" t="s">
        <v>1038</v>
      </c>
      <c r="P2059" t="s">
        <v>4779</v>
      </c>
      <c r="Q2059" t="s">
        <v>4858</v>
      </c>
      <c r="R2059" t="s">
        <v>4771</v>
      </c>
    </row>
    <row r="2060" spans="1:18" x14ac:dyDescent="0.3">
      <c r="A2060">
        <v>172</v>
      </c>
      <c r="B2060" t="s">
        <v>4874</v>
      </c>
      <c r="C2060" t="s">
        <v>565</v>
      </c>
      <c r="D2060" t="s">
        <v>113</v>
      </c>
      <c r="E2060" s="1">
        <v>45979</v>
      </c>
      <c r="F2060" t="s">
        <v>4390</v>
      </c>
      <c r="G2060" t="s">
        <v>3234</v>
      </c>
      <c r="H2060" t="s">
        <v>564</v>
      </c>
      <c r="I2060" t="s">
        <v>204</v>
      </c>
      <c r="J2060" s="1">
        <v>46386</v>
      </c>
      <c r="K2060" t="s">
        <v>720</v>
      </c>
      <c r="L2060">
        <v>1</v>
      </c>
      <c r="M2060">
        <v>5200</v>
      </c>
      <c r="N2060" t="s">
        <v>710</v>
      </c>
      <c r="O2060" t="s">
        <v>1038</v>
      </c>
      <c r="P2060" t="s">
        <v>4777</v>
      </c>
      <c r="Q2060" t="s">
        <v>4858</v>
      </c>
      <c r="R2060" t="s">
        <v>4771</v>
      </c>
    </row>
    <row r="2061" spans="1:18" x14ac:dyDescent="0.3">
      <c r="A2061">
        <v>845165</v>
      </c>
      <c r="B2061" t="s">
        <v>1034</v>
      </c>
      <c r="C2061" t="s">
        <v>276</v>
      </c>
      <c r="D2061" t="s">
        <v>5</v>
      </c>
      <c r="E2061" s="1">
        <v>45979</v>
      </c>
      <c r="F2061" t="s">
        <v>4315</v>
      </c>
      <c r="G2061" t="s">
        <v>3231</v>
      </c>
      <c r="H2061" t="s">
        <v>275</v>
      </c>
      <c r="I2061" t="s">
        <v>204</v>
      </c>
      <c r="J2061" s="1">
        <v>46904</v>
      </c>
      <c r="K2061" t="s">
        <v>717</v>
      </c>
      <c r="L2061">
        <v>36104.26</v>
      </c>
      <c r="M2061">
        <v>36104.26</v>
      </c>
      <c r="N2061" t="s">
        <v>710</v>
      </c>
      <c r="O2061" t="s">
        <v>1037</v>
      </c>
      <c r="P2061" t="s">
        <v>4776</v>
      </c>
      <c r="Q2061" t="s">
        <v>4852</v>
      </c>
      <c r="R2061" t="s">
        <v>4773</v>
      </c>
    </row>
    <row r="2062" spans="1:18" x14ac:dyDescent="0.3">
      <c r="A2062">
        <v>31463</v>
      </c>
      <c r="B2062" t="s">
        <v>4874</v>
      </c>
      <c r="C2062" t="s">
        <v>261</v>
      </c>
      <c r="D2062" t="s">
        <v>167</v>
      </c>
      <c r="E2062" s="1">
        <v>45979</v>
      </c>
      <c r="F2062" t="s">
        <v>4402</v>
      </c>
      <c r="G2062" t="s">
        <v>2104</v>
      </c>
      <c r="H2062" t="s">
        <v>290</v>
      </c>
      <c r="I2062" t="s">
        <v>204</v>
      </c>
      <c r="J2062" s="1">
        <v>46264</v>
      </c>
      <c r="K2062" t="s">
        <v>720</v>
      </c>
      <c r="L2062">
        <v>10734.03</v>
      </c>
      <c r="M2062">
        <v>10734.03</v>
      </c>
      <c r="N2062" t="s">
        <v>710</v>
      </c>
      <c r="O2062" t="s">
        <v>4849</v>
      </c>
      <c r="P2062" t="s">
        <v>4804</v>
      </c>
      <c r="Q2062" t="s">
        <v>4855</v>
      </c>
      <c r="R2062" t="s">
        <v>4773</v>
      </c>
    </row>
    <row r="2063" spans="1:18" x14ac:dyDescent="0.3">
      <c r="A2063">
        <v>5052</v>
      </c>
      <c r="B2063" t="s">
        <v>4874</v>
      </c>
      <c r="C2063" t="s">
        <v>456</v>
      </c>
      <c r="D2063" t="s">
        <v>71</v>
      </c>
      <c r="E2063" s="1">
        <v>45979</v>
      </c>
      <c r="F2063" t="s">
        <v>4401</v>
      </c>
      <c r="G2063" t="s">
        <v>3211</v>
      </c>
      <c r="H2063" t="s">
        <v>455</v>
      </c>
      <c r="I2063" t="s">
        <v>204</v>
      </c>
      <c r="J2063" s="1">
        <v>54878</v>
      </c>
      <c r="K2063" t="s">
        <v>762</v>
      </c>
      <c r="L2063">
        <v>6885.9</v>
      </c>
      <c r="M2063">
        <v>6885.9</v>
      </c>
      <c r="N2063" t="s">
        <v>710</v>
      </c>
      <c r="O2063" t="s">
        <v>1042</v>
      </c>
      <c r="P2063" t="s">
        <v>1006</v>
      </c>
      <c r="Q2063" t="s">
        <v>4852</v>
      </c>
      <c r="R2063" t="s">
        <v>4771</v>
      </c>
    </row>
    <row r="2064" spans="1:18" x14ac:dyDescent="0.3">
      <c r="A2064">
        <v>164801</v>
      </c>
      <c r="B2064" t="s">
        <v>4874</v>
      </c>
      <c r="C2064" t="s">
        <v>433</v>
      </c>
      <c r="D2064" t="s">
        <v>168</v>
      </c>
      <c r="E2064" s="1">
        <v>45979</v>
      </c>
      <c r="F2064" t="s">
        <v>4319</v>
      </c>
      <c r="G2064" t="s">
        <v>3194</v>
      </c>
      <c r="H2064" t="s">
        <v>432</v>
      </c>
      <c r="I2064" t="s">
        <v>204</v>
      </c>
      <c r="J2064" s="1">
        <v>46473</v>
      </c>
      <c r="K2064" t="s">
        <v>762</v>
      </c>
      <c r="L2064">
        <v>4488</v>
      </c>
      <c r="M2064">
        <v>4487.79</v>
      </c>
      <c r="N2064" t="s">
        <v>710</v>
      </c>
      <c r="O2064" t="s">
        <v>4833</v>
      </c>
      <c r="P2064" t="s">
        <v>4802</v>
      </c>
      <c r="Q2064" t="s">
        <v>4852</v>
      </c>
      <c r="R2064" t="s">
        <v>4771</v>
      </c>
    </row>
    <row r="2065" spans="1:18" x14ac:dyDescent="0.3">
      <c r="A2065">
        <v>15823</v>
      </c>
      <c r="B2065" t="s">
        <v>4874</v>
      </c>
      <c r="C2065" t="s">
        <v>439</v>
      </c>
      <c r="D2065" t="s">
        <v>156</v>
      </c>
      <c r="E2065" s="1">
        <v>45979</v>
      </c>
      <c r="F2065" t="s">
        <v>4396</v>
      </c>
      <c r="G2065" t="s">
        <v>3230</v>
      </c>
      <c r="H2065" t="s">
        <v>438</v>
      </c>
      <c r="I2065" t="s">
        <v>204</v>
      </c>
      <c r="J2065" s="1">
        <v>46265</v>
      </c>
      <c r="K2065" t="s">
        <v>762</v>
      </c>
      <c r="L2065">
        <v>20843.41</v>
      </c>
      <c r="M2065">
        <v>20843.41</v>
      </c>
      <c r="N2065" t="s">
        <v>710</v>
      </c>
      <c r="O2065" t="s">
        <v>1037</v>
      </c>
      <c r="P2065" t="s">
        <v>4789</v>
      </c>
      <c r="Q2065" t="s">
        <v>4852</v>
      </c>
      <c r="R2065" t="s">
        <v>4771</v>
      </c>
    </row>
    <row r="2066" spans="1:18" x14ac:dyDescent="0.3">
      <c r="A2066">
        <v>13191</v>
      </c>
      <c r="B2066" t="s">
        <v>4875</v>
      </c>
      <c r="C2066" t="s">
        <v>609</v>
      </c>
      <c r="D2066" t="s">
        <v>182</v>
      </c>
      <c r="E2066" s="1">
        <v>45978</v>
      </c>
      <c r="F2066" t="s">
        <v>4336</v>
      </c>
      <c r="G2066" t="s">
        <v>3167</v>
      </c>
      <c r="H2066" t="s">
        <v>610</v>
      </c>
      <c r="I2066" t="s">
        <v>204</v>
      </c>
      <c r="J2066" s="1">
        <v>46282</v>
      </c>
      <c r="K2066" t="s">
        <v>768</v>
      </c>
      <c r="L2066">
        <v>1</v>
      </c>
      <c r="M2066">
        <v>7042.09</v>
      </c>
      <c r="N2066" t="s">
        <v>710</v>
      </c>
      <c r="O2066" t="s">
        <v>1037</v>
      </c>
      <c r="P2066" t="s">
        <v>4794</v>
      </c>
      <c r="Q2066" t="s">
        <v>4852</v>
      </c>
      <c r="R2066" t="s">
        <v>4772</v>
      </c>
    </row>
    <row r="2067" spans="1:18" x14ac:dyDescent="0.3">
      <c r="A2067">
        <v>11326</v>
      </c>
      <c r="B2067" t="s">
        <v>4875</v>
      </c>
      <c r="C2067" t="s">
        <v>609</v>
      </c>
      <c r="D2067" t="s">
        <v>182</v>
      </c>
      <c r="E2067" s="1">
        <v>45978</v>
      </c>
      <c r="F2067" t="s">
        <v>4336</v>
      </c>
      <c r="G2067" t="s">
        <v>3168</v>
      </c>
      <c r="H2067" t="s">
        <v>610</v>
      </c>
      <c r="I2067" t="s">
        <v>204</v>
      </c>
      <c r="J2067" s="1">
        <v>46282</v>
      </c>
      <c r="K2067" t="s">
        <v>768</v>
      </c>
      <c r="L2067">
        <v>1</v>
      </c>
      <c r="M2067">
        <v>63966</v>
      </c>
      <c r="N2067" t="s">
        <v>710</v>
      </c>
      <c r="O2067" t="s">
        <v>1037</v>
      </c>
      <c r="P2067" t="s">
        <v>4794</v>
      </c>
      <c r="Q2067" t="s">
        <v>4852</v>
      </c>
      <c r="R2067" t="s">
        <v>4772</v>
      </c>
    </row>
    <row r="2068" spans="1:18" x14ac:dyDescent="0.3">
      <c r="A2068">
        <v>48659</v>
      </c>
      <c r="B2068" t="s">
        <v>1034</v>
      </c>
      <c r="C2068" t="s">
        <v>497</v>
      </c>
      <c r="D2068" t="s">
        <v>58</v>
      </c>
      <c r="E2068" s="1">
        <v>45978</v>
      </c>
      <c r="F2068" t="s">
        <v>4316</v>
      </c>
      <c r="G2068" t="s">
        <v>3189</v>
      </c>
      <c r="H2068" t="s">
        <v>498</v>
      </c>
      <c r="I2068" t="s">
        <v>204</v>
      </c>
      <c r="J2068" s="1">
        <v>46265</v>
      </c>
      <c r="K2068" t="s">
        <v>717</v>
      </c>
      <c r="L2068">
        <v>1</v>
      </c>
      <c r="M2068">
        <v>1288.8599999999999</v>
      </c>
      <c r="N2068" t="s">
        <v>710</v>
      </c>
      <c r="O2068" t="s">
        <v>4833</v>
      </c>
      <c r="P2068" t="s">
        <v>4776</v>
      </c>
      <c r="Q2068" t="s">
        <v>4852</v>
      </c>
      <c r="R2068" t="s">
        <v>4773</v>
      </c>
    </row>
    <row r="2069" spans="1:18" x14ac:dyDescent="0.3">
      <c r="A2069">
        <v>29932</v>
      </c>
      <c r="B2069" t="s">
        <v>1034</v>
      </c>
      <c r="C2069" t="s">
        <v>660</v>
      </c>
      <c r="D2069" t="s">
        <v>96</v>
      </c>
      <c r="E2069" s="1">
        <v>45978</v>
      </c>
      <c r="F2069" t="s">
        <v>4378</v>
      </c>
      <c r="G2069" t="s">
        <v>2842</v>
      </c>
      <c r="H2069" t="s">
        <v>661</v>
      </c>
      <c r="I2069" t="s">
        <v>204</v>
      </c>
      <c r="J2069" s="1">
        <v>46537</v>
      </c>
      <c r="K2069" t="s">
        <v>717</v>
      </c>
      <c r="L2069">
        <v>1</v>
      </c>
      <c r="M2069">
        <v>40349.85</v>
      </c>
      <c r="N2069" t="s">
        <v>710</v>
      </c>
      <c r="O2069" t="s">
        <v>4902</v>
      </c>
      <c r="P2069" t="s">
        <v>4776</v>
      </c>
      <c r="Q2069" t="s">
        <v>4852</v>
      </c>
      <c r="R2069" t="s">
        <v>807</v>
      </c>
    </row>
    <row r="2070" spans="1:18" x14ac:dyDescent="0.3">
      <c r="A2070">
        <v>13192</v>
      </c>
      <c r="B2070" t="s">
        <v>1034</v>
      </c>
      <c r="C2070" t="s">
        <v>609</v>
      </c>
      <c r="D2070" t="s">
        <v>182</v>
      </c>
      <c r="E2070" s="1">
        <v>45978</v>
      </c>
      <c r="F2070" t="s">
        <v>4336</v>
      </c>
      <c r="G2070" t="s">
        <v>3171</v>
      </c>
      <c r="H2070" t="s">
        <v>608</v>
      </c>
      <c r="I2070" t="s">
        <v>204</v>
      </c>
      <c r="J2070" s="1">
        <v>46281</v>
      </c>
      <c r="K2070" t="s">
        <v>717</v>
      </c>
      <c r="L2070">
        <v>1</v>
      </c>
      <c r="M2070">
        <v>31740.42</v>
      </c>
      <c r="N2070" t="s">
        <v>719</v>
      </c>
      <c r="O2070" t="s">
        <v>1037</v>
      </c>
      <c r="P2070" t="s">
        <v>4794</v>
      </c>
      <c r="Q2070" t="s">
        <v>4852</v>
      </c>
      <c r="R2070" t="s">
        <v>4772</v>
      </c>
    </row>
    <row r="2071" spans="1:18" x14ac:dyDescent="0.3">
      <c r="A2071">
        <v>2025214</v>
      </c>
      <c r="B2071" t="s">
        <v>4875</v>
      </c>
      <c r="C2071" t="s">
        <v>322</v>
      </c>
      <c r="D2071" t="s">
        <v>158</v>
      </c>
      <c r="E2071" s="1">
        <v>45978</v>
      </c>
      <c r="F2071" t="s">
        <v>4433</v>
      </c>
      <c r="G2071" t="s">
        <v>3120</v>
      </c>
      <c r="H2071" t="s">
        <v>346</v>
      </c>
      <c r="I2071" t="s">
        <v>204</v>
      </c>
      <c r="J2071" s="1">
        <v>46310</v>
      </c>
      <c r="K2071" t="s">
        <v>748</v>
      </c>
      <c r="L2071">
        <v>1</v>
      </c>
      <c r="M2071">
        <v>21660</v>
      </c>
      <c r="N2071" t="s">
        <v>710</v>
      </c>
      <c r="O2071" t="s">
        <v>1040</v>
      </c>
      <c r="P2071" t="s">
        <v>4782</v>
      </c>
      <c r="Q2071" t="s">
        <v>4856</v>
      </c>
      <c r="R2071" t="s">
        <v>4773</v>
      </c>
    </row>
    <row r="2072" spans="1:18" x14ac:dyDescent="0.3">
      <c r="A2072">
        <v>11327</v>
      </c>
      <c r="B2072" t="s">
        <v>1034</v>
      </c>
      <c r="C2072" t="s">
        <v>609</v>
      </c>
      <c r="D2072" t="s">
        <v>182</v>
      </c>
      <c r="E2072" s="1">
        <v>45978</v>
      </c>
      <c r="F2072" t="s">
        <v>4336</v>
      </c>
      <c r="G2072" t="s">
        <v>3169</v>
      </c>
      <c r="H2072" t="s">
        <v>608</v>
      </c>
      <c r="I2072" t="s">
        <v>204</v>
      </c>
      <c r="J2072" s="1">
        <v>46281</v>
      </c>
      <c r="K2072" t="s">
        <v>717</v>
      </c>
      <c r="L2072">
        <v>1</v>
      </c>
      <c r="M2072">
        <v>220294.83</v>
      </c>
      <c r="N2072" t="s">
        <v>719</v>
      </c>
      <c r="O2072" t="s">
        <v>1037</v>
      </c>
      <c r="P2072" t="s">
        <v>4794</v>
      </c>
      <c r="Q2072" t="s">
        <v>4852</v>
      </c>
      <c r="R2072" t="s">
        <v>4772</v>
      </c>
    </row>
    <row r="2073" spans="1:18" x14ac:dyDescent="0.3">
      <c r="A2073">
        <v>27129</v>
      </c>
      <c r="B2073" t="s">
        <v>4874</v>
      </c>
      <c r="C2073" t="s">
        <v>592</v>
      </c>
      <c r="D2073" t="s">
        <v>8</v>
      </c>
      <c r="E2073" s="1">
        <v>45978</v>
      </c>
      <c r="F2073" t="s">
        <v>4352</v>
      </c>
      <c r="G2073" t="s">
        <v>3218</v>
      </c>
      <c r="H2073" t="s">
        <v>601</v>
      </c>
      <c r="I2073" t="s">
        <v>209</v>
      </c>
      <c r="J2073" s="1">
        <v>45945</v>
      </c>
      <c r="K2073" t="s">
        <v>762</v>
      </c>
      <c r="L2073">
        <v>1260</v>
      </c>
      <c r="M2073">
        <v>1260</v>
      </c>
      <c r="N2073" t="s">
        <v>890</v>
      </c>
      <c r="O2073" t="s">
        <v>4833</v>
      </c>
      <c r="P2073" t="s">
        <v>950</v>
      </c>
      <c r="Q2073" t="s">
        <v>4852</v>
      </c>
      <c r="R2073" t="s">
        <v>807</v>
      </c>
    </row>
    <row r="2074" spans="1:18" x14ac:dyDescent="0.3">
      <c r="A2074">
        <v>16</v>
      </c>
      <c r="B2074" t="s">
        <v>4874</v>
      </c>
      <c r="C2074" t="s">
        <v>664</v>
      </c>
      <c r="D2074" t="s">
        <v>83</v>
      </c>
      <c r="E2074" s="1">
        <v>45978</v>
      </c>
      <c r="F2074" t="s">
        <v>4399</v>
      </c>
      <c r="G2074" t="s">
        <v>3202</v>
      </c>
      <c r="H2074" t="s">
        <v>663</v>
      </c>
      <c r="I2074" t="s">
        <v>204</v>
      </c>
      <c r="J2074" s="1">
        <v>46660</v>
      </c>
      <c r="K2074" t="s">
        <v>762</v>
      </c>
      <c r="L2074">
        <v>58433.81</v>
      </c>
      <c r="M2074">
        <v>58433.81</v>
      </c>
      <c r="N2074" t="s">
        <v>710</v>
      </c>
      <c r="O2074" t="s">
        <v>1037</v>
      </c>
      <c r="P2074" t="s">
        <v>850</v>
      </c>
      <c r="Q2074" t="s">
        <v>4852</v>
      </c>
      <c r="R2074" t="s">
        <v>807</v>
      </c>
    </row>
    <row r="2075" spans="1:18" x14ac:dyDescent="0.3">
      <c r="A2075">
        <v>2025215</v>
      </c>
      <c r="B2075" t="s">
        <v>4875</v>
      </c>
      <c r="C2075" t="s">
        <v>322</v>
      </c>
      <c r="D2075" t="s">
        <v>158</v>
      </c>
      <c r="E2075" s="1">
        <v>45978</v>
      </c>
      <c r="F2075" t="s">
        <v>4431</v>
      </c>
      <c r="G2075" t="s">
        <v>3123</v>
      </c>
      <c r="H2075" t="s">
        <v>321</v>
      </c>
      <c r="I2075" t="s">
        <v>204</v>
      </c>
      <c r="J2075" s="1">
        <v>46310</v>
      </c>
      <c r="K2075" t="s">
        <v>748</v>
      </c>
      <c r="L2075">
        <v>9807.4500000000007</v>
      </c>
      <c r="M2075">
        <v>9807.4500000000007</v>
      </c>
      <c r="N2075" t="s">
        <v>710</v>
      </c>
      <c r="O2075" t="s">
        <v>1040</v>
      </c>
      <c r="P2075" t="s">
        <v>4782</v>
      </c>
      <c r="Q2075" t="s">
        <v>4856</v>
      </c>
      <c r="R2075" t="s">
        <v>4773</v>
      </c>
    </row>
    <row r="2076" spans="1:18" x14ac:dyDescent="0.3">
      <c r="A2076">
        <v>600109</v>
      </c>
      <c r="B2076" t="s">
        <v>4874</v>
      </c>
      <c r="C2076" t="s">
        <v>333</v>
      </c>
      <c r="D2076" t="s">
        <v>29</v>
      </c>
      <c r="E2076" s="1">
        <v>45975</v>
      </c>
      <c r="F2076" t="s">
        <v>4317</v>
      </c>
      <c r="G2076" t="s">
        <v>3213</v>
      </c>
      <c r="H2076" t="s">
        <v>460</v>
      </c>
      <c r="I2076" t="s">
        <v>204</v>
      </c>
      <c r="J2076" s="1">
        <v>54878</v>
      </c>
      <c r="K2076" t="s">
        <v>785</v>
      </c>
      <c r="L2076">
        <v>1</v>
      </c>
      <c r="M2076">
        <v>66.22</v>
      </c>
      <c r="N2076" t="s">
        <v>710</v>
      </c>
      <c r="O2076" t="s">
        <v>1038</v>
      </c>
      <c r="P2076" t="s">
        <v>4776</v>
      </c>
      <c r="Q2076" t="s">
        <v>4858</v>
      </c>
      <c r="R2076" t="s">
        <v>4771</v>
      </c>
    </row>
    <row r="2077" spans="1:18" x14ac:dyDescent="0.3">
      <c r="A2077">
        <v>2746</v>
      </c>
      <c r="B2077" t="s">
        <v>4874</v>
      </c>
      <c r="C2077" t="s">
        <v>630</v>
      </c>
      <c r="D2077" t="s">
        <v>145</v>
      </c>
      <c r="E2077" s="1">
        <v>45975</v>
      </c>
      <c r="F2077" t="s">
        <v>4300</v>
      </c>
      <c r="G2077" t="s">
        <v>3200</v>
      </c>
      <c r="H2077" t="s">
        <v>629</v>
      </c>
      <c r="I2077" t="s">
        <v>204</v>
      </c>
      <c r="J2077" s="1">
        <v>46264</v>
      </c>
      <c r="K2077" t="s">
        <v>720</v>
      </c>
      <c r="L2077">
        <v>1</v>
      </c>
      <c r="M2077">
        <v>-18000</v>
      </c>
      <c r="N2077" t="s">
        <v>710</v>
      </c>
      <c r="O2077" t="s">
        <v>4849</v>
      </c>
      <c r="P2077" t="s">
        <v>4777</v>
      </c>
      <c r="Q2077" t="s">
        <v>4855</v>
      </c>
      <c r="R2077" t="s">
        <v>4771</v>
      </c>
    </row>
    <row r="2078" spans="1:18" x14ac:dyDescent="0.3">
      <c r="A2078">
        <v>344737</v>
      </c>
      <c r="B2078" t="s">
        <v>4874</v>
      </c>
      <c r="C2078" t="s">
        <v>298</v>
      </c>
      <c r="D2078" t="s">
        <v>11</v>
      </c>
      <c r="E2078" s="1">
        <v>45975</v>
      </c>
      <c r="F2078" t="s">
        <v>4297</v>
      </c>
      <c r="G2078" t="s">
        <v>3178</v>
      </c>
      <c r="H2078" t="s">
        <v>297</v>
      </c>
      <c r="I2078" t="s">
        <v>204</v>
      </c>
      <c r="J2078" s="1">
        <v>54878</v>
      </c>
      <c r="K2078" t="s">
        <v>720</v>
      </c>
      <c r="L2078">
        <v>1</v>
      </c>
      <c r="M2078">
        <v>1225.32</v>
      </c>
      <c r="N2078" t="s">
        <v>710</v>
      </c>
      <c r="O2078" t="s">
        <v>1038</v>
      </c>
      <c r="P2078" t="s">
        <v>4779</v>
      </c>
      <c r="Q2078" t="s">
        <v>4858</v>
      </c>
      <c r="R2078" t="s">
        <v>4771</v>
      </c>
    </row>
    <row r="2079" spans="1:18" x14ac:dyDescent="0.3">
      <c r="A2079">
        <v>7291</v>
      </c>
      <c r="B2079" t="s">
        <v>4874</v>
      </c>
      <c r="C2079" t="s">
        <v>628</v>
      </c>
      <c r="D2079" t="s">
        <v>25</v>
      </c>
      <c r="E2079" s="1">
        <v>45975</v>
      </c>
      <c r="F2079" t="s">
        <v>4415</v>
      </c>
      <c r="G2079" t="s">
        <v>3092</v>
      </c>
      <c r="H2079" t="s">
        <v>627</v>
      </c>
      <c r="I2079" t="s">
        <v>209</v>
      </c>
      <c r="J2079" s="1">
        <v>46476</v>
      </c>
      <c r="K2079" t="s">
        <v>720</v>
      </c>
      <c r="L2079">
        <v>1</v>
      </c>
      <c r="M2079">
        <v>380</v>
      </c>
      <c r="N2079" t="s">
        <v>710</v>
      </c>
      <c r="O2079" t="s">
        <v>1038</v>
      </c>
      <c r="P2079" t="s">
        <v>4776</v>
      </c>
      <c r="Q2079" t="s">
        <v>4858</v>
      </c>
      <c r="R2079" t="s">
        <v>4771</v>
      </c>
    </row>
    <row r="2080" spans="1:18" x14ac:dyDescent="0.3">
      <c r="A2080">
        <v>62255</v>
      </c>
      <c r="B2080" t="s">
        <v>4874</v>
      </c>
      <c r="C2080" t="s">
        <v>437</v>
      </c>
      <c r="D2080" t="s">
        <v>150</v>
      </c>
      <c r="E2080" s="1">
        <v>45975</v>
      </c>
      <c r="F2080" t="s">
        <v>4395</v>
      </c>
      <c r="G2080" t="s">
        <v>3210</v>
      </c>
      <c r="H2080" t="s">
        <v>436</v>
      </c>
      <c r="I2080" t="s">
        <v>204</v>
      </c>
      <c r="J2080" s="1">
        <v>54878</v>
      </c>
      <c r="K2080" t="s">
        <v>762</v>
      </c>
      <c r="L2080">
        <v>876</v>
      </c>
      <c r="M2080">
        <v>876</v>
      </c>
      <c r="N2080" t="s">
        <v>719</v>
      </c>
      <c r="O2080" t="s">
        <v>1037</v>
      </c>
      <c r="P2080" t="s">
        <v>4788</v>
      </c>
      <c r="Q2080" t="s">
        <v>4852</v>
      </c>
      <c r="R2080" t="s">
        <v>4771</v>
      </c>
    </row>
    <row r="2081" spans="1:18" x14ac:dyDescent="0.3">
      <c r="A2081">
        <v>2746</v>
      </c>
      <c r="B2081" t="s">
        <v>4874</v>
      </c>
      <c r="C2081" t="s">
        <v>630</v>
      </c>
      <c r="D2081" t="s">
        <v>145</v>
      </c>
      <c r="E2081" s="1">
        <v>45975</v>
      </c>
      <c r="F2081" t="s">
        <v>4300</v>
      </c>
      <c r="G2081" t="s">
        <v>3200</v>
      </c>
      <c r="H2081" t="s">
        <v>629</v>
      </c>
      <c r="I2081" t="s">
        <v>204</v>
      </c>
      <c r="J2081" s="1">
        <v>46264</v>
      </c>
      <c r="K2081" t="s">
        <v>720</v>
      </c>
      <c r="L2081">
        <v>1</v>
      </c>
      <c r="M2081">
        <v>18000</v>
      </c>
      <c r="N2081" t="s">
        <v>710</v>
      </c>
      <c r="O2081" t="s">
        <v>4849</v>
      </c>
      <c r="P2081" t="s">
        <v>4777</v>
      </c>
      <c r="Q2081" t="s">
        <v>4855</v>
      </c>
      <c r="R2081" t="s">
        <v>4771</v>
      </c>
    </row>
    <row r="2082" spans="1:18" x14ac:dyDescent="0.3">
      <c r="A2082">
        <v>7291</v>
      </c>
      <c r="B2082" t="s">
        <v>4874</v>
      </c>
      <c r="C2082" t="s">
        <v>628</v>
      </c>
      <c r="D2082" t="s">
        <v>25</v>
      </c>
      <c r="E2082" s="1">
        <v>45975</v>
      </c>
      <c r="F2082" t="s">
        <v>4415</v>
      </c>
      <c r="G2082" t="s">
        <v>3092</v>
      </c>
      <c r="H2082" t="s">
        <v>627</v>
      </c>
      <c r="I2082" t="s">
        <v>209</v>
      </c>
      <c r="J2082" s="1">
        <v>46476</v>
      </c>
      <c r="K2082" t="s">
        <v>720</v>
      </c>
      <c r="L2082">
        <v>1</v>
      </c>
      <c r="M2082">
        <v>380</v>
      </c>
      <c r="N2082" t="s">
        <v>710</v>
      </c>
      <c r="O2082" t="s">
        <v>1038</v>
      </c>
      <c r="P2082" t="s">
        <v>4776</v>
      </c>
      <c r="Q2082" t="s">
        <v>4858</v>
      </c>
      <c r="R2082" t="s">
        <v>4771</v>
      </c>
    </row>
    <row r="2083" spans="1:18" x14ac:dyDescent="0.3">
      <c r="A2083">
        <v>26890</v>
      </c>
      <c r="B2083" t="s">
        <v>4874</v>
      </c>
      <c r="C2083" t="s">
        <v>592</v>
      </c>
      <c r="D2083" t="s">
        <v>8</v>
      </c>
      <c r="E2083" s="1">
        <v>45975</v>
      </c>
      <c r="F2083" t="s">
        <v>4363</v>
      </c>
      <c r="G2083" t="s">
        <v>3217</v>
      </c>
      <c r="H2083" t="s">
        <v>601</v>
      </c>
      <c r="I2083" t="s">
        <v>209</v>
      </c>
      <c r="J2083" s="1">
        <v>45945</v>
      </c>
      <c r="K2083" t="s">
        <v>762</v>
      </c>
      <c r="L2083">
        <v>653.08000000000004</v>
      </c>
      <c r="M2083">
        <v>653.08000000000004</v>
      </c>
      <c r="N2083" t="s">
        <v>890</v>
      </c>
      <c r="O2083" t="s">
        <v>4833</v>
      </c>
      <c r="P2083" t="s">
        <v>950</v>
      </c>
      <c r="Q2083" t="s">
        <v>4852</v>
      </c>
      <c r="R2083" t="s">
        <v>807</v>
      </c>
    </row>
    <row r="2084" spans="1:18" x14ac:dyDescent="0.3">
      <c r="A2084">
        <v>4948</v>
      </c>
      <c r="B2084" t="s">
        <v>4875</v>
      </c>
      <c r="C2084" t="s">
        <v>319</v>
      </c>
      <c r="D2084" t="s">
        <v>36</v>
      </c>
      <c r="E2084" s="1">
        <v>45975</v>
      </c>
      <c r="F2084" t="s">
        <v>4298</v>
      </c>
      <c r="G2084" t="s">
        <v>3206</v>
      </c>
      <c r="H2084" t="s">
        <v>336</v>
      </c>
      <c r="I2084" t="s">
        <v>204</v>
      </c>
      <c r="J2084" s="1">
        <v>46075</v>
      </c>
      <c r="K2084" t="s">
        <v>748</v>
      </c>
      <c r="L2084">
        <v>2</v>
      </c>
      <c r="M2084">
        <v>373.08</v>
      </c>
      <c r="N2084" t="s">
        <v>710</v>
      </c>
      <c r="O2084" t="s">
        <v>1040</v>
      </c>
      <c r="P2084" t="s">
        <v>4784</v>
      </c>
      <c r="Q2084" t="s">
        <v>4856</v>
      </c>
      <c r="R2084" t="s">
        <v>4771</v>
      </c>
    </row>
    <row r="2085" spans="1:18" x14ac:dyDescent="0.3">
      <c r="A2085">
        <v>9201</v>
      </c>
      <c r="B2085" t="s">
        <v>1034</v>
      </c>
      <c r="C2085" t="s">
        <v>267</v>
      </c>
      <c r="D2085" t="s">
        <v>186</v>
      </c>
      <c r="E2085" s="1">
        <v>45975</v>
      </c>
      <c r="F2085" t="s">
        <v>4350</v>
      </c>
      <c r="G2085" t="s">
        <v>3188</v>
      </c>
      <c r="H2085" t="s">
        <v>266</v>
      </c>
      <c r="I2085" t="s">
        <v>204</v>
      </c>
      <c r="J2085" s="1">
        <v>46259</v>
      </c>
      <c r="K2085" t="s">
        <v>717</v>
      </c>
      <c r="L2085">
        <v>1</v>
      </c>
      <c r="M2085">
        <v>27600</v>
      </c>
      <c r="N2085" t="s">
        <v>710</v>
      </c>
      <c r="O2085" t="s">
        <v>1037</v>
      </c>
      <c r="P2085" t="s">
        <v>4780</v>
      </c>
      <c r="Q2085" t="s">
        <v>4852</v>
      </c>
      <c r="R2085" t="s">
        <v>4772</v>
      </c>
    </row>
    <row r="2086" spans="1:18" x14ac:dyDescent="0.3">
      <c r="A2086">
        <v>602403</v>
      </c>
      <c r="B2086" t="s">
        <v>4875</v>
      </c>
      <c r="C2086" t="s">
        <v>333</v>
      </c>
      <c r="D2086" t="s">
        <v>29</v>
      </c>
      <c r="E2086" s="1">
        <v>45975</v>
      </c>
      <c r="F2086" t="s">
        <v>4317</v>
      </c>
      <c r="G2086" t="s">
        <v>3214</v>
      </c>
      <c r="H2086" t="s">
        <v>335</v>
      </c>
      <c r="I2086" t="s">
        <v>204</v>
      </c>
      <c r="J2086" s="1">
        <v>54878</v>
      </c>
      <c r="K2086" t="s">
        <v>748</v>
      </c>
      <c r="L2086">
        <v>51</v>
      </c>
      <c r="M2086">
        <v>50.51</v>
      </c>
      <c r="N2086" t="s">
        <v>710</v>
      </c>
      <c r="O2086" t="s">
        <v>1040</v>
      </c>
      <c r="P2086" t="s">
        <v>4776</v>
      </c>
      <c r="Q2086" t="s">
        <v>4856</v>
      </c>
      <c r="R2086" t="s">
        <v>4771</v>
      </c>
    </row>
    <row r="2087" spans="1:18" x14ac:dyDescent="0.3">
      <c r="A2087">
        <v>9202</v>
      </c>
      <c r="B2087" t="s">
        <v>1034</v>
      </c>
      <c r="C2087" t="s">
        <v>267</v>
      </c>
      <c r="D2087" t="s">
        <v>186</v>
      </c>
      <c r="E2087" s="1">
        <v>45975</v>
      </c>
      <c r="F2087" t="s">
        <v>4350</v>
      </c>
      <c r="G2087" t="s">
        <v>3188</v>
      </c>
      <c r="H2087" t="s">
        <v>266</v>
      </c>
      <c r="I2087" t="s">
        <v>204</v>
      </c>
      <c r="J2087" s="1">
        <v>46259</v>
      </c>
      <c r="K2087" t="s">
        <v>717</v>
      </c>
      <c r="L2087">
        <v>1</v>
      </c>
      <c r="M2087">
        <v>16935.36</v>
      </c>
      <c r="N2087" t="s">
        <v>710</v>
      </c>
      <c r="O2087" t="s">
        <v>1037</v>
      </c>
      <c r="P2087" t="s">
        <v>4780</v>
      </c>
      <c r="Q2087" t="s">
        <v>4852</v>
      </c>
      <c r="R2087" t="s">
        <v>4772</v>
      </c>
    </row>
    <row r="2088" spans="1:18" x14ac:dyDescent="0.3">
      <c r="A2088">
        <v>9203</v>
      </c>
      <c r="B2088" t="s">
        <v>1034</v>
      </c>
      <c r="C2088" t="s">
        <v>267</v>
      </c>
      <c r="D2088" t="s">
        <v>186</v>
      </c>
      <c r="E2088" s="1">
        <v>45975</v>
      </c>
      <c r="F2088" t="s">
        <v>4350</v>
      </c>
      <c r="G2088" t="s">
        <v>3188</v>
      </c>
      <c r="H2088" t="s">
        <v>266</v>
      </c>
      <c r="I2088" t="s">
        <v>204</v>
      </c>
      <c r="J2088" s="1">
        <v>46259</v>
      </c>
      <c r="K2088" t="s">
        <v>717</v>
      </c>
      <c r="L2088">
        <v>1</v>
      </c>
      <c r="M2088">
        <v>8837.98</v>
      </c>
      <c r="N2088" t="s">
        <v>710</v>
      </c>
      <c r="O2088" t="s">
        <v>1037</v>
      </c>
      <c r="P2088" t="s">
        <v>4780</v>
      </c>
      <c r="Q2088" t="s">
        <v>4852</v>
      </c>
      <c r="R2088" t="s">
        <v>4772</v>
      </c>
    </row>
    <row r="2089" spans="1:18" x14ac:dyDescent="0.3">
      <c r="A2089">
        <v>9206</v>
      </c>
      <c r="B2089" t="s">
        <v>1034</v>
      </c>
      <c r="C2089" t="s">
        <v>267</v>
      </c>
      <c r="D2089" t="s">
        <v>186</v>
      </c>
      <c r="E2089" s="1">
        <v>45975</v>
      </c>
      <c r="F2089" t="s">
        <v>4350</v>
      </c>
      <c r="G2089" t="s">
        <v>3188</v>
      </c>
      <c r="H2089" t="s">
        <v>266</v>
      </c>
      <c r="I2089" t="s">
        <v>204</v>
      </c>
      <c r="J2089" s="1">
        <v>46259</v>
      </c>
      <c r="K2089" t="s">
        <v>717</v>
      </c>
      <c r="L2089">
        <v>1</v>
      </c>
      <c r="M2089">
        <v>24074.7</v>
      </c>
      <c r="N2089" t="s">
        <v>710</v>
      </c>
      <c r="O2089" t="s">
        <v>1037</v>
      </c>
      <c r="P2089" t="s">
        <v>4780</v>
      </c>
      <c r="Q2089" t="s">
        <v>4852</v>
      </c>
      <c r="R2089" t="s">
        <v>4772</v>
      </c>
    </row>
    <row r="2090" spans="1:18" x14ac:dyDescent="0.3">
      <c r="A2090">
        <v>9205</v>
      </c>
      <c r="B2090" t="s">
        <v>1034</v>
      </c>
      <c r="C2090" t="s">
        <v>267</v>
      </c>
      <c r="D2090" t="s">
        <v>186</v>
      </c>
      <c r="E2090" s="1">
        <v>45975</v>
      </c>
      <c r="F2090" t="s">
        <v>4350</v>
      </c>
      <c r="G2090" t="s">
        <v>3188</v>
      </c>
      <c r="H2090" t="s">
        <v>266</v>
      </c>
      <c r="I2090" t="s">
        <v>204</v>
      </c>
      <c r="J2090" s="1">
        <v>46259</v>
      </c>
      <c r="K2090" t="s">
        <v>717</v>
      </c>
      <c r="L2090">
        <v>1</v>
      </c>
      <c r="M2090">
        <v>55955.1</v>
      </c>
      <c r="N2090" t="s">
        <v>710</v>
      </c>
      <c r="O2090" t="s">
        <v>1037</v>
      </c>
      <c r="P2090" t="s">
        <v>4780</v>
      </c>
      <c r="Q2090" t="s">
        <v>4852</v>
      </c>
      <c r="R2090" t="s">
        <v>4772</v>
      </c>
    </row>
    <row r="2091" spans="1:18" x14ac:dyDescent="0.3">
      <c r="A2091">
        <v>42</v>
      </c>
      <c r="B2091" t="s">
        <v>1034</v>
      </c>
      <c r="C2091" t="s">
        <v>267</v>
      </c>
      <c r="D2091" t="s">
        <v>186</v>
      </c>
      <c r="E2091" s="1">
        <v>45975</v>
      </c>
      <c r="F2091" t="s">
        <v>4349</v>
      </c>
      <c r="G2091" t="s">
        <v>3188</v>
      </c>
      <c r="H2091" t="s">
        <v>266</v>
      </c>
      <c r="I2091" t="s">
        <v>204</v>
      </c>
      <c r="J2091" s="1">
        <v>46259</v>
      </c>
      <c r="K2091" t="s">
        <v>717</v>
      </c>
      <c r="L2091">
        <v>1</v>
      </c>
      <c r="M2091">
        <v>46303.33</v>
      </c>
      <c r="N2091" t="s">
        <v>710</v>
      </c>
      <c r="O2091" t="s">
        <v>1037</v>
      </c>
      <c r="P2091" t="s">
        <v>4780</v>
      </c>
      <c r="Q2091" t="s">
        <v>4852</v>
      </c>
      <c r="R2091" t="s">
        <v>4772</v>
      </c>
    </row>
    <row r="2092" spans="1:18" x14ac:dyDescent="0.3">
      <c r="A2092">
        <v>21524</v>
      </c>
      <c r="B2092" t="s">
        <v>4875</v>
      </c>
      <c r="C2092" t="s">
        <v>243</v>
      </c>
      <c r="D2092" t="s">
        <v>61</v>
      </c>
      <c r="E2092" s="1">
        <v>45975</v>
      </c>
      <c r="F2092" t="s">
        <v>4304</v>
      </c>
      <c r="G2092" t="s">
        <v>3088</v>
      </c>
      <c r="H2092" t="s">
        <v>242</v>
      </c>
      <c r="I2092" t="s">
        <v>204</v>
      </c>
      <c r="J2092" s="1">
        <v>54878</v>
      </c>
      <c r="K2092" t="s">
        <v>748</v>
      </c>
      <c r="L2092">
        <v>10811.9</v>
      </c>
      <c r="M2092">
        <v>10811.9</v>
      </c>
      <c r="N2092" t="s">
        <v>710</v>
      </c>
      <c r="O2092" t="s">
        <v>4834</v>
      </c>
      <c r="P2092" t="s">
        <v>4776</v>
      </c>
      <c r="Q2092" t="s">
        <v>4856</v>
      </c>
      <c r="R2092" t="s">
        <v>4771</v>
      </c>
    </row>
    <row r="2093" spans="1:18" x14ac:dyDescent="0.3">
      <c r="A2093">
        <v>597091</v>
      </c>
      <c r="B2093" t="s">
        <v>1034</v>
      </c>
      <c r="C2093" t="s">
        <v>333</v>
      </c>
      <c r="D2093" t="s">
        <v>29</v>
      </c>
      <c r="E2093" s="1">
        <v>45975</v>
      </c>
      <c r="F2093" t="s">
        <v>4317</v>
      </c>
      <c r="G2093" t="s">
        <v>3212</v>
      </c>
      <c r="H2093" t="s">
        <v>332</v>
      </c>
      <c r="I2093" t="s">
        <v>204</v>
      </c>
      <c r="J2093" s="1">
        <v>54878</v>
      </c>
      <c r="K2093" t="s">
        <v>711</v>
      </c>
      <c r="L2093">
        <v>65</v>
      </c>
      <c r="M2093">
        <v>65.319999999999993</v>
      </c>
      <c r="N2093" t="s">
        <v>710</v>
      </c>
      <c r="O2093" t="s">
        <v>1036</v>
      </c>
      <c r="P2093" t="s">
        <v>4776</v>
      </c>
      <c r="Q2093" t="s">
        <v>4901</v>
      </c>
      <c r="R2093" t="s">
        <v>4771</v>
      </c>
    </row>
    <row r="2094" spans="1:18" x14ac:dyDescent="0.3">
      <c r="A2094">
        <v>9204</v>
      </c>
      <c r="B2094" t="s">
        <v>1034</v>
      </c>
      <c r="C2094" t="s">
        <v>267</v>
      </c>
      <c r="D2094" t="s">
        <v>186</v>
      </c>
      <c r="E2094" s="1">
        <v>45975</v>
      </c>
      <c r="F2094" t="s">
        <v>4350</v>
      </c>
      <c r="G2094" t="s">
        <v>3188</v>
      </c>
      <c r="H2094" t="s">
        <v>266</v>
      </c>
      <c r="I2094" t="s">
        <v>204</v>
      </c>
      <c r="J2094" s="1">
        <v>46259</v>
      </c>
      <c r="K2094" t="s">
        <v>717</v>
      </c>
      <c r="L2094">
        <v>1</v>
      </c>
      <c r="M2094">
        <v>19405.82</v>
      </c>
      <c r="N2094" t="s">
        <v>710</v>
      </c>
      <c r="O2094" t="s">
        <v>1037</v>
      </c>
      <c r="P2094" t="s">
        <v>4780</v>
      </c>
      <c r="Q2094" t="s">
        <v>4852</v>
      </c>
      <c r="R2094" t="s">
        <v>4772</v>
      </c>
    </row>
    <row r="2095" spans="1:18" x14ac:dyDescent="0.3">
      <c r="A2095">
        <v>79019</v>
      </c>
      <c r="B2095" t="s">
        <v>4874</v>
      </c>
      <c r="C2095" t="s">
        <v>634</v>
      </c>
      <c r="D2095" t="s">
        <v>99</v>
      </c>
      <c r="E2095" s="1">
        <v>45974</v>
      </c>
      <c r="F2095" t="s">
        <v>4307</v>
      </c>
      <c r="G2095" t="s">
        <v>3155</v>
      </c>
      <c r="H2095" t="s">
        <v>633</v>
      </c>
      <c r="I2095" t="s">
        <v>204</v>
      </c>
      <c r="J2095" s="1">
        <v>46204</v>
      </c>
      <c r="K2095" t="s">
        <v>762</v>
      </c>
      <c r="L2095">
        <v>2103</v>
      </c>
      <c r="M2095">
        <v>32785.769999999997</v>
      </c>
      <c r="N2095" t="s">
        <v>719</v>
      </c>
      <c r="O2095" t="s">
        <v>1037</v>
      </c>
      <c r="P2095" t="s">
        <v>4790</v>
      </c>
      <c r="Q2095" t="s">
        <v>4852</v>
      </c>
    </row>
    <row r="2096" spans="1:18" x14ac:dyDescent="0.3">
      <c r="A2096">
        <v>79019</v>
      </c>
      <c r="B2096" t="s">
        <v>4874</v>
      </c>
      <c r="C2096" t="s">
        <v>634</v>
      </c>
      <c r="D2096" t="s">
        <v>99</v>
      </c>
      <c r="E2096" s="1">
        <v>45974</v>
      </c>
      <c r="F2096" t="s">
        <v>4394</v>
      </c>
      <c r="G2096" t="s">
        <v>3155</v>
      </c>
      <c r="H2096" t="s">
        <v>633</v>
      </c>
      <c r="I2096" t="s">
        <v>204</v>
      </c>
      <c r="J2096" s="1">
        <v>46204</v>
      </c>
      <c r="K2096" t="s">
        <v>762</v>
      </c>
      <c r="L2096">
        <v>2103</v>
      </c>
      <c r="M2096">
        <v>2103</v>
      </c>
      <c r="N2096" t="s">
        <v>719</v>
      </c>
      <c r="O2096" t="s">
        <v>1037</v>
      </c>
      <c r="P2096" t="s">
        <v>4790</v>
      </c>
      <c r="Q2096" t="s">
        <v>4852</v>
      </c>
    </row>
    <row r="2097" spans="1:18" x14ac:dyDescent="0.3">
      <c r="A2097">
        <v>79019</v>
      </c>
      <c r="B2097" t="s">
        <v>4874</v>
      </c>
      <c r="C2097" t="s">
        <v>634</v>
      </c>
      <c r="D2097" t="s">
        <v>99</v>
      </c>
      <c r="E2097" s="1">
        <v>45974</v>
      </c>
      <c r="F2097" t="s">
        <v>4308</v>
      </c>
      <c r="G2097" t="s">
        <v>3155</v>
      </c>
      <c r="H2097" t="s">
        <v>633</v>
      </c>
      <c r="I2097" t="s">
        <v>204</v>
      </c>
      <c r="J2097" s="1">
        <v>46204</v>
      </c>
      <c r="K2097" t="s">
        <v>762</v>
      </c>
      <c r="L2097">
        <v>124</v>
      </c>
      <c r="M2097">
        <v>603.88</v>
      </c>
      <c r="N2097" t="s">
        <v>719</v>
      </c>
      <c r="O2097" t="s">
        <v>1037</v>
      </c>
      <c r="P2097" t="s">
        <v>4790</v>
      </c>
      <c r="Q2097" t="s">
        <v>4852</v>
      </c>
    </row>
    <row r="2098" spans="1:18" x14ac:dyDescent="0.3">
      <c r="A2098">
        <v>79019</v>
      </c>
      <c r="B2098" t="s">
        <v>4874</v>
      </c>
      <c r="C2098" t="s">
        <v>634</v>
      </c>
      <c r="D2098" t="s">
        <v>99</v>
      </c>
      <c r="E2098" s="1">
        <v>45974</v>
      </c>
      <c r="F2098" t="s">
        <v>4310</v>
      </c>
      <c r="G2098" t="s">
        <v>3155</v>
      </c>
      <c r="H2098" t="s">
        <v>633</v>
      </c>
      <c r="I2098" t="s">
        <v>204</v>
      </c>
      <c r="J2098" s="1">
        <v>46204</v>
      </c>
      <c r="K2098" t="s">
        <v>762</v>
      </c>
      <c r="L2098">
        <v>123</v>
      </c>
      <c r="M2098">
        <v>450.18</v>
      </c>
      <c r="N2098" t="s">
        <v>719</v>
      </c>
      <c r="O2098" t="s">
        <v>1037</v>
      </c>
      <c r="P2098" t="s">
        <v>4790</v>
      </c>
      <c r="Q2098" t="s">
        <v>4852</v>
      </c>
    </row>
    <row r="2099" spans="1:18" x14ac:dyDescent="0.3">
      <c r="A2099">
        <v>79019</v>
      </c>
      <c r="B2099" t="s">
        <v>4874</v>
      </c>
      <c r="C2099" t="s">
        <v>634</v>
      </c>
      <c r="D2099" t="s">
        <v>99</v>
      </c>
      <c r="E2099" s="1">
        <v>45974</v>
      </c>
      <c r="F2099" t="s">
        <v>4400</v>
      </c>
      <c r="G2099" t="s">
        <v>3155</v>
      </c>
      <c r="H2099" t="s">
        <v>633</v>
      </c>
      <c r="I2099" t="s">
        <v>204</v>
      </c>
      <c r="J2099" s="1">
        <v>46204</v>
      </c>
      <c r="K2099" t="s">
        <v>762</v>
      </c>
      <c r="L2099">
        <v>15</v>
      </c>
      <c r="M2099">
        <v>87.9</v>
      </c>
      <c r="N2099" t="s">
        <v>719</v>
      </c>
      <c r="O2099" t="s">
        <v>1037</v>
      </c>
      <c r="P2099" t="s">
        <v>4790</v>
      </c>
      <c r="Q2099" t="s">
        <v>4852</v>
      </c>
    </row>
    <row r="2100" spans="1:18" x14ac:dyDescent="0.3">
      <c r="A2100">
        <v>4737</v>
      </c>
      <c r="B2100" t="s">
        <v>4874</v>
      </c>
      <c r="C2100" t="s">
        <v>444</v>
      </c>
      <c r="D2100" t="s">
        <v>21</v>
      </c>
      <c r="E2100" s="1">
        <v>45974</v>
      </c>
      <c r="F2100" t="s">
        <v>4380</v>
      </c>
      <c r="G2100" t="s">
        <v>3196</v>
      </c>
      <c r="H2100" t="s">
        <v>443</v>
      </c>
      <c r="I2100" t="s">
        <v>209</v>
      </c>
      <c r="J2100" s="1">
        <v>54878</v>
      </c>
      <c r="K2100" t="s">
        <v>762</v>
      </c>
      <c r="L2100">
        <v>1</v>
      </c>
      <c r="M2100">
        <v>120</v>
      </c>
      <c r="N2100" t="s">
        <v>710</v>
      </c>
      <c r="O2100" t="s">
        <v>1037</v>
      </c>
      <c r="P2100" t="s">
        <v>4808</v>
      </c>
      <c r="Q2100" t="s">
        <v>4852</v>
      </c>
      <c r="R2100" t="s">
        <v>4772</v>
      </c>
    </row>
    <row r="2101" spans="1:18" x14ac:dyDescent="0.3">
      <c r="A2101">
        <v>39210</v>
      </c>
      <c r="B2101" t="s">
        <v>4874</v>
      </c>
      <c r="C2101" t="s">
        <v>447</v>
      </c>
      <c r="D2101" t="s">
        <v>57</v>
      </c>
      <c r="E2101" s="1">
        <v>45974</v>
      </c>
      <c r="F2101" t="s">
        <v>4383</v>
      </c>
      <c r="G2101" t="s">
        <v>3170</v>
      </c>
      <c r="H2101" t="s">
        <v>446</v>
      </c>
      <c r="I2101" t="s">
        <v>204</v>
      </c>
      <c r="J2101" s="1">
        <v>46203</v>
      </c>
      <c r="K2101" t="s">
        <v>762</v>
      </c>
      <c r="L2101">
        <v>793.23</v>
      </c>
      <c r="M2101">
        <v>793.23</v>
      </c>
      <c r="N2101" t="s">
        <v>710</v>
      </c>
      <c r="O2101" t="s">
        <v>1038</v>
      </c>
      <c r="P2101" t="s">
        <v>4776</v>
      </c>
      <c r="Q2101" t="s">
        <v>4858</v>
      </c>
      <c r="R2101" t="s">
        <v>4774</v>
      </c>
    </row>
    <row r="2102" spans="1:18" x14ac:dyDescent="0.3">
      <c r="A2102">
        <v>187367</v>
      </c>
      <c r="B2102" t="s">
        <v>4874</v>
      </c>
      <c r="C2102" t="s">
        <v>411</v>
      </c>
      <c r="D2102" t="s">
        <v>154</v>
      </c>
      <c r="E2102" s="1">
        <v>45974</v>
      </c>
      <c r="F2102" t="s">
        <v>4345</v>
      </c>
      <c r="G2102" t="s">
        <v>3154</v>
      </c>
      <c r="H2102" t="s">
        <v>410</v>
      </c>
      <c r="I2102" t="s">
        <v>204</v>
      </c>
      <c r="J2102" s="1">
        <v>46344</v>
      </c>
      <c r="K2102" t="s">
        <v>762</v>
      </c>
      <c r="L2102">
        <v>16275.21</v>
      </c>
      <c r="M2102">
        <v>16275.21</v>
      </c>
      <c r="N2102" t="s">
        <v>710</v>
      </c>
      <c r="O2102" t="s">
        <v>4833</v>
      </c>
      <c r="P2102" t="s">
        <v>4776</v>
      </c>
      <c r="Q2102" t="s">
        <v>4852</v>
      </c>
      <c r="R2102" t="s">
        <v>4773</v>
      </c>
    </row>
    <row r="2103" spans="1:18" x14ac:dyDescent="0.3">
      <c r="A2103">
        <v>41802</v>
      </c>
      <c r="B2103" t="s">
        <v>4874</v>
      </c>
      <c r="C2103" t="s">
        <v>294</v>
      </c>
      <c r="D2103" t="s">
        <v>101</v>
      </c>
      <c r="E2103" s="1">
        <v>45974</v>
      </c>
      <c r="F2103" t="s">
        <v>4304</v>
      </c>
      <c r="G2103" t="s">
        <v>3204</v>
      </c>
      <c r="H2103" t="s">
        <v>293</v>
      </c>
      <c r="I2103" t="s">
        <v>204</v>
      </c>
      <c r="J2103" s="1">
        <v>46191</v>
      </c>
      <c r="K2103" t="s">
        <v>720</v>
      </c>
      <c r="L2103">
        <v>1</v>
      </c>
      <c r="M2103">
        <v>190</v>
      </c>
      <c r="N2103" t="s">
        <v>710</v>
      </c>
      <c r="O2103" t="s">
        <v>4834</v>
      </c>
      <c r="P2103" t="s">
        <v>4776</v>
      </c>
      <c r="Q2103" t="s">
        <v>4858</v>
      </c>
      <c r="R2103" t="s">
        <v>4773</v>
      </c>
    </row>
    <row r="2104" spans="1:18" x14ac:dyDescent="0.3">
      <c r="A2104">
        <v>19417</v>
      </c>
      <c r="B2104" t="s">
        <v>4874</v>
      </c>
      <c r="C2104" t="s">
        <v>212</v>
      </c>
      <c r="D2104" t="s">
        <v>62</v>
      </c>
      <c r="E2104" s="1">
        <v>45974</v>
      </c>
      <c r="F2104" t="s">
        <v>4318</v>
      </c>
      <c r="G2104" t="s">
        <v>3203</v>
      </c>
      <c r="H2104" t="s">
        <v>211</v>
      </c>
      <c r="I2104" t="s">
        <v>204</v>
      </c>
      <c r="J2104" s="1">
        <v>54878</v>
      </c>
      <c r="K2104" t="s">
        <v>720</v>
      </c>
      <c r="L2104">
        <v>1</v>
      </c>
      <c r="M2104">
        <v>1000</v>
      </c>
      <c r="N2104" t="s">
        <v>719</v>
      </c>
      <c r="O2104" t="s">
        <v>4834</v>
      </c>
      <c r="P2104" t="s">
        <v>4776</v>
      </c>
      <c r="Q2104" t="s">
        <v>4858</v>
      </c>
      <c r="R2104" t="s">
        <v>4771</v>
      </c>
    </row>
    <row r="2105" spans="1:18" x14ac:dyDescent="0.3">
      <c r="A2105">
        <v>79019</v>
      </c>
      <c r="B2105" t="s">
        <v>4874</v>
      </c>
      <c r="C2105" t="s">
        <v>634</v>
      </c>
      <c r="D2105" t="s">
        <v>99</v>
      </c>
      <c r="E2105" s="1">
        <v>45974</v>
      </c>
      <c r="F2105" t="s">
        <v>4329</v>
      </c>
      <c r="G2105" t="s">
        <v>3155</v>
      </c>
      <c r="H2105" t="s">
        <v>633</v>
      </c>
      <c r="I2105" t="s">
        <v>204</v>
      </c>
      <c r="J2105" s="1">
        <v>46204</v>
      </c>
      <c r="K2105" t="s">
        <v>762</v>
      </c>
      <c r="L2105">
        <v>25</v>
      </c>
      <c r="M2105">
        <v>948.25</v>
      </c>
      <c r="N2105" t="s">
        <v>719</v>
      </c>
      <c r="O2105" t="s">
        <v>1037</v>
      </c>
      <c r="P2105" t="s">
        <v>4790</v>
      </c>
      <c r="Q2105" t="s">
        <v>4852</v>
      </c>
    </row>
    <row r="2106" spans="1:18" x14ac:dyDescent="0.3">
      <c r="A2106">
        <v>111295</v>
      </c>
      <c r="B2106" t="s">
        <v>4874</v>
      </c>
      <c r="C2106" t="s">
        <v>379</v>
      </c>
      <c r="D2106" t="s">
        <v>131</v>
      </c>
      <c r="E2106" s="1">
        <v>45974</v>
      </c>
      <c r="F2106" t="s">
        <v>4315</v>
      </c>
      <c r="G2106" t="s">
        <v>3166</v>
      </c>
      <c r="H2106" t="s">
        <v>378</v>
      </c>
      <c r="I2106" t="s">
        <v>204</v>
      </c>
      <c r="J2106" s="1">
        <v>54878</v>
      </c>
      <c r="K2106" t="s">
        <v>762</v>
      </c>
      <c r="L2106">
        <v>68.510000000000005</v>
      </c>
      <c r="M2106">
        <v>68.510000000000005</v>
      </c>
      <c r="N2106" t="s">
        <v>710</v>
      </c>
      <c r="O2106" t="s">
        <v>4833</v>
      </c>
      <c r="P2106" t="s">
        <v>4776</v>
      </c>
      <c r="Q2106" t="s">
        <v>4852</v>
      </c>
      <c r="R2106" t="s">
        <v>4773</v>
      </c>
    </row>
    <row r="2107" spans="1:18" x14ac:dyDescent="0.3">
      <c r="A2107">
        <v>611</v>
      </c>
      <c r="B2107" t="s">
        <v>4874</v>
      </c>
      <c r="C2107" t="s">
        <v>259</v>
      </c>
      <c r="D2107" t="s">
        <v>122</v>
      </c>
      <c r="E2107" s="1">
        <v>45974</v>
      </c>
      <c r="F2107" t="s">
        <v>4390</v>
      </c>
      <c r="G2107" t="s">
        <v>3186</v>
      </c>
      <c r="H2107" t="s">
        <v>258</v>
      </c>
      <c r="I2107" t="s">
        <v>204</v>
      </c>
      <c r="J2107" s="1">
        <v>46337</v>
      </c>
      <c r="K2107" t="s">
        <v>720</v>
      </c>
      <c r="L2107">
        <v>1</v>
      </c>
      <c r="M2107">
        <v>15364</v>
      </c>
      <c r="N2107" t="s">
        <v>710</v>
      </c>
      <c r="O2107" t="s">
        <v>1038</v>
      </c>
      <c r="P2107" t="s">
        <v>4777</v>
      </c>
      <c r="Q2107" t="s">
        <v>4858</v>
      </c>
      <c r="R2107" t="s">
        <v>4771</v>
      </c>
    </row>
    <row r="2108" spans="1:18" x14ac:dyDescent="0.3">
      <c r="A2108">
        <v>7182</v>
      </c>
      <c r="B2108" t="s">
        <v>1035</v>
      </c>
      <c r="C2108" t="s">
        <v>230</v>
      </c>
      <c r="D2108" t="s">
        <v>85</v>
      </c>
      <c r="E2108" s="1">
        <v>45974</v>
      </c>
      <c r="F2108" t="s">
        <v>4409</v>
      </c>
      <c r="G2108" t="s">
        <v>3207</v>
      </c>
      <c r="H2108" t="s">
        <v>229</v>
      </c>
      <c r="I2108" t="s">
        <v>204</v>
      </c>
      <c r="J2108" s="1">
        <v>46203</v>
      </c>
      <c r="K2108" t="s">
        <v>744</v>
      </c>
      <c r="L2108">
        <v>1</v>
      </c>
      <c r="M2108">
        <v>470.53</v>
      </c>
      <c r="N2108" t="s">
        <v>710</v>
      </c>
      <c r="O2108" t="s">
        <v>1033</v>
      </c>
      <c r="P2108" t="s">
        <v>4781</v>
      </c>
      <c r="Q2108" t="s">
        <v>4852</v>
      </c>
      <c r="R2108" t="s">
        <v>4771</v>
      </c>
    </row>
    <row r="2109" spans="1:18" x14ac:dyDescent="0.3">
      <c r="A2109">
        <v>372</v>
      </c>
      <c r="B2109" t="s">
        <v>1034</v>
      </c>
      <c r="C2109" t="s">
        <v>319</v>
      </c>
      <c r="D2109" t="s">
        <v>36</v>
      </c>
      <c r="E2109" s="1">
        <v>45974</v>
      </c>
      <c r="F2109" t="s">
        <v>4298</v>
      </c>
      <c r="G2109" t="s">
        <v>3192</v>
      </c>
      <c r="H2109" t="s">
        <v>318</v>
      </c>
      <c r="I2109" t="s">
        <v>204</v>
      </c>
      <c r="J2109" s="1">
        <v>46214</v>
      </c>
      <c r="K2109" t="s">
        <v>711</v>
      </c>
      <c r="L2109">
        <v>945</v>
      </c>
      <c r="M2109">
        <v>945.19</v>
      </c>
      <c r="N2109" t="s">
        <v>710</v>
      </c>
      <c r="O2109" t="s">
        <v>1036</v>
      </c>
      <c r="P2109" t="s">
        <v>4784</v>
      </c>
      <c r="Q2109" t="s">
        <v>4901</v>
      </c>
      <c r="R2109" t="s">
        <v>4771</v>
      </c>
    </row>
    <row r="2110" spans="1:18" x14ac:dyDescent="0.3">
      <c r="A2110">
        <v>3988</v>
      </c>
      <c r="B2110" t="s">
        <v>1034</v>
      </c>
      <c r="C2110" t="s">
        <v>319</v>
      </c>
      <c r="D2110" t="s">
        <v>36</v>
      </c>
      <c r="E2110" s="1">
        <v>45974</v>
      </c>
      <c r="F2110" t="s">
        <v>4298</v>
      </c>
      <c r="G2110" t="s">
        <v>3193</v>
      </c>
      <c r="H2110" t="s">
        <v>318</v>
      </c>
      <c r="I2110" t="s">
        <v>204</v>
      </c>
      <c r="J2110" s="1">
        <v>46214</v>
      </c>
      <c r="K2110" t="s">
        <v>711</v>
      </c>
      <c r="L2110">
        <v>1306</v>
      </c>
      <c r="M2110">
        <v>1305.78</v>
      </c>
      <c r="N2110" t="s">
        <v>710</v>
      </c>
      <c r="O2110" t="s">
        <v>1036</v>
      </c>
      <c r="P2110" t="s">
        <v>4784</v>
      </c>
      <c r="Q2110" t="s">
        <v>4901</v>
      </c>
      <c r="R2110" t="s">
        <v>4771</v>
      </c>
    </row>
    <row r="2111" spans="1:18" x14ac:dyDescent="0.3">
      <c r="A2111">
        <v>1780</v>
      </c>
      <c r="B2111" t="s">
        <v>1034</v>
      </c>
      <c r="C2111" t="s">
        <v>312</v>
      </c>
      <c r="D2111" t="s">
        <v>73</v>
      </c>
      <c r="E2111" s="1">
        <v>45974</v>
      </c>
      <c r="F2111" t="s">
        <v>4300</v>
      </c>
      <c r="G2111" t="s">
        <v>3208</v>
      </c>
      <c r="H2111" t="s">
        <v>311</v>
      </c>
      <c r="I2111" t="s">
        <v>204</v>
      </c>
      <c r="J2111" s="1">
        <v>54878</v>
      </c>
      <c r="K2111" t="s">
        <v>711</v>
      </c>
      <c r="L2111">
        <v>2255</v>
      </c>
      <c r="M2111">
        <v>2255</v>
      </c>
      <c r="N2111" t="s">
        <v>719</v>
      </c>
      <c r="O2111" t="s">
        <v>4834</v>
      </c>
      <c r="P2111" t="s">
        <v>1006</v>
      </c>
      <c r="Q2111" t="s">
        <v>4901</v>
      </c>
      <c r="R2111" t="s">
        <v>4773</v>
      </c>
    </row>
    <row r="2112" spans="1:18" x14ac:dyDescent="0.3">
      <c r="A2112">
        <v>101659</v>
      </c>
      <c r="B2112" t="s">
        <v>1034</v>
      </c>
      <c r="C2112" t="s">
        <v>502</v>
      </c>
      <c r="D2112" t="s">
        <v>2</v>
      </c>
      <c r="E2112" s="1">
        <v>45974</v>
      </c>
      <c r="F2112" t="s">
        <v>4303</v>
      </c>
      <c r="G2112" t="s">
        <v>3165</v>
      </c>
      <c r="H2112" t="s">
        <v>501</v>
      </c>
      <c r="I2112" t="s">
        <v>204</v>
      </c>
      <c r="J2112" s="1">
        <v>54878</v>
      </c>
      <c r="K2112" t="s">
        <v>717</v>
      </c>
      <c r="L2112">
        <v>1884.23</v>
      </c>
      <c r="M2112">
        <v>1884.23</v>
      </c>
      <c r="N2112" t="s">
        <v>710</v>
      </c>
      <c r="O2112" t="s">
        <v>4833</v>
      </c>
      <c r="P2112" t="s">
        <v>4776</v>
      </c>
      <c r="Q2112" t="s">
        <v>4852</v>
      </c>
      <c r="R2112" t="s">
        <v>4774</v>
      </c>
    </row>
    <row r="2113" spans="1:18" x14ac:dyDescent="0.3">
      <c r="A2113">
        <v>132</v>
      </c>
      <c r="B2113" t="s">
        <v>4875</v>
      </c>
      <c r="C2113" t="s">
        <v>355</v>
      </c>
      <c r="D2113" t="s">
        <v>143</v>
      </c>
      <c r="E2113" s="1">
        <v>45974</v>
      </c>
      <c r="F2113" t="s">
        <v>4318</v>
      </c>
      <c r="G2113" t="s">
        <v>3201</v>
      </c>
      <c r="H2113" t="s">
        <v>354</v>
      </c>
      <c r="I2113" t="s">
        <v>204</v>
      </c>
      <c r="J2113" s="1">
        <v>54878</v>
      </c>
      <c r="K2113" t="s">
        <v>748</v>
      </c>
      <c r="L2113">
        <v>640</v>
      </c>
      <c r="M2113">
        <v>640</v>
      </c>
      <c r="N2113" t="s">
        <v>710</v>
      </c>
      <c r="O2113" t="s">
        <v>4834</v>
      </c>
      <c r="P2113" t="s">
        <v>4776</v>
      </c>
      <c r="Q2113" t="s">
        <v>4856</v>
      </c>
      <c r="R2113" t="s">
        <v>4771</v>
      </c>
    </row>
    <row r="2114" spans="1:18" x14ac:dyDescent="0.3">
      <c r="A2114">
        <v>7190</v>
      </c>
      <c r="B2114" t="s">
        <v>1035</v>
      </c>
      <c r="C2114" t="s">
        <v>230</v>
      </c>
      <c r="D2114" t="s">
        <v>85</v>
      </c>
      <c r="E2114" s="1">
        <v>45974</v>
      </c>
      <c r="F2114" t="s">
        <v>4436</v>
      </c>
      <c r="G2114" t="s">
        <v>3207</v>
      </c>
      <c r="H2114" t="s">
        <v>229</v>
      </c>
      <c r="I2114" t="s">
        <v>204</v>
      </c>
      <c r="J2114" s="1">
        <v>46203</v>
      </c>
      <c r="K2114" t="s">
        <v>744</v>
      </c>
      <c r="L2114">
        <v>1</v>
      </c>
      <c r="M2114">
        <v>1072.1199999999999</v>
      </c>
      <c r="N2114" t="s">
        <v>710</v>
      </c>
      <c r="O2114" t="s">
        <v>1033</v>
      </c>
      <c r="P2114" t="s">
        <v>4781</v>
      </c>
      <c r="Q2114" t="s">
        <v>4852</v>
      </c>
      <c r="R2114" t="s">
        <v>4771</v>
      </c>
    </row>
    <row r="2115" spans="1:18" x14ac:dyDescent="0.3">
      <c r="A2115">
        <v>117624</v>
      </c>
      <c r="B2115" t="s">
        <v>1034</v>
      </c>
      <c r="C2115" t="s">
        <v>497</v>
      </c>
      <c r="D2115" t="s">
        <v>58</v>
      </c>
      <c r="E2115" s="1">
        <v>45974</v>
      </c>
      <c r="F2115" t="s">
        <v>4354</v>
      </c>
      <c r="G2115" t="s">
        <v>3175</v>
      </c>
      <c r="H2115" t="s">
        <v>496</v>
      </c>
      <c r="I2115" t="s">
        <v>204</v>
      </c>
      <c r="J2115" s="1">
        <v>46265</v>
      </c>
      <c r="K2115" t="s">
        <v>717</v>
      </c>
      <c r="L2115">
        <v>1</v>
      </c>
      <c r="M2115">
        <v>4397.3900000000003</v>
      </c>
      <c r="N2115" t="s">
        <v>710</v>
      </c>
      <c r="O2115" t="s">
        <v>4833</v>
      </c>
      <c r="P2115" t="s">
        <v>4776</v>
      </c>
      <c r="Q2115" t="s">
        <v>4852</v>
      </c>
      <c r="R2115" t="s">
        <v>4773</v>
      </c>
    </row>
    <row r="2116" spans="1:18" x14ac:dyDescent="0.3">
      <c r="A2116">
        <v>106929</v>
      </c>
      <c r="B2116" t="s">
        <v>1034</v>
      </c>
      <c r="C2116" t="s">
        <v>495</v>
      </c>
      <c r="D2116" t="s">
        <v>44</v>
      </c>
      <c r="E2116" s="1">
        <v>45974</v>
      </c>
      <c r="F2116" t="s">
        <v>4303</v>
      </c>
      <c r="G2116" t="s">
        <v>3191</v>
      </c>
      <c r="H2116" t="s">
        <v>494</v>
      </c>
      <c r="I2116" t="s">
        <v>204</v>
      </c>
      <c r="J2116" s="1">
        <v>54878</v>
      </c>
      <c r="K2116" t="s">
        <v>717</v>
      </c>
      <c r="L2116">
        <v>2152.31</v>
      </c>
      <c r="M2116">
        <v>2152.31</v>
      </c>
      <c r="N2116" t="s">
        <v>710</v>
      </c>
      <c r="O2116" t="s">
        <v>4833</v>
      </c>
      <c r="P2116" t="s">
        <v>4776</v>
      </c>
      <c r="Q2116" t="s">
        <v>4852</v>
      </c>
      <c r="R2116" t="s">
        <v>4773</v>
      </c>
    </row>
    <row r="2117" spans="1:18" x14ac:dyDescent="0.3">
      <c r="A2117">
        <v>132</v>
      </c>
      <c r="B2117" t="s">
        <v>1034</v>
      </c>
      <c r="C2117" t="s">
        <v>618</v>
      </c>
      <c r="D2117" t="s">
        <v>112</v>
      </c>
      <c r="E2117" s="1">
        <v>45972</v>
      </c>
      <c r="F2117" t="s">
        <v>4361</v>
      </c>
      <c r="G2117" t="s">
        <v>3205</v>
      </c>
      <c r="H2117" t="s">
        <v>617</v>
      </c>
      <c r="I2117" t="s">
        <v>204</v>
      </c>
      <c r="J2117" s="1">
        <v>46347</v>
      </c>
      <c r="K2117" t="s">
        <v>711</v>
      </c>
      <c r="L2117">
        <v>1</v>
      </c>
      <c r="M2117">
        <v>915</v>
      </c>
      <c r="N2117" t="s">
        <v>818</v>
      </c>
      <c r="O2117" t="s">
        <v>1036</v>
      </c>
      <c r="P2117" t="s">
        <v>4776</v>
      </c>
      <c r="Q2117" t="s">
        <v>4901</v>
      </c>
      <c r="R2117" t="s">
        <v>4771</v>
      </c>
    </row>
    <row r="2118" spans="1:18" x14ac:dyDescent="0.3">
      <c r="A2118">
        <v>164502</v>
      </c>
      <c r="B2118" t="s">
        <v>4874</v>
      </c>
      <c r="C2118" t="s">
        <v>301</v>
      </c>
      <c r="D2118" t="s">
        <v>23</v>
      </c>
      <c r="E2118" s="1">
        <v>45972</v>
      </c>
      <c r="F2118" t="s">
        <v>4321</v>
      </c>
      <c r="G2118" t="s">
        <v>3181</v>
      </c>
      <c r="H2118" t="s">
        <v>300</v>
      </c>
      <c r="I2118" t="s">
        <v>204</v>
      </c>
      <c r="J2118" s="1">
        <v>46418</v>
      </c>
      <c r="K2118" t="s">
        <v>720</v>
      </c>
      <c r="L2118">
        <v>1</v>
      </c>
      <c r="M2118">
        <v>5140.3900000000003</v>
      </c>
      <c r="N2118" t="s">
        <v>710</v>
      </c>
      <c r="O2118" t="s">
        <v>1038</v>
      </c>
      <c r="P2118" t="s">
        <v>4782</v>
      </c>
      <c r="Q2118" t="s">
        <v>4858</v>
      </c>
      <c r="R2118" t="s">
        <v>4773</v>
      </c>
    </row>
    <row r="2119" spans="1:18" x14ac:dyDescent="0.3">
      <c r="A2119">
        <v>594652</v>
      </c>
      <c r="B2119" t="s">
        <v>4874</v>
      </c>
      <c r="C2119" t="s">
        <v>248</v>
      </c>
      <c r="D2119" t="s">
        <v>13</v>
      </c>
      <c r="E2119" s="1">
        <v>45972</v>
      </c>
      <c r="F2119" t="s">
        <v>4297</v>
      </c>
      <c r="G2119" t="s">
        <v>3180</v>
      </c>
      <c r="H2119" t="s">
        <v>247</v>
      </c>
      <c r="I2119" t="s">
        <v>204</v>
      </c>
      <c r="J2119" s="1">
        <v>54878</v>
      </c>
      <c r="K2119" t="s">
        <v>720</v>
      </c>
      <c r="L2119">
        <v>1</v>
      </c>
      <c r="M2119">
        <v>573.72</v>
      </c>
      <c r="N2119" t="s">
        <v>710</v>
      </c>
      <c r="O2119" t="s">
        <v>1038</v>
      </c>
      <c r="P2119" t="s">
        <v>4779</v>
      </c>
      <c r="Q2119" t="s">
        <v>4858</v>
      </c>
      <c r="R2119" t="s">
        <v>4773</v>
      </c>
    </row>
    <row r="2120" spans="1:18" x14ac:dyDescent="0.3">
      <c r="A2120">
        <v>391858</v>
      </c>
      <c r="B2120" t="s">
        <v>4874</v>
      </c>
      <c r="C2120" t="s">
        <v>250</v>
      </c>
      <c r="D2120" t="s">
        <v>55</v>
      </c>
      <c r="E2120" s="1">
        <v>45972</v>
      </c>
      <c r="F2120" t="s">
        <v>4391</v>
      </c>
      <c r="G2120" t="s">
        <v>3179</v>
      </c>
      <c r="H2120" t="s">
        <v>249</v>
      </c>
      <c r="I2120" t="s">
        <v>204</v>
      </c>
      <c r="J2120" s="1">
        <v>54878</v>
      </c>
      <c r="K2120" t="s">
        <v>720</v>
      </c>
      <c r="L2120">
        <v>1</v>
      </c>
      <c r="M2120">
        <v>643.59</v>
      </c>
      <c r="N2120" t="s">
        <v>719</v>
      </c>
      <c r="O2120" t="s">
        <v>1038</v>
      </c>
      <c r="P2120" t="s">
        <v>4778</v>
      </c>
      <c r="Q2120" t="s">
        <v>4858</v>
      </c>
      <c r="R2120" t="s">
        <v>4771</v>
      </c>
    </row>
    <row r="2121" spans="1:18" x14ac:dyDescent="0.3">
      <c r="A2121">
        <v>2915</v>
      </c>
      <c r="B2121" t="s">
        <v>4874</v>
      </c>
      <c r="C2121" t="s">
        <v>541</v>
      </c>
      <c r="D2121" t="s">
        <v>173</v>
      </c>
      <c r="E2121" s="1">
        <v>45972</v>
      </c>
      <c r="F2121" t="s">
        <v>4326</v>
      </c>
      <c r="G2121" t="s">
        <v>3174</v>
      </c>
      <c r="H2121" t="s">
        <v>548</v>
      </c>
      <c r="I2121" t="s">
        <v>204</v>
      </c>
      <c r="J2121" s="1">
        <v>46387</v>
      </c>
      <c r="K2121" t="s">
        <v>720</v>
      </c>
      <c r="L2121">
        <v>1</v>
      </c>
      <c r="M2121">
        <v>2300</v>
      </c>
      <c r="N2121" t="s">
        <v>710</v>
      </c>
      <c r="O2121" t="s">
        <v>1038</v>
      </c>
      <c r="P2121" t="s">
        <v>4791</v>
      </c>
      <c r="Q2121" t="s">
        <v>4858</v>
      </c>
      <c r="R2121" t="s">
        <v>4773</v>
      </c>
    </row>
    <row r="2122" spans="1:18" x14ac:dyDescent="0.3">
      <c r="A2122">
        <v>12111</v>
      </c>
      <c r="B2122" t="s">
        <v>4874</v>
      </c>
      <c r="C2122" t="s">
        <v>237</v>
      </c>
      <c r="D2122" t="s">
        <v>4</v>
      </c>
      <c r="E2122" s="1">
        <v>45972</v>
      </c>
      <c r="F2122" t="s">
        <v>4368</v>
      </c>
      <c r="G2122" t="s">
        <v>3163</v>
      </c>
      <c r="H2122" t="s">
        <v>236</v>
      </c>
      <c r="I2122" t="s">
        <v>204</v>
      </c>
      <c r="J2122" s="1">
        <v>54878</v>
      </c>
      <c r="K2122" t="s">
        <v>720</v>
      </c>
      <c r="L2122">
        <v>1</v>
      </c>
      <c r="M2122">
        <v>5271</v>
      </c>
      <c r="N2122" t="s">
        <v>710</v>
      </c>
      <c r="O2122" t="s">
        <v>1038</v>
      </c>
      <c r="P2122" t="s">
        <v>4776</v>
      </c>
      <c r="Q2122" t="s">
        <v>4858</v>
      </c>
      <c r="R2122" t="s">
        <v>4771</v>
      </c>
    </row>
    <row r="2123" spans="1:18" x14ac:dyDescent="0.3">
      <c r="A2123">
        <v>3413</v>
      </c>
      <c r="B2123" t="s">
        <v>4874</v>
      </c>
      <c r="C2123" t="s">
        <v>612</v>
      </c>
      <c r="D2123" t="s">
        <v>102</v>
      </c>
      <c r="E2123" s="1">
        <v>45972</v>
      </c>
      <c r="F2123" t="s">
        <v>4300</v>
      </c>
      <c r="G2123" t="s">
        <v>3162</v>
      </c>
      <c r="H2123" t="s">
        <v>611</v>
      </c>
      <c r="I2123" t="s">
        <v>209</v>
      </c>
      <c r="J2123" s="1">
        <v>45961</v>
      </c>
      <c r="K2123" t="s">
        <v>720</v>
      </c>
      <c r="L2123">
        <v>20748</v>
      </c>
      <c r="M2123">
        <v>20748</v>
      </c>
      <c r="N2123" t="s">
        <v>710</v>
      </c>
      <c r="O2123" t="s">
        <v>1037</v>
      </c>
      <c r="P2123" t="s">
        <v>4777</v>
      </c>
      <c r="Q2123" t="s">
        <v>4852</v>
      </c>
      <c r="R2123" t="s">
        <v>4773</v>
      </c>
    </row>
    <row r="2124" spans="1:18" x14ac:dyDescent="0.3">
      <c r="A2124">
        <v>42471</v>
      </c>
      <c r="B2124" t="s">
        <v>1034</v>
      </c>
      <c r="C2124" t="s">
        <v>327</v>
      </c>
      <c r="D2124" t="s">
        <v>159</v>
      </c>
      <c r="E2124" s="1">
        <v>45972</v>
      </c>
      <c r="F2124" t="s">
        <v>4296</v>
      </c>
      <c r="G2124" t="s">
        <v>3116</v>
      </c>
      <c r="H2124" t="s">
        <v>357</v>
      </c>
      <c r="I2124" t="s">
        <v>204</v>
      </c>
      <c r="J2124" s="1">
        <v>46476</v>
      </c>
      <c r="K2124" t="s">
        <v>711</v>
      </c>
      <c r="L2124">
        <v>805.58</v>
      </c>
      <c r="M2124">
        <v>805.58</v>
      </c>
      <c r="N2124" t="s">
        <v>890</v>
      </c>
      <c r="O2124" t="s">
        <v>4834</v>
      </c>
      <c r="P2124" t="s">
        <v>4776</v>
      </c>
      <c r="Q2124" t="s">
        <v>4901</v>
      </c>
      <c r="R2124" t="s">
        <v>4773</v>
      </c>
    </row>
    <row r="2125" spans="1:18" x14ac:dyDescent="0.3">
      <c r="A2125">
        <v>20738</v>
      </c>
      <c r="B2125" t="s">
        <v>4874</v>
      </c>
      <c r="C2125" t="s">
        <v>539</v>
      </c>
      <c r="D2125" t="s">
        <v>189</v>
      </c>
      <c r="E2125" s="1">
        <v>45972</v>
      </c>
      <c r="F2125" t="s">
        <v>4327</v>
      </c>
      <c r="G2125" t="s">
        <v>3176</v>
      </c>
      <c r="H2125" t="s">
        <v>573</v>
      </c>
      <c r="I2125" t="s">
        <v>209</v>
      </c>
      <c r="J2125" s="1">
        <v>45808</v>
      </c>
      <c r="K2125" t="s">
        <v>762</v>
      </c>
      <c r="L2125">
        <v>5732.31</v>
      </c>
      <c r="M2125">
        <v>5732.31</v>
      </c>
      <c r="N2125" t="s">
        <v>890</v>
      </c>
      <c r="Q2125" t="s">
        <v>807</v>
      </c>
    </row>
    <row r="2126" spans="1:18" x14ac:dyDescent="0.3">
      <c r="A2126">
        <v>3822</v>
      </c>
      <c r="B2126" t="s">
        <v>4874</v>
      </c>
      <c r="C2126" t="s">
        <v>225</v>
      </c>
      <c r="D2126" t="s">
        <v>166</v>
      </c>
      <c r="E2126" s="1">
        <v>45972</v>
      </c>
      <c r="F2126" t="s">
        <v>4383</v>
      </c>
      <c r="G2126" t="s">
        <v>3172</v>
      </c>
      <c r="H2126" t="s">
        <v>224</v>
      </c>
      <c r="I2126" t="s">
        <v>204</v>
      </c>
      <c r="J2126" s="1">
        <v>54878</v>
      </c>
      <c r="K2126" t="s">
        <v>720</v>
      </c>
      <c r="L2126">
        <v>476.36</v>
      </c>
      <c r="M2126">
        <v>476.36</v>
      </c>
      <c r="N2126" t="s">
        <v>710</v>
      </c>
      <c r="O2126" t="s">
        <v>4849</v>
      </c>
      <c r="P2126" t="s">
        <v>4776</v>
      </c>
      <c r="Q2126" t="s">
        <v>4855</v>
      </c>
      <c r="R2126" t="s">
        <v>4773</v>
      </c>
    </row>
    <row r="2127" spans="1:18" x14ac:dyDescent="0.3">
      <c r="A2127">
        <v>12</v>
      </c>
      <c r="B2127" t="s">
        <v>1034</v>
      </c>
      <c r="C2127" t="s">
        <v>449</v>
      </c>
      <c r="D2127" t="s">
        <v>20</v>
      </c>
      <c r="E2127" s="1">
        <v>45971</v>
      </c>
      <c r="F2127" t="s">
        <v>4331</v>
      </c>
      <c r="G2127" t="s">
        <v>3091</v>
      </c>
      <c r="H2127" t="s">
        <v>448</v>
      </c>
      <c r="I2127" t="s">
        <v>204</v>
      </c>
      <c r="J2127" s="1">
        <v>46219</v>
      </c>
      <c r="K2127" t="s">
        <v>717</v>
      </c>
      <c r="L2127">
        <v>8097.63</v>
      </c>
      <c r="M2127">
        <v>8097.63</v>
      </c>
      <c r="N2127" t="s">
        <v>710</v>
      </c>
      <c r="O2127" t="s">
        <v>4902</v>
      </c>
      <c r="P2127" t="s">
        <v>4776</v>
      </c>
      <c r="Q2127" t="s">
        <v>4852</v>
      </c>
      <c r="R2127" t="s">
        <v>4771</v>
      </c>
    </row>
    <row r="2128" spans="1:18" x14ac:dyDescent="0.3">
      <c r="A2128">
        <v>14</v>
      </c>
      <c r="B2128" t="s">
        <v>4874</v>
      </c>
      <c r="C2128" t="s">
        <v>626</v>
      </c>
      <c r="D2128" t="s">
        <v>184</v>
      </c>
      <c r="E2128" s="1">
        <v>45971</v>
      </c>
      <c r="F2128" t="s">
        <v>4414</v>
      </c>
      <c r="G2128" t="s">
        <v>3141</v>
      </c>
      <c r="H2128" t="s">
        <v>625</v>
      </c>
      <c r="I2128" t="s">
        <v>204</v>
      </c>
      <c r="J2128" s="1">
        <v>46440</v>
      </c>
      <c r="K2128" t="s">
        <v>720</v>
      </c>
      <c r="L2128">
        <v>230.05260000000001</v>
      </c>
      <c r="M2128">
        <v>21855</v>
      </c>
      <c r="N2128" t="s">
        <v>710</v>
      </c>
      <c r="O2128" t="s">
        <v>1039</v>
      </c>
      <c r="P2128" t="s">
        <v>4777</v>
      </c>
      <c r="Q2128" t="s">
        <v>4858</v>
      </c>
      <c r="R2128" t="s">
        <v>4773</v>
      </c>
    </row>
    <row r="2129" spans="1:18" x14ac:dyDescent="0.3">
      <c r="A2129">
        <v>213148</v>
      </c>
      <c r="B2129" t="s">
        <v>4874</v>
      </c>
      <c r="C2129" t="s">
        <v>441</v>
      </c>
      <c r="D2129" t="s">
        <v>38</v>
      </c>
      <c r="E2129" s="1">
        <v>45971</v>
      </c>
      <c r="F2129" t="s">
        <v>4393</v>
      </c>
      <c r="G2129" t="s">
        <v>3142</v>
      </c>
      <c r="H2129" t="s">
        <v>440</v>
      </c>
      <c r="I2129" t="s">
        <v>204</v>
      </c>
      <c r="J2129" s="1">
        <v>46191</v>
      </c>
      <c r="K2129" t="s">
        <v>762</v>
      </c>
      <c r="L2129">
        <v>11315</v>
      </c>
      <c r="M2129">
        <v>11315</v>
      </c>
      <c r="N2129" t="s">
        <v>710</v>
      </c>
      <c r="O2129" t="s">
        <v>4833</v>
      </c>
      <c r="P2129" t="s">
        <v>4786</v>
      </c>
      <c r="Q2129" t="s">
        <v>4852</v>
      </c>
      <c r="R2129" t="s">
        <v>4773</v>
      </c>
    </row>
    <row r="2130" spans="1:18" x14ac:dyDescent="0.3">
      <c r="A2130">
        <v>202525944</v>
      </c>
      <c r="B2130" t="s">
        <v>4874</v>
      </c>
      <c r="C2130" t="s">
        <v>222</v>
      </c>
      <c r="D2130" t="s">
        <v>80</v>
      </c>
      <c r="E2130" s="1">
        <v>45971</v>
      </c>
      <c r="F2130" t="s">
        <v>4419</v>
      </c>
      <c r="G2130" t="s">
        <v>3030</v>
      </c>
      <c r="H2130" t="s">
        <v>223</v>
      </c>
      <c r="I2130" t="s">
        <v>204</v>
      </c>
      <c r="J2130" s="1">
        <v>46504</v>
      </c>
      <c r="K2130" t="s">
        <v>720</v>
      </c>
      <c r="L2130">
        <v>1</v>
      </c>
      <c r="M2130">
        <v>390</v>
      </c>
      <c r="N2130" t="s">
        <v>710</v>
      </c>
      <c r="O2130" t="s">
        <v>4834</v>
      </c>
      <c r="P2130" t="s">
        <v>4778</v>
      </c>
      <c r="Q2130" t="s">
        <v>4858</v>
      </c>
      <c r="R2130" t="s">
        <v>4773</v>
      </c>
    </row>
    <row r="2131" spans="1:18" x14ac:dyDescent="0.3">
      <c r="A2131">
        <v>1464918</v>
      </c>
      <c r="B2131" t="s">
        <v>4875</v>
      </c>
      <c r="C2131" t="s">
        <v>668</v>
      </c>
      <c r="D2131" t="s">
        <v>84</v>
      </c>
      <c r="E2131" s="1">
        <v>45971</v>
      </c>
      <c r="F2131" t="s">
        <v>4302</v>
      </c>
      <c r="G2131" t="s">
        <v>3111</v>
      </c>
      <c r="H2131" t="s">
        <v>670</v>
      </c>
      <c r="I2131" t="s">
        <v>204</v>
      </c>
      <c r="J2131" s="1">
        <v>46677</v>
      </c>
      <c r="K2131" t="s">
        <v>768</v>
      </c>
      <c r="L2131">
        <v>1</v>
      </c>
      <c r="M2131">
        <v>2200</v>
      </c>
      <c r="N2131" t="s">
        <v>1000</v>
      </c>
      <c r="O2131" t="s">
        <v>1037</v>
      </c>
      <c r="P2131" t="s">
        <v>4799</v>
      </c>
      <c r="Q2131" t="s">
        <v>4852</v>
      </c>
      <c r="R2131" t="s">
        <v>807</v>
      </c>
    </row>
    <row r="2132" spans="1:18" x14ac:dyDescent="0.3">
      <c r="A2132">
        <v>459</v>
      </c>
      <c r="B2132" t="s">
        <v>4875</v>
      </c>
      <c r="C2132" t="s">
        <v>493</v>
      </c>
      <c r="D2132" t="s">
        <v>197</v>
      </c>
      <c r="E2132" s="1">
        <v>45971</v>
      </c>
      <c r="F2132" t="s">
        <v>4306</v>
      </c>
      <c r="G2132" t="s">
        <v>3137</v>
      </c>
      <c r="H2132" t="s">
        <v>492</v>
      </c>
      <c r="I2132" t="s">
        <v>204</v>
      </c>
      <c r="J2132" s="1">
        <v>54878</v>
      </c>
      <c r="K2132" t="s">
        <v>768</v>
      </c>
      <c r="L2132">
        <v>799</v>
      </c>
      <c r="M2132">
        <v>799</v>
      </c>
      <c r="N2132" t="s">
        <v>710</v>
      </c>
      <c r="O2132" t="s">
        <v>4833</v>
      </c>
      <c r="P2132" t="s">
        <v>4786</v>
      </c>
      <c r="Q2132" t="s">
        <v>4852</v>
      </c>
      <c r="R2132" t="s">
        <v>4773</v>
      </c>
    </row>
    <row r="2133" spans="1:18" x14ac:dyDescent="0.3">
      <c r="A2133">
        <v>164603</v>
      </c>
      <c r="B2133" t="s">
        <v>4875</v>
      </c>
      <c r="C2133" t="s">
        <v>301</v>
      </c>
      <c r="D2133" t="s">
        <v>23</v>
      </c>
      <c r="E2133" s="1">
        <v>45971</v>
      </c>
      <c r="F2133" t="s">
        <v>4321</v>
      </c>
      <c r="G2133" t="s">
        <v>3073</v>
      </c>
      <c r="H2133" t="s">
        <v>342</v>
      </c>
      <c r="I2133" t="s">
        <v>204</v>
      </c>
      <c r="J2133" s="1">
        <v>46285</v>
      </c>
      <c r="K2133" t="s">
        <v>748</v>
      </c>
      <c r="L2133">
        <v>5127.5200000000004</v>
      </c>
      <c r="M2133">
        <v>5127.5200000000004</v>
      </c>
      <c r="N2133" t="s">
        <v>710</v>
      </c>
      <c r="O2133" t="s">
        <v>1040</v>
      </c>
      <c r="P2133" t="s">
        <v>4782</v>
      </c>
      <c r="Q2133" t="s">
        <v>4856</v>
      </c>
      <c r="R2133" t="s">
        <v>4773</v>
      </c>
    </row>
    <row r="2134" spans="1:18" x14ac:dyDescent="0.3">
      <c r="A2134">
        <v>330</v>
      </c>
      <c r="B2134" t="s">
        <v>1034</v>
      </c>
      <c r="C2134" t="s">
        <v>479</v>
      </c>
      <c r="D2134" t="s">
        <v>99</v>
      </c>
      <c r="E2134" s="1">
        <v>45968</v>
      </c>
      <c r="F2134" t="s">
        <v>4312</v>
      </c>
      <c r="G2134" t="s">
        <v>3156</v>
      </c>
      <c r="H2134" t="s">
        <v>478</v>
      </c>
      <c r="I2134" t="s">
        <v>204</v>
      </c>
      <c r="J2134" s="1">
        <v>46239</v>
      </c>
      <c r="K2134" t="s">
        <v>717</v>
      </c>
      <c r="L2134">
        <v>32</v>
      </c>
      <c r="M2134">
        <v>152</v>
      </c>
      <c r="N2134" t="s">
        <v>710</v>
      </c>
      <c r="O2134" t="s">
        <v>1037</v>
      </c>
      <c r="P2134" t="s">
        <v>4790</v>
      </c>
      <c r="Q2134" t="s">
        <v>4852</v>
      </c>
      <c r="R2134" t="s">
        <v>4772</v>
      </c>
    </row>
    <row r="2135" spans="1:18" x14ac:dyDescent="0.3">
      <c r="A2135">
        <v>387444</v>
      </c>
      <c r="B2135" t="s">
        <v>4875</v>
      </c>
      <c r="C2135" t="s">
        <v>435</v>
      </c>
      <c r="D2135" t="s">
        <v>30</v>
      </c>
      <c r="E2135" s="1">
        <v>45968</v>
      </c>
      <c r="F2135" t="s">
        <v>4351</v>
      </c>
      <c r="G2135" t="s">
        <v>3147</v>
      </c>
      <c r="H2135" t="s">
        <v>434</v>
      </c>
      <c r="I2135" t="s">
        <v>204</v>
      </c>
      <c r="J2135" s="1">
        <v>46752</v>
      </c>
      <c r="K2135" t="s">
        <v>785</v>
      </c>
      <c r="L2135">
        <v>1</v>
      </c>
      <c r="M2135">
        <v>68872.94</v>
      </c>
      <c r="N2135" t="s">
        <v>998</v>
      </c>
      <c r="O2135" t="s">
        <v>1038</v>
      </c>
      <c r="P2135" t="s">
        <v>4787</v>
      </c>
      <c r="Q2135" t="s">
        <v>4858</v>
      </c>
      <c r="R2135" t="s">
        <v>4771</v>
      </c>
    </row>
    <row r="2136" spans="1:18" x14ac:dyDescent="0.3">
      <c r="A2136">
        <v>2025205</v>
      </c>
      <c r="B2136" t="s">
        <v>4875</v>
      </c>
      <c r="C2136" t="s">
        <v>322</v>
      </c>
      <c r="D2136" t="s">
        <v>158</v>
      </c>
      <c r="E2136" s="1">
        <v>45968</v>
      </c>
      <c r="F2136" t="s">
        <v>4431</v>
      </c>
      <c r="G2136" t="s">
        <v>3049</v>
      </c>
      <c r="H2136" t="s">
        <v>321</v>
      </c>
      <c r="I2136" t="s">
        <v>204</v>
      </c>
      <c r="J2136" s="1">
        <v>46310</v>
      </c>
      <c r="K2136" t="s">
        <v>748</v>
      </c>
      <c r="L2136">
        <v>9469.7099999999991</v>
      </c>
      <c r="M2136">
        <v>9469.7099999999991</v>
      </c>
      <c r="N2136" t="s">
        <v>710</v>
      </c>
      <c r="O2136" t="s">
        <v>1040</v>
      </c>
      <c r="P2136" t="s">
        <v>4782</v>
      </c>
      <c r="Q2136" t="s">
        <v>4856</v>
      </c>
      <c r="R2136" t="s">
        <v>4773</v>
      </c>
    </row>
    <row r="2137" spans="1:18" x14ac:dyDescent="0.3">
      <c r="A2137">
        <v>387322</v>
      </c>
      <c r="B2137" t="s">
        <v>1034</v>
      </c>
      <c r="C2137" t="s">
        <v>435</v>
      </c>
      <c r="D2137" t="s">
        <v>30</v>
      </c>
      <c r="E2137" s="1">
        <v>45968</v>
      </c>
      <c r="F2137" t="s">
        <v>4351</v>
      </c>
      <c r="G2137" t="s">
        <v>3145</v>
      </c>
      <c r="H2137" t="s">
        <v>434</v>
      </c>
      <c r="I2137" t="s">
        <v>204</v>
      </c>
      <c r="J2137" s="1">
        <v>46752</v>
      </c>
      <c r="K2137" t="s">
        <v>785</v>
      </c>
      <c r="L2137">
        <v>1</v>
      </c>
      <c r="M2137">
        <v>185107.61</v>
      </c>
      <c r="N2137" t="s">
        <v>998</v>
      </c>
      <c r="O2137" t="s">
        <v>1038</v>
      </c>
      <c r="P2137" t="s">
        <v>4787</v>
      </c>
      <c r="Q2137" t="s">
        <v>4858</v>
      </c>
      <c r="R2137" t="s">
        <v>4771</v>
      </c>
    </row>
    <row r="2138" spans="1:18" x14ac:dyDescent="0.3">
      <c r="A2138">
        <v>329</v>
      </c>
      <c r="B2138" t="s">
        <v>1034</v>
      </c>
      <c r="C2138" t="s">
        <v>479</v>
      </c>
      <c r="D2138" t="s">
        <v>99</v>
      </c>
      <c r="E2138" s="1">
        <v>45968</v>
      </c>
      <c r="F2138" t="s">
        <v>4373</v>
      </c>
      <c r="G2138" t="s">
        <v>3157</v>
      </c>
      <c r="H2138" t="s">
        <v>478</v>
      </c>
      <c r="I2138" t="s">
        <v>204</v>
      </c>
      <c r="J2138" s="1">
        <v>46239</v>
      </c>
      <c r="K2138" t="s">
        <v>717</v>
      </c>
      <c r="L2138">
        <v>18</v>
      </c>
      <c r="M2138">
        <v>277.56</v>
      </c>
      <c r="N2138" t="s">
        <v>710</v>
      </c>
      <c r="O2138" t="s">
        <v>1037</v>
      </c>
      <c r="P2138" t="s">
        <v>4790</v>
      </c>
      <c r="Q2138" t="s">
        <v>4852</v>
      </c>
      <c r="R2138" t="s">
        <v>4772</v>
      </c>
    </row>
    <row r="2139" spans="1:18" x14ac:dyDescent="0.3">
      <c r="A2139">
        <v>329</v>
      </c>
      <c r="B2139" t="s">
        <v>1034</v>
      </c>
      <c r="C2139" t="s">
        <v>479</v>
      </c>
      <c r="D2139" t="s">
        <v>99</v>
      </c>
      <c r="E2139" s="1">
        <v>45968</v>
      </c>
      <c r="F2139" t="s">
        <v>4376</v>
      </c>
      <c r="G2139" t="s">
        <v>3157</v>
      </c>
      <c r="H2139" t="s">
        <v>478</v>
      </c>
      <c r="I2139" t="s">
        <v>204</v>
      </c>
      <c r="J2139" s="1">
        <v>46239</v>
      </c>
      <c r="K2139" t="s">
        <v>717</v>
      </c>
      <c r="L2139">
        <v>12</v>
      </c>
      <c r="M2139">
        <v>143.76</v>
      </c>
      <c r="N2139" t="s">
        <v>710</v>
      </c>
      <c r="O2139" t="s">
        <v>1037</v>
      </c>
      <c r="P2139" t="s">
        <v>4790</v>
      </c>
      <c r="Q2139" t="s">
        <v>4852</v>
      </c>
      <c r="R2139" t="s">
        <v>4772</v>
      </c>
    </row>
    <row r="2140" spans="1:18" x14ac:dyDescent="0.3">
      <c r="A2140">
        <v>330</v>
      </c>
      <c r="B2140" t="s">
        <v>1034</v>
      </c>
      <c r="C2140" t="s">
        <v>479</v>
      </c>
      <c r="D2140" t="s">
        <v>99</v>
      </c>
      <c r="E2140" s="1">
        <v>45968</v>
      </c>
      <c r="F2140" t="s">
        <v>4372</v>
      </c>
      <c r="G2140" t="s">
        <v>3156</v>
      </c>
      <c r="H2140" t="s">
        <v>478</v>
      </c>
      <c r="I2140" t="s">
        <v>204</v>
      </c>
      <c r="J2140" s="1">
        <v>46239</v>
      </c>
      <c r="K2140" t="s">
        <v>717</v>
      </c>
      <c r="L2140">
        <v>309</v>
      </c>
      <c r="M2140">
        <v>2632.68</v>
      </c>
      <c r="N2140" t="s">
        <v>710</v>
      </c>
      <c r="O2140" t="s">
        <v>1037</v>
      </c>
      <c r="P2140" t="s">
        <v>4790</v>
      </c>
      <c r="Q2140" t="s">
        <v>4852</v>
      </c>
      <c r="R2140" t="s">
        <v>4772</v>
      </c>
    </row>
    <row r="2141" spans="1:18" x14ac:dyDescent="0.3">
      <c r="A2141">
        <v>329</v>
      </c>
      <c r="B2141" t="s">
        <v>1034</v>
      </c>
      <c r="C2141" t="s">
        <v>479</v>
      </c>
      <c r="D2141" t="s">
        <v>99</v>
      </c>
      <c r="E2141" s="1">
        <v>45968</v>
      </c>
      <c r="F2141" t="s">
        <v>4374</v>
      </c>
      <c r="G2141" t="s">
        <v>3157</v>
      </c>
      <c r="H2141" t="s">
        <v>478</v>
      </c>
      <c r="I2141" t="s">
        <v>204</v>
      </c>
      <c r="J2141" s="1">
        <v>46239</v>
      </c>
      <c r="K2141" t="s">
        <v>717</v>
      </c>
      <c r="L2141">
        <v>7</v>
      </c>
      <c r="M2141">
        <v>157.71</v>
      </c>
      <c r="N2141" t="s">
        <v>710</v>
      </c>
      <c r="O2141" t="s">
        <v>1037</v>
      </c>
      <c r="P2141" t="s">
        <v>4790</v>
      </c>
      <c r="Q2141" t="s">
        <v>4852</v>
      </c>
      <c r="R2141" t="s">
        <v>4772</v>
      </c>
    </row>
    <row r="2142" spans="1:18" x14ac:dyDescent="0.3">
      <c r="A2142">
        <v>330</v>
      </c>
      <c r="B2142" t="s">
        <v>1034</v>
      </c>
      <c r="C2142" t="s">
        <v>479</v>
      </c>
      <c r="D2142" t="s">
        <v>99</v>
      </c>
      <c r="E2142" s="1">
        <v>45968</v>
      </c>
      <c r="F2142" t="s">
        <v>4307</v>
      </c>
      <c r="G2142" t="s">
        <v>3156</v>
      </c>
      <c r="H2142" t="s">
        <v>478</v>
      </c>
      <c r="I2142" t="s">
        <v>204</v>
      </c>
      <c r="J2142" s="1">
        <v>46239</v>
      </c>
      <c r="K2142" t="s">
        <v>717</v>
      </c>
      <c r="L2142">
        <v>3879</v>
      </c>
      <c r="M2142">
        <v>47362.59</v>
      </c>
      <c r="N2142" t="s">
        <v>710</v>
      </c>
      <c r="O2142" t="s">
        <v>1037</v>
      </c>
      <c r="P2142" t="s">
        <v>4790</v>
      </c>
      <c r="Q2142" t="s">
        <v>4852</v>
      </c>
      <c r="R2142" t="s">
        <v>4772</v>
      </c>
    </row>
    <row r="2143" spans="1:18" x14ac:dyDescent="0.3">
      <c r="A2143">
        <v>330</v>
      </c>
      <c r="B2143" t="s">
        <v>1034</v>
      </c>
      <c r="C2143" t="s">
        <v>479</v>
      </c>
      <c r="D2143" t="s">
        <v>99</v>
      </c>
      <c r="E2143" s="1">
        <v>45968</v>
      </c>
      <c r="F2143" t="s">
        <v>4310</v>
      </c>
      <c r="G2143" t="s">
        <v>3156</v>
      </c>
      <c r="H2143" t="s">
        <v>478</v>
      </c>
      <c r="I2143" t="s">
        <v>204</v>
      </c>
      <c r="J2143" s="1">
        <v>46239</v>
      </c>
      <c r="K2143" t="s">
        <v>717</v>
      </c>
      <c r="L2143">
        <v>40</v>
      </c>
      <c r="M2143">
        <v>142</v>
      </c>
      <c r="N2143" t="s">
        <v>710</v>
      </c>
      <c r="O2143" t="s">
        <v>1037</v>
      </c>
      <c r="P2143" t="s">
        <v>4790</v>
      </c>
      <c r="Q2143" t="s">
        <v>4852</v>
      </c>
      <c r="R2143" t="s">
        <v>4772</v>
      </c>
    </row>
    <row r="2144" spans="1:18" x14ac:dyDescent="0.3">
      <c r="A2144">
        <v>4</v>
      </c>
      <c r="B2144" t="s">
        <v>1034</v>
      </c>
      <c r="C2144" t="s">
        <v>636</v>
      </c>
      <c r="D2144" t="s">
        <v>51</v>
      </c>
      <c r="E2144" s="1">
        <v>45968</v>
      </c>
      <c r="F2144" t="s">
        <v>4297</v>
      </c>
      <c r="G2144" t="s">
        <v>2293</v>
      </c>
      <c r="H2144" t="s">
        <v>635</v>
      </c>
      <c r="I2144" t="s">
        <v>204</v>
      </c>
      <c r="J2144" s="1">
        <v>46193</v>
      </c>
      <c r="K2144" t="s">
        <v>711</v>
      </c>
      <c r="L2144">
        <v>1</v>
      </c>
      <c r="M2144">
        <v>7933</v>
      </c>
      <c r="N2144" t="s">
        <v>710</v>
      </c>
      <c r="O2144" t="s">
        <v>4844</v>
      </c>
      <c r="P2144" t="s">
        <v>4779</v>
      </c>
      <c r="Q2144" t="s">
        <v>4845</v>
      </c>
      <c r="R2144" t="s">
        <v>4771</v>
      </c>
    </row>
    <row r="2145" spans="1:18" x14ac:dyDescent="0.3">
      <c r="A2145">
        <v>329</v>
      </c>
      <c r="B2145" t="s">
        <v>1034</v>
      </c>
      <c r="C2145" t="s">
        <v>479</v>
      </c>
      <c r="D2145" t="s">
        <v>99</v>
      </c>
      <c r="E2145" s="1">
        <v>45968</v>
      </c>
      <c r="F2145" t="s">
        <v>4375</v>
      </c>
      <c r="G2145" t="s">
        <v>3157</v>
      </c>
      <c r="H2145" t="s">
        <v>478</v>
      </c>
      <c r="I2145" t="s">
        <v>204</v>
      </c>
      <c r="J2145" s="1">
        <v>46239</v>
      </c>
      <c r="K2145" t="s">
        <v>717</v>
      </c>
      <c r="L2145">
        <v>8</v>
      </c>
      <c r="M2145">
        <v>95.84</v>
      </c>
      <c r="N2145" t="s">
        <v>710</v>
      </c>
      <c r="O2145" t="s">
        <v>1037</v>
      </c>
      <c r="P2145" t="s">
        <v>4790</v>
      </c>
      <c r="Q2145" t="s">
        <v>4852</v>
      </c>
      <c r="R2145" t="s">
        <v>4772</v>
      </c>
    </row>
    <row r="2146" spans="1:18" x14ac:dyDescent="0.3">
      <c r="A2146">
        <v>5</v>
      </c>
      <c r="B2146" t="s">
        <v>1034</v>
      </c>
      <c r="C2146" t="s">
        <v>636</v>
      </c>
      <c r="D2146" t="s">
        <v>51</v>
      </c>
      <c r="E2146" s="1">
        <v>45968</v>
      </c>
      <c r="F2146" t="s">
        <v>4297</v>
      </c>
      <c r="G2146" t="s">
        <v>2293</v>
      </c>
      <c r="H2146" t="s">
        <v>635</v>
      </c>
      <c r="I2146" t="s">
        <v>204</v>
      </c>
      <c r="J2146" s="1">
        <v>46193</v>
      </c>
      <c r="K2146" t="s">
        <v>711</v>
      </c>
      <c r="L2146">
        <v>1</v>
      </c>
      <c r="M2146">
        <v>7933</v>
      </c>
      <c r="N2146" t="s">
        <v>710</v>
      </c>
      <c r="O2146" t="s">
        <v>4844</v>
      </c>
      <c r="P2146" t="s">
        <v>4779</v>
      </c>
      <c r="Q2146" t="s">
        <v>4845</v>
      </c>
      <c r="R2146" t="s">
        <v>4771</v>
      </c>
    </row>
    <row r="2147" spans="1:18" x14ac:dyDescent="0.3">
      <c r="A2147">
        <v>330</v>
      </c>
      <c r="B2147" t="s">
        <v>1034</v>
      </c>
      <c r="C2147" t="s">
        <v>479</v>
      </c>
      <c r="D2147" t="s">
        <v>99</v>
      </c>
      <c r="E2147" s="1">
        <v>45968</v>
      </c>
      <c r="F2147" t="s">
        <v>4308</v>
      </c>
      <c r="G2147" t="s">
        <v>3156</v>
      </c>
      <c r="H2147" t="s">
        <v>478</v>
      </c>
      <c r="I2147" t="s">
        <v>204</v>
      </c>
      <c r="J2147" s="1">
        <v>46239</v>
      </c>
      <c r="K2147" t="s">
        <v>717</v>
      </c>
      <c r="L2147">
        <v>2793</v>
      </c>
      <c r="M2147">
        <v>11060.28</v>
      </c>
      <c r="N2147" t="s">
        <v>710</v>
      </c>
      <c r="O2147" t="s">
        <v>1037</v>
      </c>
      <c r="P2147" t="s">
        <v>4790</v>
      </c>
      <c r="Q2147" t="s">
        <v>4852</v>
      </c>
      <c r="R2147" t="s">
        <v>4772</v>
      </c>
    </row>
    <row r="2148" spans="1:18" x14ac:dyDescent="0.3">
      <c r="A2148">
        <v>346</v>
      </c>
      <c r="B2148" t="s">
        <v>4874</v>
      </c>
      <c r="C2148" t="s">
        <v>575</v>
      </c>
      <c r="D2148" t="s">
        <v>174</v>
      </c>
      <c r="E2148" s="1">
        <v>45968</v>
      </c>
      <c r="F2148" t="s">
        <v>4412</v>
      </c>
      <c r="G2148" t="s">
        <v>3140</v>
      </c>
      <c r="H2148" t="s">
        <v>574</v>
      </c>
      <c r="I2148" t="s">
        <v>204</v>
      </c>
      <c r="J2148" s="1">
        <v>46203</v>
      </c>
      <c r="K2148" t="s">
        <v>720</v>
      </c>
      <c r="L2148">
        <v>1</v>
      </c>
      <c r="M2148">
        <v>8316.0400000000009</v>
      </c>
      <c r="N2148" t="s">
        <v>890</v>
      </c>
      <c r="O2148" t="s">
        <v>1039</v>
      </c>
      <c r="P2148" t="s">
        <v>4776</v>
      </c>
      <c r="Q2148" t="s">
        <v>4858</v>
      </c>
      <c r="R2148" t="s">
        <v>4771</v>
      </c>
    </row>
    <row r="2149" spans="1:18" x14ac:dyDescent="0.3">
      <c r="A2149">
        <v>74</v>
      </c>
      <c r="B2149" t="s">
        <v>4874</v>
      </c>
      <c r="C2149" t="s">
        <v>607</v>
      </c>
      <c r="D2149" t="s">
        <v>81</v>
      </c>
      <c r="E2149" s="1">
        <v>45968</v>
      </c>
      <c r="F2149" t="s">
        <v>4357</v>
      </c>
      <c r="G2149" t="s">
        <v>3125</v>
      </c>
      <c r="H2149" t="s">
        <v>606</v>
      </c>
      <c r="I2149" t="s">
        <v>204</v>
      </c>
      <c r="J2149" s="1">
        <v>46387</v>
      </c>
      <c r="K2149" t="s">
        <v>720</v>
      </c>
      <c r="L2149">
        <v>1</v>
      </c>
      <c r="M2149">
        <v>26571.32</v>
      </c>
      <c r="N2149" t="s">
        <v>710</v>
      </c>
      <c r="O2149" t="s">
        <v>1038</v>
      </c>
      <c r="P2149" t="s">
        <v>4777</v>
      </c>
      <c r="Q2149" t="s">
        <v>4858</v>
      </c>
      <c r="R2149" t="s">
        <v>4773</v>
      </c>
    </row>
    <row r="2150" spans="1:18" x14ac:dyDescent="0.3">
      <c r="A2150">
        <v>387608</v>
      </c>
      <c r="B2150" t="s">
        <v>4874</v>
      </c>
      <c r="C2150" t="s">
        <v>435</v>
      </c>
      <c r="D2150" t="s">
        <v>30</v>
      </c>
      <c r="E2150" s="1">
        <v>45968</v>
      </c>
      <c r="F2150" t="s">
        <v>4351</v>
      </c>
      <c r="G2150" t="s">
        <v>3148</v>
      </c>
      <c r="H2150" t="s">
        <v>434</v>
      </c>
      <c r="I2150" t="s">
        <v>204</v>
      </c>
      <c r="J2150" s="1">
        <v>46752</v>
      </c>
      <c r="K2150" t="s">
        <v>785</v>
      </c>
      <c r="L2150">
        <v>1</v>
      </c>
      <c r="M2150">
        <v>170909.48</v>
      </c>
      <c r="N2150" t="s">
        <v>998</v>
      </c>
      <c r="O2150" t="s">
        <v>1038</v>
      </c>
      <c r="P2150" t="s">
        <v>4787</v>
      </c>
      <c r="Q2150" t="s">
        <v>4858</v>
      </c>
      <c r="R2150" t="s">
        <v>4771</v>
      </c>
    </row>
    <row r="2151" spans="1:18" x14ac:dyDescent="0.3">
      <c r="A2151">
        <v>353</v>
      </c>
      <c r="B2151" t="s">
        <v>4874</v>
      </c>
      <c r="C2151" t="s">
        <v>645</v>
      </c>
      <c r="D2151" t="s">
        <v>76</v>
      </c>
      <c r="E2151" s="1">
        <v>45968</v>
      </c>
      <c r="F2151" t="s">
        <v>4318</v>
      </c>
      <c r="G2151" t="s">
        <v>3128</v>
      </c>
      <c r="H2151" t="s">
        <v>644</v>
      </c>
      <c r="I2151" t="s">
        <v>204</v>
      </c>
      <c r="J2151" s="1">
        <v>46478</v>
      </c>
      <c r="K2151" t="s">
        <v>720</v>
      </c>
      <c r="L2151">
        <v>1</v>
      </c>
      <c r="M2151">
        <v>4027.7</v>
      </c>
      <c r="N2151" t="s">
        <v>710</v>
      </c>
      <c r="O2151" t="s">
        <v>1038</v>
      </c>
      <c r="P2151" t="s">
        <v>4776</v>
      </c>
      <c r="Q2151" t="s">
        <v>4858</v>
      </c>
      <c r="R2151" t="s">
        <v>4773</v>
      </c>
    </row>
    <row r="2152" spans="1:18" x14ac:dyDescent="0.3">
      <c r="A2152">
        <v>1271</v>
      </c>
      <c r="B2152" t="s">
        <v>4874</v>
      </c>
      <c r="C2152" t="s">
        <v>305</v>
      </c>
      <c r="D2152" t="s">
        <v>59</v>
      </c>
      <c r="E2152" s="1">
        <v>45968</v>
      </c>
      <c r="F2152" t="s">
        <v>4359</v>
      </c>
      <c r="G2152" t="s">
        <v>3129</v>
      </c>
      <c r="H2152" t="s">
        <v>304</v>
      </c>
      <c r="I2152" t="s">
        <v>204</v>
      </c>
      <c r="J2152" s="1">
        <v>46481</v>
      </c>
      <c r="K2152" t="s">
        <v>720</v>
      </c>
      <c r="L2152">
        <v>1</v>
      </c>
      <c r="M2152">
        <v>1098.5999999999999</v>
      </c>
      <c r="N2152" t="s">
        <v>809</v>
      </c>
      <c r="O2152" t="s">
        <v>1038</v>
      </c>
      <c r="P2152" t="s">
        <v>4783</v>
      </c>
      <c r="Q2152" t="s">
        <v>4858</v>
      </c>
      <c r="R2152" t="s">
        <v>4771</v>
      </c>
    </row>
    <row r="2153" spans="1:18" x14ac:dyDescent="0.3">
      <c r="A2153">
        <v>14658</v>
      </c>
      <c r="B2153" t="s">
        <v>4874</v>
      </c>
      <c r="C2153" t="s">
        <v>426</v>
      </c>
      <c r="D2153" t="s">
        <v>54</v>
      </c>
      <c r="E2153" s="1">
        <v>45968</v>
      </c>
      <c r="F2153" t="s">
        <v>4409</v>
      </c>
      <c r="G2153" t="s">
        <v>3153</v>
      </c>
      <c r="H2153" t="s">
        <v>425</v>
      </c>
      <c r="I2153" t="s">
        <v>204</v>
      </c>
      <c r="J2153" s="1">
        <v>46752</v>
      </c>
      <c r="K2153" t="s">
        <v>785</v>
      </c>
      <c r="L2153">
        <v>1</v>
      </c>
      <c r="M2153">
        <v>122966.27</v>
      </c>
      <c r="N2153" t="s">
        <v>710</v>
      </c>
      <c r="O2153" t="s">
        <v>1038</v>
      </c>
      <c r="P2153" t="s">
        <v>4787</v>
      </c>
      <c r="Q2153" t="s">
        <v>4858</v>
      </c>
      <c r="R2153" t="s">
        <v>4771</v>
      </c>
    </row>
    <row r="2154" spans="1:18" x14ac:dyDescent="0.3">
      <c r="A2154">
        <v>1464924</v>
      </c>
      <c r="B2154" t="s">
        <v>4874</v>
      </c>
      <c r="C2154" t="s">
        <v>668</v>
      </c>
      <c r="D2154" t="s">
        <v>84</v>
      </c>
      <c r="E2154" s="1">
        <v>45968</v>
      </c>
      <c r="F2154" t="s">
        <v>4302</v>
      </c>
      <c r="G2154" t="s">
        <v>3110</v>
      </c>
      <c r="H2154" t="s">
        <v>667</v>
      </c>
      <c r="I2154" t="s">
        <v>204</v>
      </c>
      <c r="J2154" s="1">
        <v>46676</v>
      </c>
      <c r="K2154" t="s">
        <v>762</v>
      </c>
      <c r="L2154">
        <v>1</v>
      </c>
      <c r="M2154">
        <v>23200</v>
      </c>
      <c r="N2154" t="s">
        <v>1000</v>
      </c>
      <c r="O2154" t="s">
        <v>1037</v>
      </c>
      <c r="P2154" t="s">
        <v>4799</v>
      </c>
      <c r="Q2154" t="s">
        <v>4852</v>
      </c>
      <c r="R2154" t="s">
        <v>807</v>
      </c>
    </row>
    <row r="2155" spans="1:18" x14ac:dyDescent="0.3">
      <c r="A2155">
        <v>48</v>
      </c>
      <c r="B2155" t="s">
        <v>4876</v>
      </c>
      <c r="C2155" t="s">
        <v>476</v>
      </c>
      <c r="D2155" t="s">
        <v>195</v>
      </c>
      <c r="E2155" s="1">
        <v>45967</v>
      </c>
      <c r="F2155" t="s">
        <v>4401</v>
      </c>
      <c r="G2155" t="s">
        <v>3127</v>
      </c>
      <c r="H2155" t="s">
        <v>475</v>
      </c>
      <c r="I2155" t="s">
        <v>204</v>
      </c>
      <c r="J2155" s="1">
        <v>54878</v>
      </c>
      <c r="K2155" t="s">
        <v>839</v>
      </c>
      <c r="L2155">
        <v>39330</v>
      </c>
      <c r="M2155">
        <v>39330</v>
      </c>
      <c r="N2155" t="s">
        <v>710</v>
      </c>
      <c r="O2155" t="s">
        <v>1042</v>
      </c>
      <c r="P2155" t="s">
        <v>1006</v>
      </c>
      <c r="Q2155" t="s">
        <v>4852</v>
      </c>
      <c r="R2155" t="s">
        <v>4771</v>
      </c>
    </row>
    <row r="2156" spans="1:18" x14ac:dyDescent="0.3">
      <c r="A2156">
        <v>7125</v>
      </c>
      <c r="B2156" t="s">
        <v>4874</v>
      </c>
      <c r="C2156" t="s">
        <v>230</v>
      </c>
      <c r="D2156" t="s">
        <v>85</v>
      </c>
      <c r="E2156" s="1">
        <v>45967</v>
      </c>
      <c r="F2156" t="s">
        <v>4348</v>
      </c>
      <c r="G2156" t="s">
        <v>3151</v>
      </c>
      <c r="H2156" t="s">
        <v>299</v>
      </c>
      <c r="I2156" t="s">
        <v>204</v>
      </c>
      <c r="J2156" s="1">
        <v>46536</v>
      </c>
      <c r="K2156" t="s">
        <v>762</v>
      </c>
      <c r="L2156">
        <v>198518.11</v>
      </c>
      <c r="M2156">
        <v>198518.11</v>
      </c>
      <c r="N2156" t="s">
        <v>710</v>
      </c>
      <c r="O2156" t="s">
        <v>1033</v>
      </c>
      <c r="P2156" t="s">
        <v>4781</v>
      </c>
      <c r="Q2156" t="s">
        <v>4852</v>
      </c>
      <c r="R2156" t="s">
        <v>4771</v>
      </c>
    </row>
    <row r="2157" spans="1:18" x14ac:dyDescent="0.3">
      <c r="A2157">
        <v>42460</v>
      </c>
      <c r="B2157" t="s">
        <v>1034</v>
      </c>
      <c r="C2157" t="s">
        <v>327</v>
      </c>
      <c r="D2157" t="s">
        <v>159</v>
      </c>
      <c r="E2157" s="1">
        <v>45967</v>
      </c>
      <c r="F2157" t="s">
        <v>4296</v>
      </c>
      <c r="G2157" t="s">
        <v>3119</v>
      </c>
      <c r="H2157" t="s">
        <v>357</v>
      </c>
      <c r="I2157" t="s">
        <v>204</v>
      </c>
      <c r="J2157" s="1">
        <v>46476</v>
      </c>
      <c r="K2157" t="s">
        <v>711</v>
      </c>
      <c r="L2157">
        <v>2091.35</v>
      </c>
      <c r="M2157">
        <v>2091.35</v>
      </c>
      <c r="N2157" t="s">
        <v>890</v>
      </c>
      <c r="O2157" t="s">
        <v>4834</v>
      </c>
      <c r="P2157" t="s">
        <v>4776</v>
      </c>
      <c r="Q2157" t="s">
        <v>4901</v>
      </c>
      <c r="R2157" t="s">
        <v>4773</v>
      </c>
    </row>
    <row r="2158" spans="1:18" x14ac:dyDescent="0.3">
      <c r="A2158">
        <v>140</v>
      </c>
      <c r="B2158" t="s">
        <v>1034</v>
      </c>
      <c r="C2158" t="s">
        <v>643</v>
      </c>
      <c r="D2158" t="s">
        <v>52</v>
      </c>
      <c r="E2158" s="1">
        <v>45967</v>
      </c>
      <c r="F2158" t="s">
        <v>4318</v>
      </c>
      <c r="G2158" t="s">
        <v>3056</v>
      </c>
      <c r="H2158" t="s">
        <v>642</v>
      </c>
      <c r="I2158" t="s">
        <v>204</v>
      </c>
      <c r="J2158" s="1">
        <v>46548</v>
      </c>
      <c r="K2158" t="s">
        <v>711</v>
      </c>
      <c r="L2158">
        <v>1</v>
      </c>
      <c r="M2158">
        <v>2300</v>
      </c>
      <c r="N2158" t="s">
        <v>710</v>
      </c>
      <c r="O2158" t="s">
        <v>4834</v>
      </c>
      <c r="P2158" t="s">
        <v>4776</v>
      </c>
      <c r="Q2158" t="s">
        <v>4901</v>
      </c>
    </row>
    <row r="2159" spans="1:18" x14ac:dyDescent="0.3">
      <c r="A2159">
        <v>7129</v>
      </c>
      <c r="B2159" t="s">
        <v>1034</v>
      </c>
      <c r="C2159" t="s">
        <v>230</v>
      </c>
      <c r="D2159" t="s">
        <v>85</v>
      </c>
      <c r="E2159" s="1">
        <v>45967</v>
      </c>
      <c r="F2159" t="s">
        <v>4348</v>
      </c>
      <c r="G2159" t="s">
        <v>3152</v>
      </c>
      <c r="H2159" t="s">
        <v>570</v>
      </c>
      <c r="I2159" t="s">
        <v>204</v>
      </c>
      <c r="J2159" s="1">
        <v>46418</v>
      </c>
      <c r="K2159" t="s">
        <v>717</v>
      </c>
      <c r="L2159">
        <v>508195.8</v>
      </c>
      <c r="M2159">
        <v>508195.8</v>
      </c>
      <c r="N2159" t="s">
        <v>719</v>
      </c>
      <c r="O2159" t="s">
        <v>1033</v>
      </c>
      <c r="P2159" t="s">
        <v>4781</v>
      </c>
      <c r="Q2159" t="s">
        <v>4852</v>
      </c>
      <c r="R2159" t="s">
        <v>4771</v>
      </c>
    </row>
    <row r="2160" spans="1:18" x14ac:dyDescent="0.3">
      <c r="A2160">
        <v>5938</v>
      </c>
      <c r="B2160" t="s">
        <v>1034</v>
      </c>
      <c r="C2160" t="s">
        <v>208</v>
      </c>
      <c r="D2160" t="s">
        <v>164</v>
      </c>
      <c r="E2160" s="1">
        <v>45967</v>
      </c>
      <c r="F2160" t="s">
        <v>4344</v>
      </c>
      <c r="G2160" t="s">
        <v>3134</v>
      </c>
      <c r="H2160" t="s">
        <v>604</v>
      </c>
      <c r="I2160" t="s">
        <v>204</v>
      </c>
      <c r="J2160" s="1">
        <v>46256</v>
      </c>
      <c r="K2160" t="s">
        <v>711</v>
      </c>
      <c r="L2160">
        <v>2</v>
      </c>
      <c r="M2160">
        <v>440</v>
      </c>
      <c r="N2160" t="s">
        <v>710</v>
      </c>
      <c r="O2160" t="s">
        <v>1036</v>
      </c>
      <c r="P2160" t="s">
        <v>4784</v>
      </c>
      <c r="Q2160" t="s">
        <v>4901</v>
      </c>
    </row>
    <row r="2161" spans="1:18" x14ac:dyDescent="0.3">
      <c r="A2161">
        <v>7148</v>
      </c>
      <c r="B2161" t="s">
        <v>4874</v>
      </c>
      <c r="C2161" t="s">
        <v>230</v>
      </c>
      <c r="D2161" t="s">
        <v>85</v>
      </c>
      <c r="E2161" s="1">
        <v>45967</v>
      </c>
      <c r="F2161" t="s">
        <v>4421</v>
      </c>
      <c r="G2161" t="s">
        <v>3150</v>
      </c>
      <c r="H2161" t="s">
        <v>299</v>
      </c>
      <c r="I2161" t="s">
        <v>204</v>
      </c>
      <c r="J2161" s="1">
        <v>46536</v>
      </c>
      <c r="K2161" t="s">
        <v>762</v>
      </c>
      <c r="L2161">
        <v>12092.8</v>
      </c>
      <c r="M2161">
        <v>12092.8</v>
      </c>
      <c r="N2161" t="s">
        <v>710</v>
      </c>
      <c r="O2161" t="s">
        <v>1033</v>
      </c>
      <c r="P2161" t="s">
        <v>4781</v>
      </c>
      <c r="Q2161" t="s">
        <v>4852</v>
      </c>
      <c r="R2161" t="s">
        <v>4771</v>
      </c>
    </row>
    <row r="2162" spans="1:18" x14ac:dyDescent="0.3">
      <c r="A2162">
        <v>1324464</v>
      </c>
      <c r="B2162" t="s">
        <v>4874</v>
      </c>
      <c r="C2162" t="s">
        <v>472</v>
      </c>
      <c r="D2162" t="s">
        <v>48</v>
      </c>
      <c r="E2162" s="1">
        <v>45967</v>
      </c>
      <c r="F2162" t="s">
        <v>4315</v>
      </c>
      <c r="G2162" t="s">
        <v>3161</v>
      </c>
      <c r="H2162" t="s">
        <v>471</v>
      </c>
      <c r="I2162" t="s">
        <v>204</v>
      </c>
      <c r="J2162" s="1">
        <v>46270</v>
      </c>
      <c r="K2162" t="s">
        <v>762</v>
      </c>
      <c r="L2162">
        <v>537.80999999999995</v>
      </c>
      <c r="M2162">
        <v>537.80999999999995</v>
      </c>
      <c r="N2162" t="s">
        <v>710</v>
      </c>
      <c r="O2162" t="s">
        <v>4845</v>
      </c>
      <c r="P2162" t="s">
        <v>4776</v>
      </c>
      <c r="Q2162" t="s">
        <v>4845</v>
      </c>
      <c r="R2162" t="s">
        <v>4773</v>
      </c>
    </row>
    <row r="2163" spans="1:18" x14ac:dyDescent="0.3">
      <c r="A2163">
        <v>1324467</v>
      </c>
      <c r="B2163" t="s">
        <v>4874</v>
      </c>
      <c r="C2163" t="s">
        <v>472</v>
      </c>
      <c r="D2163" t="s">
        <v>48</v>
      </c>
      <c r="E2163" s="1">
        <v>45967</v>
      </c>
      <c r="F2163" t="s">
        <v>4345</v>
      </c>
      <c r="G2163" t="s">
        <v>3161</v>
      </c>
      <c r="H2163" t="s">
        <v>471</v>
      </c>
      <c r="I2163" t="s">
        <v>204</v>
      </c>
      <c r="J2163" s="1">
        <v>46270</v>
      </c>
      <c r="K2163" t="s">
        <v>762</v>
      </c>
      <c r="L2163">
        <v>53.78</v>
      </c>
      <c r="M2163">
        <v>53.78</v>
      </c>
      <c r="N2163" t="s">
        <v>710</v>
      </c>
      <c r="O2163" t="s">
        <v>4845</v>
      </c>
      <c r="P2163" t="s">
        <v>4776</v>
      </c>
      <c r="Q2163" t="s">
        <v>4845</v>
      </c>
      <c r="R2163" t="s">
        <v>4773</v>
      </c>
    </row>
    <row r="2164" spans="1:18" x14ac:dyDescent="0.3">
      <c r="A2164">
        <v>202525986</v>
      </c>
      <c r="B2164" t="s">
        <v>4874</v>
      </c>
      <c r="C2164" t="s">
        <v>222</v>
      </c>
      <c r="D2164" t="s">
        <v>80</v>
      </c>
      <c r="E2164" s="1">
        <v>45967</v>
      </c>
      <c r="F2164" t="s">
        <v>4419</v>
      </c>
      <c r="G2164" t="s">
        <v>3149</v>
      </c>
      <c r="H2164" t="s">
        <v>223</v>
      </c>
      <c r="I2164" t="s">
        <v>204</v>
      </c>
      <c r="J2164" s="1">
        <v>46504</v>
      </c>
      <c r="K2164" t="s">
        <v>720</v>
      </c>
      <c r="L2164">
        <v>1</v>
      </c>
      <c r="M2164">
        <v>500</v>
      </c>
      <c r="N2164" t="s">
        <v>710</v>
      </c>
      <c r="O2164" t="s">
        <v>4834</v>
      </c>
      <c r="P2164" t="s">
        <v>4778</v>
      </c>
      <c r="Q2164" t="s">
        <v>4858</v>
      </c>
      <c r="R2164" t="s">
        <v>4773</v>
      </c>
    </row>
    <row r="2165" spans="1:18" x14ac:dyDescent="0.3">
      <c r="A2165">
        <v>457779</v>
      </c>
      <c r="B2165" t="s">
        <v>4874</v>
      </c>
      <c r="C2165" t="s">
        <v>389</v>
      </c>
      <c r="D2165" t="s">
        <v>32</v>
      </c>
      <c r="E2165" s="1">
        <v>45967</v>
      </c>
      <c r="F2165" t="s">
        <v>4299</v>
      </c>
      <c r="G2165" t="s">
        <v>3144</v>
      </c>
      <c r="H2165" t="s">
        <v>388</v>
      </c>
      <c r="I2165" t="s">
        <v>204</v>
      </c>
      <c r="J2165" s="1">
        <v>46752</v>
      </c>
      <c r="K2165" t="s">
        <v>785</v>
      </c>
      <c r="L2165">
        <v>1</v>
      </c>
      <c r="M2165">
        <v>37008.99</v>
      </c>
      <c r="N2165" t="s">
        <v>710</v>
      </c>
      <c r="O2165" t="s">
        <v>1038</v>
      </c>
      <c r="P2165" t="s">
        <v>4785</v>
      </c>
      <c r="Q2165" t="s">
        <v>4858</v>
      </c>
      <c r="R2165" t="s">
        <v>4771</v>
      </c>
    </row>
    <row r="2166" spans="1:18" x14ac:dyDescent="0.3">
      <c r="A2166">
        <v>188025</v>
      </c>
      <c r="B2166" t="s">
        <v>4874</v>
      </c>
      <c r="C2166" t="s">
        <v>411</v>
      </c>
      <c r="D2166" t="s">
        <v>154</v>
      </c>
      <c r="E2166" s="1">
        <v>45967</v>
      </c>
      <c r="F2166" t="s">
        <v>4315</v>
      </c>
      <c r="G2166" t="s">
        <v>3160</v>
      </c>
      <c r="H2166" t="s">
        <v>410</v>
      </c>
      <c r="I2166" t="s">
        <v>204</v>
      </c>
      <c r="J2166" s="1">
        <v>46344</v>
      </c>
      <c r="K2166" t="s">
        <v>762</v>
      </c>
      <c r="L2166">
        <v>2481.34</v>
      </c>
      <c r="M2166">
        <v>2481.34</v>
      </c>
      <c r="N2166" t="s">
        <v>710</v>
      </c>
      <c r="O2166" t="s">
        <v>4833</v>
      </c>
      <c r="P2166" t="s">
        <v>4776</v>
      </c>
      <c r="Q2166" t="s">
        <v>4852</v>
      </c>
      <c r="R2166" t="s">
        <v>4773</v>
      </c>
    </row>
    <row r="2167" spans="1:18" x14ac:dyDescent="0.3">
      <c r="A2167">
        <v>1464926</v>
      </c>
      <c r="B2167" t="s">
        <v>4874</v>
      </c>
      <c r="C2167" t="s">
        <v>668</v>
      </c>
      <c r="D2167" t="s">
        <v>84</v>
      </c>
      <c r="E2167" s="1">
        <v>45967</v>
      </c>
      <c r="F2167" t="s">
        <v>4324</v>
      </c>
      <c r="G2167" t="s">
        <v>3108</v>
      </c>
      <c r="H2167" t="s">
        <v>667</v>
      </c>
      <c r="I2167" t="s">
        <v>204</v>
      </c>
      <c r="J2167" s="1">
        <v>46676</v>
      </c>
      <c r="K2167" t="s">
        <v>762</v>
      </c>
      <c r="L2167">
        <v>1</v>
      </c>
      <c r="M2167">
        <v>1055</v>
      </c>
      <c r="N2167" t="s">
        <v>1000</v>
      </c>
      <c r="O2167" t="s">
        <v>1037</v>
      </c>
      <c r="P2167" t="s">
        <v>4799</v>
      </c>
      <c r="Q2167" t="s">
        <v>4852</v>
      </c>
      <c r="R2167" t="s">
        <v>807</v>
      </c>
    </row>
    <row r="2168" spans="1:18" x14ac:dyDescent="0.3">
      <c r="A2168">
        <v>5938</v>
      </c>
      <c r="B2168" t="s">
        <v>1034</v>
      </c>
      <c r="C2168" t="s">
        <v>208</v>
      </c>
      <c r="D2168" t="s">
        <v>164</v>
      </c>
      <c r="E2168" s="1">
        <v>45967</v>
      </c>
      <c r="F2168" t="s">
        <v>4343</v>
      </c>
      <c r="G2168" t="s">
        <v>3134</v>
      </c>
      <c r="H2168" t="s">
        <v>604</v>
      </c>
      <c r="I2168" t="s">
        <v>204</v>
      </c>
      <c r="J2168" s="1">
        <v>46256</v>
      </c>
      <c r="K2168" t="s">
        <v>711</v>
      </c>
      <c r="L2168">
        <v>1</v>
      </c>
      <c r="M2168">
        <v>140</v>
      </c>
      <c r="N2168" t="s">
        <v>710</v>
      </c>
      <c r="O2168" t="s">
        <v>1036</v>
      </c>
      <c r="P2168" t="s">
        <v>4784</v>
      </c>
      <c r="Q2168" t="s">
        <v>4901</v>
      </c>
    </row>
    <row r="2169" spans="1:18" x14ac:dyDescent="0.3">
      <c r="A2169">
        <v>2913</v>
      </c>
      <c r="B2169" t="s">
        <v>4875</v>
      </c>
      <c r="C2169" t="s">
        <v>541</v>
      </c>
      <c r="D2169" t="s">
        <v>173</v>
      </c>
      <c r="E2169" s="1">
        <v>45967</v>
      </c>
      <c r="F2169" t="s">
        <v>4326</v>
      </c>
      <c r="G2169" t="s">
        <v>3085</v>
      </c>
      <c r="H2169" t="s">
        <v>542</v>
      </c>
      <c r="I2169" t="s">
        <v>204</v>
      </c>
      <c r="J2169" s="1">
        <v>46537</v>
      </c>
      <c r="K2169" t="s">
        <v>748</v>
      </c>
      <c r="L2169">
        <v>1</v>
      </c>
      <c r="M2169">
        <v>2337.9499999999998</v>
      </c>
      <c r="N2169" t="s">
        <v>814</v>
      </c>
      <c r="O2169" t="s">
        <v>1040</v>
      </c>
      <c r="P2169" t="s">
        <v>4791</v>
      </c>
      <c r="Q2169" t="s">
        <v>4856</v>
      </c>
      <c r="R2169" t="s">
        <v>4773</v>
      </c>
    </row>
    <row r="2170" spans="1:18" x14ac:dyDescent="0.3">
      <c r="A2170">
        <v>787</v>
      </c>
      <c r="B2170" t="s">
        <v>4875</v>
      </c>
      <c r="C2170" t="s">
        <v>638</v>
      </c>
      <c r="D2170" t="s">
        <v>134</v>
      </c>
      <c r="E2170" s="1">
        <v>45967</v>
      </c>
      <c r="F2170" t="s">
        <v>4296</v>
      </c>
      <c r="G2170" t="s">
        <v>3086</v>
      </c>
      <c r="H2170" t="s">
        <v>639</v>
      </c>
      <c r="I2170" t="s">
        <v>204</v>
      </c>
      <c r="J2170" s="1">
        <v>46537</v>
      </c>
      <c r="K2170" t="s">
        <v>748</v>
      </c>
      <c r="L2170">
        <v>1301</v>
      </c>
      <c r="M2170">
        <v>1301</v>
      </c>
      <c r="N2170" t="s">
        <v>710</v>
      </c>
      <c r="O2170" t="s">
        <v>1040</v>
      </c>
      <c r="P2170" t="s">
        <v>4776</v>
      </c>
      <c r="Q2170" t="s">
        <v>4856</v>
      </c>
    </row>
    <row r="2171" spans="1:18" x14ac:dyDescent="0.3">
      <c r="A2171">
        <v>42358</v>
      </c>
      <c r="B2171" t="s">
        <v>1034</v>
      </c>
      <c r="C2171" t="s">
        <v>327</v>
      </c>
      <c r="D2171" t="s">
        <v>159</v>
      </c>
      <c r="E2171" s="1">
        <v>45967</v>
      </c>
      <c r="F2171" t="s">
        <v>4295</v>
      </c>
      <c r="G2171" t="s">
        <v>3023</v>
      </c>
      <c r="H2171" t="s">
        <v>357</v>
      </c>
      <c r="I2171" t="s">
        <v>204</v>
      </c>
      <c r="J2171" s="1">
        <v>46476</v>
      </c>
      <c r="K2171" t="s">
        <v>711</v>
      </c>
      <c r="L2171">
        <v>1063.1300000000001</v>
      </c>
      <c r="M2171">
        <v>1063.1300000000001</v>
      </c>
      <c r="N2171" t="s">
        <v>890</v>
      </c>
      <c r="O2171" t="s">
        <v>4834</v>
      </c>
      <c r="P2171" t="s">
        <v>4776</v>
      </c>
      <c r="Q2171" t="s">
        <v>4901</v>
      </c>
      <c r="R2171" t="s">
        <v>4773</v>
      </c>
    </row>
    <row r="2172" spans="1:18" x14ac:dyDescent="0.3">
      <c r="A2172">
        <v>2782</v>
      </c>
      <c r="B2172" t="s">
        <v>1034</v>
      </c>
      <c r="C2172" t="s">
        <v>541</v>
      </c>
      <c r="D2172" t="s">
        <v>173</v>
      </c>
      <c r="E2172" s="1">
        <v>45967</v>
      </c>
      <c r="F2172" t="s">
        <v>4326</v>
      </c>
      <c r="G2172" t="s">
        <v>3158</v>
      </c>
      <c r="H2172" t="s">
        <v>540</v>
      </c>
      <c r="I2172" t="s">
        <v>204</v>
      </c>
      <c r="J2172" s="1">
        <v>46386</v>
      </c>
      <c r="K2172" t="s">
        <v>711</v>
      </c>
      <c r="L2172">
        <v>1</v>
      </c>
      <c r="M2172">
        <v>2337.9499999999998</v>
      </c>
      <c r="N2172" t="s">
        <v>890</v>
      </c>
      <c r="O2172" t="s">
        <v>1036</v>
      </c>
      <c r="P2172" t="s">
        <v>4791</v>
      </c>
      <c r="Q2172" t="s">
        <v>4901</v>
      </c>
      <c r="R2172" t="s">
        <v>4773</v>
      </c>
    </row>
    <row r="2173" spans="1:18" x14ac:dyDescent="0.3">
      <c r="A2173">
        <v>379</v>
      </c>
      <c r="B2173" t="s">
        <v>4875</v>
      </c>
      <c r="C2173" t="s">
        <v>314</v>
      </c>
      <c r="D2173" t="s">
        <v>39</v>
      </c>
      <c r="E2173" s="1">
        <v>45967</v>
      </c>
      <c r="F2173" t="s">
        <v>4347</v>
      </c>
      <c r="G2173" t="s">
        <v>3103</v>
      </c>
      <c r="H2173" t="s">
        <v>341</v>
      </c>
      <c r="I2173" t="s">
        <v>204</v>
      </c>
      <c r="J2173" s="1">
        <v>46266</v>
      </c>
      <c r="K2173" t="s">
        <v>748</v>
      </c>
      <c r="L2173">
        <v>1</v>
      </c>
      <c r="M2173">
        <v>1100</v>
      </c>
      <c r="N2173" t="s">
        <v>710</v>
      </c>
      <c r="O2173" t="s">
        <v>4834</v>
      </c>
      <c r="P2173" t="s">
        <v>4776</v>
      </c>
      <c r="Q2173" t="s">
        <v>4856</v>
      </c>
      <c r="R2173" t="s">
        <v>4773</v>
      </c>
    </row>
    <row r="2174" spans="1:18" x14ac:dyDescent="0.3">
      <c r="A2174">
        <v>5938</v>
      </c>
      <c r="B2174" t="s">
        <v>1034</v>
      </c>
      <c r="C2174" t="s">
        <v>208</v>
      </c>
      <c r="D2174" t="s">
        <v>164</v>
      </c>
      <c r="E2174" s="1">
        <v>45967</v>
      </c>
      <c r="F2174" t="s">
        <v>4342</v>
      </c>
      <c r="G2174" t="s">
        <v>3134</v>
      </c>
      <c r="H2174" t="s">
        <v>604</v>
      </c>
      <c r="I2174" t="s">
        <v>204</v>
      </c>
      <c r="J2174" s="1">
        <v>46256</v>
      </c>
      <c r="K2174" t="s">
        <v>711</v>
      </c>
      <c r="L2174">
        <v>1</v>
      </c>
      <c r="M2174">
        <v>340</v>
      </c>
      <c r="N2174" t="s">
        <v>710</v>
      </c>
      <c r="O2174" t="s">
        <v>1036</v>
      </c>
      <c r="P2174" t="s">
        <v>4784</v>
      </c>
      <c r="Q2174" t="s">
        <v>4901</v>
      </c>
    </row>
    <row r="2175" spans="1:18" x14ac:dyDescent="0.3">
      <c r="A2175">
        <v>5696</v>
      </c>
      <c r="B2175" t="s">
        <v>1034</v>
      </c>
      <c r="C2175" t="s">
        <v>399</v>
      </c>
      <c r="D2175" t="s">
        <v>97</v>
      </c>
      <c r="E2175" s="1">
        <v>45967</v>
      </c>
      <c r="F2175" t="s">
        <v>4301</v>
      </c>
      <c r="G2175" t="s">
        <v>2843</v>
      </c>
      <c r="H2175" t="s">
        <v>398</v>
      </c>
      <c r="I2175" t="s">
        <v>204</v>
      </c>
      <c r="J2175" s="1">
        <v>46274</v>
      </c>
      <c r="K2175" t="s">
        <v>717</v>
      </c>
      <c r="L2175">
        <v>1</v>
      </c>
      <c r="M2175">
        <v>21070.42</v>
      </c>
      <c r="N2175" t="s">
        <v>710</v>
      </c>
      <c r="O2175" t="s">
        <v>4902</v>
      </c>
      <c r="P2175" t="s">
        <v>4776</v>
      </c>
      <c r="Q2175" t="s">
        <v>4852</v>
      </c>
      <c r="R2175" t="s">
        <v>4773</v>
      </c>
    </row>
    <row r="2176" spans="1:18" x14ac:dyDescent="0.3">
      <c r="A2176">
        <v>1464734</v>
      </c>
      <c r="B2176" t="s">
        <v>1034</v>
      </c>
      <c r="C2176" t="s">
        <v>668</v>
      </c>
      <c r="D2176" t="s">
        <v>84</v>
      </c>
      <c r="E2176" s="1">
        <v>45967</v>
      </c>
      <c r="F2176" t="s">
        <v>4324</v>
      </c>
      <c r="G2176" t="s">
        <v>3107</v>
      </c>
      <c r="H2176" t="s">
        <v>671</v>
      </c>
      <c r="I2176" t="s">
        <v>204</v>
      </c>
      <c r="J2176" s="1">
        <v>46324</v>
      </c>
      <c r="K2176" t="s">
        <v>717</v>
      </c>
      <c r="L2176">
        <v>1</v>
      </c>
      <c r="M2176">
        <v>4720</v>
      </c>
      <c r="N2176" t="s">
        <v>710</v>
      </c>
      <c r="O2176" t="s">
        <v>1037</v>
      </c>
      <c r="P2176" t="s">
        <v>4799</v>
      </c>
      <c r="Q2176" t="s">
        <v>4852</v>
      </c>
      <c r="R2176" t="s">
        <v>807</v>
      </c>
    </row>
    <row r="2177" spans="1:18" x14ac:dyDescent="0.3">
      <c r="A2177">
        <v>42359</v>
      </c>
      <c r="B2177" t="s">
        <v>1034</v>
      </c>
      <c r="C2177" t="s">
        <v>327</v>
      </c>
      <c r="D2177" t="s">
        <v>159</v>
      </c>
      <c r="E2177" s="1">
        <v>45967</v>
      </c>
      <c r="F2177" t="s">
        <v>4295</v>
      </c>
      <c r="G2177" t="s">
        <v>3023</v>
      </c>
      <c r="H2177" t="s">
        <v>357</v>
      </c>
      <c r="I2177" t="s">
        <v>204</v>
      </c>
      <c r="J2177" s="1">
        <v>46476</v>
      </c>
      <c r="K2177" t="s">
        <v>711</v>
      </c>
      <c r="L2177">
        <v>2150</v>
      </c>
      <c r="M2177">
        <v>2150</v>
      </c>
      <c r="N2177" t="s">
        <v>890</v>
      </c>
      <c r="O2177" t="s">
        <v>4834</v>
      </c>
      <c r="P2177" t="s">
        <v>4776</v>
      </c>
      <c r="Q2177" t="s">
        <v>4901</v>
      </c>
      <c r="R2177" t="s">
        <v>4773</v>
      </c>
    </row>
    <row r="2178" spans="1:18" x14ac:dyDescent="0.3">
      <c r="A2178">
        <v>594404</v>
      </c>
      <c r="B2178" t="s">
        <v>4875</v>
      </c>
      <c r="C2178" t="s">
        <v>248</v>
      </c>
      <c r="D2178" t="s">
        <v>13</v>
      </c>
      <c r="E2178" s="1">
        <v>45967</v>
      </c>
      <c r="F2178" t="s">
        <v>4430</v>
      </c>
      <c r="G2178" t="s">
        <v>3084</v>
      </c>
      <c r="H2178" t="s">
        <v>351</v>
      </c>
      <c r="I2178" t="s">
        <v>204</v>
      </c>
      <c r="J2178" s="1">
        <v>54878</v>
      </c>
      <c r="K2178" t="s">
        <v>748</v>
      </c>
      <c r="L2178">
        <v>1450.04</v>
      </c>
      <c r="M2178">
        <v>1450.04</v>
      </c>
      <c r="N2178" t="s">
        <v>710</v>
      </c>
      <c r="O2178" t="s">
        <v>1040</v>
      </c>
      <c r="P2178" t="s">
        <v>4779</v>
      </c>
      <c r="Q2178" t="s">
        <v>4856</v>
      </c>
      <c r="R2178" t="s">
        <v>4773</v>
      </c>
    </row>
    <row r="2179" spans="1:18" x14ac:dyDescent="0.3">
      <c r="A2179">
        <v>17328</v>
      </c>
      <c r="B2179" t="s">
        <v>1034</v>
      </c>
      <c r="C2179" t="s">
        <v>359</v>
      </c>
      <c r="D2179" t="s">
        <v>53</v>
      </c>
      <c r="E2179" s="1">
        <v>45967</v>
      </c>
      <c r="F2179" t="s">
        <v>4305</v>
      </c>
      <c r="G2179" t="s">
        <v>3146</v>
      </c>
      <c r="H2179" t="s">
        <v>358</v>
      </c>
      <c r="I2179" t="s">
        <v>204</v>
      </c>
      <c r="J2179" s="1">
        <v>54878</v>
      </c>
      <c r="K2179" t="s">
        <v>711</v>
      </c>
      <c r="L2179">
        <v>625.37</v>
      </c>
      <c r="M2179">
        <v>625.37</v>
      </c>
      <c r="N2179" t="s">
        <v>710</v>
      </c>
      <c r="O2179" t="s">
        <v>1036</v>
      </c>
      <c r="P2179" t="s">
        <v>4776</v>
      </c>
      <c r="Q2179" t="s">
        <v>4901</v>
      </c>
      <c r="R2179" t="s">
        <v>4773</v>
      </c>
    </row>
    <row r="2180" spans="1:18" x14ac:dyDescent="0.3">
      <c r="A2180">
        <v>2914</v>
      </c>
      <c r="B2180" t="s">
        <v>1034</v>
      </c>
      <c r="C2180" t="s">
        <v>541</v>
      </c>
      <c r="D2180" t="s">
        <v>173</v>
      </c>
      <c r="E2180" s="1">
        <v>45967</v>
      </c>
      <c r="F2180" t="s">
        <v>4326</v>
      </c>
      <c r="G2180" t="s">
        <v>3159</v>
      </c>
      <c r="H2180" t="s">
        <v>540</v>
      </c>
      <c r="I2180" t="s">
        <v>204</v>
      </c>
      <c r="J2180" s="1">
        <v>46386</v>
      </c>
      <c r="K2180" t="s">
        <v>711</v>
      </c>
      <c r="L2180">
        <v>1</v>
      </c>
      <c r="M2180">
        <v>2337.9499999999998</v>
      </c>
      <c r="N2180" t="s">
        <v>890</v>
      </c>
      <c r="O2180" t="s">
        <v>1036</v>
      </c>
      <c r="P2180" t="s">
        <v>4791</v>
      </c>
      <c r="Q2180" t="s">
        <v>4901</v>
      </c>
      <c r="R2180" t="s">
        <v>4773</v>
      </c>
    </row>
    <row r="2181" spans="1:18" x14ac:dyDescent="0.3">
      <c r="A2181">
        <v>54777</v>
      </c>
      <c r="B2181" t="s">
        <v>4875</v>
      </c>
      <c r="C2181" t="s">
        <v>208</v>
      </c>
      <c r="D2181" t="s">
        <v>164</v>
      </c>
      <c r="E2181" s="1">
        <v>45967</v>
      </c>
      <c r="F2181" t="s">
        <v>4297</v>
      </c>
      <c r="G2181" t="s">
        <v>3087</v>
      </c>
      <c r="H2181" t="s">
        <v>605</v>
      </c>
      <c r="I2181" t="s">
        <v>204</v>
      </c>
      <c r="J2181" s="1">
        <v>46256</v>
      </c>
      <c r="K2181" t="s">
        <v>748</v>
      </c>
      <c r="L2181">
        <v>1</v>
      </c>
      <c r="M2181">
        <v>120</v>
      </c>
      <c r="N2181" t="s">
        <v>710</v>
      </c>
      <c r="O2181" t="s">
        <v>1040</v>
      </c>
      <c r="P2181" t="s">
        <v>4795</v>
      </c>
      <c r="Q2181" t="s">
        <v>4856</v>
      </c>
    </row>
    <row r="2182" spans="1:18" x14ac:dyDescent="0.3">
      <c r="A2182">
        <v>1434471</v>
      </c>
      <c r="B2182" t="s">
        <v>4874</v>
      </c>
      <c r="C2182" t="s">
        <v>668</v>
      </c>
      <c r="D2182" t="s">
        <v>84</v>
      </c>
      <c r="E2182" s="1">
        <v>45966</v>
      </c>
      <c r="F2182" t="s">
        <v>4324</v>
      </c>
      <c r="G2182" t="s">
        <v>3105</v>
      </c>
      <c r="H2182" t="s">
        <v>667</v>
      </c>
      <c r="I2182" t="s">
        <v>204</v>
      </c>
      <c r="J2182" s="1">
        <v>46676</v>
      </c>
      <c r="K2182" t="s">
        <v>762</v>
      </c>
      <c r="L2182">
        <v>1</v>
      </c>
      <c r="M2182">
        <v>98179</v>
      </c>
      <c r="N2182" t="s">
        <v>1000</v>
      </c>
      <c r="O2182" t="s">
        <v>1037</v>
      </c>
      <c r="P2182" t="s">
        <v>4799</v>
      </c>
      <c r="Q2182" t="s">
        <v>4852</v>
      </c>
      <c r="R2182" t="s">
        <v>807</v>
      </c>
    </row>
    <row r="2183" spans="1:18" x14ac:dyDescent="0.3">
      <c r="A2183">
        <v>1881</v>
      </c>
      <c r="B2183" t="s">
        <v>4874</v>
      </c>
      <c r="C2183" t="s">
        <v>647</v>
      </c>
      <c r="D2183" t="s">
        <v>130</v>
      </c>
      <c r="E2183" s="1">
        <v>45966</v>
      </c>
      <c r="F2183" t="s">
        <v>4363</v>
      </c>
      <c r="G2183" t="s">
        <v>3139</v>
      </c>
      <c r="H2183" t="s">
        <v>646</v>
      </c>
      <c r="I2183" t="s">
        <v>204</v>
      </c>
      <c r="J2183" s="1">
        <v>46522</v>
      </c>
      <c r="K2183" t="s">
        <v>762</v>
      </c>
      <c r="L2183">
        <v>13492</v>
      </c>
      <c r="M2183">
        <v>13492</v>
      </c>
      <c r="N2183" t="s">
        <v>890</v>
      </c>
      <c r="O2183" t="s">
        <v>1044</v>
      </c>
      <c r="P2183" t="s">
        <v>4776</v>
      </c>
      <c r="Q2183" t="s">
        <v>4852</v>
      </c>
    </row>
    <row r="2184" spans="1:18" x14ac:dyDescent="0.3">
      <c r="A2184">
        <v>1434468</v>
      </c>
      <c r="B2184" t="s">
        <v>1034</v>
      </c>
      <c r="C2184" t="s">
        <v>668</v>
      </c>
      <c r="D2184" t="s">
        <v>84</v>
      </c>
      <c r="E2184" s="1">
        <v>45966</v>
      </c>
      <c r="F2184" t="s">
        <v>4324</v>
      </c>
      <c r="G2184" t="s">
        <v>3104</v>
      </c>
      <c r="H2184" t="s">
        <v>671</v>
      </c>
      <c r="I2184" t="s">
        <v>204</v>
      </c>
      <c r="J2184" s="1">
        <v>46324</v>
      </c>
      <c r="K2184" t="s">
        <v>717</v>
      </c>
      <c r="L2184">
        <v>1</v>
      </c>
      <c r="M2184">
        <v>155339</v>
      </c>
      <c r="N2184" t="s">
        <v>710</v>
      </c>
      <c r="O2184" t="s">
        <v>1037</v>
      </c>
      <c r="P2184" t="s">
        <v>4799</v>
      </c>
      <c r="Q2184" t="s">
        <v>4852</v>
      </c>
      <c r="R2184" t="s">
        <v>807</v>
      </c>
    </row>
    <row r="2185" spans="1:18" x14ac:dyDescent="0.3">
      <c r="A2185">
        <v>1466451</v>
      </c>
      <c r="B2185" t="s">
        <v>4874</v>
      </c>
      <c r="C2185" t="s">
        <v>407</v>
      </c>
      <c r="D2185" t="s">
        <v>170</v>
      </c>
      <c r="E2185" s="1">
        <v>45966</v>
      </c>
      <c r="F2185" t="s">
        <v>4388</v>
      </c>
      <c r="G2185" t="s">
        <v>3131</v>
      </c>
      <c r="H2185" t="s">
        <v>406</v>
      </c>
      <c r="I2185" t="s">
        <v>204</v>
      </c>
      <c r="J2185" s="1">
        <v>46387</v>
      </c>
      <c r="K2185" t="s">
        <v>762</v>
      </c>
      <c r="L2185">
        <v>38717</v>
      </c>
      <c r="M2185">
        <v>38716.730000000003</v>
      </c>
      <c r="N2185" t="s">
        <v>710</v>
      </c>
      <c r="O2185" t="s">
        <v>4833</v>
      </c>
      <c r="P2185" t="s">
        <v>4776</v>
      </c>
      <c r="Q2185" t="s">
        <v>4852</v>
      </c>
      <c r="R2185" t="s">
        <v>4771</v>
      </c>
    </row>
    <row r="2186" spans="1:18" x14ac:dyDescent="0.3">
      <c r="A2186">
        <v>1464736</v>
      </c>
      <c r="B2186" t="s">
        <v>1034</v>
      </c>
      <c r="C2186" t="s">
        <v>668</v>
      </c>
      <c r="D2186" t="s">
        <v>84</v>
      </c>
      <c r="E2186" s="1">
        <v>45966</v>
      </c>
      <c r="F2186" t="s">
        <v>4302</v>
      </c>
      <c r="G2186" t="s">
        <v>3109</v>
      </c>
      <c r="H2186" t="s">
        <v>669</v>
      </c>
      <c r="I2186" t="s">
        <v>204</v>
      </c>
      <c r="J2186" s="1">
        <v>46326</v>
      </c>
      <c r="K2186" t="s">
        <v>717</v>
      </c>
      <c r="L2186">
        <v>1</v>
      </c>
      <c r="M2186">
        <v>17711.38</v>
      </c>
      <c r="N2186" t="s">
        <v>1000</v>
      </c>
      <c r="O2186" t="s">
        <v>1037</v>
      </c>
      <c r="P2186" t="s">
        <v>4799</v>
      </c>
      <c r="Q2186" t="s">
        <v>4852</v>
      </c>
      <c r="R2186" t="s">
        <v>807</v>
      </c>
    </row>
    <row r="2187" spans="1:18" x14ac:dyDescent="0.3">
      <c r="A2187">
        <v>1434480</v>
      </c>
      <c r="B2187" t="s">
        <v>4875</v>
      </c>
      <c r="C2187" t="s">
        <v>668</v>
      </c>
      <c r="D2187" t="s">
        <v>84</v>
      </c>
      <c r="E2187" s="1">
        <v>45966</v>
      </c>
      <c r="F2187" t="s">
        <v>4324</v>
      </c>
      <c r="G2187" t="s">
        <v>3106</v>
      </c>
      <c r="H2187" t="s">
        <v>670</v>
      </c>
      <c r="I2187" t="s">
        <v>204</v>
      </c>
      <c r="J2187" s="1">
        <v>46677</v>
      </c>
      <c r="K2187" t="s">
        <v>768</v>
      </c>
      <c r="L2187">
        <v>49526</v>
      </c>
      <c r="M2187">
        <v>49526</v>
      </c>
      <c r="N2187" t="s">
        <v>1000</v>
      </c>
      <c r="O2187" t="s">
        <v>1037</v>
      </c>
      <c r="P2187" t="s">
        <v>4799</v>
      </c>
      <c r="Q2187" t="s">
        <v>4852</v>
      </c>
      <c r="R2187" t="s">
        <v>807</v>
      </c>
    </row>
    <row r="2188" spans="1:18" x14ac:dyDescent="0.3">
      <c r="A2188">
        <v>201944</v>
      </c>
      <c r="B2188" t="s">
        <v>4874</v>
      </c>
      <c r="C2188" t="s">
        <v>467</v>
      </c>
      <c r="D2188" t="s">
        <v>175</v>
      </c>
      <c r="E2188" s="1">
        <v>45966</v>
      </c>
      <c r="F2188" t="s">
        <v>4315</v>
      </c>
      <c r="G2188" t="s">
        <v>2840</v>
      </c>
      <c r="H2188" t="s">
        <v>466</v>
      </c>
      <c r="I2188" t="s">
        <v>204</v>
      </c>
      <c r="J2188" s="1">
        <v>46266</v>
      </c>
      <c r="K2188" t="s">
        <v>762</v>
      </c>
      <c r="L2188">
        <v>1</v>
      </c>
      <c r="M2188">
        <v>16567.98</v>
      </c>
      <c r="N2188" t="s">
        <v>710</v>
      </c>
      <c r="O2188" t="s">
        <v>4845</v>
      </c>
      <c r="P2188" t="s">
        <v>4776</v>
      </c>
      <c r="Q2188" t="s">
        <v>4845</v>
      </c>
      <c r="R2188" t="s">
        <v>4773</v>
      </c>
    </row>
    <row r="2189" spans="1:18" x14ac:dyDescent="0.3">
      <c r="A2189">
        <v>738438</v>
      </c>
      <c r="B2189" t="s">
        <v>4874</v>
      </c>
      <c r="C2189" t="s">
        <v>409</v>
      </c>
      <c r="D2189" t="s">
        <v>28</v>
      </c>
      <c r="E2189" s="1">
        <v>45966</v>
      </c>
      <c r="F2189" t="s">
        <v>4388</v>
      </c>
      <c r="G2189" t="s">
        <v>3135</v>
      </c>
      <c r="H2189" t="s">
        <v>408</v>
      </c>
      <c r="I2189" t="s">
        <v>204</v>
      </c>
      <c r="J2189" s="1">
        <v>54878</v>
      </c>
      <c r="K2189" t="s">
        <v>762</v>
      </c>
      <c r="L2189">
        <v>24369</v>
      </c>
      <c r="M2189">
        <v>24368.73</v>
      </c>
      <c r="N2189" t="s">
        <v>710</v>
      </c>
      <c r="O2189" t="s">
        <v>4833</v>
      </c>
      <c r="P2189" t="s">
        <v>4776</v>
      </c>
      <c r="Q2189" t="s">
        <v>4852</v>
      </c>
      <c r="R2189" t="s">
        <v>4773</v>
      </c>
    </row>
    <row r="2190" spans="1:18" x14ac:dyDescent="0.3">
      <c r="A2190">
        <v>3123</v>
      </c>
      <c r="B2190" t="s">
        <v>4874</v>
      </c>
      <c r="C2190" t="s">
        <v>533</v>
      </c>
      <c r="D2190" t="s">
        <v>103</v>
      </c>
      <c r="E2190" s="1">
        <v>45966</v>
      </c>
      <c r="F2190" t="s">
        <v>4416</v>
      </c>
      <c r="G2190" t="s">
        <v>3136</v>
      </c>
      <c r="H2190" t="s">
        <v>532</v>
      </c>
      <c r="I2190" t="s">
        <v>204</v>
      </c>
      <c r="J2190" s="1">
        <v>46568</v>
      </c>
      <c r="K2190" t="s">
        <v>892</v>
      </c>
      <c r="L2190">
        <v>12367.55</v>
      </c>
      <c r="M2190">
        <v>12367.55</v>
      </c>
      <c r="N2190" t="s">
        <v>710</v>
      </c>
      <c r="O2190" t="s">
        <v>4811</v>
      </c>
      <c r="P2190" t="s">
        <v>4776</v>
      </c>
      <c r="Q2190" t="s">
        <v>4859</v>
      </c>
      <c r="R2190" t="s">
        <v>4771</v>
      </c>
    </row>
    <row r="2191" spans="1:18" x14ac:dyDescent="0.3">
      <c r="A2191">
        <v>548</v>
      </c>
      <c r="B2191" t="s">
        <v>4874</v>
      </c>
      <c r="C2191" t="s">
        <v>649</v>
      </c>
      <c r="D2191" t="s">
        <v>88</v>
      </c>
      <c r="E2191" s="1">
        <v>45966</v>
      </c>
      <c r="F2191" t="s">
        <v>4414</v>
      </c>
      <c r="G2191" t="s">
        <v>3130</v>
      </c>
      <c r="H2191" t="s">
        <v>648</v>
      </c>
      <c r="I2191" t="s">
        <v>204</v>
      </c>
      <c r="J2191" s="1">
        <v>47847</v>
      </c>
      <c r="K2191" t="s">
        <v>762</v>
      </c>
      <c r="L2191">
        <v>3547.5</v>
      </c>
      <c r="M2191">
        <v>3547.5</v>
      </c>
      <c r="N2191" t="s">
        <v>710</v>
      </c>
      <c r="O2191" t="s">
        <v>4811</v>
      </c>
      <c r="P2191" t="s">
        <v>4776</v>
      </c>
      <c r="Q2191" t="s">
        <v>4859</v>
      </c>
    </row>
    <row r="2192" spans="1:18" x14ac:dyDescent="0.3">
      <c r="A2192">
        <v>5660</v>
      </c>
      <c r="B2192" t="s">
        <v>4874</v>
      </c>
      <c r="C2192" t="s">
        <v>401</v>
      </c>
      <c r="D2192" t="s">
        <v>187</v>
      </c>
      <c r="E2192" s="1">
        <v>45966</v>
      </c>
      <c r="F2192" t="s">
        <v>4345</v>
      </c>
      <c r="G2192" t="s">
        <v>3133</v>
      </c>
      <c r="H2192" t="s">
        <v>400</v>
      </c>
      <c r="I2192" t="s">
        <v>204</v>
      </c>
      <c r="J2192" s="1">
        <v>54878</v>
      </c>
      <c r="K2192" t="s">
        <v>762</v>
      </c>
      <c r="L2192">
        <v>390</v>
      </c>
      <c r="M2192">
        <v>390</v>
      </c>
      <c r="N2192" t="s">
        <v>710</v>
      </c>
      <c r="O2192" t="s">
        <v>4833</v>
      </c>
      <c r="P2192" t="s">
        <v>4776</v>
      </c>
      <c r="Q2192" t="s">
        <v>4852</v>
      </c>
      <c r="R2192" t="s">
        <v>4773</v>
      </c>
    </row>
    <row r="2193" spans="1:18" x14ac:dyDescent="0.3">
      <c r="A2193">
        <v>7236</v>
      </c>
      <c r="B2193" t="s">
        <v>4874</v>
      </c>
      <c r="C2193" t="s">
        <v>387</v>
      </c>
      <c r="D2193" t="s">
        <v>42</v>
      </c>
      <c r="E2193" s="1">
        <v>45966</v>
      </c>
      <c r="F2193" t="s">
        <v>4345</v>
      </c>
      <c r="G2193" t="s">
        <v>3132</v>
      </c>
      <c r="H2193" t="s">
        <v>386</v>
      </c>
      <c r="I2193" t="s">
        <v>204</v>
      </c>
      <c r="J2193" s="1">
        <v>54878</v>
      </c>
      <c r="K2193" t="s">
        <v>762</v>
      </c>
      <c r="L2193">
        <v>1870</v>
      </c>
      <c r="M2193">
        <v>1870</v>
      </c>
      <c r="N2193" t="s">
        <v>719</v>
      </c>
      <c r="O2193" t="s">
        <v>4833</v>
      </c>
      <c r="P2193" t="s">
        <v>4776</v>
      </c>
      <c r="Q2193" t="s">
        <v>4852</v>
      </c>
      <c r="R2193" t="s">
        <v>4773</v>
      </c>
    </row>
    <row r="2194" spans="1:18" x14ac:dyDescent="0.3">
      <c r="A2194">
        <v>7247</v>
      </c>
      <c r="B2194" t="s">
        <v>4874</v>
      </c>
      <c r="C2194" t="s">
        <v>484</v>
      </c>
      <c r="D2194" t="s">
        <v>140</v>
      </c>
      <c r="E2194" s="1">
        <v>45966</v>
      </c>
      <c r="F2194" t="s">
        <v>4345</v>
      </c>
      <c r="G2194" t="s">
        <v>3138</v>
      </c>
      <c r="H2194" t="s">
        <v>483</v>
      </c>
      <c r="I2194" t="s">
        <v>204</v>
      </c>
      <c r="J2194" s="1">
        <v>46508</v>
      </c>
      <c r="K2194" t="s">
        <v>762</v>
      </c>
      <c r="L2194">
        <v>49120</v>
      </c>
      <c r="M2194">
        <v>49120</v>
      </c>
      <c r="N2194" t="s">
        <v>710</v>
      </c>
      <c r="O2194" t="s">
        <v>4833</v>
      </c>
      <c r="P2194" t="s">
        <v>4776</v>
      </c>
      <c r="Q2194" t="s">
        <v>4852</v>
      </c>
      <c r="R2194" t="s">
        <v>4773</v>
      </c>
    </row>
    <row r="2195" spans="1:18" x14ac:dyDescent="0.3">
      <c r="A2195">
        <v>29838</v>
      </c>
      <c r="B2195" t="s">
        <v>4874</v>
      </c>
      <c r="C2195" t="s">
        <v>282</v>
      </c>
      <c r="D2195" t="s">
        <v>6</v>
      </c>
      <c r="E2195" s="1">
        <v>45966</v>
      </c>
      <c r="F2195" t="s">
        <v>4402</v>
      </c>
      <c r="G2195" t="s">
        <v>2928</v>
      </c>
      <c r="H2195" t="s">
        <v>281</v>
      </c>
      <c r="I2195" t="s">
        <v>204</v>
      </c>
      <c r="J2195" s="1">
        <v>46254</v>
      </c>
      <c r="K2195" t="s">
        <v>762</v>
      </c>
      <c r="L2195">
        <v>1</v>
      </c>
      <c r="M2195">
        <v>4357</v>
      </c>
      <c r="N2195" t="s">
        <v>710</v>
      </c>
      <c r="O2195" t="s">
        <v>4845</v>
      </c>
      <c r="P2195" t="s">
        <v>4803</v>
      </c>
      <c r="Q2195" t="s">
        <v>4845</v>
      </c>
    </row>
    <row r="2196" spans="1:18" x14ac:dyDescent="0.3">
      <c r="A2196">
        <v>1871</v>
      </c>
      <c r="B2196" t="s">
        <v>4874</v>
      </c>
      <c r="C2196" t="s">
        <v>647</v>
      </c>
      <c r="D2196" t="s">
        <v>130</v>
      </c>
      <c r="E2196" s="1">
        <v>45966</v>
      </c>
      <c r="F2196" t="s">
        <v>4363</v>
      </c>
      <c r="G2196" t="s">
        <v>3139</v>
      </c>
      <c r="H2196" t="s">
        <v>646</v>
      </c>
      <c r="I2196" t="s">
        <v>204</v>
      </c>
      <c r="J2196" s="1">
        <v>46522</v>
      </c>
      <c r="K2196" t="s">
        <v>762</v>
      </c>
      <c r="L2196">
        <v>2081.4</v>
      </c>
      <c r="M2196">
        <v>2081.4</v>
      </c>
      <c r="N2196" t="s">
        <v>890</v>
      </c>
      <c r="O2196" t="s">
        <v>1044</v>
      </c>
      <c r="P2196" t="s">
        <v>4776</v>
      </c>
      <c r="Q2196" t="s">
        <v>4852</v>
      </c>
    </row>
    <row r="2197" spans="1:18" x14ac:dyDescent="0.3">
      <c r="A2197">
        <v>7119</v>
      </c>
      <c r="B2197" t="s">
        <v>1035</v>
      </c>
      <c r="C2197" t="s">
        <v>230</v>
      </c>
      <c r="D2197" t="s">
        <v>85</v>
      </c>
      <c r="E2197" s="1">
        <v>45965</v>
      </c>
      <c r="F2197" t="s">
        <v>4348</v>
      </c>
      <c r="G2197" t="s">
        <v>3115</v>
      </c>
      <c r="H2197" t="s">
        <v>229</v>
      </c>
      <c r="I2197" t="s">
        <v>204</v>
      </c>
      <c r="J2197" s="1">
        <v>46203</v>
      </c>
      <c r="K2197" t="s">
        <v>744</v>
      </c>
      <c r="L2197">
        <v>1</v>
      </c>
      <c r="M2197">
        <v>48517.85</v>
      </c>
      <c r="N2197" t="s">
        <v>710</v>
      </c>
      <c r="O2197" t="s">
        <v>1033</v>
      </c>
      <c r="P2197" t="s">
        <v>4781</v>
      </c>
      <c r="Q2197" t="s">
        <v>4852</v>
      </c>
      <c r="R2197" t="s">
        <v>4771</v>
      </c>
    </row>
    <row r="2198" spans="1:18" x14ac:dyDescent="0.3">
      <c r="A2198">
        <v>7120</v>
      </c>
      <c r="B2198" t="s">
        <v>1035</v>
      </c>
      <c r="C2198" t="s">
        <v>230</v>
      </c>
      <c r="D2198" t="s">
        <v>85</v>
      </c>
      <c r="E2198" s="1">
        <v>45965</v>
      </c>
      <c r="F2198" t="s">
        <v>4348</v>
      </c>
      <c r="G2198" t="s">
        <v>3115</v>
      </c>
      <c r="H2198" t="s">
        <v>229</v>
      </c>
      <c r="I2198" t="s">
        <v>204</v>
      </c>
      <c r="J2198" s="1">
        <v>46203</v>
      </c>
      <c r="K2198" t="s">
        <v>744</v>
      </c>
      <c r="L2198">
        <v>1</v>
      </c>
      <c r="M2198">
        <v>18802.560000000001</v>
      </c>
      <c r="N2198" t="s">
        <v>710</v>
      </c>
      <c r="O2198" t="s">
        <v>1033</v>
      </c>
      <c r="P2198" t="s">
        <v>4781</v>
      </c>
      <c r="Q2198" t="s">
        <v>4852</v>
      </c>
      <c r="R2198" t="s">
        <v>4771</v>
      </c>
    </row>
    <row r="2199" spans="1:18" x14ac:dyDescent="0.3">
      <c r="A2199">
        <v>29</v>
      </c>
      <c r="B2199" t="s">
        <v>4875</v>
      </c>
      <c r="C2199" t="s">
        <v>203</v>
      </c>
      <c r="D2199" t="s">
        <v>118</v>
      </c>
      <c r="E2199" s="1">
        <v>45965</v>
      </c>
      <c r="F2199" t="s">
        <v>4353</v>
      </c>
      <c r="G2199" t="s">
        <v>3121</v>
      </c>
      <c r="H2199" t="s">
        <v>202</v>
      </c>
      <c r="I2199" t="s">
        <v>204</v>
      </c>
      <c r="J2199" s="1">
        <v>46387</v>
      </c>
      <c r="K2199" t="s">
        <v>717</v>
      </c>
      <c r="L2199">
        <v>30.64</v>
      </c>
      <c r="M2199">
        <v>30.64</v>
      </c>
      <c r="N2199" t="s">
        <v>710</v>
      </c>
      <c r="O2199" t="s">
        <v>1037</v>
      </c>
      <c r="P2199" t="s">
        <v>4776</v>
      </c>
      <c r="Q2199" t="s">
        <v>4852</v>
      </c>
      <c r="R2199" t="s">
        <v>4772</v>
      </c>
    </row>
    <row r="2200" spans="1:18" x14ac:dyDescent="0.3">
      <c r="A2200">
        <v>3339</v>
      </c>
      <c r="B2200" t="s">
        <v>4874</v>
      </c>
      <c r="C2200" t="s">
        <v>572</v>
      </c>
      <c r="D2200" t="s">
        <v>43</v>
      </c>
      <c r="E2200" s="1">
        <v>45965</v>
      </c>
      <c r="F2200" t="s">
        <v>4321</v>
      </c>
      <c r="G2200" t="s">
        <v>3089</v>
      </c>
      <c r="H2200" t="s">
        <v>571</v>
      </c>
      <c r="I2200" t="s">
        <v>204</v>
      </c>
      <c r="J2200" s="1">
        <v>46387</v>
      </c>
      <c r="K2200" t="s">
        <v>720</v>
      </c>
      <c r="L2200">
        <v>1</v>
      </c>
      <c r="M2200">
        <v>1969</v>
      </c>
      <c r="N2200" t="s">
        <v>814</v>
      </c>
      <c r="O2200" t="s">
        <v>1038</v>
      </c>
      <c r="P2200" t="s">
        <v>4782</v>
      </c>
      <c r="Q2200" t="s">
        <v>4858</v>
      </c>
      <c r="R2200" t="s">
        <v>4771</v>
      </c>
    </row>
    <row r="2201" spans="1:18" x14ac:dyDescent="0.3">
      <c r="A2201">
        <v>3339</v>
      </c>
      <c r="B2201" t="s">
        <v>4874</v>
      </c>
      <c r="C2201" t="s">
        <v>572</v>
      </c>
      <c r="D2201" t="s">
        <v>43</v>
      </c>
      <c r="E2201" s="1">
        <v>45965</v>
      </c>
      <c r="F2201" t="s">
        <v>4321</v>
      </c>
      <c r="G2201" t="s">
        <v>3089</v>
      </c>
      <c r="H2201" t="s">
        <v>571</v>
      </c>
      <c r="I2201" t="s">
        <v>204</v>
      </c>
      <c r="J2201" s="1">
        <v>46387</v>
      </c>
      <c r="K2201" t="s">
        <v>720</v>
      </c>
      <c r="L2201">
        <v>1</v>
      </c>
      <c r="M2201">
        <v>9700</v>
      </c>
      <c r="N2201" t="s">
        <v>814</v>
      </c>
      <c r="O2201" t="s">
        <v>1038</v>
      </c>
      <c r="P2201" t="s">
        <v>4782</v>
      </c>
      <c r="Q2201" t="s">
        <v>4858</v>
      </c>
      <c r="R2201" t="s">
        <v>4771</v>
      </c>
    </row>
    <row r="2202" spans="1:18" x14ac:dyDescent="0.3">
      <c r="A2202">
        <v>3875</v>
      </c>
      <c r="B2202" t="s">
        <v>4875</v>
      </c>
      <c r="C2202" t="s">
        <v>535</v>
      </c>
      <c r="D2202" t="s">
        <v>148</v>
      </c>
      <c r="E2202" s="1">
        <v>45965</v>
      </c>
      <c r="F2202" t="s">
        <v>4297</v>
      </c>
      <c r="G2202" t="s">
        <v>3074</v>
      </c>
      <c r="H2202" t="s">
        <v>654</v>
      </c>
      <c r="I2202" t="s">
        <v>204</v>
      </c>
      <c r="J2202" s="1">
        <v>46227</v>
      </c>
      <c r="K2202" t="s">
        <v>748</v>
      </c>
      <c r="L2202">
        <v>1</v>
      </c>
      <c r="M2202">
        <v>5500</v>
      </c>
      <c r="N2202" t="s">
        <v>954</v>
      </c>
      <c r="O2202" t="s">
        <v>1040</v>
      </c>
      <c r="P2202" t="s">
        <v>4779</v>
      </c>
      <c r="Q2202" t="s">
        <v>4856</v>
      </c>
      <c r="R2202" t="s">
        <v>807</v>
      </c>
    </row>
    <row r="2203" spans="1:18" x14ac:dyDescent="0.3">
      <c r="A2203">
        <v>3339</v>
      </c>
      <c r="B2203" t="s">
        <v>4874</v>
      </c>
      <c r="C2203" t="s">
        <v>572</v>
      </c>
      <c r="D2203" t="s">
        <v>43</v>
      </c>
      <c r="E2203" s="1">
        <v>45965</v>
      </c>
      <c r="F2203" t="s">
        <v>4321</v>
      </c>
      <c r="G2203" t="s">
        <v>3089</v>
      </c>
      <c r="H2203" t="s">
        <v>571</v>
      </c>
      <c r="I2203" t="s">
        <v>204</v>
      </c>
      <c r="J2203" s="1">
        <v>46387</v>
      </c>
      <c r="K2203" t="s">
        <v>720</v>
      </c>
      <c r="L2203">
        <v>1</v>
      </c>
      <c r="M2203">
        <v>1169</v>
      </c>
      <c r="N2203" t="s">
        <v>814</v>
      </c>
      <c r="O2203" t="s">
        <v>1038</v>
      </c>
      <c r="P2203" t="s">
        <v>4782</v>
      </c>
      <c r="Q2203" t="s">
        <v>4858</v>
      </c>
      <c r="R2203" t="s">
        <v>4771</v>
      </c>
    </row>
    <row r="2204" spans="1:18" x14ac:dyDescent="0.3">
      <c r="A2204">
        <v>20257271</v>
      </c>
      <c r="B2204" t="s">
        <v>1034</v>
      </c>
      <c r="C2204" t="s">
        <v>203</v>
      </c>
      <c r="D2204" t="s">
        <v>118</v>
      </c>
      <c r="E2204" s="1">
        <v>45965</v>
      </c>
      <c r="F2204" t="s">
        <v>4353</v>
      </c>
      <c r="G2204" t="s">
        <v>3122</v>
      </c>
      <c r="H2204" t="s">
        <v>202</v>
      </c>
      <c r="I2204" t="s">
        <v>204</v>
      </c>
      <c r="J2204" s="1">
        <v>46387</v>
      </c>
      <c r="K2204" t="s">
        <v>717</v>
      </c>
      <c r="L2204">
        <v>45.95</v>
      </c>
      <c r="M2204">
        <v>45.96</v>
      </c>
      <c r="N2204" t="s">
        <v>710</v>
      </c>
      <c r="O2204" t="s">
        <v>1037</v>
      </c>
      <c r="P2204" t="s">
        <v>4776</v>
      </c>
      <c r="Q2204" t="s">
        <v>4852</v>
      </c>
      <c r="R2204" t="s">
        <v>4772</v>
      </c>
    </row>
    <row r="2205" spans="1:18" x14ac:dyDescent="0.3">
      <c r="A2205">
        <v>55157</v>
      </c>
      <c r="B2205" t="s">
        <v>1034</v>
      </c>
      <c r="C2205" t="s">
        <v>790</v>
      </c>
      <c r="D2205" t="s">
        <v>19</v>
      </c>
      <c r="E2205" s="1">
        <v>45965</v>
      </c>
      <c r="F2205" t="s">
        <v>4348</v>
      </c>
      <c r="G2205" t="s">
        <v>3126</v>
      </c>
      <c r="H2205" t="s">
        <v>287</v>
      </c>
      <c r="I2205" t="s">
        <v>209</v>
      </c>
      <c r="J2205" s="1">
        <v>54878</v>
      </c>
      <c r="K2205" t="s">
        <v>711</v>
      </c>
      <c r="L2205">
        <v>2950</v>
      </c>
      <c r="M2205">
        <v>2950</v>
      </c>
      <c r="N2205" t="s">
        <v>710</v>
      </c>
      <c r="O2205" t="s">
        <v>1037</v>
      </c>
      <c r="P2205" t="s">
        <v>4781</v>
      </c>
      <c r="Q2205" t="s">
        <v>4852</v>
      </c>
      <c r="R2205" t="s">
        <v>4771</v>
      </c>
    </row>
    <row r="2206" spans="1:18" x14ac:dyDescent="0.3">
      <c r="A2206">
        <v>17115</v>
      </c>
      <c r="B2206" t="s">
        <v>1034</v>
      </c>
      <c r="C2206" t="s">
        <v>632</v>
      </c>
      <c r="D2206" t="s">
        <v>41</v>
      </c>
      <c r="E2206" s="1">
        <v>45965</v>
      </c>
      <c r="F2206" t="s">
        <v>4352</v>
      </c>
      <c r="G2206" t="s">
        <v>2047</v>
      </c>
      <c r="H2206" t="s">
        <v>631</v>
      </c>
      <c r="I2206" t="s">
        <v>204</v>
      </c>
      <c r="J2206" s="1">
        <v>50860</v>
      </c>
      <c r="K2206" t="s">
        <v>717</v>
      </c>
      <c r="L2206">
        <v>1</v>
      </c>
      <c r="M2206">
        <v>6240</v>
      </c>
      <c r="N2206" t="s">
        <v>710</v>
      </c>
      <c r="O2206" t="s">
        <v>4833</v>
      </c>
      <c r="P2206" t="s">
        <v>4776</v>
      </c>
      <c r="Q2206" t="s">
        <v>4852</v>
      </c>
      <c r="R2206" t="s">
        <v>4771</v>
      </c>
    </row>
    <row r="2207" spans="1:18" x14ac:dyDescent="0.3">
      <c r="A2207">
        <v>1805</v>
      </c>
      <c r="B2207" t="s">
        <v>4874</v>
      </c>
      <c r="C2207" t="s">
        <v>252</v>
      </c>
      <c r="D2207" t="s">
        <v>183</v>
      </c>
      <c r="E2207" s="1">
        <v>45964</v>
      </c>
      <c r="F2207" t="s">
        <v>4404</v>
      </c>
      <c r="G2207" t="s">
        <v>1270</v>
      </c>
      <c r="H2207" t="s">
        <v>251</v>
      </c>
      <c r="I2207" t="s">
        <v>204</v>
      </c>
      <c r="J2207" s="1">
        <v>46418</v>
      </c>
      <c r="K2207" t="s">
        <v>762</v>
      </c>
      <c r="L2207">
        <v>18900</v>
      </c>
      <c r="M2207">
        <v>18900</v>
      </c>
      <c r="N2207" t="s">
        <v>719</v>
      </c>
      <c r="O2207" t="s">
        <v>4904</v>
      </c>
      <c r="P2207" t="s">
        <v>4792</v>
      </c>
      <c r="Q2207" t="s">
        <v>4904</v>
      </c>
      <c r="R2207" t="s">
        <v>4773</v>
      </c>
    </row>
    <row r="2208" spans="1:18" x14ac:dyDescent="0.3">
      <c r="A2208">
        <v>56</v>
      </c>
      <c r="B2208" t="s">
        <v>4875</v>
      </c>
      <c r="C2208" t="s">
        <v>561</v>
      </c>
      <c r="D2208" t="s">
        <v>121</v>
      </c>
      <c r="E2208" s="1">
        <v>45964</v>
      </c>
      <c r="F2208" t="s">
        <v>4390</v>
      </c>
      <c r="G2208" t="s">
        <v>3072</v>
      </c>
      <c r="H2208" t="s">
        <v>560</v>
      </c>
      <c r="I2208" t="s">
        <v>204</v>
      </c>
      <c r="J2208" s="1">
        <v>46732</v>
      </c>
      <c r="K2208" t="s">
        <v>748</v>
      </c>
      <c r="L2208">
        <v>13950</v>
      </c>
      <c r="M2208">
        <v>13950</v>
      </c>
      <c r="N2208" t="s">
        <v>818</v>
      </c>
      <c r="O2208" t="s">
        <v>1040</v>
      </c>
      <c r="P2208" t="s">
        <v>4777</v>
      </c>
      <c r="Q2208" t="s">
        <v>4856</v>
      </c>
      <c r="R2208" t="s">
        <v>4771</v>
      </c>
    </row>
    <row r="2209" spans="1:18" x14ac:dyDescent="0.3">
      <c r="A2209">
        <v>1793</v>
      </c>
      <c r="B2209" t="s">
        <v>4875</v>
      </c>
      <c r="C2209" t="s">
        <v>312</v>
      </c>
      <c r="D2209" t="s">
        <v>73</v>
      </c>
      <c r="E2209" s="1">
        <v>45964</v>
      </c>
      <c r="F2209" t="s">
        <v>4300</v>
      </c>
      <c r="G2209" t="s">
        <v>3083</v>
      </c>
      <c r="H2209" t="s">
        <v>365</v>
      </c>
      <c r="I2209" t="s">
        <v>204</v>
      </c>
      <c r="J2209" s="1">
        <v>46418</v>
      </c>
      <c r="K2209" t="s">
        <v>748</v>
      </c>
      <c r="L2209">
        <v>2255</v>
      </c>
      <c r="M2209">
        <v>2255</v>
      </c>
      <c r="N2209" t="s">
        <v>710</v>
      </c>
      <c r="O2209" t="s">
        <v>4834</v>
      </c>
      <c r="P2209" t="s">
        <v>1006</v>
      </c>
      <c r="Q2209" t="s">
        <v>4856</v>
      </c>
      <c r="R2209" t="s">
        <v>4773</v>
      </c>
    </row>
    <row r="2210" spans="1:18" x14ac:dyDescent="0.3">
      <c r="A2210">
        <v>42470</v>
      </c>
      <c r="B2210" t="s">
        <v>1034</v>
      </c>
      <c r="C2210" t="s">
        <v>327</v>
      </c>
      <c r="D2210" t="s">
        <v>159</v>
      </c>
      <c r="E2210" s="1">
        <v>45964</v>
      </c>
      <c r="F2210" t="s">
        <v>4295</v>
      </c>
      <c r="G2210" t="s">
        <v>3116</v>
      </c>
      <c r="H2210" t="s">
        <v>357</v>
      </c>
      <c r="I2210" t="s">
        <v>204</v>
      </c>
      <c r="J2210" s="1">
        <v>46476</v>
      </c>
      <c r="K2210" t="s">
        <v>711</v>
      </c>
      <c r="L2210">
        <v>2150</v>
      </c>
      <c r="M2210">
        <v>2150</v>
      </c>
      <c r="N2210" t="s">
        <v>890</v>
      </c>
      <c r="O2210" t="s">
        <v>4834</v>
      </c>
      <c r="P2210" t="s">
        <v>4776</v>
      </c>
      <c r="Q2210" t="s">
        <v>4901</v>
      </c>
      <c r="R2210" t="s">
        <v>4773</v>
      </c>
    </row>
    <row r="2211" spans="1:18" x14ac:dyDescent="0.3">
      <c r="A2211">
        <v>42459</v>
      </c>
      <c r="B2211" t="s">
        <v>1034</v>
      </c>
      <c r="C2211" t="s">
        <v>327</v>
      </c>
      <c r="D2211" t="s">
        <v>159</v>
      </c>
      <c r="E2211" s="1">
        <v>45964</v>
      </c>
      <c r="F2211" t="s">
        <v>4295</v>
      </c>
      <c r="G2211" t="s">
        <v>3118</v>
      </c>
      <c r="H2211" t="s">
        <v>357</v>
      </c>
      <c r="I2211" t="s">
        <v>204</v>
      </c>
      <c r="J2211" s="1">
        <v>46476</v>
      </c>
      <c r="K2211" t="s">
        <v>711</v>
      </c>
      <c r="L2211">
        <v>2150</v>
      </c>
      <c r="M2211">
        <v>2150</v>
      </c>
      <c r="N2211" t="s">
        <v>890</v>
      </c>
      <c r="O2211" t="s">
        <v>4834</v>
      </c>
      <c r="P2211" t="s">
        <v>4776</v>
      </c>
      <c r="Q2211" t="s">
        <v>4901</v>
      </c>
      <c r="R2211" t="s">
        <v>4773</v>
      </c>
    </row>
    <row r="2212" spans="1:18" x14ac:dyDescent="0.3">
      <c r="A2212">
        <v>2</v>
      </c>
      <c r="B2212" t="s">
        <v>1034</v>
      </c>
      <c r="C2212" t="s">
        <v>636</v>
      </c>
      <c r="D2212" t="s">
        <v>51</v>
      </c>
      <c r="E2212" s="1">
        <v>45964</v>
      </c>
      <c r="F2212" t="s">
        <v>4297</v>
      </c>
      <c r="G2212" t="s">
        <v>2293</v>
      </c>
      <c r="H2212" t="s">
        <v>635</v>
      </c>
      <c r="I2212" t="s">
        <v>204</v>
      </c>
      <c r="J2212" s="1">
        <v>46193</v>
      </c>
      <c r="K2212" t="s">
        <v>711</v>
      </c>
      <c r="L2212">
        <v>1</v>
      </c>
      <c r="M2212">
        <v>-7933</v>
      </c>
      <c r="N2212" t="s">
        <v>710</v>
      </c>
      <c r="O2212" t="s">
        <v>4844</v>
      </c>
      <c r="P2212" t="s">
        <v>4779</v>
      </c>
      <c r="Q2212" t="s">
        <v>4845</v>
      </c>
      <c r="R2212" t="s">
        <v>4771</v>
      </c>
    </row>
    <row r="2213" spans="1:18" x14ac:dyDescent="0.3">
      <c r="A2213">
        <v>3</v>
      </c>
      <c r="B2213" t="s">
        <v>1034</v>
      </c>
      <c r="C2213" t="s">
        <v>636</v>
      </c>
      <c r="D2213" t="s">
        <v>51</v>
      </c>
      <c r="E2213" s="1">
        <v>45964</v>
      </c>
      <c r="F2213" t="s">
        <v>4297</v>
      </c>
      <c r="G2213" t="s">
        <v>2293</v>
      </c>
      <c r="H2213" t="s">
        <v>635</v>
      </c>
      <c r="I2213" t="s">
        <v>204</v>
      </c>
      <c r="J2213" s="1">
        <v>46193</v>
      </c>
      <c r="K2213" t="s">
        <v>711</v>
      </c>
      <c r="L2213">
        <v>1</v>
      </c>
      <c r="M2213">
        <v>-7933</v>
      </c>
      <c r="N2213" t="s">
        <v>710</v>
      </c>
      <c r="O2213" t="s">
        <v>4844</v>
      </c>
      <c r="P2213" t="s">
        <v>4779</v>
      </c>
      <c r="Q2213" t="s">
        <v>4845</v>
      </c>
      <c r="R2213" t="s">
        <v>4771</v>
      </c>
    </row>
    <row r="2214" spans="1:18" x14ac:dyDescent="0.3">
      <c r="A2214">
        <v>4918</v>
      </c>
      <c r="B2214" t="s">
        <v>1034</v>
      </c>
      <c r="C2214" t="s">
        <v>319</v>
      </c>
      <c r="D2214" t="s">
        <v>36</v>
      </c>
      <c r="E2214" s="1">
        <v>45964</v>
      </c>
      <c r="F2214" t="s">
        <v>4298</v>
      </c>
      <c r="G2214" t="s">
        <v>3099</v>
      </c>
      <c r="H2214" t="s">
        <v>318</v>
      </c>
      <c r="I2214" t="s">
        <v>204</v>
      </c>
      <c r="J2214" s="1">
        <v>46214</v>
      </c>
      <c r="K2214" t="s">
        <v>711</v>
      </c>
      <c r="L2214">
        <v>1306</v>
      </c>
      <c r="M2214">
        <v>1305.78</v>
      </c>
      <c r="N2214" t="s">
        <v>710</v>
      </c>
      <c r="O2214" t="s">
        <v>1036</v>
      </c>
      <c r="P2214" t="s">
        <v>4784</v>
      </c>
      <c r="Q2214" t="s">
        <v>4901</v>
      </c>
      <c r="R2214" t="s">
        <v>4771</v>
      </c>
    </row>
    <row r="2215" spans="1:18" x14ac:dyDescent="0.3">
      <c r="A2215">
        <v>314</v>
      </c>
      <c r="B2215" t="s">
        <v>1034</v>
      </c>
      <c r="C2215" t="s">
        <v>319</v>
      </c>
      <c r="D2215" t="s">
        <v>36</v>
      </c>
      <c r="E2215" s="1">
        <v>45964</v>
      </c>
      <c r="F2215" t="s">
        <v>4298</v>
      </c>
      <c r="G2215" t="s">
        <v>3102</v>
      </c>
      <c r="H2215" t="s">
        <v>318</v>
      </c>
      <c r="I2215" t="s">
        <v>204</v>
      </c>
      <c r="J2215" s="1">
        <v>46214</v>
      </c>
      <c r="K2215" t="s">
        <v>711</v>
      </c>
      <c r="L2215">
        <v>998</v>
      </c>
      <c r="M2215">
        <v>997.66</v>
      </c>
      <c r="N2215" t="s">
        <v>710</v>
      </c>
      <c r="O2215" t="s">
        <v>1036</v>
      </c>
      <c r="P2215" t="s">
        <v>4784</v>
      </c>
      <c r="Q2215" t="s">
        <v>4901</v>
      </c>
      <c r="R2215" t="s">
        <v>4771</v>
      </c>
    </row>
    <row r="2216" spans="1:18" x14ac:dyDescent="0.3">
      <c r="A2216">
        <v>6</v>
      </c>
      <c r="B2216" t="s">
        <v>1034</v>
      </c>
      <c r="C2216" t="s">
        <v>636</v>
      </c>
      <c r="D2216" t="s">
        <v>51</v>
      </c>
      <c r="E2216" s="1">
        <v>45964</v>
      </c>
      <c r="F2216" t="s">
        <v>4297</v>
      </c>
      <c r="G2216" t="s">
        <v>2293</v>
      </c>
      <c r="H2216" t="s">
        <v>635</v>
      </c>
      <c r="I2216" t="s">
        <v>204</v>
      </c>
      <c r="J2216" s="1">
        <v>46193</v>
      </c>
      <c r="K2216" t="s">
        <v>711</v>
      </c>
      <c r="L2216">
        <v>1</v>
      </c>
      <c r="M2216">
        <v>7933</v>
      </c>
      <c r="N2216" t="s">
        <v>710</v>
      </c>
      <c r="O2216" t="s">
        <v>4844</v>
      </c>
      <c r="P2216" t="s">
        <v>4779</v>
      </c>
      <c r="Q2216" t="s">
        <v>4845</v>
      </c>
      <c r="R2216" t="s">
        <v>4771</v>
      </c>
    </row>
    <row r="2217" spans="1:18" x14ac:dyDescent="0.3">
      <c r="A2217">
        <v>342</v>
      </c>
      <c r="B2217" t="s">
        <v>1034</v>
      </c>
      <c r="C2217" t="s">
        <v>319</v>
      </c>
      <c r="D2217" t="s">
        <v>36</v>
      </c>
      <c r="E2217" s="1">
        <v>45964</v>
      </c>
      <c r="F2217" t="s">
        <v>4298</v>
      </c>
      <c r="G2217" t="s">
        <v>3100</v>
      </c>
      <c r="H2217" t="s">
        <v>318</v>
      </c>
      <c r="I2217" t="s">
        <v>204</v>
      </c>
      <c r="J2217" s="1">
        <v>46214</v>
      </c>
      <c r="K2217" t="s">
        <v>711</v>
      </c>
      <c r="L2217">
        <v>620</v>
      </c>
      <c r="M2217">
        <v>619.75</v>
      </c>
      <c r="N2217" t="s">
        <v>710</v>
      </c>
      <c r="O2217" t="s">
        <v>1036</v>
      </c>
      <c r="P2217" t="s">
        <v>4784</v>
      </c>
      <c r="Q2217" t="s">
        <v>4901</v>
      </c>
      <c r="R2217" t="s">
        <v>4771</v>
      </c>
    </row>
    <row r="2218" spans="1:18" x14ac:dyDescent="0.3">
      <c r="A2218">
        <v>88319</v>
      </c>
      <c r="B2218" t="s">
        <v>1034</v>
      </c>
      <c r="C2218" t="s">
        <v>319</v>
      </c>
      <c r="D2218" t="s">
        <v>36</v>
      </c>
      <c r="E2218" s="1">
        <v>45964</v>
      </c>
      <c r="F2218" t="s">
        <v>4298</v>
      </c>
      <c r="G2218" t="s">
        <v>3101</v>
      </c>
      <c r="H2218" t="s">
        <v>318</v>
      </c>
      <c r="I2218" t="s">
        <v>204</v>
      </c>
      <c r="J2218" s="1">
        <v>46214</v>
      </c>
      <c r="K2218" t="s">
        <v>711</v>
      </c>
      <c r="L2218">
        <v>746</v>
      </c>
      <c r="M2218">
        <v>746.16</v>
      </c>
      <c r="N2218" t="s">
        <v>710</v>
      </c>
      <c r="O2218" t="s">
        <v>1036</v>
      </c>
      <c r="P2218" t="s">
        <v>4784</v>
      </c>
      <c r="Q2218" t="s">
        <v>4901</v>
      </c>
      <c r="R2218" t="s">
        <v>4771</v>
      </c>
    </row>
    <row r="2219" spans="1:18" x14ac:dyDescent="0.3">
      <c r="A2219">
        <v>380318</v>
      </c>
      <c r="B2219" t="s">
        <v>4874</v>
      </c>
      <c r="C2219" t="s">
        <v>598</v>
      </c>
      <c r="D2219" t="s">
        <v>128</v>
      </c>
      <c r="E2219" s="1">
        <v>45961</v>
      </c>
      <c r="F2219" t="s">
        <v>4336</v>
      </c>
      <c r="G2219" t="s">
        <v>3096</v>
      </c>
      <c r="H2219" t="s">
        <v>599</v>
      </c>
      <c r="I2219" t="s">
        <v>204</v>
      </c>
      <c r="J2219" s="1">
        <v>45869</v>
      </c>
      <c r="K2219" t="s">
        <v>762</v>
      </c>
      <c r="L2219">
        <v>5605.59</v>
      </c>
      <c r="M2219">
        <v>5605.59</v>
      </c>
      <c r="N2219" t="s">
        <v>710</v>
      </c>
      <c r="O2219" t="s">
        <v>1037</v>
      </c>
      <c r="P2219" t="s">
        <v>4794</v>
      </c>
      <c r="Q2219" t="s">
        <v>4852</v>
      </c>
      <c r="R2219" t="s">
        <v>4772</v>
      </c>
    </row>
    <row r="2220" spans="1:18" x14ac:dyDescent="0.3">
      <c r="A2220">
        <v>2209</v>
      </c>
      <c r="B2220" t="s">
        <v>4874</v>
      </c>
      <c r="C2220" t="s">
        <v>616</v>
      </c>
      <c r="D2220" t="s">
        <v>152</v>
      </c>
      <c r="E2220" s="1">
        <v>45961</v>
      </c>
      <c r="F2220" t="s">
        <v>4338</v>
      </c>
      <c r="G2220" t="s">
        <v>3041</v>
      </c>
      <c r="H2220" t="s">
        <v>615</v>
      </c>
      <c r="I2220" t="s">
        <v>204</v>
      </c>
      <c r="J2220" s="1">
        <v>46327</v>
      </c>
      <c r="K2220" t="s">
        <v>720</v>
      </c>
      <c r="L2220">
        <v>1</v>
      </c>
      <c r="M2220">
        <v>101787.59</v>
      </c>
      <c r="N2220" t="s">
        <v>710</v>
      </c>
      <c r="O2220" t="s">
        <v>4834</v>
      </c>
      <c r="P2220" t="s">
        <v>4776</v>
      </c>
      <c r="Q2220" t="s">
        <v>4858</v>
      </c>
      <c r="R2220" t="s">
        <v>4772</v>
      </c>
    </row>
    <row r="2221" spans="1:18" x14ac:dyDescent="0.3">
      <c r="A2221">
        <v>700</v>
      </c>
      <c r="B2221" t="s">
        <v>1034</v>
      </c>
      <c r="C2221" t="s">
        <v>638</v>
      </c>
      <c r="D2221" t="s">
        <v>134</v>
      </c>
      <c r="E2221" s="1">
        <v>45961</v>
      </c>
      <c r="F2221" t="s">
        <v>4296</v>
      </c>
      <c r="G2221" t="s">
        <v>3113</v>
      </c>
      <c r="H2221" t="s">
        <v>637</v>
      </c>
      <c r="I2221" t="s">
        <v>204</v>
      </c>
      <c r="J2221" s="1">
        <v>46537</v>
      </c>
      <c r="K2221" t="s">
        <v>711</v>
      </c>
      <c r="L2221">
        <v>1941</v>
      </c>
      <c r="M2221">
        <v>1941</v>
      </c>
      <c r="N2221" t="s">
        <v>710</v>
      </c>
      <c r="O2221" t="s">
        <v>1036</v>
      </c>
      <c r="P2221" t="s">
        <v>4776</v>
      </c>
      <c r="Q2221" t="s">
        <v>4901</v>
      </c>
    </row>
    <row r="2222" spans="1:18" x14ac:dyDescent="0.3">
      <c r="A2222">
        <v>78892</v>
      </c>
      <c r="B2222" t="s">
        <v>4874</v>
      </c>
      <c r="C2222" t="s">
        <v>634</v>
      </c>
      <c r="D2222" t="s">
        <v>99</v>
      </c>
      <c r="E2222" s="1">
        <v>45961</v>
      </c>
      <c r="F2222" t="s">
        <v>4310</v>
      </c>
      <c r="G2222" t="s">
        <v>3054</v>
      </c>
      <c r="H2222" t="s">
        <v>633</v>
      </c>
      <c r="I2222" t="s">
        <v>204</v>
      </c>
      <c r="J2222" s="1">
        <v>46204</v>
      </c>
      <c r="K2222" t="s">
        <v>762</v>
      </c>
      <c r="L2222">
        <v>84</v>
      </c>
      <c r="M2222">
        <v>307.44</v>
      </c>
      <c r="N2222" t="s">
        <v>719</v>
      </c>
      <c r="O2222" t="s">
        <v>1037</v>
      </c>
      <c r="P2222" t="s">
        <v>4790</v>
      </c>
      <c r="Q2222" t="s">
        <v>4852</v>
      </c>
    </row>
    <row r="2223" spans="1:18" x14ac:dyDescent="0.3">
      <c r="A2223">
        <v>78892</v>
      </c>
      <c r="B2223" t="s">
        <v>4874</v>
      </c>
      <c r="C2223" t="s">
        <v>634</v>
      </c>
      <c r="D2223" t="s">
        <v>99</v>
      </c>
      <c r="E2223" s="1">
        <v>45961</v>
      </c>
      <c r="F2223" t="s">
        <v>4394</v>
      </c>
      <c r="G2223" t="s">
        <v>3054</v>
      </c>
      <c r="H2223" t="s">
        <v>633</v>
      </c>
      <c r="I2223" t="s">
        <v>204</v>
      </c>
      <c r="J2223" s="1">
        <v>46204</v>
      </c>
      <c r="K2223" t="s">
        <v>762</v>
      </c>
      <c r="L2223">
        <v>2384</v>
      </c>
      <c r="M2223">
        <v>2384</v>
      </c>
      <c r="N2223" t="s">
        <v>719</v>
      </c>
      <c r="O2223" t="s">
        <v>1037</v>
      </c>
      <c r="P2223" t="s">
        <v>4790</v>
      </c>
      <c r="Q2223" t="s">
        <v>4852</v>
      </c>
    </row>
    <row r="2224" spans="1:18" x14ac:dyDescent="0.3">
      <c r="A2224">
        <v>78892</v>
      </c>
      <c r="B2224" t="s">
        <v>4874</v>
      </c>
      <c r="C2224" t="s">
        <v>634</v>
      </c>
      <c r="D2224" t="s">
        <v>99</v>
      </c>
      <c r="E2224" s="1">
        <v>45961</v>
      </c>
      <c r="F2224" t="s">
        <v>4308</v>
      </c>
      <c r="G2224" t="s">
        <v>3054</v>
      </c>
      <c r="H2224" t="s">
        <v>633</v>
      </c>
      <c r="I2224" t="s">
        <v>204</v>
      </c>
      <c r="J2224" s="1">
        <v>46204</v>
      </c>
      <c r="K2224" t="s">
        <v>762</v>
      </c>
      <c r="L2224">
        <v>136</v>
      </c>
      <c r="M2224">
        <v>662.32</v>
      </c>
      <c r="N2224" t="s">
        <v>719</v>
      </c>
      <c r="O2224" t="s">
        <v>1037</v>
      </c>
      <c r="P2224" t="s">
        <v>4790</v>
      </c>
      <c r="Q2224" t="s">
        <v>4852</v>
      </c>
    </row>
    <row r="2225" spans="1:18" x14ac:dyDescent="0.3">
      <c r="A2225">
        <v>78892</v>
      </c>
      <c r="B2225" t="s">
        <v>4874</v>
      </c>
      <c r="C2225" t="s">
        <v>634</v>
      </c>
      <c r="D2225" t="s">
        <v>99</v>
      </c>
      <c r="E2225" s="1">
        <v>45961</v>
      </c>
      <c r="F2225" t="s">
        <v>4329</v>
      </c>
      <c r="G2225" t="s">
        <v>3054</v>
      </c>
      <c r="H2225" t="s">
        <v>633</v>
      </c>
      <c r="I2225" t="s">
        <v>204</v>
      </c>
      <c r="J2225" s="1">
        <v>46204</v>
      </c>
      <c r="K2225" t="s">
        <v>762</v>
      </c>
      <c r="L2225">
        <v>22</v>
      </c>
      <c r="M2225">
        <v>292.38</v>
      </c>
      <c r="N2225" t="s">
        <v>719</v>
      </c>
      <c r="O2225" t="s">
        <v>1037</v>
      </c>
      <c r="P2225" t="s">
        <v>4790</v>
      </c>
      <c r="Q2225" t="s">
        <v>4852</v>
      </c>
    </row>
    <row r="2226" spans="1:18" x14ac:dyDescent="0.3">
      <c r="A2226">
        <v>78892</v>
      </c>
      <c r="B2226" t="s">
        <v>4874</v>
      </c>
      <c r="C2226" t="s">
        <v>634</v>
      </c>
      <c r="D2226" t="s">
        <v>99</v>
      </c>
      <c r="E2226" s="1">
        <v>45961</v>
      </c>
      <c r="F2226" t="s">
        <v>4403</v>
      </c>
      <c r="G2226" t="s">
        <v>3054</v>
      </c>
      <c r="H2226" t="s">
        <v>633</v>
      </c>
      <c r="I2226" t="s">
        <v>204</v>
      </c>
      <c r="J2226" s="1">
        <v>46204</v>
      </c>
      <c r="K2226" t="s">
        <v>762</v>
      </c>
      <c r="L2226">
        <v>1</v>
      </c>
      <c r="M2226">
        <v>15.3</v>
      </c>
      <c r="N2226" t="s">
        <v>719</v>
      </c>
      <c r="O2226" t="s">
        <v>1037</v>
      </c>
      <c r="P2226" t="s">
        <v>4790</v>
      </c>
      <c r="Q2226" t="s">
        <v>4852</v>
      </c>
    </row>
    <row r="2227" spans="1:18" x14ac:dyDescent="0.3">
      <c r="A2227">
        <v>78892</v>
      </c>
      <c r="B2227" t="s">
        <v>4874</v>
      </c>
      <c r="C2227" t="s">
        <v>634</v>
      </c>
      <c r="D2227" t="s">
        <v>99</v>
      </c>
      <c r="E2227" s="1">
        <v>45961</v>
      </c>
      <c r="F2227" t="s">
        <v>4398</v>
      </c>
      <c r="G2227" t="s">
        <v>3054</v>
      </c>
      <c r="H2227" t="s">
        <v>633</v>
      </c>
      <c r="I2227" t="s">
        <v>204</v>
      </c>
      <c r="J2227" s="1">
        <v>46204</v>
      </c>
      <c r="K2227" t="s">
        <v>762</v>
      </c>
      <c r="L2227">
        <v>50</v>
      </c>
      <c r="M2227">
        <v>5</v>
      </c>
      <c r="N2227" t="s">
        <v>719</v>
      </c>
      <c r="O2227" t="s">
        <v>1037</v>
      </c>
      <c r="P2227" t="s">
        <v>4790</v>
      </c>
      <c r="Q2227" t="s">
        <v>4852</v>
      </c>
    </row>
    <row r="2228" spans="1:18" x14ac:dyDescent="0.3">
      <c r="A2228">
        <v>7260</v>
      </c>
      <c r="B2228" t="s">
        <v>4874</v>
      </c>
      <c r="C2228" t="s">
        <v>628</v>
      </c>
      <c r="D2228" t="s">
        <v>25</v>
      </c>
      <c r="E2228" s="1">
        <v>45961</v>
      </c>
      <c r="F2228" t="s">
        <v>4415</v>
      </c>
      <c r="G2228" t="s">
        <v>3092</v>
      </c>
      <c r="H2228" t="s">
        <v>627</v>
      </c>
      <c r="I2228" t="s">
        <v>209</v>
      </c>
      <c r="J2228" s="1">
        <v>46476</v>
      </c>
      <c r="K2228" t="s">
        <v>720</v>
      </c>
      <c r="L2228">
        <v>1</v>
      </c>
      <c r="M2228">
        <v>380</v>
      </c>
      <c r="N2228" t="s">
        <v>710</v>
      </c>
      <c r="O2228" t="s">
        <v>1038</v>
      </c>
      <c r="P2228" t="s">
        <v>4776</v>
      </c>
      <c r="Q2228" t="s">
        <v>4858</v>
      </c>
      <c r="R2228" t="s">
        <v>4771</v>
      </c>
    </row>
    <row r="2229" spans="1:18" x14ac:dyDescent="0.3">
      <c r="A2229">
        <v>7260</v>
      </c>
      <c r="B2229" t="s">
        <v>4874</v>
      </c>
      <c r="C2229" t="s">
        <v>628</v>
      </c>
      <c r="D2229" t="s">
        <v>25</v>
      </c>
      <c r="E2229" s="1">
        <v>45961</v>
      </c>
      <c r="F2229" t="s">
        <v>4415</v>
      </c>
      <c r="G2229" t="s">
        <v>3092</v>
      </c>
      <c r="H2229" t="s">
        <v>627</v>
      </c>
      <c r="I2229" t="s">
        <v>209</v>
      </c>
      <c r="J2229" s="1">
        <v>46476</v>
      </c>
      <c r="K2229" t="s">
        <v>720</v>
      </c>
      <c r="L2229">
        <v>1</v>
      </c>
      <c r="M2229">
        <v>380</v>
      </c>
      <c r="N2229" t="s">
        <v>710</v>
      </c>
      <c r="O2229" t="s">
        <v>1038</v>
      </c>
      <c r="P2229" t="s">
        <v>4776</v>
      </c>
      <c r="Q2229" t="s">
        <v>4858</v>
      </c>
      <c r="R2229" t="s">
        <v>4771</v>
      </c>
    </row>
    <row r="2230" spans="1:18" x14ac:dyDescent="0.3">
      <c r="A2230">
        <v>380334</v>
      </c>
      <c r="B2230" t="s">
        <v>4875</v>
      </c>
      <c r="C2230" t="s">
        <v>598</v>
      </c>
      <c r="D2230" t="s">
        <v>128</v>
      </c>
      <c r="E2230" s="1">
        <v>45961</v>
      </c>
      <c r="F2230" t="s">
        <v>4336</v>
      </c>
      <c r="G2230" t="s">
        <v>3098</v>
      </c>
      <c r="H2230" t="s">
        <v>600</v>
      </c>
      <c r="I2230" t="s">
        <v>204</v>
      </c>
      <c r="J2230" s="1">
        <v>45869</v>
      </c>
      <c r="K2230" t="s">
        <v>768</v>
      </c>
      <c r="L2230">
        <v>1364.14</v>
      </c>
      <c r="M2230">
        <v>1364.14</v>
      </c>
      <c r="N2230" t="s">
        <v>710</v>
      </c>
      <c r="O2230" t="s">
        <v>1037</v>
      </c>
      <c r="P2230" t="s">
        <v>4794</v>
      </c>
      <c r="Q2230" t="s">
        <v>4852</v>
      </c>
      <c r="R2230" t="s">
        <v>4772</v>
      </c>
    </row>
    <row r="2231" spans="1:18" x14ac:dyDescent="0.3">
      <c r="A2231">
        <v>78892</v>
      </c>
      <c r="B2231" t="s">
        <v>4874</v>
      </c>
      <c r="C2231" t="s">
        <v>634</v>
      </c>
      <c r="D2231" t="s">
        <v>99</v>
      </c>
      <c r="E2231" s="1">
        <v>45961</v>
      </c>
      <c r="F2231" t="s">
        <v>4307</v>
      </c>
      <c r="G2231" t="s">
        <v>3054</v>
      </c>
      <c r="H2231" t="s">
        <v>633</v>
      </c>
      <c r="I2231" t="s">
        <v>204</v>
      </c>
      <c r="J2231" s="1">
        <v>46204</v>
      </c>
      <c r="K2231" t="s">
        <v>762</v>
      </c>
      <c r="L2231">
        <v>2384</v>
      </c>
      <c r="M2231">
        <v>37166.559999999998</v>
      </c>
      <c r="N2231" t="s">
        <v>719</v>
      </c>
      <c r="O2231" t="s">
        <v>1037</v>
      </c>
      <c r="P2231" t="s">
        <v>4790</v>
      </c>
      <c r="Q2231" t="s">
        <v>4852</v>
      </c>
    </row>
    <row r="2232" spans="1:18" x14ac:dyDescent="0.3">
      <c r="A2232">
        <v>380326</v>
      </c>
      <c r="B2232" t="s">
        <v>1034</v>
      </c>
      <c r="C2232" t="s">
        <v>598</v>
      </c>
      <c r="D2232" t="s">
        <v>128</v>
      </c>
      <c r="E2232" s="1">
        <v>45961</v>
      </c>
      <c r="F2232" t="s">
        <v>4336</v>
      </c>
      <c r="G2232" t="s">
        <v>3097</v>
      </c>
      <c r="H2232" t="s">
        <v>597</v>
      </c>
      <c r="I2232" t="s">
        <v>204</v>
      </c>
      <c r="J2232" s="1">
        <v>45839</v>
      </c>
      <c r="K2232" t="s">
        <v>717</v>
      </c>
      <c r="L2232">
        <v>7211</v>
      </c>
      <c r="M2232">
        <v>7211</v>
      </c>
      <c r="N2232" t="s">
        <v>710</v>
      </c>
      <c r="O2232" t="s">
        <v>1037</v>
      </c>
      <c r="P2232" t="s">
        <v>4794</v>
      </c>
      <c r="Q2232" t="s">
        <v>4852</v>
      </c>
      <c r="R2232" t="s">
        <v>4772</v>
      </c>
    </row>
    <row r="2233" spans="1:18" x14ac:dyDescent="0.3">
      <c r="A2233">
        <v>5582</v>
      </c>
      <c r="B2233" t="s">
        <v>1034</v>
      </c>
      <c r="C2233" t="s">
        <v>399</v>
      </c>
      <c r="D2233" t="s">
        <v>97</v>
      </c>
      <c r="E2233" s="1">
        <v>45960</v>
      </c>
      <c r="F2233" t="s">
        <v>4301</v>
      </c>
      <c r="G2233" t="s">
        <v>2843</v>
      </c>
      <c r="H2233" t="s">
        <v>398</v>
      </c>
      <c r="I2233" t="s">
        <v>204</v>
      </c>
      <c r="J2233" s="1">
        <v>46274</v>
      </c>
      <c r="K2233" t="s">
        <v>717</v>
      </c>
      <c r="L2233">
        <v>1</v>
      </c>
      <c r="M2233">
        <v>21070.42</v>
      </c>
      <c r="N2233" t="s">
        <v>710</v>
      </c>
      <c r="O2233" t="s">
        <v>4902</v>
      </c>
      <c r="P2233" t="s">
        <v>4776</v>
      </c>
      <c r="Q2233" t="s">
        <v>4852</v>
      </c>
      <c r="R2233" t="s">
        <v>4773</v>
      </c>
    </row>
    <row r="2234" spans="1:18" x14ac:dyDescent="0.3">
      <c r="A2234">
        <v>2025323</v>
      </c>
      <c r="B2234" t="s">
        <v>1034</v>
      </c>
      <c r="C2234" t="s">
        <v>552</v>
      </c>
      <c r="D2234" t="s">
        <v>190</v>
      </c>
      <c r="E2234" s="1">
        <v>45960</v>
      </c>
      <c r="F2234" t="s">
        <v>4339</v>
      </c>
      <c r="G2234" t="s">
        <v>3094</v>
      </c>
      <c r="H2234" t="s">
        <v>583</v>
      </c>
      <c r="I2234" t="s">
        <v>204</v>
      </c>
      <c r="J2234" s="1">
        <v>46441</v>
      </c>
      <c r="K2234" t="s">
        <v>717</v>
      </c>
      <c r="L2234">
        <v>64252.04</v>
      </c>
      <c r="M2234">
        <v>64252.04</v>
      </c>
      <c r="N2234" t="s">
        <v>710</v>
      </c>
      <c r="O2234" t="s">
        <v>4904</v>
      </c>
      <c r="P2234" t="s">
        <v>4792</v>
      </c>
      <c r="Q2234" t="s">
        <v>4904</v>
      </c>
      <c r="R2234" t="s">
        <v>4772</v>
      </c>
    </row>
    <row r="2235" spans="1:18" x14ac:dyDescent="0.3">
      <c r="A2235">
        <v>4910</v>
      </c>
      <c r="B2235" t="s">
        <v>4875</v>
      </c>
      <c r="C2235" t="s">
        <v>319</v>
      </c>
      <c r="D2235" t="s">
        <v>36</v>
      </c>
      <c r="E2235" s="1">
        <v>45960</v>
      </c>
      <c r="F2235" t="s">
        <v>4298</v>
      </c>
      <c r="G2235" t="s">
        <v>3093</v>
      </c>
      <c r="H2235" t="s">
        <v>336</v>
      </c>
      <c r="I2235" t="s">
        <v>204</v>
      </c>
      <c r="J2235" s="1">
        <v>46075</v>
      </c>
      <c r="K2235" t="s">
        <v>748</v>
      </c>
      <c r="L2235">
        <v>2</v>
      </c>
      <c r="M2235">
        <v>373.08</v>
      </c>
      <c r="N2235" t="s">
        <v>710</v>
      </c>
      <c r="O2235" t="s">
        <v>1040</v>
      </c>
      <c r="P2235" t="s">
        <v>4784</v>
      </c>
      <c r="Q2235" t="s">
        <v>4856</v>
      </c>
      <c r="R2235" t="s">
        <v>4771</v>
      </c>
    </row>
    <row r="2236" spans="1:18" x14ac:dyDescent="0.3">
      <c r="A2236">
        <v>37637</v>
      </c>
      <c r="B2236" t="s">
        <v>4875</v>
      </c>
      <c r="C2236" t="s">
        <v>530</v>
      </c>
      <c r="D2236" t="s">
        <v>24</v>
      </c>
      <c r="E2236" s="1">
        <v>45960</v>
      </c>
      <c r="F2236" t="s">
        <v>4297</v>
      </c>
      <c r="G2236" t="s">
        <v>3079</v>
      </c>
      <c r="H2236" t="s">
        <v>529</v>
      </c>
      <c r="I2236" t="s">
        <v>204</v>
      </c>
      <c r="J2236" s="1">
        <v>46477</v>
      </c>
      <c r="K2236" t="s">
        <v>748</v>
      </c>
      <c r="L2236">
        <v>1</v>
      </c>
      <c r="M2236">
        <v>7408.31</v>
      </c>
      <c r="N2236" t="s">
        <v>710</v>
      </c>
      <c r="O2236" t="s">
        <v>1040</v>
      </c>
      <c r="P2236" t="s">
        <v>4779</v>
      </c>
      <c r="Q2236" t="s">
        <v>4856</v>
      </c>
      <c r="R2236" t="s">
        <v>4773</v>
      </c>
    </row>
    <row r="2237" spans="1:18" x14ac:dyDescent="0.3">
      <c r="A2237">
        <v>309</v>
      </c>
      <c r="B2237" t="s">
        <v>4875</v>
      </c>
      <c r="C2237" t="s">
        <v>319</v>
      </c>
      <c r="D2237" t="s">
        <v>36</v>
      </c>
      <c r="E2237" s="1">
        <v>45960</v>
      </c>
      <c r="F2237" t="s">
        <v>4434</v>
      </c>
      <c r="G2237" t="s">
        <v>3048</v>
      </c>
      <c r="H2237" t="s">
        <v>336</v>
      </c>
      <c r="I2237" t="s">
        <v>204</v>
      </c>
      <c r="J2237" s="1">
        <v>46075</v>
      </c>
      <c r="K2237" t="s">
        <v>748</v>
      </c>
      <c r="L2237">
        <v>14763.24</v>
      </c>
      <c r="M2237">
        <v>14763.24</v>
      </c>
      <c r="N2237" t="s">
        <v>710</v>
      </c>
      <c r="O2237" t="s">
        <v>1040</v>
      </c>
      <c r="P2237" t="s">
        <v>4784</v>
      </c>
      <c r="Q2237" t="s">
        <v>4856</v>
      </c>
      <c r="R2237" t="s">
        <v>4771</v>
      </c>
    </row>
    <row r="2238" spans="1:18" x14ac:dyDescent="0.3">
      <c r="A2238">
        <v>7152</v>
      </c>
      <c r="B2238" t="s">
        <v>1035</v>
      </c>
      <c r="C2238" t="s">
        <v>230</v>
      </c>
      <c r="D2238" t="s">
        <v>85</v>
      </c>
      <c r="E2238" s="1">
        <v>45959</v>
      </c>
      <c r="F2238" t="s">
        <v>4348</v>
      </c>
      <c r="G2238" t="s">
        <v>3039</v>
      </c>
      <c r="H2238" t="s">
        <v>229</v>
      </c>
      <c r="I2238" t="s">
        <v>204</v>
      </c>
      <c r="J2238" s="1">
        <v>46203</v>
      </c>
      <c r="K2238" t="s">
        <v>744</v>
      </c>
      <c r="L2238">
        <v>1</v>
      </c>
      <c r="M2238">
        <v>3642.6</v>
      </c>
      <c r="N2238" t="s">
        <v>710</v>
      </c>
      <c r="O2238" t="s">
        <v>1033</v>
      </c>
      <c r="P2238" t="s">
        <v>4781</v>
      </c>
      <c r="Q2238" t="s">
        <v>4852</v>
      </c>
      <c r="R2238" t="s">
        <v>4771</v>
      </c>
    </row>
    <row r="2239" spans="1:18" x14ac:dyDescent="0.3">
      <c r="A2239">
        <v>2011694</v>
      </c>
      <c r="B2239" t="s">
        <v>1034</v>
      </c>
      <c r="C2239" t="s">
        <v>417</v>
      </c>
      <c r="D2239" t="s">
        <v>185</v>
      </c>
      <c r="E2239" s="1">
        <v>45959</v>
      </c>
      <c r="F2239" t="s">
        <v>4346</v>
      </c>
      <c r="G2239" t="s">
        <v>3081</v>
      </c>
      <c r="H2239" t="s">
        <v>416</v>
      </c>
      <c r="I2239" t="s">
        <v>204</v>
      </c>
      <c r="J2239" s="1">
        <v>54878</v>
      </c>
      <c r="K2239" t="s">
        <v>717</v>
      </c>
      <c r="L2239">
        <v>3718.87</v>
      </c>
      <c r="M2239">
        <v>3718.87</v>
      </c>
      <c r="N2239" t="s">
        <v>710</v>
      </c>
      <c r="O2239" t="s">
        <v>1037</v>
      </c>
      <c r="P2239" t="s">
        <v>4780</v>
      </c>
      <c r="Q2239" t="s">
        <v>4852</v>
      </c>
      <c r="R2239" t="s">
        <v>4771</v>
      </c>
    </row>
    <row r="2240" spans="1:18" x14ac:dyDescent="0.3">
      <c r="A2240">
        <v>9939</v>
      </c>
      <c r="B2240" t="s">
        <v>1034</v>
      </c>
      <c r="C2240" t="s">
        <v>594</v>
      </c>
      <c r="D2240" t="s">
        <v>27</v>
      </c>
      <c r="E2240" s="1">
        <v>45959</v>
      </c>
      <c r="F2240" t="s">
        <v>4323</v>
      </c>
      <c r="G2240" t="s">
        <v>3052</v>
      </c>
      <c r="H2240" t="s">
        <v>595</v>
      </c>
      <c r="I2240" t="s">
        <v>204</v>
      </c>
      <c r="J2240" s="1">
        <v>46204</v>
      </c>
      <c r="K2240" t="s">
        <v>717</v>
      </c>
      <c r="L2240">
        <v>1</v>
      </c>
      <c r="M2240">
        <v>71946.880000000005</v>
      </c>
      <c r="N2240" t="s">
        <v>814</v>
      </c>
      <c r="O2240" t="s">
        <v>1037</v>
      </c>
      <c r="P2240" t="s">
        <v>4794</v>
      </c>
      <c r="Q2240" t="s">
        <v>4852</v>
      </c>
      <c r="R2240" t="s">
        <v>4772</v>
      </c>
    </row>
    <row r="2241" spans="1:18" x14ac:dyDescent="0.3">
      <c r="A2241">
        <v>7162</v>
      </c>
      <c r="B2241" t="s">
        <v>1035</v>
      </c>
      <c r="C2241" t="s">
        <v>230</v>
      </c>
      <c r="D2241" t="s">
        <v>85</v>
      </c>
      <c r="E2241" s="1">
        <v>45959</v>
      </c>
      <c r="F2241" t="s">
        <v>4348</v>
      </c>
      <c r="G2241" t="s">
        <v>3039</v>
      </c>
      <c r="H2241" t="s">
        <v>229</v>
      </c>
      <c r="I2241" t="s">
        <v>204</v>
      </c>
      <c r="J2241" s="1">
        <v>46203</v>
      </c>
      <c r="K2241" t="s">
        <v>744</v>
      </c>
      <c r="L2241">
        <v>1</v>
      </c>
      <c r="M2241">
        <v>6773.58</v>
      </c>
      <c r="N2241" t="s">
        <v>710</v>
      </c>
      <c r="O2241" t="s">
        <v>1033</v>
      </c>
      <c r="P2241" t="s">
        <v>4781</v>
      </c>
      <c r="Q2241" t="s">
        <v>4852</v>
      </c>
      <c r="R2241" t="s">
        <v>4771</v>
      </c>
    </row>
    <row r="2242" spans="1:18" x14ac:dyDescent="0.3">
      <c r="A2242">
        <v>5683499</v>
      </c>
      <c r="B2242" t="s">
        <v>1034</v>
      </c>
      <c r="C2242" t="s">
        <v>463</v>
      </c>
      <c r="D2242" t="s">
        <v>147</v>
      </c>
      <c r="E2242" s="1">
        <v>45959</v>
      </c>
      <c r="F2242" t="s">
        <v>4334</v>
      </c>
      <c r="G2242" t="s">
        <v>3095</v>
      </c>
      <c r="H2242" t="s">
        <v>462</v>
      </c>
      <c r="I2242" t="s">
        <v>204</v>
      </c>
      <c r="J2242" s="1">
        <v>46752</v>
      </c>
      <c r="K2242" t="s">
        <v>717</v>
      </c>
      <c r="L2242">
        <v>1082.6300000000001</v>
      </c>
      <c r="M2242">
        <v>1082.6300000000001</v>
      </c>
      <c r="N2242" t="s">
        <v>719</v>
      </c>
      <c r="O2242" t="s">
        <v>1033</v>
      </c>
      <c r="P2242" t="s">
        <v>4776</v>
      </c>
      <c r="Q2242" t="s">
        <v>4852</v>
      </c>
      <c r="R2242" t="s">
        <v>4771</v>
      </c>
    </row>
    <row r="2243" spans="1:18" x14ac:dyDescent="0.3">
      <c r="A2243">
        <v>9948</v>
      </c>
      <c r="B2243" t="s">
        <v>4875</v>
      </c>
      <c r="C2243" t="s">
        <v>594</v>
      </c>
      <c r="D2243" t="s">
        <v>27</v>
      </c>
      <c r="E2243" s="1">
        <v>45959</v>
      </c>
      <c r="F2243" t="s">
        <v>4323</v>
      </c>
      <c r="G2243" t="s">
        <v>3053</v>
      </c>
      <c r="H2243" t="s">
        <v>596</v>
      </c>
      <c r="I2243" t="s">
        <v>204</v>
      </c>
      <c r="J2243" s="1">
        <v>46204</v>
      </c>
      <c r="K2243" t="s">
        <v>768</v>
      </c>
      <c r="L2243">
        <v>1</v>
      </c>
      <c r="M2243">
        <v>14586.54</v>
      </c>
      <c r="N2243" t="s">
        <v>814</v>
      </c>
      <c r="O2243" t="s">
        <v>1037</v>
      </c>
      <c r="P2243" t="s">
        <v>4794</v>
      </c>
      <c r="Q2243" t="s">
        <v>4852</v>
      </c>
      <c r="R2243" t="s">
        <v>4772</v>
      </c>
    </row>
    <row r="2244" spans="1:18" x14ac:dyDescent="0.3">
      <c r="A2244">
        <v>2011651</v>
      </c>
      <c r="B2244" t="s">
        <v>4874</v>
      </c>
      <c r="C2244" t="s">
        <v>417</v>
      </c>
      <c r="D2244" t="s">
        <v>185</v>
      </c>
      <c r="E2244" s="1">
        <v>45959</v>
      </c>
      <c r="F2244" t="s">
        <v>4346</v>
      </c>
      <c r="G2244" t="s">
        <v>3082</v>
      </c>
      <c r="H2244" t="s">
        <v>461</v>
      </c>
      <c r="I2244" t="s">
        <v>204</v>
      </c>
      <c r="J2244" s="1">
        <v>54878</v>
      </c>
      <c r="K2244" t="s">
        <v>762</v>
      </c>
      <c r="L2244">
        <v>23837.37</v>
      </c>
      <c r="M2244">
        <v>23837.37</v>
      </c>
      <c r="N2244" t="s">
        <v>710</v>
      </c>
      <c r="O2244" t="s">
        <v>1037</v>
      </c>
      <c r="P2244" t="s">
        <v>4780</v>
      </c>
      <c r="Q2244" t="s">
        <v>4852</v>
      </c>
      <c r="R2244" t="s">
        <v>4771</v>
      </c>
    </row>
    <row r="2245" spans="1:18" x14ac:dyDescent="0.3">
      <c r="A2245">
        <v>730074</v>
      </c>
      <c r="B2245" t="s">
        <v>4874</v>
      </c>
      <c r="C2245" t="s">
        <v>239</v>
      </c>
      <c r="D2245" t="s">
        <v>199</v>
      </c>
      <c r="E2245" s="1">
        <v>45959</v>
      </c>
      <c r="F2245" t="s">
        <v>4325</v>
      </c>
      <c r="G2245" t="s">
        <v>3070</v>
      </c>
      <c r="H2245" t="s">
        <v>268</v>
      </c>
      <c r="I2245" t="s">
        <v>204</v>
      </c>
      <c r="J2245" s="1">
        <v>46172</v>
      </c>
      <c r="K2245" t="s">
        <v>720</v>
      </c>
      <c r="L2245">
        <v>1</v>
      </c>
      <c r="M2245">
        <v>109.9</v>
      </c>
      <c r="N2245" t="s">
        <v>710</v>
      </c>
      <c r="O2245" t="s">
        <v>1038</v>
      </c>
      <c r="P2245" t="s">
        <v>4779</v>
      </c>
      <c r="Q2245" t="s">
        <v>4858</v>
      </c>
      <c r="R2245" t="s">
        <v>4771</v>
      </c>
    </row>
    <row r="2246" spans="1:18" x14ac:dyDescent="0.3">
      <c r="A2246">
        <v>97659</v>
      </c>
      <c r="B2246" t="s">
        <v>4874</v>
      </c>
      <c r="C2246" t="s">
        <v>614</v>
      </c>
      <c r="D2246" t="s">
        <v>74</v>
      </c>
      <c r="E2246" s="1">
        <v>45958</v>
      </c>
      <c r="F2246" t="s">
        <v>4362</v>
      </c>
      <c r="G2246" t="s">
        <v>2622</v>
      </c>
      <c r="H2246" t="s">
        <v>613</v>
      </c>
      <c r="I2246" t="s">
        <v>204</v>
      </c>
      <c r="J2246" s="1">
        <v>46993</v>
      </c>
      <c r="K2246" t="s">
        <v>720</v>
      </c>
      <c r="L2246">
        <v>1</v>
      </c>
      <c r="M2246">
        <v>1515</v>
      </c>
      <c r="N2246" t="s">
        <v>710</v>
      </c>
      <c r="O2246" t="s">
        <v>1038</v>
      </c>
      <c r="P2246" t="s">
        <v>4779</v>
      </c>
      <c r="Q2246" t="s">
        <v>4858</v>
      </c>
      <c r="R2246" t="s">
        <v>4771</v>
      </c>
    </row>
    <row r="2247" spans="1:18" x14ac:dyDescent="0.3">
      <c r="A2247">
        <v>4004105</v>
      </c>
      <c r="B2247" t="s">
        <v>4874</v>
      </c>
      <c r="C2247" t="s">
        <v>417</v>
      </c>
      <c r="D2247" t="s">
        <v>185</v>
      </c>
      <c r="E2247" s="1">
        <v>45958</v>
      </c>
      <c r="F2247" t="s">
        <v>4335</v>
      </c>
      <c r="G2247" t="s">
        <v>3082</v>
      </c>
      <c r="H2247" t="s">
        <v>461</v>
      </c>
      <c r="I2247" t="s">
        <v>204</v>
      </c>
      <c r="J2247" s="1">
        <v>54878</v>
      </c>
      <c r="K2247" t="s">
        <v>762</v>
      </c>
      <c r="L2247">
        <v>4784.32</v>
      </c>
      <c r="M2247">
        <v>4784.32</v>
      </c>
      <c r="N2247" t="s">
        <v>710</v>
      </c>
      <c r="O2247" t="s">
        <v>1037</v>
      </c>
      <c r="P2247" t="s">
        <v>4780</v>
      </c>
      <c r="Q2247" t="s">
        <v>4852</v>
      </c>
      <c r="R2247" t="s">
        <v>4771</v>
      </c>
    </row>
    <row r="2248" spans="1:18" x14ac:dyDescent="0.3">
      <c r="A2248">
        <v>1216620</v>
      </c>
      <c r="B2248" t="s">
        <v>4874</v>
      </c>
      <c r="C2248" t="s">
        <v>664</v>
      </c>
      <c r="D2248" t="s">
        <v>83</v>
      </c>
      <c r="E2248" s="1">
        <v>45958</v>
      </c>
      <c r="F2248" t="s">
        <v>4399</v>
      </c>
      <c r="G2248" t="s">
        <v>3063</v>
      </c>
      <c r="H2248" t="s">
        <v>663</v>
      </c>
      <c r="I2248" t="s">
        <v>204</v>
      </c>
      <c r="J2248" s="1">
        <v>46660</v>
      </c>
      <c r="K2248" t="s">
        <v>762</v>
      </c>
      <c r="L2248">
        <v>57903.43</v>
      </c>
      <c r="M2248">
        <v>57903.43</v>
      </c>
      <c r="N2248" t="s">
        <v>710</v>
      </c>
      <c r="O2248" t="s">
        <v>1037</v>
      </c>
      <c r="P2248" t="s">
        <v>850</v>
      </c>
      <c r="Q2248" t="s">
        <v>4852</v>
      </c>
      <c r="R2248" t="s">
        <v>807</v>
      </c>
    </row>
    <row r="2249" spans="1:18" x14ac:dyDescent="0.3">
      <c r="A2249">
        <v>9930</v>
      </c>
      <c r="B2249" t="s">
        <v>4874</v>
      </c>
      <c r="C2249" t="s">
        <v>594</v>
      </c>
      <c r="D2249" t="s">
        <v>27</v>
      </c>
      <c r="E2249" s="1">
        <v>45958</v>
      </c>
      <c r="F2249" t="s">
        <v>4323</v>
      </c>
      <c r="G2249" t="s">
        <v>3068</v>
      </c>
      <c r="H2249" t="s">
        <v>593</v>
      </c>
      <c r="I2249" t="s">
        <v>204</v>
      </c>
      <c r="J2249" s="1">
        <v>46204</v>
      </c>
      <c r="K2249" t="s">
        <v>762</v>
      </c>
      <c r="L2249">
        <v>1</v>
      </c>
      <c r="M2249">
        <v>415958.88</v>
      </c>
      <c r="N2249" t="s">
        <v>814</v>
      </c>
      <c r="O2249" t="s">
        <v>1037</v>
      </c>
      <c r="P2249" t="s">
        <v>4794</v>
      </c>
      <c r="Q2249" t="s">
        <v>4852</v>
      </c>
      <c r="R2249" t="s">
        <v>4772</v>
      </c>
    </row>
    <row r="2250" spans="1:18" x14ac:dyDescent="0.3">
      <c r="A2250">
        <v>199385</v>
      </c>
      <c r="B2250" t="s">
        <v>4874</v>
      </c>
      <c r="C2250" t="s">
        <v>467</v>
      </c>
      <c r="D2250" t="s">
        <v>175</v>
      </c>
      <c r="E2250" s="1">
        <v>45958</v>
      </c>
      <c r="F2250" t="s">
        <v>4315</v>
      </c>
      <c r="G2250" t="s">
        <v>2840</v>
      </c>
      <c r="H2250" t="s">
        <v>466</v>
      </c>
      <c r="I2250" t="s">
        <v>204</v>
      </c>
      <c r="J2250" s="1">
        <v>46266</v>
      </c>
      <c r="K2250" t="s">
        <v>762</v>
      </c>
      <c r="L2250">
        <v>1</v>
      </c>
      <c r="M2250">
        <v>16567.98</v>
      </c>
      <c r="N2250" t="s">
        <v>710</v>
      </c>
      <c r="O2250" t="s">
        <v>4845</v>
      </c>
      <c r="P2250" t="s">
        <v>4776</v>
      </c>
      <c r="Q2250" t="s">
        <v>4845</v>
      </c>
      <c r="R2250" t="s">
        <v>4773</v>
      </c>
    </row>
    <row r="2251" spans="1:18" x14ac:dyDescent="0.3">
      <c r="A2251">
        <v>199785</v>
      </c>
      <c r="B2251" t="s">
        <v>4874</v>
      </c>
      <c r="C2251" t="s">
        <v>467</v>
      </c>
      <c r="D2251" t="s">
        <v>175</v>
      </c>
      <c r="E2251" s="1">
        <v>45958</v>
      </c>
      <c r="F2251" t="s">
        <v>4315</v>
      </c>
      <c r="G2251" t="s">
        <v>2840</v>
      </c>
      <c r="H2251" t="s">
        <v>466</v>
      </c>
      <c r="I2251" t="s">
        <v>204</v>
      </c>
      <c r="J2251" s="1">
        <v>46266</v>
      </c>
      <c r="K2251" t="s">
        <v>762</v>
      </c>
      <c r="L2251">
        <v>1</v>
      </c>
      <c r="M2251">
        <v>16567.98</v>
      </c>
      <c r="N2251" t="s">
        <v>710</v>
      </c>
      <c r="O2251" t="s">
        <v>4845</v>
      </c>
      <c r="P2251" t="s">
        <v>4776</v>
      </c>
      <c r="Q2251" t="s">
        <v>4845</v>
      </c>
      <c r="R2251" t="s">
        <v>4773</v>
      </c>
    </row>
    <row r="2252" spans="1:18" x14ac:dyDescent="0.3">
      <c r="A2252">
        <v>113751</v>
      </c>
      <c r="B2252" t="s">
        <v>4874</v>
      </c>
      <c r="C2252" t="s">
        <v>227</v>
      </c>
      <c r="D2252" t="s">
        <v>191</v>
      </c>
      <c r="E2252" s="1">
        <v>45958</v>
      </c>
      <c r="F2252" t="s">
        <v>4387</v>
      </c>
      <c r="G2252" t="s">
        <v>3080</v>
      </c>
      <c r="H2252" t="s">
        <v>577</v>
      </c>
      <c r="I2252" t="s">
        <v>204</v>
      </c>
      <c r="J2252" s="1">
        <v>46493</v>
      </c>
      <c r="K2252" t="s">
        <v>762</v>
      </c>
      <c r="L2252">
        <v>62472.5</v>
      </c>
      <c r="M2252">
        <v>62472.5</v>
      </c>
      <c r="N2252" t="s">
        <v>809</v>
      </c>
      <c r="O2252" t="s">
        <v>4904</v>
      </c>
      <c r="P2252" t="s">
        <v>4792</v>
      </c>
      <c r="Q2252" t="s">
        <v>4904</v>
      </c>
      <c r="R2252" t="s">
        <v>4772</v>
      </c>
    </row>
    <row r="2253" spans="1:18" x14ac:dyDescent="0.3">
      <c r="A2253">
        <v>152838</v>
      </c>
      <c r="B2253" t="s">
        <v>4874</v>
      </c>
      <c r="C2253" t="s">
        <v>415</v>
      </c>
      <c r="D2253" t="s">
        <v>60</v>
      </c>
      <c r="E2253" s="1">
        <v>45958</v>
      </c>
      <c r="F2253" t="s">
        <v>4333</v>
      </c>
      <c r="G2253" t="s">
        <v>3076</v>
      </c>
      <c r="H2253" t="s">
        <v>457</v>
      </c>
      <c r="I2253" t="s">
        <v>204</v>
      </c>
      <c r="J2253" s="1">
        <v>46387</v>
      </c>
      <c r="K2253" t="s">
        <v>762</v>
      </c>
      <c r="L2253">
        <v>2938.2</v>
      </c>
      <c r="M2253">
        <v>2938.2</v>
      </c>
      <c r="N2253" t="s">
        <v>814</v>
      </c>
      <c r="O2253" t="s">
        <v>1037</v>
      </c>
      <c r="P2253" t="s">
        <v>4807</v>
      </c>
      <c r="Q2253" t="s">
        <v>4852</v>
      </c>
      <c r="R2253" t="s">
        <v>4771</v>
      </c>
    </row>
    <row r="2254" spans="1:18" x14ac:dyDescent="0.3">
      <c r="A2254">
        <v>15702</v>
      </c>
      <c r="B2254" t="s">
        <v>4876</v>
      </c>
      <c r="C2254" t="s">
        <v>439</v>
      </c>
      <c r="D2254" t="s">
        <v>156</v>
      </c>
      <c r="E2254" s="1">
        <v>45958</v>
      </c>
      <c r="F2254" t="s">
        <v>4396</v>
      </c>
      <c r="G2254" t="s">
        <v>3060</v>
      </c>
      <c r="H2254" t="s">
        <v>485</v>
      </c>
      <c r="I2254" t="s">
        <v>204</v>
      </c>
      <c r="J2254" s="1">
        <v>54878</v>
      </c>
      <c r="K2254" t="s">
        <v>839</v>
      </c>
      <c r="L2254">
        <v>5132.24</v>
      </c>
      <c r="M2254">
        <v>5132.24</v>
      </c>
      <c r="N2254" t="s">
        <v>710</v>
      </c>
      <c r="O2254" t="s">
        <v>1037</v>
      </c>
      <c r="P2254" t="s">
        <v>4776</v>
      </c>
      <c r="Q2254" t="s">
        <v>4852</v>
      </c>
      <c r="R2254" t="s">
        <v>4771</v>
      </c>
    </row>
    <row r="2255" spans="1:18" x14ac:dyDescent="0.3">
      <c r="A2255">
        <v>150612</v>
      </c>
      <c r="B2255" t="s">
        <v>4875</v>
      </c>
      <c r="C2255" t="s">
        <v>218</v>
      </c>
      <c r="D2255" t="s">
        <v>180</v>
      </c>
      <c r="E2255" s="1">
        <v>45958</v>
      </c>
      <c r="F2255" t="s">
        <v>4305</v>
      </c>
      <c r="G2255" t="s">
        <v>3046</v>
      </c>
      <c r="H2255" t="s">
        <v>272</v>
      </c>
      <c r="I2255" t="s">
        <v>204</v>
      </c>
      <c r="J2255" s="1">
        <v>54878</v>
      </c>
      <c r="K2255" t="s">
        <v>748</v>
      </c>
      <c r="L2255">
        <v>14371.29</v>
      </c>
      <c r="M2255">
        <v>14371.29</v>
      </c>
      <c r="N2255" t="s">
        <v>710</v>
      </c>
      <c r="O2255" t="s">
        <v>4834</v>
      </c>
      <c r="P2255" t="s">
        <v>4776</v>
      </c>
      <c r="Q2255" t="s">
        <v>4856</v>
      </c>
      <c r="R2255" t="s">
        <v>4773</v>
      </c>
    </row>
    <row r="2256" spans="1:18" x14ac:dyDescent="0.3">
      <c r="A2256">
        <v>152839</v>
      </c>
      <c r="B2256" t="s">
        <v>4875</v>
      </c>
      <c r="C2256" t="s">
        <v>415</v>
      </c>
      <c r="D2256" t="s">
        <v>60</v>
      </c>
      <c r="E2256" s="1">
        <v>45958</v>
      </c>
      <c r="F2256" t="s">
        <v>4333</v>
      </c>
      <c r="G2256" t="s">
        <v>3077</v>
      </c>
      <c r="H2256" t="s">
        <v>414</v>
      </c>
      <c r="I2256" t="s">
        <v>204</v>
      </c>
      <c r="J2256" s="1">
        <v>46386</v>
      </c>
      <c r="K2256" t="s">
        <v>768</v>
      </c>
      <c r="L2256">
        <v>2275.81</v>
      </c>
      <c r="M2256">
        <v>2275.81</v>
      </c>
      <c r="N2256" t="s">
        <v>814</v>
      </c>
      <c r="O2256" t="s">
        <v>1037</v>
      </c>
      <c r="P2256" t="s">
        <v>4807</v>
      </c>
      <c r="Q2256" t="s">
        <v>4852</v>
      </c>
      <c r="R2256" t="s">
        <v>4771</v>
      </c>
    </row>
    <row r="2257" spans="1:18" x14ac:dyDescent="0.3">
      <c r="A2257">
        <v>4004148</v>
      </c>
      <c r="B2257" t="s">
        <v>1034</v>
      </c>
      <c r="C2257" t="s">
        <v>417</v>
      </c>
      <c r="D2257" t="s">
        <v>185</v>
      </c>
      <c r="E2257" s="1">
        <v>45958</v>
      </c>
      <c r="F2257" t="s">
        <v>4335</v>
      </c>
      <c r="G2257" t="s">
        <v>3081</v>
      </c>
      <c r="H2257" t="s">
        <v>416</v>
      </c>
      <c r="I2257" t="s">
        <v>204</v>
      </c>
      <c r="J2257" s="1">
        <v>54878</v>
      </c>
      <c r="K2257" t="s">
        <v>717</v>
      </c>
      <c r="L2257">
        <v>1050.02</v>
      </c>
      <c r="M2257">
        <v>1050.02</v>
      </c>
      <c r="N2257" t="s">
        <v>710</v>
      </c>
      <c r="O2257" t="s">
        <v>1037</v>
      </c>
      <c r="P2257" t="s">
        <v>4780</v>
      </c>
      <c r="Q2257" t="s">
        <v>4852</v>
      </c>
      <c r="R2257" t="s">
        <v>4771</v>
      </c>
    </row>
    <row r="2258" spans="1:18" x14ac:dyDescent="0.3">
      <c r="A2258">
        <v>152878</v>
      </c>
      <c r="B2258" t="s">
        <v>1034</v>
      </c>
      <c r="C2258" t="s">
        <v>415</v>
      </c>
      <c r="D2258" t="s">
        <v>60</v>
      </c>
      <c r="E2258" s="1">
        <v>45958</v>
      </c>
      <c r="F2258" t="s">
        <v>4333</v>
      </c>
      <c r="G2258" t="s">
        <v>3075</v>
      </c>
      <c r="H2258" t="s">
        <v>431</v>
      </c>
      <c r="I2258" t="s">
        <v>204</v>
      </c>
      <c r="J2258" s="1">
        <v>46386</v>
      </c>
      <c r="K2258" t="s">
        <v>717</v>
      </c>
      <c r="L2258">
        <v>13438.88</v>
      </c>
      <c r="M2258">
        <v>13438.88</v>
      </c>
      <c r="N2258" t="s">
        <v>814</v>
      </c>
      <c r="O2258" t="s">
        <v>1037</v>
      </c>
      <c r="P2258" t="s">
        <v>4807</v>
      </c>
      <c r="Q2258" t="s">
        <v>4852</v>
      </c>
      <c r="R2258" t="s">
        <v>4771</v>
      </c>
    </row>
    <row r="2259" spans="1:18" x14ac:dyDescent="0.3">
      <c r="A2259">
        <v>2957</v>
      </c>
      <c r="B2259" t="s">
        <v>4874</v>
      </c>
      <c r="C2259" t="s">
        <v>469</v>
      </c>
      <c r="D2259" t="s">
        <v>124</v>
      </c>
      <c r="E2259" s="1">
        <v>45957</v>
      </c>
      <c r="F2259" t="s">
        <v>4361</v>
      </c>
      <c r="G2259" t="s">
        <v>3058</v>
      </c>
      <c r="H2259" t="s">
        <v>468</v>
      </c>
      <c r="I2259" t="s">
        <v>204</v>
      </c>
      <c r="J2259" s="1">
        <v>54878</v>
      </c>
      <c r="K2259" t="s">
        <v>762</v>
      </c>
      <c r="L2259">
        <v>4182</v>
      </c>
      <c r="M2259">
        <v>4182</v>
      </c>
      <c r="N2259" t="s">
        <v>719</v>
      </c>
      <c r="O2259" t="s">
        <v>4845</v>
      </c>
      <c r="P2259" t="s">
        <v>4776</v>
      </c>
      <c r="Q2259" t="s">
        <v>4845</v>
      </c>
      <c r="R2259" t="s">
        <v>4771</v>
      </c>
    </row>
    <row r="2260" spans="1:18" x14ac:dyDescent="0.3">
      <c r="A2260">
        <v>61615</v>
      </c>
      <c r="B2260" t="s">
        <v>4874</v>
      </c>
      <c r="C2260" t="s">
        <v>437</v>
      </c>
      <c r="D2260" t="s">
        <v>150</v>
      </c>
      <c r="E2260" s="1">
        <v>45957</v>
      </c>
      <c r="F2260" t="s">
        <v>4395</v>
      </c>
      <c r="G2260" t="s">
        <v>3078</v>
      </c>
      <c r="H2260" t="s">
        <v>436</v>
      </c>
      <c r="I2260" t="s">
        <v>204</v>
      </c>
      <c r="J2260" s="1">
        <v>54878</v>
      </c>
      <c r="K2260" t="s">
        <v>762</v>
      </c>
      <c r="L2260">
        <v>934</v>
      </c>
      <c r="M2260">
        <v>934</v>
      </c>
      <c r="N2260" t="s">
        <v>719</v>
      </c>
      <c r="O2260" t="s">
        <v>1037</v>
      </c>
      <c r="P2260" t="s">
        <v>4788</v>
      </c>
      <c r="Q2260" t="s">
        <v>4852</v>
      </c>
      <c r="R2260" t="s">
        <v>4771</v>
      </c>
    </row>
    <row r="2261" spans="1:18" x14ac:dyDescent="0.3">
      <c r="A2261">
        <v>20251315</v>
      </c>
      <c r="B2261" t="s">
        <v>1034</v>
      </c>
      <c r="C2261" t="s">
        <v>364</v>
      </c>
      <c r="D2261" t="s">
        <v>72</v>
      </c>
      <c r="E2261" s="1">
        <v>45957</v>
      </c>
      <c r="F2261" t="s">
        <v>4295</v>
      </c>
      <c r="G2261" t="s">
        <v>3008</v>
      </c>
      <c r="H2261" t="s">
        <v>363</v>
      </c>
      <c r="I2261" t="s">
        <v>209</v>
      </c>
      <c r="J2261" s="1">
        <v>46092</v>
      </c>
      <c r="K2261" t="s">
        <v>711</v>
      </c>
      <c r="L2261">
        <v>9735</v>
      </c>
      <c r="M2261">
        <v>9735</v>
      </c>
      <c r="N2261" t="s">
        <v>710</v>
      </c>
      <c r="O2261" t="s">
        <v>4834</v>
      </c>
      <c r="P2261" t="s">
        <v>4776</v>
      </c>
      <c r="Q2261" t="s">
        <v>4901</v>
      </c>
      <c r="R2261" t="s">
        <v>4773</v>
      </c>
    </row>
    <row r="2262" spans="1:18" x14ac:dyDescent="0.3">
      <c r="A2262">
        <v>165940</v>
      </c>
      <c r="B2262" t="s">
        <v>1034</v>
      </c>
      <c r="C2262" t="s">
        <v>522</v>
      </c>
      <c r="D2262" t="s">
        <v>50</v>
      </c>
      <c r="E2262" s="1">
        <v>45954</v>
      </c>
      <c r="F2262" t="s">
        <v>4352</v>
      </c>
      <c r="G2262" t="s">
        <v>3066</v>
      </c>
      <c r="H2262" t="s">
        <v>521</v>
      </c>
      <c r="I2262" t="s">
        <v>204</v>
      </c>
      <c r="J2262" s="1">
        <v>46387</v>
      </c>
      <c r="K2262" t="s">
        <v>717</v>
      </c>
      <c r="L2262">
        <v>547.27</v>
      </c>
      <c r="M2262">
        <v>547.27</v>
      </c>
      <c r="N2262" t="s">
        <v>884</v>
      </c>
      <c r="O2262" t="s">
        <v>1037</v>
      </c>
      <c r="P2262" t="s">
        <v>4776</v>
      </c>
      <c r="Q2262" t="s">
        <v>4852</v>
      </c>
      <c r="R2262" t="s">
        <v>4773</v>
      </c>
    </row>
    <row r="2263" spans="1:18" x14ac:dyDescent="0.3">
      <c r="A2263">
        <v>15703</v>
      </c>
      <c r="B2263" t="s">
        <v>4874</v>
      </c>
      <c r="C2263" t="s">
        <v>439</v>
      </c>
      <c r="D2263" t="s">
        <v>156</v>
      </c>
      <c r="E2263" s="1">
        <v>45954</v>
      </c>
      <c r="F2263" t="s">
        <v>4396</v>
      </c>
      <c r="G2263" t="s">
        <v>3061</v>
      </c>
      <c r="H2263" t="s">
        <v>438</v>
      </c>
      <c r="I2263" t="s">
        <v>204</v>
      </c>
      <c r="J2263" s="1">
        <v>46265</v>
      </c>
      <c r="K2263" t="s">
        <v>762</v>
      </c>
      <c r="L2263">
        <v>22078.880000000001</v>
      </c>
      <c r="M2263">
        <v>22078.880000000001</v>
      </c>
      <c r="N2263" t="s">
        <v>710</v>
      </c>
      <c r="O2263" t="s">
        <v>1037</v>
      </c>
      <c r="P2263" t="s">
        <v>4789</v>
      </c>
      <c r="Q2263" t="s">
        <v>4852</v>
      </c>
      <c r="R2263" t="s">
        <v>4771</v>
      </c>
    </row>
    <row r="2264" spans="1:18" x14ac:dyDescent="0.3">
      <c r="A2264">
        <v>202524</v>
      </c>
      <c r="B2264" t="s">
        <v>1034</v>
      </c>
      <c r="C2264" t="s">
        <v>516</v>
      </c>
      <c r="D2264" t="s">
        <v>12</v>
      </c>
      <c r="E2264" s="1">
        <v>45954</v>
      </c>
      <c r="F2264" t="s">
        <v>4337</v>
      </c>
      <c r="G2264" t="s">
        <v>3062</v>
      </c>
      <c r="H2264" t="s">
        <v>515</v>
      </c>
      <c r="I2264" t="s">
        <v>204</v>
      </c>
      <c r="J2264" s="1">
        <v>46489</v>
      </c>
      <c r="K2264" t="s">
        <v>711</v>
      </c>
      <c r="L2264">
        <v>4508</v>
      </c>
      <c r="M2264">
        <v>4508</v>
      </c>
      <c r="N2264" t="s">
        <v>884</v>
      </c>
      <c r="O2264" t="s">
        <v>1037</v>
      </c>
      <c r="P2264" t="s">
        <v>4776</v>
      </c>
      <c r="Q2264" t="s">
        <v>4852</v>
      </c>
      <c r="R2264" t="s">
        <v>4772</v>
      </c>
    </row>
    <row r="2265" spans="1:18" x14ac:dyDescent="0.3">
      <c r="A2265">
        <v>325</v>
      </c>
      <c r="B2265" t="s">
        <v>1034</v>
      </c>
      <c r="C2265" t="s">
        <v>479</v>
      </c>
      <c r="D2265" t="s">
        <v>99</v>
      </c>
      <c r="E2265" s="1">
        <v>45953</v>
      </c>
      <c r="F2265" t="s">
        <v>4307</v>
      </c>
      <c r="G2265" t="s">
        <v>3059</v>
      </c>
      <c r="H2265" t="s">
        <v>478</v>
      </c>
      <c r="I2265" t="s">
        <v>204</v>
      </c>
      <c r="J2265" s="1">
        <v>46239</v>
      </c>
      <c r="K2265" t="s">
        <v>717</v>
      </c>
      <c r="L2265">
        <v>4408</v>
      </c>
      <c r="M2265">
        <v>53821.68</v>
      </c>
      <c r="N2265" t="s">
        <v>710</v>
      </c>
      <c r="O2265" t="s">
        <v>1037</v>
      </c>
      <c r="P2265" t="s">
        <v>4790</v>
      </c>
      <c r="Q2265" t="s">
        <v>4852</v>
      </c>
      <c r="R2265" t="s">
        <v>4772</v>
      </c>
    </row>
    <row r="2266" spans="1:18" x14ac:dyDescent="0.3">
      <c r="A2266">
        <v>325</v>
      </c>
      <c r="B2266" t="s">
        <v>1034</v>
      </c>
      <c r="C2266" t="s">
        <v>479</v>
      </c>
      <c r="D2266" t="s">
        <v>99</v>
      </c>
      <c r="E2266" s="1">
        <v>45953</v>
      </c>
      <c r="F2266" t="s">
        <v>4372</v>
      </c>
      <c r="G2266" t="s">
        <v>3059</v>
      </c>
      <c r="H2266" t="s">
        <v>478</v>
      </c>
      <c r="I2266" t="s">
        <v>204</v>
      </c>
      <c r="J2266" s="1">
        <v>46239</v>
      </c>
      <c r="K2266" t="s">
        <v>717</v>
      </c>
      <c r="L2266">
        <v>194</v>
      </c>
      <c r="M2266">
        <v>1652.88</v>
      </c>
      <c r="N2266" t="s">
        <v>710</v>
      </c>
      <c r="O2266" t="s">
        <v>1037</v>
      </c>
      <c r="P2266" t="s">
        <v>4790</v>
      </c>
      <c r="Q2266" t="s">
        <v>4852</v>
      </c>
      <c r="R2266" t="s">
        <v>4772</v>
      </c>
    </row>
    <row r="2267" spans="1:18" x14ac:dyDescent="0.3">
      <c r="A2267">
        <v>325</v>
      </c>
      <c r="B2267" t="s">
        <v>1034</v>
      </c>
      <c r="C2267" t="s">
        <v>479</v>
      </c>
      <c r="D2267" t="s">
        <v>99</v>
      </c>
      <c r="E2267" s="1">
        <v>45953</v>
      </c>
      <c r="F2267" t="s">
        <v>4330</v>
      </c>
      <c r="G2267" t="s">
        <v>3059</v>
      </c>
      <c r="H2267" t="s">
        <v>478</v>
      </c>
      <c r="I2267" t="s">
        <v>204</v>
      </c>
      <c r="J2267" s="1">
        <v>46239</v>
      </c>
      <c r="K2267" t="s">
        <v>717</v>
      </c>
      <c r="L2267">
        <v>7</v>
      </c>
      <c r="M2267">
        <v>56.49</v>
      </c>
      <c r="N2267" t="s">
        <v>710</v>
      </c>
      <c r="O2267" t="s">
        <v>1037</v>
      </c>
      <c r="P2267" t="s">
        <v>4790</v>
      </c>
      <c r="Q2267" t="s">
        <v>4852</v>
      </c>
      <c r="R2267" t="s">
        <v>4772</v>
      </c>
    </row>
    <row r="2268" spans="1:18" x14ac:dyDescent="0.3">
      <c r="A2268">
        <v>325</v>
      </c>
      <c r="B2268" t="s">
        <v>1034</v>
      </c>
      <c r="C2268" t="s">
        <v>479</v>
      </c>
      <c r="D2268" t="s">
        <v>99</v>
      </c>
      <c r="E2268" s="1">
        <v>45953</v>
      </c>
      <c r="F2268" t="s">
        <v>4312</v>
      </c>
      <c r="G2268" t="s">
        <v>3059</v>
      </c>
      <c r="H2268" t="s">
        <v>478</v>
      </c>
      <c r="I2268" t="s">
        <v>204</v>
      </c>
      <c r="J2268" s="1">
        <v>46239</v>
      </c>
      <c r="K2268" t="s">
        <v>717</v>
      </c>
      <c r="L2268">
        <v>45</v>
      </c>
      <c r="M2268">
        <v>213.75</v>
      </c>
      <c r="N2268" t="s">
        <v>710</v>
      </c>
      <c r="O2268" t="s">
        <v>1037</v>
      </c>
      <c r="P2268" t="s">
        <v>4790</v>
      </c>
      <c r="Q2268" t="s">
        <v>4852</v>
      </c>
      <c r="R2268" t="s">
        <v>4772</v>
      </c>
    </row>
    <row r="2269" spans="1:18" x14ac:dyDescent="0.3">
      <c r="A2269">
        <v>325</v>
      </c>
      <c r="B2269" t="s">
        <v>1034</v>
      </c>
      <c r="C2269" t="s">
        <v>479</v>
      </c>
      <c r="D2269" t="s">
        <v>99</v>
      </c>
      <c r="E2269" s="1">
        <v>45953</v>
      </c>
      <c r="F2269" t="s">
        <v>4329</v>
      </c>
      <c r="G2269" t="s">
        <v>3059</v>
      </c>
      <c r="H2269" t="s">
        <v>478</v>
      </c>
      <c r="I2269" t="s">
        <v>204</v>
      </c>
      <c r="J2269" s="1">
        <v>46239</v>
      </c>
      <c r="K2269" t="s">
        <v>717</v>
      </c>
      <c r="L2269">
        <v>26</v>
      </c>
      <c r="M2269">
        <v>293.54000000000002</v>
      </c>
      <c r="N2269" t="s">
        <v>710</v>
      </c>
      <c r="O2269" t="s">
        <v>1037</v>
      </c>
      <c r="P2269" t="s">
        <v>4790</v>
      </c>
      <c r="Q2269" t="s">
        <v>4852</v>
      </c>
      <c r="R2269" t="s">
        <v>4772</v>
      </c>
    </row>
    <row r="2270" spans="1:18" x14ac:dyDescent="0.3">
      <c r="A2270">
        <v>325</v>
      </c>
      <c r="B2270" t="s">
        <v>1034</v>
      </c>
      <c r="C2270" t="s">
        <v>479</v>
      </c>
      <c r="D2270" t="s">
        <v>99</v>
      </c>
      <c r="E2270" s="1">
        <v>45953</v>
      </c>
      <c r="F2270" t="s">
        <v>4310</v>
      </c>
      <c r="G2270" t="s">
        <v>3059</v>
      </c>
      <c r="H2270" t="s">
        <v>478</v>
      </c>
      <c r="I2270" t="s">
        <v>204</v>
      </c>
      <c r="J2270" s="1">
        <v>46239</v>
      </c>
      <c r="K2270" t="s">
        <v>717</v>
      </c>
      <c r="L2270">
        <v>23</v>
      </c>
      <c r="M2270">
        <v>81.650000000000006</v>
      </c>
      <c r="N2270" t="s">
        <v>710</v>
      </c>
      <c r="O2270" t="s">
        <v>1037</v>
      </c>
      <c r="P2270" t="s">
        <v>4790</v>
      </c>
      <c r="Q2270" t="s">
        <v>4852</v>
      </c>
      <c r="R2270" t="s">
        <v>4772</v>
      </c>
    </row>
    <row r="2271" spans="1:18" x14ac:dyDescent="0.3">
      <c r="A2271">
        <v>325</v>
      </c>
      <c r="B2271" t="s">
        <v>1034</v>
      </c>
      <c r="C2271" t="s">
        <v>479</v>
      </c>
      <c r="D2271" t="s">
        <v>99</v>
      </c>
      <c r="E2271" s="1">
        <v>45953</v>
      </c>
      <c r="F2271" t="s">
        <v>4308</v>
      </c>
      <c r="G2271" t="s">
        <v>3059</v>
      </c>
      <c r="H2271" t="s">
        <v>478</v>
      </c>
      <c r="I2271" t="s">
        <v>204</v>
      </c>
      <c r="J2271" s="1">
        <v>46239</v>
      </c>
      <c r="K2271" t="s">
        <v>717</v>
      </c>
      <c r="L2271">
        <v>2985</v>
      </c>
      <c r="M2271">
        <v>11820.6</v>
      </c>
      <c r="N2271" t="s">
        <v>710</v>
      </c>
      <c r="O2271" t="s">
        <v>1037</v>
      </c>
      <c r="P2271" t="s">
        <v>4790</v>
      </c>
      <c r="Q2271" t="s">
        <v>4852</v>
      </c>
      <c r="R2271" t="s">
        <v>4772</v>
      </c>
    </row>
    <row r="2272" spans="1:18" x14ac:dyDescent="0.3">
      <c r="A2272">
        <v>202525886</v>
      </c>
      <c r="B2272" t="s">
        <v>4874</v>
      </c>
      <c r="C2272" t="s">
        <v>222</v>
      </c>
      <c r="D2272" t="s">
        <v>80</v>
      </c>
      <c r="E2272" s="1">
        <v>45953</v>
      </c>
      <c r="F2272" t="s">
        <v>4419</v>
      </c>
      <c r="G2272" t="s">
        <v>3030</v>
      </c>
      <c r="H2272" t="s">
        <v>223</v>
      </c>
      <c r="I2272" t="s">
        <v>204</v>
      </c>
      <c r="J2272" s="1">
        <v>46504</v>
      </c>
      <c r="K2272" t="s">
        <v>720</v>
      </c>
      <c r="L2272">
        <v>1</v>
      </c>
      <c r="M2272">
        <v>425</v>
      </c>
      <c r="N2272" t="s">
        <v>710</v>
      </c>
      <c r="O2272" t="s">
        <v>4834</v>
      </c>
      <c r="P2272" t="s">
        <v>4778</v>
      </c>
      <c r="Q2272" t="s">
        <v>4858</v>
      </c>
      <c r="R2272" t="s">
        <v>4773</v>
      </c>
    </row>
    <row r="2273" spans="1:18" x14ac:dyDescent="0.3">
      <c r="A2273">
        <v>116584</v>
      </c>
      <c r="B2273" t="s">
        <v>1034</v>
      </c>
      <c r="C2273" t="s">
        <v>497</v>
      </c>
      <c r="D2273" t="s">
        <v>58</v>
      </c>
      <c r="E2273" s="1">
        <v>45953</v>
      </c>
      <c r="F2273" t="s">
        <v>4354</v>
      </c>
      <c r="G2273" t="s">
        <v>3064</v>
      </c>
      <c r="H2273" t="s">
        <v>496</v>
      </c>
      <c r="I2273" t="s">
        <v>204</v>
      </c>
      <c r="J2273" s="1">
        <v>46265</v>
      </c>
      <c r="K2273" t="s">
        <v>717</v>
      </c>
      <c r="L2273">
        <v>1</v>
      </c>
      <c r="M2273">
        <v>4397.3900000000003</v>
      </c>
      <c r="N2273" t="s">
        <v>710</v>
      </c>
      <c r="O2273" t="s">
        <v>4833</v>
      </c>
      <c r="P2273" t="s">
        <v>4776</v>
      </c>
      <c r="Q2273" t="s">
        <v>4852</v>
      </c>
      <c r="R2273" t="s">
        <v>4773</v>
      </c>
    </row>
    <row r="2274" spans="1:18" x14ac:dyDescent="0.3">
      <c r="A2274">
        <v>910</v>
      </c>
      <c r="B2274" t="s">
        <v>1034</v>
      </c>
      <c r="C2274" t="s">
        <v>216</v>
      </c>
      <c r="D2274" t="s">
        <v>141</v>
      </c>
      <c r="E2274" s="1">
        <v>45953</v>
      </c>
      <c r="F2274" t="s">
        <v>4305</v>
      </c>
      <c r="G2274" t="s">
        <v>2973</v>
      </c>
      <c r="H2274" t="s">
        <v>528</v>
      </c>
      <c r="I2274" t="s">
        <v>204</v>
      </c>
      <c r="J2274" s="1">
        <v>55243</v>
      </c>
      <c r="K2274" t="s">
        <v>711</v>
      </c>
      <c r="L2274">
        <v>2000</v>
      </c>
      <c r="M2274">
        <v>2000</v>
      </c>
      <c r="N2274" t="s">
        <v>710</v>
      </c>
      <c r="O2274" t="s">
        <v>4844</v>
      </c>
      <c r="P2274" t="s">
        <v>4776</v>
      </c>
      <c r="Q2274" t="s">
        <v>4901</v>
      </c>
      <c r="R2274" t="s">
        <v>4771</v>
      </c>
    </row>
    <row r="2275" spans="1:18" x14ac:dyDescent="0.3">
      <c r="A2275">
        <v>407428427</v>
      </c>
      <c r="B2275" t="s">
        <v>4874</v>
      </c>
      <c r="C2275" t="s">
        <v>433</v>
      </c>
      <c r="D2275" t="s">
        <v>168</v>
      </c>
      <c r="E2275" s="1">
        <v>45953</v>
      </c>
      <c r="F2275" t="s">
        <v>4319</v>
      </c>
      <c r="G2275" t="s">
        <v>3069</v>
      </c>
      <c r="H2275" t="s">
        <v>432</v>
      </c>
      <c r="I2275" t="s">
        <v>204</v>
      </c>
      <c r="J2275" s="1">
        <v>46473</v>
      </c>
      <c r="K2275" t="s">
        <v>762</v>
      </c>
      <c r="L2275">
        <v>1364</v>
      </c>
      <c r="M2275">
        <v>1363.94</v>
      </c>
      <c r="N2275" t="s">
        <v>710</v>
      </c>
      <c r="O2275" t="s">
        <v>4833</v>
      </c>
      <c r="P2275" t="s">
        <v>4802</v>
      </c>
      <c r="Q2275" t="s">
        <v>4852</v>
      </c>
      <c r="R2275" t="s">
        <v>4771</v>
      </c>
    </row>
    <row r="2276" spans="1:18" x14ac:dyDescent="0.3">
      <c r="A2276">
        <v>9129</v>
      </c>
      <c r="B2276" t="s">
        <v>1034</v>
      </c>
      <c r="C2276" t="s">
        <v>267</v>
      </c>
      <c r="D2276" t="s">
        <v>186</v>
      </c>
      <c r="E2276" s="1">
        <v>45952</v>
      </c>
      <c r="F2276" t="s">
        <v>4350</v>
      </c>
      <c r="G2276" t="s">
        <v>3051</v>
      </c>
      <c r="H2276" t="s">
        <v>266</v>
      </c>
      <c r="I2276" t="s">
        <v>204</v>
      </c>
      <c r="J2276" s="1">
        <v>46259</v>
      </c>
      <c r="K2276" t="s">
        <v>717</v>
      </c>
      <c r="L2276">
        <v>1</v>
      </c>
      <c r="M2276">
        <v>22563.84</v>
      </c>
      <c r="N2276" t="s">
        <v>710</v>
      </c>
      <c r="O2276" t="s">
        <v>1037</v>
      </c>
      <c r="P2276" t="s">
        <v>4780</v>
      </c>
      <c r="Q2276" t="s">
        <v>4852</v>
      </c>
      <c r="R2276" t="s">
        <v>4772</v>
      </c>
    </row>
    <row r="2277" spans="1:18" x14ac:dyDescent="0.3">
      <c r="A2277">
        <v>9128</v>
      </c>
      <c r="B2277" t="s">
        <v>1034</v>
      </c>
      <c r="C2277" t="s">
        <v>267</v>
      </c>
      <c r="D2277" t="s">
        <v>186</v>
      </c>
      <c r="E2277" s="1">
        <v>45952</v>
      </c>
      <c r="F2277" t="s">
        <v>4350</v>
      </c>
      <c r="G2277" t="s">
        <v>3051</v>
      </c>
      <c r="H2277" t="s">
        <v>266</v>
      </c>
      <c r="I2277" t="s">
        <v>204</v>
      </c>
      <c r="J2277" s="1">
        <v>46259</v>
      </c>
      <c r="K2277" t="s">
        <v>717</v>
      </c>
      <c r="L2277">
        <v>1</v>
      </c>
      <c r="M2277">
        <v>8453.7199999999993</v>
      </c>
      <c r="N2277" t="s">
        <v>710</v>
      </c>
      <c r="O2277" t="s">
        <v>1037</v>
      </c>
      <c r="P2277" t="s">
        <v>4780</v>
      </c>
      <c r="Q2277" t="s">
        <v>4852</v>
      </c>
      <c r="R2277" t="s">
        <v>4772</v>
      </c>
    </row>
    <row r="2278" spans="1:18" x14ac:dyDescent="0.3">
      <c r="A2278">
        <v>9127</v>
      </c>
      <c r="B2278" t="s">
        <v>1034</v>
      </c>
      <c r="C2278" t="s">
        <v>267</v>
      </c>
      <c r="D2278" t="s">
        <v>186</v>
      </c>
      <c r="E2278" s="1">
        <v>45952</v>
      </c>
      <c r="F2278" t="s">
        <v>4350</v>
      </c>
      <c r="G2278" t="s">
        <v>3051</v>
      </c>
      <c r="H2278" t="s">
        <v>266</v>
      </c>
      <c r="I2278" t="s">
        <v>204</v>
      </c>
      <c r="J2278" s="1">
        <v>46259</v>
      </c>
      <c r="K2278" t="s">
        <v>717</v>
      </c>
      <c r="L2278">
        <v>1</v>
      </c>
      <c r="M2278">
        <v>19605.88</v>
      </c>
      <c r="N2278" t="s">
        <v>710</v>
      </c>
      <c r="O2278" t="s">
        <v>1037</v>
      </c>
      <c r="P2278" t="s">
        <v>4780</v>
      </c>
      <c r="Q2278" t="s">
        <v>4852</v>
      </c>
      <c r="R2278" t="s">
        <v>4772</v>
      </c>
    </row>
    <row r="2279" spans="1:18" x14ac:dyDescent="0.3">
      <c r="A2279">
        <v>9126</v>
      </c>
      <c r="B2279" t="s">
        <v>1034</v>
      </c>
      <c r="C2279" t="s">
        <v>267</v>
      </c>
      <c r="D2279" t="s">
        <v>186</v>
      </c>
      <c r="E2279" s="1">
        <v>45952</v>
      </c>
      <c r="F2279" t="s">
        <v>4350</v>
      </c>
      <c r="G2279" t="s">
        <v>3051</v>
      </c>
      <c r="H2279" t="s">
        <v>266</v>
      </c>
      <c r="I2279" t="s">
        <v>204</v>
      </c>
      <c r="J2279" s="1">
        <v>46259</v>
      </c>
      <c r="K2279" t="s">
        <v>717</v>
      </c>
      <c r="L2279">
        <v>1</v>
      </c>
      <c r="M2279">
        <v>55955.1</v>
      </c>
      <c r="N2279" t="s">
        <v>710</v>
      </c>
      <c r="O2279" t="s">
        <v>1037</v>
      </c>
      <c r="P2279" t="s">
        <v>4780</v>
      </c>
      <c r="Q2279" t="s">
        <v>4852</v>
      </c>
      <c r="R2279" t="s">
        <v>4772</v>
      </c>
    </row>
    <row r="2280" spans="1:18" x14ac:dyDescent="0.3">
      <c r="A2280">
        <v>9124</v>
      </c>
      <c r="B2280" t="s">
        <v>1034</v>
      </c>
      <c r="C2280" t="s">
        <v>267</v>
      </c>
      <c r="D2280" t="s">
        <v>186</v>
      </c>
      <c r="E2280" s="1">
        <v>45952</v>
      </c>
      <c r="F2280" t="s">
        <v>4350</v>
      </c>
      <c r="G2280" t="s">
        <v>3051</v>
      </c>
      <c r="H2280" t="s">
        <v>266</v>
      </c>
      <c r="I2280" t="s">
        <v>204</v>
      </c>
      <c r="J2280" s="1">
        <v>46259</v>
      </c>
      <c r="K2280" t="s">
        <v>717</v>
      </c>
      <c r="L2280">
        <v>1</v>
      </c>
      <c r="M2280">
        <v>26400</v>
      </c>
      <c r="N2280" t="s">
        <v>710</v>
      </c>
      <c r="O2280" t="s">
        <v>1037</v>
      </c>
      <c r="P2280" t="s">
        <v>4780</v>
      </c>
      <c r="Q2280" t="s">
        <v>4852</v>
      </c>
      <c r="R2280" t="s">
        <v>4772</v>
      </c>
    </row>
    <row r="2281" spans="1:18" x14ac:dyDescent="0.3">
      <c r="A2281">
        <v>13</v>
      </c>
      <c r="B2281" t="s">
        <v>1034</v>
      </c>
      <c r="C2281" t="s">
        <v>267</v>
      </c>
      <c r="D2281" t="s">
        <v>186</v>
      </c>
      <c r="E2281" s="1">
        <v>45952</v>
      </c>
      <c r="F2281" t="s">
        <v>4349</v>
      </c>
      <c r="G2281" t="s">
        <v>3051</v>
      </c>
      <c r="H2281" t="s">
        <v>266</v>
      </c>
      <c r="I2281" t="s">
        <v>204</v>
      </c>
      <c r="J2281" s="1">
        <v>46259</v>
      </c>
      <c r="K2281" t="s">
        <v>717</v>
      </c>
      <c r="L2281">
        <v>1</v>
      </c>
      <c r="M2281">
        <v>44958.42</v>
      </c>
      <c r="N2281" t="s">
        <v>710</v>
      </c>
      <c r="O2281" t="s">
        <v>1037</v>
      </c>
      <c r="P2281" t="s">
        <v>4780</v>
      </c>
      <c r="Q2281" t="s">
        <v>4852</v>
      </c>
      <c r="R2281" t="s">
        <v>4772</v>
      </c>
    </row>
    <row r="2282" spans="1:18" x14ac:dyDescent="0.3">
      <c r="A2282">
        <v>47676</v>
      </c>
      <c r="B2282" t="s">
        <v>1034</v>
      </c>
      <c r="C2282" t="s">
        <v>497</v>
      </c>
      <c r="D2282" t="s">
        <v>58</v>
      </c>
      <c r="E2282" s="1">
        <v>45952</v>
      </c>
      <c r="F2282" t="s">
        <v>4316</v>
      </c>
      <c r="G2282" t="s">
        <v>3065</v>
      </c>
      <c r="H2282" t="s">
        <v>498</v>
      </c>
      <c r="I2282" t="s">
        <v>204</v>
      </c>
      <c r="J2282" s="1">
        <v>46265</v>
      </c>
      <c r="K2282" t="s">
        <v>717</v>
      </c>
      <c r="L2282">
        <v>1</v>
      </c>
      <c r="M2282">
        <v>1288.8599999999999</v>
      </c>
      <c r="N2282" t="s">
        <v>710</v>
      </c>
      <c r="O2282" t="s">
        <v>4833</v>
      </c>
      <c r="P2282" t="s">
        <v>4776</v>
      </c>
      <c r="Q2282" t="s">
        <v>4852</v>
      </c>
      <c r="R2282" t="s">
        <v>4773</v>
      </c>
    </row>
    <row r="2283" spans="1:18" x14ac:dyDescent="0.3">
      <c r="A2283">
        <v>100624</v>
      </c>
      <c r="B2283" t="s">
        <v>1034</v>
      </c>
      <c r="C2283" t="s">
        <v>452</v>
      </c>
      <c r="D2283" t="s">
        <v>171</v>
      </c>
      <c r="E2283" s="1">
        <v>45952</v>
      </c>
      <c r="F2283" t="s">
        <v>4319</v>
      </c>
      <c r="G2283" t="s">
        <v>3067</v>
      </c>
      <c r="H2283" t="s">
        <v>512</v>
      </c>
      <c r="I2283" t="s">
        <v>209</v>
      </c>
      <c r="J2283" s="1">
        <v>45138</v>
      </c>
      <c r="K2283" t="s">
        <v>762</v>
      </c>
      <c r="L2283">
        <v>235</v>
      </c>
      <c r="M2283">
        <v>235.21</v>
      </c>
      <c r="N2283" t="s">
        <v>710</v>
      </c>
      <c r="O2283" t="s">
        <v>4833</v>
      </c>
      <c r="P2283" t="s">
        <v>4802</v>
      </c>
      <c r="Q2283" t="s">
        <v>4852</v>
      </c>
      <c r="R2283" t="s">
        <v>4771</v>
      </c>
    </row>
    <row r="2284" spans="1:18" x14ac:dyDescent="0.3">
      <c r="A2284">
        <v>10041</v>
      </c>
      <c r="B2284" t="s">
        <v>1034</v>
      </c>
      <c r="C2284" t="s">
        <v>535</v>
      </c>
      <c r="D2284" t="s">
        <v>148</v>
      </c>
      <c r="E2284" s="1">
        <v>45952</v>
      </c>
      <c r="F2284" t="s">
        <v>4297</v>
      </c>
      <c r="G2284" t="s">
        <v>3050</v>
      </c>
      <c r="H2284" t="s">
        <v>534</v>
      </c>
      <c r="I2284" t="s">
        <v>209</v>
      </c>
      <c r="J2284" s="1">
        <v>46295</v>
      </c>
      <c r="K2284" t="s">
        <v>711</v>
      </c>
      <c r="L2284">
        <v>1</v>
      </c>
      <c r="M2284">
        <v>4760</v>
      </c>
      <c r="N2284" t="s">
        <v>890</v>
      </c>
      <c r="O2284" t="s">
        <v>1036</v>
      </c>
      <c r="P2284" t="s">
        <v>4779</v>
      </c>
      <c r="Q2284" t="s">
        <v>4856</v>
      </c>
      <c r="R2284" t="s">
        <v>807</v>
      </c>
    </row>
    <row r="2285" spans="1:18" x14ac:dyDescent="0.3">
      <c r="A2285">
        <v>9139</v>
      </c>
      <c r="B2285" t="s">
        <v>1034</v>
      </c>
      <c r="C2285" t="s">
        <v>267</v>
      </c>
      <c r="D2285" t="s">
        <v>186</v>
      </c>
      <c r="E2285" s="1">
        <v>45952</v>
      </c>
      <c r="F2285" t="s">
        <v>4350</v>
      </c>
      <c r="G2285" t="s">
        <v>3051</v>
      </c>
      <c r="H2285" t="s">
        <v>266</v>
      </c>
      <c r="I2285" t="s">
        <v>204</v>
      </c>
      <c r="J2285" s="1">
        <v>46259</v>
      </c>
      <c r="K2285" t="s">
        <v>717</v>
      </c>
      <c r="L2285">
        <v>1</v>
      </c>
      <c r="M2285">
        <v>16199.04</v>
      </c>
      <c r="N2285" t="s">
        <v>710</v>
      </c>
      <c r="O2285" t="s">
        <v>1037</v>
      </c>
      <c r="P2285" t="s">
        <v>4780</v>
      </c>
      <c r="Q2285" t="s">
        <v>4852</v>
      </c>
      <c r="R2285" t="s">
        <v>4772</v>
      </c>
    </row>
    <row r="2286" spans="1:18" x14ac:dyDescent="0.3">
      <c r="A2286">
        <v>547</v>
      </c>
      <c r="B2286" t="s">
        <v>4874</v>
      </c>
      <c r="C2286" t="s">
        <v>649</v>
      </c>
      <c r="D2286" t="s">
        <v>88</v>
      </c>
      <c r="E2286" s="1">
        <v>45952</v>
      </c>
      <c r="F2286" t="s">
        <v>4414</v>
      </c>
      <c r="G2286" t="s">
        <v>2964</v>
      </c>
      <c r="H2286" t="s">
        <v>648</v>
      </c>
      <c r="I2286" t="s">
        <v>204</v>
      </c>
      <c r="J2286" s="1">
        <v>47847</v>
      </c>
      <c r="K2286" t="s">
        <v>762</v>
      </c>
      <c r="L2286">
        <v>4917</v>
      </c>
      <c r="M2286">
        <v>4917</v>
      </c>
      <c r="N2286" t="s">
        <v>710</v>
      </c>
      <c r="O2286" t="s">
        <v>4811</v>
      </c>
      <c r="P2286" t="s">
        <v>4776</v>
      </c>
      <c r="Q2286" t="s">
        <v>4859</v>
      </c>
    </row>
    <row r="2287" spans="1:18" x14ac:dyDescent="0.3">
      <c r="A2287">
        <v>91</v>
      </c>
      <c r="B2287" t="s">
        <v>1034</v>
      </c>
      <c r="C2287" t="s">
        <v>658</v>
      </c>
      <c r="D2287" t="s">
        <v>192</v>
      </c>
      <c r="E2287" s="1">
        <v>45952</v>
      </c>
      <c r="F2287" t="s">
        <v>4377</v>
      </c>
      <c r="G2287" t="s">
        <v>3057</v>
      </c>
      <c r="H2287" t="s">
        <v>657</v>
      </c>
      <c r="I2287" t="s">
        <v>204</v>
      </c>
      <c r="J2287" s="1">
        <v>46218</v>
      </c>
      <c r="K2287" t="s">
        <v>711</v>
      </c>
      <c r="L2287">
        <v>1</v>
      </c>
      <c r="M2287">
        <v>2150</v>
      </c>
      <c r="N2287" t="s">
        <v>710</v>
      </c>
      <c r="O2287" t="s">
        <v>4834</v>
      </c>
      <c r="P2287" t="s">
        <v>4776</v>
      </c>
      <c r="Q2287" t="s">
        <v>4901</v>
      </c>
      <c r="R2287" t="s">
        <v>807</v>
      </c>
    </row>
    <row r="2288" spans="1:18" x14ac:dyDescent="0.3">
      <c r="A2288">
        <v>2933</v>
      </c>
      <c r="B2288" t="s">
        <v>4874</v>
      </c>
      <c r="C2288" t="s">
        <v>372</v>
      </c>
      <c r="D2288" t="s">
        <v>105</v>
      </c>
      <c r="E2288" s="1">
        <v>45951</v>
      </c>
      <c r="F2288" t="s">
        <v>4408</v>
      </c>
      <c r="G2288" t="s">
        <v>2975</v>
      </c>
      <c r="H2288" t="s">
        <v>371</v>
      </c>
      <c r="I2288" t="s">
        <v>209</v>
      </c>
      <c r="J2288" s="1">
        <v>45904</v>
      </c>
      <c r="K2288" t="s">
        <v>720</v>
      </c>
      <c r="L2288">
        <v>1</v>
      </c>
      <c r="M2288">
        <v>9841.2999999999993</v>
      </c>
      <c r="N2288" t="s">
        <v>719</v>
      </c>
      <c r="O2288" t="s">
        <v>1038</v>
      </c>
      <c r="P2288" t="s">
        <v>4777</v>
      </c>
      <c r="Q2288" t="s">
        <v>4858</v>
      </c>
      <c r="R2288" t="s">
        <v>4773</v>
      </c>
    </row>
    <row r="2289" spans="1:18" x14ac:dyDescent="0.3">
      <c r="A2289">
        <v>25946</v>
      </c>
      <c r="B2289" t="s">
        <v>4874</v>
      </c>
      <c r="C2289" t="s">
        <v>592</v>
      </c>
      <c r="D2289" t="s">
        <v>8</v>
      </c>
      <c r="E2289" s="1">
        <v>45951</v>
      </c>
      <c r="F2289" t="s">
        <v>4352</v>
      </c>
      <c r="G2289" t="s">
        <v>3033</v>
      </c>
      <c r="H2289" t="s">
        <v>601</v>
      </c>
      <c r="I2289" t="s">
        <v>209</v>
      </c>
      <c r="J2289" s="1">
        <v>45945</v>
      </c>
      <c r="K2289" t="s">
        <v>762</v>
      </c>
      <c r="L2289">
        <v>1260</v>
      </c>
      <c r="M2289">
        <v>1260</v>
      </c>
      <c r="N2289" t="s">
        <v>890</v>
      </c>
      <c r="O2289" t="s">
        <v>4833</v>
      </c>
      <c r="P2289" t="s">
        <v>950</v>
      </c>
      <c r="Q2289" t="s">
        <v>4852</v>
      </c>
      <c r="R2289" t="s">
        <v>807</v>
      </c>
    </row>
    <row r="2290" spans="1:18" x14ac:dyDescent="0.3">
      <c r="A2290">
        <v>7243</v>
      </c>
      <c r="B2290" t="s">
        <v>4874</v>
      </c>
      <c r="C2290" t="s">
        <v>628</v>
      </c>
      <c r="D2290" t="s">
        <v>25</v>
      </c>
      <c r="E2290" s="1">
        <v>45951</v>
      </c>
      <c r="F2290" t="s">
        <v>4415</v>
      </c>
      <c r="G2290" t="s">
        <v>3022</v>
      </c>
      <c r="H2290" t="s">
        <v>627</v>
      </c>
      <c r="I2290" t="s">
        <v>209</v>
      </c>
      <c r="J2290" s="1">
        <v>46476</v>
      </c>
      <c r="K2290" t="s">
        <v>720</v>
      </c>
      <c r="L2290">
        <v>1</v>
      </c>
      <c r="M2290">
        <v>380</v>
      </c>
      <c r="N2290" t="s">
        <v>710</v>
      </c>
      <c r="O2290" t="s">
        <v>1038</v>
      </c>
      <c r="P2290" t="s">
        <v>4776</v>
      </c>
      <c r="Q2290" t="s">
        <v>4858</v>
      </c>
      <c r="R2290" t="s">
        <v>4771</v>
      </c>
    </row>
    <row r="2291" spans="1:18" x14ac:dyDescent="0.3">
      <c r="A2291">
        <v>42382</v>
      </c>
      <c r="B2291" t="s">
        <v>4875</v>
      </c>
      <c r="C2291" t="s">
        <v>327</v>
      </c>
      <c r="D2291" t="s">
        <v>159</v>
      </c>
      <c r="E2291" s="1">
        <v>45951</v>
      </c>
      <c r="F2291" t="s">
        <v>4295</v>
      </c>
      <c r="G2291" t="s">
        <v>2976</v>
      </c>
      <c r="H2291" t="s">
        <v>326</v>
      </c>
      <c r="I2291" t="s">
        <v>204</v>
      </c>
      <c r="J2291" s="1">
        <v>54878</v>
      </c>
      <c r="K2291" t="s">
        <v>748</v>
      </c>
      <c r="L2291">
        <v>2229.2800000000002</v>
      </c>
      <c r="M2291">
        <v>2229.2800000000002</v>
      </c>
      <c r="N2291" t="s">
        <v>719</v>
      </c>
      <c r="O2291" t="s">
        <v>4834</v>
      </c>
      <c r="P2291" t="s">
        <v>4776</v>
      </c>
      <c r="Q2291" t="s">
        <v>4856</v>
      </c>
      <c r="R2291" t="s">
        <v>4773</v>
      </c>
    </row>
    <row r="2292" spans="1:18" x14ac:dyDescent="0.3">
      <c r="A2292">
        <v>42381</v>
      </c>
      <c r="B2292" t="s">
        <v>4875</v>
      </c>
      <c r="C2292" t="s">
        <v>327</v>
      </c>
      <c r="D2292" t="s">
        <v>159</v>
      </c>
      <c r="E2292" s="1">
        <v>45951</v>
      </c>
      <c r="F2292" t="s">
        <v>4295</v>
      </c>
      <c r="G2292" t="s">
        <v>2974</v>
      </c>
      <c r="H2292" t="s">
        <v>326</v>
      </c>
      <c r="I2292" t="s">
        <v>204</v>
      </c>
      <c r="J2292" s="1">
        <v>54878</v>
      </c>
      <c r="K2292" t="s">
        <v>748</v>
      </c>
      <c r="L2292">
        <v>3985.14</v>
      </c>
      <c r="M2292">
        <v>3985.14</v>
      </c>
      <c r="N2292" t="s">
        <v>719</v>
      </c>
      <c r="O2292" t="s">
        <v>4834</v>
      </c>
      <c r="P2292" t="s">
        <v>4776</v>
      </c>
      <c r="Q2292" t="s">
        <v>4856</v>
      </c>
      <c r="R2292" t="s">
        <v>4773</v>
      </c>
    </row>
    <row r="2293" spans="1:18" x14ac:dyDescent="0.3">
      <c r="A2293">
        <v>7243</v>
      </c>
      <c r="B2293" t="s">
        <v>4874</v>
      </c>
      <c r="C2293" t="s">
        <v>628</v>
      </c>
      <c r="D2293" t="s">
        <v>25</v>
      </c>
      <c r="E2293" s="1">
        <v>45951</v>
      </c>
      <c r="F2293" t="s">
        <v>4415</v>
      </c>
      <c r="G2293" t="s">
        <v>3022</v>
      </c>
      <c r="H2293" t="s">
        <v>627</v>
      </c>
      <c r="I2293" t="s">
        <v>209</v>
      </c>
      <c r="J2293" s="1">
        <v>46476</v>
      </c>
      <c r="K2293" t="s">
        <v>720</v>
      </c>
      <c r="L2293">
        <v>1</v>
      </c>
      <c r="M2293">
        <v>380</v>
      </c>
      <c r="N2293" t="s">
        <v>710</v>
      </c>
      <c r="O2293" t="s">
        <v>1038</v>
      </c>
      <c r="P2293" t="s">
        <v>4776</v>
      </c>
      <c r="Q2293" t="s">
        <v>4858</v>
      </c>
      <c r="R2293" t="s">
        <v>4771</v>
      </c>
    </row>
    <row r="2294" spans="1:18" x14ac:dyDescent="0.3">
      <c r="A2294">
        <v>7243</v>
      </c>
      <c r="B2294" t="s">
        <v>4874</v>
      </c>
      <c r="C2294" t="s">
        <v>628</v>
      </c>
      <c r="D2294" t="s">
        <v>25</v>
      </c>
      <c r="E2294" s="1">
        <v>45951</v>
      </c>
      <c r="F2294" t="s">
        <v>4415</v>
      </c>
      <c r="G2294" t="s">
        <v>3022</v>
      </c>
      <c r="H2294" t="s">
        <v>627</v>
      </c>
      <c r="I2294" t="s">
        <v>209</v>
      </c>
      <c r="J2294" s="1">
        <v>46476</v>
      </c>
      <c r="K2294" t="s">
        <v>720</v>
      </c>
      <c r="L2294">
        <v>1</v>
      </c>
      <c r="M2294">
        <v>380</v>
      </c>
      <c r="N2294" t="s">
        <v>710</v>
      </c>
      <c r="O2294" t="s">
        <v>1038</v>
      </c>
      <c r="P2294" t="s">
        <v>4776</v>
      </c>
      <c r="Q2294" t="s">
        <v>4858</v>
      </c>
      <c r="R2294" t="s">
        <v>4771</v>
      </c>
    </row>
    <row r="2295" spans="1:18" x14ac:dyDescent="0.3">
      <c r="A2295">
        <v>7146</v>
      </c>
      <c r="B2295" t="s">
        <v>1035</v>
      </c>
      <c r="C2295" t="s">
        <v>230</v>
      </c>
      <c r="D2295" t="s">
        <v>85</v>
      </c>
      <c r="E2295" s="1">
        <v>45951</v>
      </c>
      <c r="F2295" t="s">
        <v>4348</v>
      </c>
      <c r="G2295" t="s">
        <v>3044</v>
      </c>
      <c r="H2295" t="s">
        <v>229</v>
      </c>
      <c r="I2295" t="s">
        <v>204</v>
      </c>
      <c r="J2295" s="1">
        <v>46203</v>
      </c>
      <c r="K2295" t="s">
        <v>744</v>
      </c>
      <c r="L2295">
        <v>1</v>
      </c>
      <c r="M2295">
        <v>9503.19</v>
      </c>
      <c r="N2295" t="s">
        <v>710</v>
      </c>
      <c r="O2295" t="s">
        <v>1033</v>
      </c>
      <c r="P2295" t="s">
        <v>4781</v>
      </c>
      <c r="Q2295" t="s">
        <v>4852</v>
      </c>
      <c r="R2295" t="s">
        <v>4771</v>
      </c>
    </row>
    <row r="2296" spans="1:18" x14ac:dyDescent="0.3">
      <c r="A2296">
        <v>7147</v>
      </c>
      <c r="B2296" t="s">
        <v>1035</v>
      </c>
      <c r="C2296" t="s">
        <v>230</v>
      </c>
      <c r="D2296" t="s">
        <v>85</v>
      </c>
      <c r="E2296" s="1">
        <v>45951</v>
      </c>
      <c r="F2296" t="s">
        <v>4421</v>
      </c>
      <c r="G2296" t="s">
        <v>3044</v>
      </c>
      <c r="H2296" t="s">
        <v>229</v>
      </c>
      <c r="I2296" t="s">
        <v>204</v>
      </c>
      <c r="J2296" s="1">
        <v>46203</v>
      </c>
      <c r="K2296" t="s">
        <v>744</v>
      </c>
      <c r="L2296">
        <v>1</v>
      </c>
      <c r="M2296">
        <v>3820.9</v>
      </c>
      <c r="N2296" t="s">
        <v>710</v>
      </c>
      <c r="O2296" t="s">
        <v>1033</v>
      </c>
      <c r="P2296" t="s">
        <v>4781</v>
      </c>
      <c r="Q2296" t="s">
        <v>4852</v>
      </c>
      <c r="R2296" t="s">
        <v>4771</v>
      </c>
    </row>
    <row r="2297" spans="1:18" x14ac:dyDescent="0.3">
      <c r="A2297">
        <v>7169</v>
      </c>
      <c r="B2297" t="s">
        <v>1035</v>
      </c>
      <c r="C2297" t="s">
        <v>230</v>
      </c>
      <c r="D2297" t="s">
        <v>85</v>
      </c>
      <c r="E2297" s="1">
        <v>45951</v>
      </c>
      <c r="F2297" t="s">
        <v>4299</v>
      </c>
      <c r="G2297" t="s">
        <v>3044</v>
      </c>
      <c r="H2297" t="s">
        <v>229</v>
      </c>
      <c r="I2297" t="s">
        <v>204</v>
      </c>
      <c r="J2297" s="1">
        <v>46203</v>
      </c>
      <c r="K2297" t="s">
        <v>744</v>
      </c>
      <c r="L2297">
        <v>1</v>
      </c>
      <c r="M2297">
        <v>160.47</v>
      </c>
      <c r="N2297" t="s">
        <v>710</v>
      </c>
      <c r="O2297" t="s">
        <v>1033</v>
      </c>
      <c r="P2297" t="s">
        <v>4781</v>
      </c>
      <c r="Q2297" t="s">
        <v>4852</v>
      </c>
      <c r="R2297" t="s">
        <v>4771</v>
      </c>
    </row>
    <row r="2298" spans="1:18" x14ac:dyDescent="0.3">
      <c r="A2298">
        <v>63794858</v>
      </c>
      <c r="B2298" t="s">
        <v>4874</v>
      </c>
      <c r="C2298" t="s">
        <v>653</v>
      </c>
      <c r="D2298" t="s">
        <v>14</v>
      </c>
      <c r="E2298" s="1">
        <v>45950</v>
      </c>
      <c r="F2298" t="s">
        <v>4336</v>
      </c>
      <c r="G2298" t="s">
        <v>3040</v>
      </c>
      <c r="H2298" t="s">
        <v>652</v>
      </c>
      <c r="I2298" t="s">
        <v>204</v>
      </c>
      <c r="J2298" s="1">
        <v>46583</v>
      </c>
      <c r="K2298" t="s">
        <v>762</v>
      </c>
      <c r="L2298">
        <v>1</v>
      </c>
      <c r="M2298">
        <v>54609.86</v>
      </c>
      <c r="N2298" t="s">
        <v>710</v>
      </c>
      <c r="O2298" t="s">
        <v>1037</v>
      </c>
      <c r="P2298" t="s">
        <v>4794</v>
      </c>
      <c r="Q2298" t="s">
        <v>4852</v>
      </c>
      <c r="R2298" t="s">
        <v>807</v>
      </c>
    </row>
    <row r="2299" spans="1:18" x14ac:dyDescent="0.3">
      <c r="A2299">
        <v>2244</v>
      </c>
      <c r="B2299" t="s">
        <v>4874</v>
      </c>
      <c r="C2299" t="s">
        <v>616</v>
      </c>
      <c r="D2299" t="s">
        <v>152</v>
      </c>
      <c r="E2299" s="1">
        <v>45950</v>
      </c>
      <c r="F2299" t="s">
        <v>4338</v>
      </c>
      <c r="G2299" t="s">
        <v>3042</v>
      </c>
      <c r="H2299" t="s">
        <v>615</v>
      </c>
      <c r="I2299" t="s">
        <v>204</v>
      </c>
      <c r="J2299" s="1">
        <v>46327</v>
      </c>
      <c r="K2299" t="s">
        <v>720</v>
      </c>
      <c r="L2299">
        <v>1</v>
      </c>
      <c r="M2299">
        <v>101787.59</v>
      </c>
      <c r="N2299" t="s">
        <v>710</v>
      </c>
      <c r="O2299" t="s">
        <v>4834</v>
      </c>
      <c r="P2299" t="s">
        <v>4776</v>
      </c>
      <c r="Q2299" t="s">
        <v>4858</v>
      </c>
      <c r="R2299" t="s">
        <v>4772</v>
      </c>
    </row>
    <row r="2300" spans="1:18" x14ac:dyDescent="0.3">
      <c r="A2300">
        <v>7029</v>
      </c>
      <c r="B2300" t="s">
        <v>1035</v>
      </c>
      <c r="C2300" t="s">
        <v>230</v>
      </c>
      <c r="D2300" t="s">
        <v>85</v>
      </c>
      <c r="E2300" s="1">
        <v>45950</v>
      </c>
      <c r="F2300" t="s">
        <v>4421</v>
      </c>
      <c r="G2300" t="s">
        <v>3045</v>
      </c>
      <c r="H2300" t="s">
        <v>229</v>
      </c>
      <c r="I2300" t="s">
        <v>204</v>
      </c>
      <c r="J2300" s="1">
        <v>46203</v>
      </c>
      <c r="K2300" t="s">
        <v>744</v>
      </c>
      <c r="L2300">
        <v>1</v>
      </c>
      <c r="M2300">
        <v>3820.9</v>
      </c>
      <c r="N2300" t="s">
        <v>710</v>
      </c>
      <c r="O2300" t="s">
        <v>1033</v>
      </c>
      <c r="P2300" t="s">
        <v>4781</v>
      </c>
      <c r="Q2300" t="s">
        <v>4852</v>
      </c>
      <c r="R2300" t="s">
        <v>4771</v>
      </c>
    </row>
    <row r="2301" spans="1:18" x14ac:dyDescent="0.3">
      <c r="A2301">
        <v>91</v>
      </c>
      <c r="B2301" t="s">
        <v>1034</v>
      </c>
      <c r="C2301" t="s">
        <v>641</v>
      </c>
      <c r="D2301" t="s">
        <v>26</v>
      </c>
      <c r="E2301" s="1">
        <v>45950</v>
      </c>
      <c r="F2301" t="s">
        <v>4370</v>
      </c>
      <c r="G2301" t="s">
        <v>3047</v>
      </c>
      <c r="H2301" t="s">
        <v>640</v>
      </c>
      <c r="I2301" t="s">
        <v>204</v>
      </c>
      <c r="J2301" s="1">
        <v>46142</v>
      </c>
      <c r="K2301" t="s">
        <v>717</v>
      </c>
      <c r="L2301">
        <v>35003.089999999997</v>
      </c>
      <c r="M2301">
        <v>35003.089999999997</v>
      </c>
      <c r="N2301" t="s">
        <v>710</v>
      </c>
      <c r="O2301" t="s">
        <v>1042</v>
      </c>
      <c r="P2301" t="s">
        <v>1006</v>
      </c>
      <c r="Q2301" t="s">
        <v>4852</v>
      </c>
    </row>
    <row r="2302" spans="1:18" x14ac:dyDescent="0.3">
      <c r="A2302">
        <v>3617</v>
      </c>
      <c r="B2302" t="s">
        <v>1034</v>
      </c>
      <c r="C2302" t="s">
        <v>319</v>
      </c>
      <c r="D2302" t="s">
        <v>36</v>
      </c>
      <c r="E2302" s="1">
        <v>45950</v>
      </c>
      <c r="F2302" t="s">
        <v>4298</v>
      </c>
      <c r="G2302" t="s">
        <v>3034</v>
      </c>
      <c r="H2302" t="s">
        <v>318</v>
      </c>
      <c r="I2302" t="s">
        <v>204</v>
      </c>
      <c r="J2302" s="1">
        <v>46214</v>
      </c>
      <c r="K2302" t="s">
        <v>711</v>
      </c>
      <c r="L2302">
        <v>1492</v>
      </c>
      <c r="M2302">
        <v>1492.32</v>
      </c>
      <c r="N2302" t="s">
        <v>710</v>
      </c>
      <c r="O2302" t="s">
        <v>1036</v>
      </c>
      <c r="P2302" t="s">
        <v>4784</v>
      </c>
      <c r="Q2302" t="s">
        <v>4901</v>
      </c>
      <c r="R2302" t="s">
        <v>4771</v>
      </c>
    </row>
    <row r="2303" spans="1:18" x14ac:dyDescent="0.3">
      <c r="A2303">
        <v>840476</v>
      </c>
      <c r="B2303" t="s">
        <v>1034</v>
      </c>
      <c r="C2303" t="s">
        <v>276</v>
      </c>
      <c r="D2303" t="s">
        <v>5</v>
      </c>
      <c r="E2303" s="1">
        <v>45950</v>
      </c>
      <c r="F2303" t="s">
        <v>4315</v>
      </c>
      <c r="G2303" t="s">
        <v>3043</v>
      </c>
      <c r="H2303" t="s">
        <v>275</v>
      </c>
      <c r="I2303" t="s">
        <v>204</v>
      </c>
      <c r="J2303" s="1">
        <v>46904</v>
      </c>
      <c r="K2303" t="s">
        <v>717</v>
      </c>
      <c r="L2303">
        <v>37660.78</v>
      </c>
      <c r="M2303">
        <v>37660.78</v>
      </c>
      <c r="N2303" t="s">
        <v>710</v>
      </c>
      <c r="O2303" t="s">
        <v>1037</v>
      </c>
      <c r="P2303" t="s">
        <v>4776</v>
      </c>
      <c r="Q2303" t="s">
        <v>4852</v>
      </c>
      <c r="R2303" t="s">
        <v>4773</v>
      </c>
    </row>
    <row r="2304" spans="1:18" x14ac:dyDescent="0.3">
      <c r="A2304">
        <v>3616</v>
      </c>
      <c r="B2304" t="s">
        <v>4875</v>
      </c>
      <c r="C2304" t="s">
        <v>319</v>
      </c>
      <c r="D2304" t="s">
        <v>36</v>
      </c>
      <c r="E2304" s="1">
        <v>45947</v>
      </c>
      <c r="F2304" t="s">
        <v>4298</v>
      </c>
      <c r="G2304" t="s">
        <v>3029</v>
      </c>
      <c r="H2304" t="s">
        <v>336</v>
      </c>
      <c r="I2304" t="s">
        <v>204</v>
      </c>
      <c r="J2304" s="1">
        <v>46075</v>
      </c>
      <c r="K2304" t="s">
        <v>748</v>
      </c>
      <c r="L2304">
        <v>2</v>
      </c>
      <c r="M2304">
        <v>373.08</v>
      </c>
      <c r="N2304" t="s">
        <v>710</v>
      </c>
      <c r="O2304" t="s">
        <v>1040</v>
      </c>
      <c r="P2304" t="s">
        <v>4784</v>
      </c>
      <c r="Q2304" t="s">
        <v>4856</v>
      </c>
      <c r="R2304" t="s">
        <v>4771</v>
      </c>
    </row>
    <row r="2305" spans="1:18" x14ac:dyDescent="0.3">
      <c r="A2305">
        <v>521252</v>
      </c>
      <c r="B2305" t="s">
        <v>4875</v>
      </c>
      <c r="C2305" t="s">
        <v>338</v>
      </c>
      <c r="D2305" t="s">
        <v>31</v>
      </c>
      <c r="E2305" s="1">
        <v>45947</v>
      </c>
      <c r="F2305" t="s">
        <v>4299</v>
      </c>
      <c r="G2305" t="s">
        <v>2978</v>
      </c>
      <c r="H2305" t="s">
        <v>353</v>
      </c>
      <c r="I2305" t="s">
        <v>204</v>
      </c>
      <c r="J2305" s="1">
        <v>54878</v>
      </c>
      <c r="K2305" t="s">
        <v>748</v>
      </c>
      <c r="L2305">
        <v>6195</v>
      </c>
      <c r="M2305">
        <v>6195.44</v>
      </c>
      <c r="N2305" t="s">
        <v>710</v>
      </c>
      <c r="O2305" t="s">
        <v>1040</v>
      </c>
      <c r="P2305" t="s">
        <v>4785</v>
      </c>
      <c r="Q2305" t="s">
        <v>4856</v>
      </c>
      <c r="R2305" t="s">
        <v>4773</v>
      </c>
    </row>
    <row r="2306" spans="1:18" x14ac:dyDescent="0.3">
      <c r="A2306">
        <v>304</v>
      </c>
      <c r="B2306" t="s">
        <v>1034</v>
      </c>
      <c r="C2306" t="s">
        <v>319</v>
      </c>
      <c r="D2306" t="s">
        <v>36</v>
      </c>
      <c r="E2306" s="1">
        <v>45947</v>
      </c>
      <c r="F2306" t="s">
        <v>4298</v>
      </c>
      <c r="G2306" t="s">
        <v>3035</v>
      </c>
      <c r="H2306" t="s">
        <v>318</v>
      </c>
      <c r="I2306" t="s">
        <v>204</v>
      </c>
      <c r="J2306" s="1">
        <v>46214</v>
      </c>
      <c r="K2306" t="s">
        <v>711</v>
      </c>
      <c r="L2306">
        <v>848</v>
      </c>
      <c r="M2306">
        <v>847.64</v>
      </c>
      <c r="N2306" t="s">
        <v>710</v>
      </c>
      <c r="O2306" t="s">
        <v>1036</v>
      </c>
      <c r="P2306" t="s">
        <v>4784</v>
      </c>
      <c r="Q2306" t="s">
        <v>4901</v>
      </c>
      <c r="R2306" t="s">
        <v>4771</v>
      </c>
    </row>
    <row r="2307" spans="1:18" x14ac:dyDescent="0.3">
      <c r="A2307">
        <v>58343</v>
      </c>
      <c r="B2307" t="s">
        <v>1034</v>
      </c>
      <c r="C2307" t="s">
        <v>666</v>
      </c>
      <c r="D2307" t="s">
        <v>66</v>
      </c>
      <c r="E2307" s="1">
        <v>45947</v>
      </c>
      <c r="F2307" t="s">
        <v>4315</v>
      </c>
      <c r="G2307" t="s">
        <v>3015</v>
      </c>
      <c r="H2307" t="s">
        <v>665</v>
      </c>
      <c r="I2307" t="s">
        <v>204</v>
      </c>
      <c r="J2307" s="1">
        <v>46296</v>
      </c>
      <c r="K2307" t="s">
        <v>717</v>
      </c>
      <c r="L2307">
        <v>3000</v>
      </c>
      <c r="M2307">
        <v>3000</v>
      </c>
      <c r="N2307" t="s">
        <v>998</v>
      </c>
      <c r="O2307" t="s">
        <v>1033</v>
      </c>
      <c r="P2307" t="s">
        <v>4776</v>
      </c>
      <c r="Q2307" t="s">
        <v>4852</v>
      </c>
      <c r="R2307" t="s">
        <v>807</v>
      </c>
    </row>
    <row r="2308" spans="1:18" x14ac:dyDescent="0.3">
      <c r="A2308">
        <v>169</v>
      </c>
      <c r="B2308" t="s">
        <v>4874</v>
      </c>
      <c r="C2308" t="s">
        <v>565</v>
      </c>
      <c r="D2308" t="s">
        <v>113</v>
      </c>
      <c r="E2308" s="1">
        <v>45947</v>
      </c>
      <c r="F2308" t="s">
        <v>4390</v>
      </c>
      <c r="G2308" t="s">
        <v>3025</v>
      </c>
      <c r="H2308" t="s">
        <v>564</v>
      </c>
      <c r="I2308" t="s">
        <v>204</v>
      </c>
      <c r="J2308" s="1">
        <v>46386</v>
      </c>
      <c r="K2308" t="s">
        <v>720</v>
      </c>
      <c r="L2308">
        <v>1</v>
      </c>
      <c r="M2308">
        <v>5200</v>
      </c>
      <c r="N2308" t="s">
        <v>710</v>
      </c>
      <c r="O2308" t="s">
        <v>1038</v>
      </c>
      <c r="P2308" t="s">
        <v>4777</v>
      </c>
      <c r="Q2308" t="s">
        <v>4858</v>
      </c>
      <c r="R2308" t="s">
        <v>4771</v>
      </c>
    </row>
    <row r="2309" spans="1:18" x14ac:dyDescent="0.3">
      <c r="A2309">
        <v>10736</v>
      </c>
      <c r="B2309" t="s">
        <v>4874</v>
      </c>
      <c r="C2309" t="s">
        <v>546</v>
      </c>
      <c r="D2309" t="s">
        <v>75</v>
      </c>
      <c r="E2309" s="1">
        <v>45947</v>
      </c>
      <c r="F2309" t="s">
        <v>4355</v>
      </c>
      <c r="G2309" t="s">
        <v>3013</v>
      </c>
      <c r="H2309" t="s">
        <v>581</v>
      </c>
      <c r="I2309" t="s">
        <v>204</v>
      </c>
      <c r="J2309" s="1">
        <v>46233</v>
      </c>
      <c r="K2309" t="s">
        <v>720</v>
      </c>
      <c r="L2309">
        <v>1</v>
      </c>
      <c r="M2309">
        <v>3090.55</v>
      </c>
      <c r="N2309" t="s">
        <v>814</v>
      </c>
      <c r="O2309" t="s">
        <v>1038</v>
      </c>
      <c r="P2309" t="s">
        <v>4779</v>
      </c>
      <c r="Q2309" t="s">
        <v>4858</v>
      </c>
      <c r="R2309" t="s">
        <v>4773</v>
      </c>
    </row>
    <row r="2310" spans="1:18" x14ac:dyDescent="0.3">
      <c r="A2310">
        <v>163050</v>
      </c>
      <c r="B2310" t="s">
        <v>4874</v>
      </c>
      <c r="C2310" t="s">
        <v>301</v>
      </c>
      <c r="D2310" t="s">
        <v>23</v>
      </c>
      <c r="E2310" s="1">
        <v>45947</v>
      </c>
      <c r="F2310" t="s">
        <v>4321</v>
      </c>
      <c r="G2310" t="s">
        <v>3005</v>
      </c>
      <c r="H2310" t="s">
        <v>300</v>
      </c>
      <c r="I2310" t="s">
        <v>204</v>
      </c>
      <c r="J2310" s="1">
        <v>46418</v>
      </c>
      <c r="K2310" t="s">
        <v>720</v>
      </c>
      <c r="L2310">
        <v>1</v>
      </c>
      <c r="M2310">
        <v>5140.3900000000003</v>
      </c>
      <c r="N2310" t="s">
        <v>710</v>
      </c>
      <c r="O2310" t="s">
        <v>1038</v>
      </c>
      <c r="P2310" t="s">
        <v>4782</v>
      </c>
      <c r="Q2310" t="s">
        <v>4858</v>
      </c>
      <c r="R2310" t="s">
        <v>4773</v>
      </c>
    </row>
    <row r="2311" spans="1:18" x14ac:dyDescent="0.3">
      <c r="A2311">
        <v>85337</v>
      </c>
      <c r="B2311" t="s">
        <v>4874</v>
      </c>
      <c r="C2311" t="s">
        <v>422</v>
      </c>
      <c r="D2311" t="s">
        <v>37</v>
      </c>
      <c r="E2311" s="1">
        <v>45946</v>
      </c>
      <c r="F2311" t="s">
        <v>4306</v>
      </c>
      <c r="G2311" t="s">
        <v>3010</v>
      </c>
      <c r="H2311" t="s">
        <v>421</v>
      </c>
      <c r="I2311" t="s">
        <v>204</v>
      </c>
      <c r="J2311" s="1">
        <v>46080</v>
      </c>
      <c r="K2311" t="s">
        <v>762</v>
      </c>
      <c r="L2311">
        <v>800</v>
      </c>
      <c r="M2311">
        <v>800</v>
      </c>
      <c r="N2311" t="s">
        <v>710</v>
      </c>
      <c r="O2311" t="s">
        <v>4833</v>
      </c>
      <c r="P2311" t="s">
        <v>4786</v>
      </c>
      <c r="Q2311" t="s">
        <v>4852</v>
      </c>
      <c r="R2311" t="s">
        <v>4773</v>
      </c>
    </row>
    <row r="2312" spans="1:18" x14ac:dyDescent="0.3">
      <c r="A2312">
        <v>407052580</v>
      </c>
      <c r="B2312" t="s">
        <v>1034</v>
      </c>
      <c r="C2312" t="s">
        <v>433</v>
      </c>
      <c r="D2312" t="s">
        <v>168</v>
      </c>
      <c r="E2312" s="1">
        <v>45946</v>
      </c>
      <c r="F2312" t="s">
        <v>4319</v>
      </c>
      <c r="G2312" t="s">
        <v>3037</v>
      </c>
      <c r="H2312" t="s">
        <v>432</v>
      </c>
      <c r="I2312" t="s">
        <v>204</v>
      </c>
      <c r="J2312" s="1">
        <v>46473</v>
      </c>
      <c r="K2312" t="s">
        <v>762</v>
      </c>
      <c r="L2312">
        <v>327</v>
      </c>
      <c r="M2312">
        <v>327.02</v>
      </c>
      <c r="N2312" t="s">
        <v>710</v>
      </c>
      <c r="O2312" t="s">
        <v>4833</v>
      </c>
      <c r="P2312" t="s">
        <v>4802</v>
      </c>
      <c r="Q2312" t="s">
        <v>4852</v>
      </c>
      <c r="R2312" t="s">
        <v>4771</v>
      </c>
    </row>
    <row r="2313" spans="1:18" x14ac:dyDescent="0.3">
      <c r="A2313">
        <v>3426</v>
      </c>
      <c r="B2313" t="s">
        <v>1034</v>
      </c>
      <c r="C2313" t="s">
        <v>590</v>
      </c>
      <c r="D2313" t="s">
        <v>79</v>
      </c>
      <c r="E2313" s="1">
        <v>45946</v>
      </c>
      <c r="F2313" t="s">
        <v>4365</v>
      </c>
      <c r="G2313" t="s">
        <v>3032</v>
      </c>
      <c r="H2313" t="s">
        <v>589</v>
      </c>
      <c r="I2313" t="s">
        <v>204</v>
      </c>
      <c r="J2313" s="1">
        <v>46387</v>
      </c>
      <c r="K2313" t="s">
        <v>717</v>
      </c>
      <c r="L2313">
        <v>864</v>
      </c>
      <c r="M2313">
        <v>864</v>
      </c>
      <c r="N2313" t="s">
        <v>814</v>
      </c>
      <c r="O2313" t="s">
        <v>4845</v>
      </c>
      <c r="P2313" t="s">
        <v>4793</v>
      </c>
      <c r="Q2313" t="s">
        <v>4845</v>
      </c>
      <c r="R2313" t="s">
        <v>4773</v>
      </c>
    </row>
    <row r="2314" spans="1:18" x14ac:dyDescent="0.3">
      <c r="A2314">
        <v>29220</v>
      </c>
      <c r="B2314" t="s">
        <v>1034</v>
      </c>
      <c r="C2314" t="s">
        <v>660</v>
      </c>
      <c r="D2314" t="s">
        <v>96</v>
      </c>
      <c r="E2314" s="1">
        <v>45946</v>
      </c>
      <c r="F2314" t="s">
        <v>4378</v>
      </c>
      <c r="G2314" t="s">
        <v>2842</v>
      </c>
      <c r="H2314" t="s">
        <v>661</v>
      </c>
      <c r="I2314" t="s">
        <v>204</v>
      </c>
      <c r="J2314" s="1">
        <v>46537</v>
      </c>
      <c r="K2314" t="s">
        <v>717</v>
      </c>
      <c r="L2314">
        <v>1</v>
      </c>
      <c r="M2314">
        <v>40349.85</v>
      </c>
      <c r="N2314" t="s">
        <v>710</v>
      </c>
      <c r="O2314" t="s">
        <v>4902</v>
      </c>
      <c r="P2314" t="s">
        <v>4776</v>
      </c>
      <c r="Q2314" t="s">
        <v>4852</v>
      </c>
      <c r="R2314" t="s">
        <v>807</v>
      </c>
    </row>
    <row r="2315" spans="1:18" x14ac:dyDescent="0.3">
      <c r="A2315">
        <v>2245</v>
      </c>
      <c r="B2315" t="s">
        <v>1034</v>
      </c>
      <c r="C2315" t="s">
        <v>616</v>
      </c>
      <c r="D2315" t="s">
        <v>152</v>
      </c>
      <c r="E2315" s="1">
        <v>45946</v>
      </c>
      <c r="F2315" t="s">
        <v>4338</v>
      </c>
      <c r="G2315" t="s">
        <v>3004</v>
      </c>
      <c r="H2315" t="s">
        <v>621</v>
      </c>
      <c r="I2315" t="s">
        <v>204</v>
      </c>
      <c r="J2315" s="1">
        <v>46349</v>
      </c>
      <c r="K2315" t="s">
        <v>711</v>
      </c>
      <c r="L2315">
        <v>67259.55</v>
      </c>
      <c r="M2315">
        <v>67259.55</v>
      </c>
      <c r="N2315" t="s">
        <v>710</v>
      </c>
      <c r="O2315" t="s">
        <v>4904</v>
      </c>
      <c r="P2315" t="s">
        <v>4796</v>
      </c>
      <c r="Q2315" t="s">
        <v>4901</v>
      </c>
      <c r="R2315" t="s">
        <v>4772</v>
      </c>
    </row>
    <row r="2316" spans="1:18" x14ac:dyDescent="0.3">
      <c r="A2316">
        <v>211201</v>
      </c>
      <c r="B2316" t="s">
        <v>4874</v>
      </c>
      <c r="C2316" t="s">
        <v>441</v>
      </c>
      <c r="D2316" t="s">
        <v>38</v>
      </c>
      <c r="E2316" s="1">
        <v>45946</v>
      </c>
      <c r="F2316" t="s">
        <v>4393</v>
      </c>
      <c r="G2316" t="s">
        <v>3012</v>
      </c>
      <c r="H2316" t="s">
        <v>440</v>
      </c>
      <c r="I2316" t="s">
        <v>204</v>
      </c>
      <c r="J2316" s="1">
        <v>46191</v>
      </c>
      <c r="K2316" t="s">
        <v>762</v>
      </c>
      <c r="L2316">
        <v>11315</v>
      </c>
      <c r="M2316">
        <v>11315</v>
      </c>
      <c r="N2316" t="s">
        <v>710</v>
      </c>
      <c r="O2316" t="s">
        <v>4833</v>
      </c>
      <c r="P2316" t="s">
        <v>4786</v>
      </c>
      <c r="Q2316" t="s">
        <v>4852</v>
      </c>
      <c r="R2316" t="s">
        <v>4773</v>
      </c>
    </row>
    <row r="2317" spans="1:18" x14ac:dyDescent="0.3">
      <c r="A2317">
        <v>717672</v>
      </c>
      <c r="B2317" t="s">
        <v>4874</v>
      </c>
      <c r="C2317" t="s">
        <v>239</v>
      </c>
      <c r="D2317" t="s">
        <v>199</v>
      </c>
      <c r="E2317" s="1">
        <v>45946</v>
      </c>
      <c r="F2317" t="s">
        <v>4325</v>
      </c>
      <c r="G2317" t="s">
        <v>3026</v>
      </c>
      <c r="H2317" t="s">
        <v>268</v>
      </c>
      <c r="I2317" t="s">
        <v>204</v>
      </c>
      <c r="J2317" s="1">
        <v>46172</v>
      </c>
      <c r="K2317" t="s">
        <v>720</v>
      </c>
      <c r="L2317">
        <v>1</v>
      </c>
      <c r="M2317">
        <v>712.5</v>
      </c>
      <c r="N2317" t="s">
        <v>710</v>
      </c>
      <c r="O2317" t="s">
        <v>1038</v>
      </c>
      <c r="P2317" t="s">
        <v>4779</v>
      </c>
      <c r="Q2317" t="s">
        <v>4858</v>
      </c>
      <c r="R2317" t="s">
        <v>4771</v>
      </c>
    </row>
    <row r="2318" spans="1:18" x14ac:dyDescent="0.3">
      <c r="A2318">
        <v>26431</v>
      </c>
      <c r="B2318" t="s">
        <v>4874</v>
      </c>
      <c r="C2318" t="s">
        <v>592</v>
      </c>
      <c r="D2318" t="s">
        <v>8</v>
      </c>
      <c r="E2318" s="1">
        <v>45946</v>
      </c>
      <c r="F2318" t="s">
        <v>4363</v>
      </c>
      <c r="G2318" t="s">
        <v>3031</v>
      </c>
      <c r="H2318" t="s">
        <v>601</v>
      </c>
      <c r="I2318" t="s">
        <v>209</v>
      </c>
      <c r="J2318" s="1">
        <v>45945</v>
      </c>
      <c r="K2318" t="s">
        <v>762</v>
      </c>
      <c r="L2318">
        <v>612.94000000000005</v>
      </c>
      <c r="M2318">
        <v>612.94000000000005</v>
      </c>
      <c r="N2318" t="s">
        <v>890</v>
      </c>
      <c r="O2318" t="s">
        <v>4833</v>
      </c>
      <c r="P2318" t="s">
        <v>950</v>
      </c>
      <c r="Q2318" t="s">
        <v>4852</v>
      </c>
      <c r="R2318" t="s">
        <v>807</v>
      </c>
    </row>
    <row r="2319" spans="1:18" x14ac:dyDescent="0.3">
      <c r="A2319">
        <v>4587</v>
      </c>
      <c r="B2319" t="s">
        <v>4874</v>
      </c>
      <c r="C2319" t="s">
        <v>444</v>
      </c>
      <c r="D2319" t="s">
        <v>21</v>
      </c>
      <c r="E2319" s="1">
        <v>45946</v>
      </c>
      <c r="F2319" t="s">
        <v>4380</v>
      </c>
      <c r="G2319" t="s">
        <v>3021</v>
      </c>
      <c r="H2319" t="s">
        <v>443</v>
      </c>
      <c r="I2319" t="s">
        <v>209</v>
      </c>
      <c r="J2319" s="1">
        <v>54878</v>
      </c>
      <c r="K2319" t="s">
        <v>762</v>
      </c>
      <c r="L2319">
        <v>1</v>
      </c>
      <c r="M2319">
        <v>280</v>
      </c>
      <c r="N2319" t="s">
        <v>710</v>
      </c>
      <c r="O2319" t="s">
        <v>1037</v>
      </c>
      <c r="P2319" t="s">
        <v>4808</v>
      </c>
      <c r="Q2319" t="s">
        <v>4852</v>
      </c>
      <c r="R2319" t="s">
        <v>4772</v>
      </c>
    </row>
    <row r="2320" spans="1:18" x14ac:dyDescent="0.3">
      <c r="A2320">
        <v>7237</v>
      </c>
      <c r="B2320" t="s">
        <v>4874</v>
      </c>
      <c r="C2320" t="s">
        <v>628</v>
      </c>
      <c r="D2320" t="s">
        <v>25</v>
      </c>
      <c r="E2320" s="1">
        <v>45946</v>
      </c>
      <c r="F2320" t="s">
        <v>4415</v>
      </c>
      <c r="G2320" t="s">
        <v>3022</v>
      </c>
      <c r="H2320" t="s">
        <v>627</v>
      </c>
      <c r="I2320" t="s">
        <v>209</v>
      </c>
      <c r="J2320" s="1">
        <v>46476</v>
      </c>
      <c r="K2320" t="s">
        <v>720</v>
      </c>
      <c r="L2320">
        <v>1</v>
      </c>
      <c r="M2320">
        <v>380</v>
      </c>
      <c r="N2320" t="s">
        <v>710</v>
      </c>
      <c r="O2320" t="s">
        <v>1038</v>
      </c>
      <c r="P2320" t="s">
        <v>4776</v>
      </c>
      <c r="Q2320" t="s">
        <v>4858</v>
      </c>
      <c r="R2320" t="s">
        <v>4771</v>
      </c>
    </row>
    <row r="2321" spans="1:18" x14ac:dyDescent="0.3">
      <c r="A2321">
        <v>7237</v>
      </c>
      <c r="B2321" t="s">
        <v>4874</v>
      </c>
      <c r="C2321" t="s">
        <v>628</v>
      </c>
      <c r="D2321" t="s">
        <v>25</v>
      </c>
      <c r="E2321" s="1">
        <v>45946</v>
      </c>
      <c r="F2321" t="s">
        <v>4415</v>
      </c>
      <c r="G2321" t="s">
        <v>3022</v>
      </c>
      <c r="H2321" t="s">
        <v>627</v>
      </c>
      <c r="I2321" t="s">
        <v>209</v>
      </c>
      <c r="J2321" s="1">
        <v>46476</v>
      </c>
      <c r="K2321" t="s">
        <v>720</v>
      </c>
      <c r="L2321">
        <v>1</v>
      </c>
      <c r="M2321">
        <v>380</v>
      </c>
      <c r="N2321" t="s">
        <v>710</v>
      </c>
      <c r="O2321" t="s">
        <v>1038</v>
      </c>
      <c r="P2321" t="s">
        <v>4776</v>
      </c>
      <c r="Q2321" t="s">
        <v>4858</v>
      </c>
      <c r="R2321" t="s">
        <v>4771</v>
      </c>
    </row>
    <row r="2322" spans="1:18" x14ac:dyDescent="0.3">
      <c r="A2322">
        <v>593223</v>
      </c>
      <c r="B2322" t="s">
        <v>1034</v>
      </c>
      <c r="C2322" t="s">
        <v>248</v>
      </c>
      <c r="D2322" t="s">
        <v>13</v>
      </c>
      <c r="E2322" s="1">
        <v>45946</v>
      </c>
      <c r="F2322" t="s">
        <v>4297</v>
      </c>
      <c r="G2322" t="s">
        <v>3003</v>
      </c>
      <c r="H2322" t="s">
        <v>315</v>
      </c>
      <c r="I2322" t="s">
        <v>204</v>
      </c>
      <c r="J2322" s="1">
        <v>46073</v>
      </c>
      <c r="K2322" t="s">
        <v>711</v>
      </c>
      <c r="L2322">
        <v>5391.91</v>
      </c>
      <c r="M2322">
        <v>5391.91</v>
      </c>
      <c r="N2322" t="s">
        <v>710</v>
      </c>
      <c r="O2322" t="s">
        <v>1036</v>
      </c>
      <c r="P2322" t="s">
        <v>4779</v>
      </c>
      <c r="Q2322" t="s">
        <v>4901</v>
      </c>
      <c r="R2322" t="s">
        <v>4773</v>
      </c>
    </row>
    <row r="2323" spans="1:18" x14ac:dyDescent="0.3">
      <c r="A2323">
        <v>61540</v>
      </c>
      <c r="B2323" t="s">
        <v>4874</v>
      </c>
      <c r="C2323" t="s">
        <v>514</v>
      </c>
      <c r="D2323" t="s">
        <v>47</v>
      </c>
      <c r="E2323" s="1">
        <v>45946</v>
      </c>
      <c r="F2323" t="s">
        <v>4362</v>
      </c>
      <c r="G2323" t="s">
        <v>2985</v>
      </c>
      <c r="H2323" t="s">
        <v>513</v>
      </c>
      <c r="I2323" t="s">
        <v>204</v>
      </c>
      <c r="J2323" s="1">
        <v>46386</v>
      </c>
      <c r="K2323" t="s">
        <v>762</v>
      </c>
      <c r="L2323">
        <v>6294.91</v>
      </c>
      <c r="M2323">
        <v>6294.91</v>
      </c>
      <c r="N2323" t="s">
        <v>710</v>
      </c>
      <c r="O2323" t="s">
        <v>4833</v>
      </c>
      <c r="P2323" t="s">
        <v>4779</v>
      </c>
      <c r="Q2323" t="s">
        <v>4852</v>
      </c>
    </row>
    <row r="2324" spans="1:18" x14ac:dyDescent="0.3">
      <c r="A2324">
        <v>713375</v>
      </c>
      <c r="B2324" t="s">
        <v>1035</v>
      </c>
      <c r="C2324" t="s">
        <v>239</v>
      </c>
      <c r="D2324" t="s">
        <v>199</v>
      </c>
      <c r="E2324" s="1">
        <v>45946</v>
      </c>
      <c r="F2324" t="s">
        <v>4325</v>
      </c>
      <c r="G2324" t="s">
        <v>3027</v>
      </c>
      <c r="H2324" t="s">
        <v>238</v>
      </c>
      <c r="I2324" t="s">
        <v>204</v>
      </c>
      <c r="J2324" s="1">
        <v>54878</v>
      </c>
      <c r="K2324" t="s">
        <v>754</v>
      </c>
      <c r="L2324">
        <v>1</v>
      </c>
      <c r="M2324">
        <v>75.08</v>
      </c>
      <c r="N2324" t="s">
        <v>710</v>
      </c>
      <c r="O2324" t="s">
        <v>4903</v>
      </c>
      <c r="P2324" t="s">
        <v>4779</v>
      </c>
      <c r="Q2324" t="s">
        <v>4858</v>
      </c>
      <c r="R2324" t="s">
        <v>4771</v>
      </c>
    </row>
    <row r="2325" spans="1:18" x14ac:dyDescent="0.3">
      <c r="A2325">
        <v>11336767</v>
      </c>
      <c r="B2325" t="s">
        <v>1034</v>
      </c>
      <c r="C2325" t="s">
        <v>451</v>
      </c>
      <c r="D2325" t="s">
        <v>129</v>
      </c>
      <c r="E2325" s="1">
        <v>45945</v>
      </c>
      <c r="F2325" t="s">
        <v>4319</v>
      </c>
      <c r="G2325" t="s">
        <v>2913</v>
      </c>
      <c r="H2325" t="s">
        <v>662</v>
      </c>
      <c r="I2325" t="s">
        <v>204</v>
      </c>
      <c r="J2325" s="1">
        <v>46655</v>
      </c>
      <c r="K2325" t="s">
        <v>717</v>
      </c>
      <c r="L2325">
        <v>2618</v>
      </c>
      <c r="M2325">
        <v>2618.17</v>
      </c>
      <c r="N2325" t="s">
        <v>719</v>
      </c>
      <c r="O2325" t="s">
        <v>4833</v>
      </c>
      <c r="P2325" t="s">
        <v>4802</v>
      </c>
      <c r="Q2325" t="s">
        <v>4852</v>
      </c>
      <c r="R2325" t="s">
        <v>807</v>
      </c>
    </row>
    <row r="2326" spans="1:18" x14ac:dyDescent="0.3">
      <c r="A2326">
        <v>11336828</v>
      </c>
      <c r="B2326" t="s">
        <v>1034</v>
      </c>
      <c r="C2326" t="s">
        <v>451</v>
      </c>
      <c r="D2326" t="s">
        <v>129</v>
      </c>
      <c r="E2326" s="1">
        <v>45945</v>
      </c>
      <c r="F2326" t="s">
        <v>4319</v>
      </c>
      <c r="G2326" t="s">
        <v>2913</v>
      </c>
      <c r="H2326" t="s">
        <v>662</v>
      </c>
      <c r="I2326" t="s">
        <v>204</v>
      </c>
      <c r="J2326" s="1">
        <v>46655</v>
      </c>
      <c r="K2326" t="s">
        <v>717</v>
      </c>
      <c r="L2326">
        <v>1474</v>
      </c>
      <c r="M2326">
        <v>1474.24</v>
      </c>
      <c r="N2326" t="s">
        <v>719</v>
      </c>
      <c r="O2326" t="s">
        <v>4833</v>
      </c>
      <c r="P2326" t="s">
        <v>4802</v>
      </c>
      <c r="Q2326" t="s">
        <v>4852</v>
      </c>
      <c r="R2326" t="s">
        <v>807</v>
      </c>
    </row>
    <row r="2327" spans="1:18" x14ac:dyDescent="0.3">
      <c r="A2327">
        <v>11336713</v>
      </c>
      <c r="B2327" t="s">
        <v>1034</v>
      </c>
      <c r="C2327" t="s">
        <v>451</v>
      </c>
      <c r="D2327" t="s">
        <v>129</v>
      </c>
      <c r="E2327" s="1">
        <v>45945</v>
      </c>
      <c r="F2327" t="s">
        <v>4319</v>
      </c>
      <c r="G2327" t="s">
        <v>2913</v>
      </c>
      <c r="H2327" t="s">
        <v>662</v>
      </c>
      <c r="I2327" t="s">
        <v>204</v>
      </c>
      <c r="J2327" s="1">
        <v>46655</v>
      </c>
      <c r="K2327" t="s">
        <v>717</v>
      </c>
      <c r="L2327">
        <v>1616</v>
      </c>
      <c r="M2327">
        <v>1616.02</v>
      </c>
      <c r="N2327" t="s">
        <v>719</v>
      </c>
      <c r="O2327" t="s">
        <v>4833</v>
      </c>
      <c r="P2327" t="s">
        <v>4802</v>
      </c>
      <c r="Q2327" t="s">
        <v>4852</v>
      </c>
      <c r="R2327" t="s">
        <v>807</v>
      </c>
    </row>
    <row r="2328" spans="1:18" x14ac:dyDescent="0.3">
      <c r="A2328">
        <v>521333</v>
      </c>
      <c r="B2328" t="s">
        <v>1034</v>
      </c>
      <c r="C2328" t="s">
        <v>338</v>
      </c>
      <c r="D2328" t="s">
        <v>31</v>
      </c>
      <c r="E2328" s="1">
        <v>45945</v>
      </c>
      <c r="F2328" t="s">
        <v>4299</v>
      </c>
      <c r="G2328" t="s">
        <v>3024</v>
      </c>
      <c r="H2328" t="s">
        <v>337</v>
      </c>
      <c r="I2328" t="s">
        <v>204</v>
      </c>
      <c r="J2328" s="1">
        <v>54878</v>
      </c>
      <c r="K2328" t="s">
        <v>711</v>
      </c>
      <c r="L2328">
        <v>28783</v>
      </c>
      <c r="M2328">
        <v>28783.42</v>
      </c>
      <c r="N2328" t="s">
        <v>710</v>
      </c>
      <c r="O2328" t="s">
        <v>1036</v>
      </c>
      <c r="P2328" t="s">
        <v>4785</v>
      </c>
      <c r="Q2328" t="s">
        <v>4901</v>
      </c>
      <c r="R2328" t="s">
        <v>4773</v>
      </c>
    </row>
    <row r="2329" spans="1:18" x14ac:dyDescent="0.3">
      <c r="A2329">
        <v>20503</v>
      </c>
      <c r="B2329" t="s">
        <v>4874</v>
      </c>
      <c r="C2329" t="s">
        <v>539</v>
      </c>
      <c r="D2329" t="s">
        <v>189</v>
      </c>
      <c r="E2329" s="1">
        <v>45945</v>
      </c>
      <c r="F2329" t="s">
        <v>4327</v>
      </c>
      <c r="G2329" t="s">
        <v>2986</v>
      </c>
      <c r="H2329" t="s">
        <v>573</v>
      </c>
      <c r="I2329" t="s">
        <v>209</v>
      </c>
      <c r="J2329" s="1">
        <v>45808</v>
      </c>
      <c r="K2329" t="s">
        <v>762</v>
      </c>
      <c r="L2329">
        <v>5732.31</v>
      </c>
      <c r="M2329">
        <v>5732.31</v>
      </c>
      <c r="N2329" t="s">
        <v>890</v>
      </c>
      <c r="Q2329" t="s">
        <v>807</v>
      </c>
    </row>
    <row r="2330" spans="1:18" x14ac:dyDescent="0.3">
      <c r="A2330">
        <v>41709</v>
      </c>
      <c r="B2330" t="s">
        <v>4874</v>
      </c>
      <c r="C2330" t="s">
        <v>294</v>
      </c>
      <c r="D2330" t="s">
        <v>101</v>
      </c>
      <c r="E2330" s="1">
        <v>45945</v>
      </c>
      <c r="F2330" t="s">
        <v>4304</v>
      </c>
      <c r="G2330" t="s">
        <v>3019</v>
      </c>
      <c r="H2330" t="s">
        <v>293</v>
      </c>
      <c r="I2330" t="s">
        <v>204</v>
      </c>
      <c r="J2330" s="1">
        <v>46191</v>
      </c>
      <c r="K2330" t="s">
        <v>720</v>
      </c>
      <c r="L2330">
        <v>1</v>
      </c>
      <c r="M2330">
        <v>640</v>
      </c>
      <c r="N2330" t="s">
        <v>710</v>
      </c>
      <c r="O2330" t="s">
        <v>4834</v>
      </c>
      <c r="P2330" t="s">
        <v>4776</v>
      </c>
      <c r="Q2330" t="s">
        <v>4858</v>
      </c>
      <c r="R2330" t="s">
        <v>4773</v>
      </c>
    </row>
    <row r="2331" spans="1:18" x14ac:dyDescent="0.3">
      <c r="A2331">
        <v>407052744</v>
      </c>
      <c r="B2331" t="s">
        <v>4874</v>
      </c>
      <c r="C2331" t="s">
        <v>433</v>
      </c>
      <c r="D2331" t="s">
        <v>168</v>
      </c>
      <c r="E2331" s="1">
        <v>45945</v>
      </c>
      <c r="F2331" t="s">
        <v>4319</v>
      </c>
      <c r="G2331" t="s">
        <v>3036</v>
      </c>
      <c r="H2331" t="s">
        <v>432</v>
      </c>
      <c r="I2331" t="s">
        <v>204</v>
      </c>
      <c r="J2331" s="1">
        <v>46473</v>
      </c>
      <c r="K2331" t="s">
        <v>762</v>
      </c>
      <c r="L2331">
        <v>114</v>
      </c>
      <c r="M2331">
        <v>114.31</v>
      </c>
      <c r="N2331" t="s">
        <v>710</v>
      </c>
      <c r="O2331" t="s">
        <v>4833</v>
      </c>
      <c r="P2331" t="s">
        <v>4802</v>
      </c>
      <c r="Q2331" t="s">
        <v>4852</v>
      </c>
      <c r="R2331" t="s">
        <v>4771</v>
      </c>
    </row>
    <row r="2332" spans="1:18" x14ac:dyDescent="0.3">
      <c r="A2332">
        <v>407052189</v>
      </c>
      <c r="B2332" t="s">
        <v>4874</v>
      </c>
      <c r="C2332" t="s">
        <v>433</v>
      </c>
      <c r="D2332" t="s">
        <v>168</v>
      </c>
      <c r="E2332" s="1">
        <v>45945</v>
      </c>
      <c r="F2332" t="s">
        <v>4319</v>
      </c>
      <c r="G2332" t="s">
        <v>3038</v>
      </c>
      <c r="H2332" t="s">
        <v>432</v>
      </c>
      <c r="I2332" t="s">
        <v>204</v>
      </c>
      <c r="J2332" s="1">
        <v>46473</v>
      </c>
      <c r="K2332" t="s">
        <v>762</v>
      </c>
      <c r="L2332">
        <v>187</v>
      </c>
      <c r="M2332">
        <v>187.08</v>
      </c>
      <c r="N2332" t="s">
        <v>710</v>
      </c>
      <c r="O2332" t="s">
        <v>4833</v>
      </c>
      <c r="P2332" t="s">
        <v>4802</v>
      </c>
      <c r="Q2332" t="s">
        <v>4852</v>
      </c>
      <c r="R2332" t="s">
        <v>4771</v>
      </c>
    </row>
    <row r="2333" spans="1:18" x14ac:dyDescent="0.3">
      <c r="A2333">
        <v>7064</v>
      </c>
      <c r="B2333" t="s">
        <v>1035</v>
      </c>
      <c r="C2333" t="s">
        <v>230</v>
      </c>
      <c r="D2333" t="s">
        <v>85</v>
      </c>
      <c r="E2333" s="1">
        <v>45944</v>
      </c>
      <c r="F2333" t="s">
        <v>4409</v>
      </c>
      <c r="G2333" t="s">
        <v>2914</v>
      </c>
      <c r="H2333" t="s">
        <v>229</v>
      </c>
      <c r="I2333" t="s">
        <v>204</v>
      </c>
      <c r="J2333" s="1">
        <v>46203</v>
      </c>
      <c r="K2333" t="s">
        <v>744</v>
      </c>
      <c r="L2333">
        <v>1</v>
      </c>
      <c r="M2333">
        <v>260.97000000000003</v>
      </c>
      <c r="N2333" t="s">
        <v>710</v>
      </c>
      <c r="O2333" t="s">
        <v>1033</v>
      </c>
      <c r="P2333" t="s">
        <v>4781</v>
      </c>
      <c r="Q2333" t="s">
        <v>4852</v>
      </c>
      <c r="R2333" t="s">
        <v>4771</v>
      </c>
    </row>
    <row r="2334" spans="1:18" x14ac:dyDescent="0.3">
      <c r="A2334">
        <v>7054</v>
      </c>
      <c r="B2334" t="s">
        <v>1035</v>
      </c>
      <c r="C2334" t="s">
        <v>230</v>
      </c>
      <c r="D2334" t="s">
        <v>85</v>
      </c>
      <c r="E2334" s="1">
        <v>45944</v>
      </c>
      <c r="F2334" t="s">
        <v>4436</v>
      </c>
      <c r="G2334" t="s">
        <v>2914</v>
      </c>
      <c r="H2334" t="s">
        <v>229</v>
      </c>
      <c r="I2334" t="s">
        <v>204</v>
      </c>
      <c r="J2334" s="1">
        <v>46203</v>
      </c>
      <c r="K2334" t="s">
        <v>744</v>
      </c>
      <c r="L2334">
        <v>1</v>
      </c>
      <c r="M2334">
        <v>1072.1199999999999</v>
      </c>
      <c r="N2334" t="s">
        <v>710</v>
      </c>
      <c r="O2334" t="s">
        <v>1033</v>
      </c>
      <c r="P2334" t="s">
        <v>4781</v>
      </c>
      <c r="Q2334" t="s">
        <v>4852</v>
      </c>
      <c r="R2334" t="s">
        <v>4771</v>
      </c>
    </row>
    <row r="2335" spans="1:18" x14ac:dyDescent="0.3">
      <c r="A2335">
        <v>817149</v>
      </c>
      <c r="B2335" t="s">
        <v>4875</v>
      </c>
      <c r="C2335" t="s">
        <v>609</v>
      </c>
      <c r="D2335" t="s">
        <v>182</v>
      </c>
      <c r="E2335" s="1">
        <v>45944</v>
      </c>
      <c r="F2335" t="s">
        <v>4336</v>
      </c>
      <c r="G2335" t="s">
        <v>3002</v>
      </c>
      <c r="H2335" t="s">
        <v>610</v>
      </c>
      <c r="I2335" t="s">
        <v>204</v>
      </c>
      <c r="J2335" s="1">
        <v>46282</v>
      </c>
      <c r="K2335" t="s">
        <v>768</v>
      </c>
      <c r="L2335">
        <v>1</v>
      </c>
      <c r="M2335">
        <v>6201.5</v>
      </c>
      <c r="N2335" t="s">
        <v>710</v>
      </c>
      <c r="O2335" t="s">
        <v>1037</v>
      </c>
      <c r="P2335" t="s">
        <v>4794</v>
      </c>
      <c r="Q2335" t="s">
        <v>4852</v>
      </c>
      <c r="R2335" t="s">
        <v>4772</v>
      </c>
    </row>
    <row r="2336" spans="1:18" x14ac:dyDescent="0.3">
      <c r="A2336">
        <v>87</v>
      </c>
      <c r="B2336" t="s">
        <v>1034</v>
      </c>
      <c r="C2336" t="s">
        <v>658</v>
      </c>
      <c r="D2336" t="s">
        <v>192</v>
      </c>
      <c r="E2336" s="1">
        <v>45944</v>
      </c>
      <c r="F2336" t="s">
        <v>4377</v>
      </c>
      <c r="G2336" t="s">
        <v>2977</v>
      </c>
      <c r="H2336" t="s">
        <v>657</v>
      </c>
      <c r="I2336" t="s">
        <v>204</v>
      </c>
      <c r="J2336" s="1">
        <v>46218</v>
      </c>
      <c r="K2336" t="s">
        <v>711</v>
      </c>
      <c r="L2336">
        <v>1</v>
      </c>
      <c r="M2336">
        <v>2150</v>
      </c>
      <c r="N2336" t="s">
        <v>710</v>
      </c>
      <c r="O2336" t="s">
        <v>4834</v>
      </c>
      <c r="P2336" t="s">
        <v>4776</v>
      </c>
      <c r="Q2336" t="s">
        <v>4901</v>
      </c>
      <c r="R2336" t="s">
        <v>807</v>
      </c>
    </row>
    <row r="2337" spans="1:18" x14ac:dyDescent="0.3">
      <c r="A2337">
        <v>3358</v>
      </c>
      <c r="B2337" t="s">
        <v>1034</v>
      </c>
      <c r="C2337" t="s">
        <v>590</v>
      </c>
      <c r="D2337" t="s">
        <v>79</v>
      </c>
      <c r="E2337" s="1">
        <v>45944</v>
      </c>
      <c r="F2337" t="s">
        <v>4365</v>
      </c>
      <c r="G2337" t="s">
        <v>3014</v>
      </c>
      <c r="H2337" t="s">
        <v>589</v>
      </c>
      <c r="I2337" t="s">
        <v>204</v>
      </c>
      <c r="J2337" s="1">
        <v>46387</v>
      </c>
      <c r="K2337" t="s">
        <v>717</v>
      </c>
      <c r="L2337">
        <v>1284</v>
      </c>
      <c r="M2337">
        <v>1284</v>
      </c>
      <c r="N2337" t="s">
        <v>814</v>
      </c>
      <c r="O2337" t="s">
        <v>4845</v>
      </c>
      <c r="P2337" t="s">
        <v>4793</v>
      </c>
      <c r="Q2337" t="s">
        <v>4845</v>
      </c>
      <c r="R2337" t="s">
        <v>4773</v>
      </c>
    </row>
    <row r="2338" spans="1:18" x14ac:dyDescent="0.3">
      <c r="A2338">
        <v>7093</v>
      </c>
      <c r="B2338" t="s">
        <v>1035</v>
      </c>
      <c r="C2338" t="s">
        <v>230</v>
      </c>
      <c r="D2338" t="s">
        <v>85</v>
      </c>
      <c r="E2338" s="1">
        <v>45944</v>
      </c>
      <c r="F2338" t="s">
        <v>4421</v>
      </c>
      <c r="G2338" t="s">
        <v>2914</v>
      </c>
      <c r="H2338" t="s">
        <v>229</v>
      </c>
      <c r="I2338" t="s">
        <v>204</v>
      </c>
      <c r="J2338" s="1">
        <v>46203</v>
      </c>
      <c r="K2338" t="s">
        <v>744</v>
      </c>
      <c r="L2338">
        <v>1</v>
      </c>
      <c r="M2338">
        <v>3820.9</v>
      </c>
      <c r="N2338" t="s">
        <v>710</v>
      </c>
      <c r="O2338" t="s">
        <v>1033</v>
      </c>
      <c r="P2338" t="s">
        <v>4781</v>
      </c>
      <c r="Q2338" t="s">
        <v>4852</v>
      </c>
      <c r="R2338" t="s">
        <v>4771</v>
      </c>
    </row>
    <row r="2339" spans="1:18" x14ac:dyDescent="0.3">
      <c r="A2339">
        <v>202563</v>
      </c>
      <c r="B2339" t="s">
        <v>1034</v>
      </c>
      <c r="C2339" t="s">
        <v>507</v>
      </c>
      <c r="D2339" t="s">
        <v>18</v>
      </c>
      <c r="E2339" s="1">
        <v>45944</v>
      </c>
      <c r="F2339" t="s">
        <v>4322</v>
      </c>
      <c r="G2339" t="s">
        <v>2788</v>
      </c>
      <c r="H2339" t="s">
        <v>506</v>
      </c>
      <c r="I2339" t="s">
        <v>204</v>
      </c>
      <c r="J2339" s="1">
        <v>46741</v>
      </c>
      <c r="K2339" t="s">
        <v>711</v>
      </c>
      <c r="L2339">
        <v>1</v>
      </c>
      <c r="M2339">
        <v>7700</v>
      </c>
      <c r="N2339" t="s">
        <v>710</v>
      </c>
      <c r="O2339" t="s">
        <v>1036</v>
      </c>
      <c r="P2339" t="s">
        <v>4777</v>
      </c>
      <c r="Q2339" t="s">
        <v>4901</v>
      </c>
      <c r="R2339" t="s">
        <v>4773</v>
      </c>
    </row>
    <row r="2340" spans="1:18" x14ac:dyDescent="0.3">
      <c r="A2340">
        <v>202563</v>
      </c>
      <c r="B2340" t="s">
        <v>1034</v>
      </c>
      <c r="C2340" t="s">
        <v>507</v>
      </c>
      <c r="D2340" t="s">
        <v>18</v>
      </c>
      <c r="E2340" s="1">
        <v>45944</v>
      </c>
      <c r="F2340" t="s">
        <v>4322</v>
      </c>
      <c r="G2340" t="s">
        <v>2788</v>
      </c>
      <c r="H2340" t="s">
        <v>506</v>
      </c>
      <c r="I2340" t="s">
        <v>204</v>
      </c>
      <c r="J2340" s="1">
        <v>46741</v>
      </c>
      <c r="K2340" t="s">
        <v>711</v>
      </c>
      <c r="L2340">
        <v>1</v>
      </c>
      <c r="M2340">
        <v>7350</v>
      </c>
      <c r="N2340" t="s">
        <v>710</v>
      </c>
      <c r="O2340" t="s">
        <v>1036</v>
      </c>
      <c r="P2340" t="s">
        <v>4777</v>
      </c>
      <c r="Q2340" t="s">
        <v>4901</v>
      </c>
      <c r="R2340" t="s">
        <v>4773</v>
      </c>
    </row>
    <row r="2341" spans="1:18" x14ac:dyDescent="0.3">
      <c r="A2341">
        <v>7105</v>
      </c>
      <c r="B2341" t="s">
        <v>1035</v>
      </c>
      <c r="C2341" t="s">
        <v>230</v>
      </c>
      <c r="D2341" t="s">
        <v>85</v>
      </c>
      <c r="E2341" s="1">
        <v>45944</v>
      </c>
      <c r="F2341" t="s">
        <v>4299</v>
      </c>
      <c r="G2341" t="s">
        <v>2914</v>
      </c>
      <c r="H2341" t="s">
        <v>229</v>
      </c>
      <c r="I2341" t="s">
        <v>204</v>
      </c>
      <c r="J2341" s="1">
        <v>46203</v>
      </c>
      <c r="K2341" t="s">
        <v>744</v>
      </c>
      <c r="L2341">
        <v>1</v>
      </c>
      <c r="M2341">
        <v>218.42</v>
      </c>
      <c r="N2341" t="s">
        <v>710</v>
      </c>
      <c r="O2341" t="s">
        <v>1033</v>
      </c>
      <c r="P2341" t="s">
        <v>4781</v>
      </c>
      <c r="Q2341" t="s">
        <v>4852</v>
      </c>
      <c r="R2341" t="s">
        <v>4771</v>
      </c>
    </row>
    <row r="2342" spans="1:18" x14ac:dyDescent="0.3">
      <c r="A2342">
        <v>163251</v>
      </c>
      <c r="B2342" t="s">
        <v>4874</v>
      </c>
      <c r="C2342" t="s">
        <v>214</v>
      </c>
      <c r="D2342" t="s">
        <v>94</v>
      </c>
      <c r="E2342" s="1">
        <v>45944</v>
      </c>
      <c r="F2342" t="s">
        <v>4295</v>
      </c>
      <c r="G2342" t="s">
        <v>3018</v>
      </c>
      <c r="H2342" t="s">
        <v>213</v>
      </c>
      <c r="I2342" t="s">
        <v>204</v>
      </c>
      <c r="J2342" s="1">
        <v>46309</v>
      </c>
      <c r="K2342" t="s">
        <v>720</v>
      </c>
      <c r="L2342">
        <v>1</v>
      </c>
      <c r="M2342">
        <v>23675.66</v>
      </c>
      <c r="N2342" t="s">
        <v>710</v>
      </c>
      <c r="O2342" t="s">
        <v>4834</v>
      </c>
      <c r="P2342" t="s">
        <v>4776</v>
      </c>
      <c r="Q2342" t="s">
        <v>4858</v>
      </c>
      <c r="R2342" t="s">
        <v>4772</v>
      </c>
    </row>
    <row r="2343" spans="1:18" x14ac:dyDescent="0.3">
      <c r="A2343">
        <v>7092</v>
      </c>
      <c r="B2343" t="s">
        <v>1035</v>
      </c>
      <c r="C2343" t="s">
        <v>230</v>
      </c>
      <c r="D2343" t="s">
        <v>85</v>
      </c>
      <c r="E2343" s="1">
        <v>45944</v>
      </c>
      <c r="F2343" t="s">
        <v>4348</v>
      </c>
      <c r="G2343" t="s">
        <v>2914</v>
      </c>
      <c r="H2343" t="s">
        <v>229</v>
      </c>
      <c r="I2343" t="s">
        <v>204</v>
      </c>
      <c r="J2343" s="1">
        <v>46203</v>
      </c>
      <c r="K2343" t="s">
        <v>744</v>
      </c>
      <c r="L2343">
        <v>1</v>
      </c>
      <c r="M2343">
        <v>9503.19</v>
      </c>
      <c r="N2343" t="s">
        <v>710</v>
      </c>
      <c r="O2343" t="s">
        <v>1033</v>
      </c>
      <c r="P2343" t="s">
        <v>4781</v>
      </c>
      <c r="Q2343" t="s">
        <v>4852</v>
      </c>
      <c r="R2343" t="s">
        <v>4771</v>
      </c>
    </row>
    <row r="2344" spans="1:18" x14ac:dyDescent="0.3">
      <c r="A2344">
        <v>7118</v>
      </c>
      <c r="B2344" t="s">
        <v>1035</v>
      </c>
      <c r="C2344" t="s">
        <v>230</v>
      </c>
      <c r="D2344" t="s">
        <v>85</v>
      </c>
      <c r="E2344" s="1">
        <v>45944</v>
      </c>
      <c r="F2344" t="s">
        <v>4436</v>
      </c>
      <c r="G2344" t="s">
        <v>3028</v>
      </c>
      <c r="H2344" t="s">
        <v>229</v>
      </c>
      <c r="I2344" t="s">
        <v>204</v>
      </c>
      <c r="J2344" s="1">
        <v>46203</v>
      </c>
      <c r="K2344" t="s">
        <v>744</v>
      </c>
      <c r="L2344">
        <v>1</v>
      </c>
      <c r="M2344">
        <v>1072.1199999999999</v>
      </c>
      <c r="N2344" t="s">
        <v>710</v>
      </c>
      <c r="O2344" t="s">
        <v>1033</v>
      </c>
      <c r="P2344" t="s">
        <v>4781</v>
      </c>
      <c r="Q2344" t="s">
        <v>4852</v>
      </c>
      <c r="R2344" t="s">
        <v>4771</v>
      </c>
    </row>
    <row r="2345" spans="1:18" x14ac:dyDescent="0.3">
      <c r="A2345">
        <v>760</v>
      </c>
      <c r="B2345" t="s">
        <v>1035</v>
      </c>
      <c r="C2345" t="s">
        <v>230</v>
      </c>
      <c r="D2345" t="s">
        <v>85</v>
      </c>
      <c r="E2345" s="1">
        <v>45944</v>
      </c>
      <c r="F2345" t="s">
        <v>4409</v>
      </c>
      <c r="G2345" t="s">
        <v>3028</v>
      </c>
      <c r="H2345" t="s">
        <v>229</v>
      </c>
      <c r="I2345" t="s">
        <v>204</v>
      </c>
      <c r="J2345" s="1">
        <v>46203</v>
      </c>
      <c r="K2345" t="s">
        <v>744</v>
      </c>
      <c r="L2345">
        <v>1</v>
      </c>
      <c r="M2345">
        <v>329.74</v>
      </c>
      <c r="N2345" t="s">
        <v>710</v>
      </c>
      <c r="O2345" t="s">
        <v>1033</v>
      </c>
      <c r="P2345" t="s">
        <v>4781</v>
      </c>
      <c r="Q2345" t="s">
        <v>4852</v>
      </c>
      <c r="R2345" t="s">
        <v>4771</v>
      </c>
    </row>
    <row r="2346" spans="1:18" x14ac:dyDescent="0.3">
      <c r="A2346">
        <v>10307</v>
      </c>
      <c r="B2346" t="s">
        <v>1034</v>
      </c>
      <c r="C2346" t="s">
        <v>624</v>
      </c>
      <c r="D2346" t="s">
        <v>68</v>
      </c>
      <c r="E2346" s="1">
        <v>45943</v>
      </c>
      <c r="F2346" t="s">
        <v>4367</v>
      </c>
      <c r="G2346" t="s">
        <v>1146</v>
      </c>
      <c r="H2346" t="s">
        <v>623</v>
      </c>
      <c r="I2346" t="s">
        <v>204</v>
      </c>
      <c r="J2346" s="1">
        <v>46017</v>
      </c>
      <c r="K2346" t="s">
        <v>839</v>
      </c>
      <c r="L2346">
        <v>1600</v>
      </c>
      <c r="M2346">
        <v>1600</v>
      </c>
      <c r="N2346" t="s">
        <v>710</v>
      </c>
      <c r="O2346" t="s">
        <v>1041</v>
      </c>
      <c r="P2346" t="s">
        <v>4776</v>
      </c>
      <c r="Q2346" t="s">
        <v>4852</v>
      </c>
      <c r="R2346" t="s">
        <v>4771</v>
      </c>
    </row>
    <row r="2347" spans="1:18" x14ac:dyDescent="0.3">
      <c r="A2347">
        <v>519821</v>
      </c>
      <c r="B2347" t="s">
        <v>4874</v>
      </c>
      <c r="C2347" t="s">
        <v>389</v>
      </c>
      <c r="D2347" t="s">
        <v>32</v>
      </c>
      <c r="E2347" s="1">
        <v>45943</v>
      </c>
      <c r="F2347" t="s">
        <v>4299</v>
      </c>
      <c r="G2347" t="s">
        <v>3020</v>
      </c>
      <c r="H2347" t="s">
        <v>388</v>
      </c>
      <c r="I2347" t="s">
        <v>204</v>
      </c>
      <c r="J2347" s="1">
        <v>46752</v>
      </c>
      <c r="K2347" t="s">
        <v>785</v>
      </c>
      <c r="L2347">
        <v>1</v>
      </c>
      <c r="M2347">
        <v>35859.589999999997</v>
      </c>
      <c r="N2347" t="s">
        <v>710</v>
      </c>
      <c r="O2347" t="s">
        <v>1038</v>
      </c>
      <c r="P2347" t="s">
        <v>4785</v>
      </c>
      <c r="Q2347" t="s">
        <v>4858</v>
      </c>
      <c r="R2347" t="s">
        <v>4771</v>
      </c>
    </row>
    <row r="2348" spans="1:18" x14ac:dyDescent="0.3">
      <c r="A2348">
        <v>19223</v>
      </c>
      <c r="B2348" t="s">
        <v>4874</v>
      </c>
      <c r="C2348" t="s">
        <v>212</v>
      </c>
      <c r="D2348" t="s">
        <v>62</v>
      </c>
      <c r="E2348" s="1">
        <v>45943</v>
      </c>
      <c r="F2348" t="s">
        <v>4318</v>
      </c>
      <c r="G2348" t="s">
        <v>3001</v>
      </c>
      <c r="H2348" t="s">
        <v>211</v>
      </c>
      <c r="I2348" t="s">
        <v>204</v>
      </c>
      <c r="J2348" s="1">
        <v>54878</v>
      </c>
      <c r="K2348" t="s">
        <v>720</v>
      </c>
      <c r="L2348">
        <v>1</v>
      </c>
      <c r="M2348">
        <v>1000</v>
      </c>
      <c r="N2348" t="s">
        <v>719</v>
      </c>
      <c r="O2348" t="s">
        <v>4834</v>
      </c>
      <c r="P2348" t="s">
        <v>4776</v>
      </c>
      <c r="Q2348" t="s">
        <v>4858</v>
      </c>
      <c r="R2348" t="s">
        <v>4771</v>
      </c>
    </row>
    <row r="2349" spans="1:18" x14ac:dyDescent="0.3">
      <c r="A2349">
        <v>817150</v>
      </c>
      <c r="B2349" t="s">
        <v>1034</v>
      </c>
      <c r="C2349" t="s">
        <v>609</v>
      </c>
      <c r="D2349" t="s">
        <v>182</v>
      </c>
      <c r="E2349" s="1">
        <v>45943</v>
      </c>
      <c r="F2349" t="s">
        <v>4336</v>
      </c>
      <c r="G2349" t="s">
        <v>3017</v>
      </c>
      <c r="H2349" t="s">
        <v>608</v>
      </c>
      <c r="I2349" t="s">
        <v>204</v>
      </c>
      <c r="J2349" s="1">
        <v>46281</v>
      </c>
      <c r="K2349" t="s">
        <v>717</v>
      </c>
      <c r="L2349">
        <v>1</v>
      </c>
      <c r="M2349">
        <v>29348.29</v>
      </c>
      <c r="N2349" t="s">
        <v>719</v>
      </c>
      <c r="O2349" t="s">
        <v>1037</v>
      </c>
      <c r="P2349" t="s">
        <v>4794</v>
      </c>
      <c r="Q2349" t="s">
        <v>4852</v>
      </c>
      <c r="R2349" t="s">
        <v>4772</v>
      </c>
    </row>
    <row r="2350" spans="1:18" x14ac:dyDescent="0.3">
      <c r="A2350">
        <v>13</v>
      </c>
      <c r="B2350" t="s">
        <v>4874</v>
      </c>
      <c r="C2350" t="s">
        <v>626</v>
      </c>
      <c r="D2350" t="s">
        <v>184</v>
      </c>
      <c r="E2350" s="1">
        <v>45943</v>
      </c>
      <c r="F2350" t="s">
        <v>4414</v>
      </c>
      <c r="G2350" t="s">
        <v>2994</v>
      </c>
      <c r="H2350" t="s">
        <v>625</v>
      </c>
      <c r="I2350" t="s">
        <v>204</v>
      </c>
      <c r="J2350" s="1">
        <v>46440</v>
      </c>
      <c r="K2350" t="s">
        <v>720</v>
      </c>
      <c r="L2350">
        <v>215.36840000000001</v>
      </c>
      <c r="M2350">
        <v>20460</v>
      </c>
      <c r="N2350" t="s">
        <v>710</v>
      </c>
      <c r="O2350" t="s">
        <v>1039</v>
      </c>
      <c r="P2350" t="s">
        <v>4777</v>
      </c>
      <c r="Q2350" t="s">
        <v>4858</v>
      </c>
      <c r="R2350" t="s">
        <v>4773</v>
      </c>
    </row>
    <row r="2351" spans="1:18" x14ac:dyDescent="0.3">
      <c r="A2351">
        <v>4980</v>
      </c>
      <c r="B2351" t="s">
        <v>4874</v>
      </c>
      <c r="C2351" t="s">
        <v>456</v>
      </c>
      <c r="D2351" t="s">
        <v>71</v>
      </c>
      <c r="E2351" s="1">
        <v>45943</v>
      </c>
      <c r="F2351" t="s">
        <v>4401</v>
      </c>
      <c r="G2351" t="s">
        <v>3016</v>
      </c>
      <c r="H2351" t="s">
        <v>455</v>
      </c>
      <c r="I2351" t="s">
        <v>204</v>
      </c>
      <c r="J2351" s="1">
        <v>54878</v>
      </c>
      <c r="K2351" t="s">
        <v>762</v>
      </c>
      <c r="L2351">
        <v>6885.9</v>
      </c>
      <c r="M2351">
        <v>6885.9</v>
      </c>
      <c r="N2351" t="s">
        <v>710</v>
      </c>
      <c r="O2351" t="s">
        <v>1042</v>
      </c>
      <c r="P2351" t="s">
        <v>1006</v>
      </c>
      <c r="Q2351" t="s">
        <v>4852</v>
      </c>
      <c r="R2351" t="s">
        <v>4771</v>
      </c>
    </row>
    <row r="2352" spans="1:18" x14ac:dyDescent="0.3">
      <c r="A2352">
        <v>345</v>
      </c>
      <c r="B2352" t="s">
        <v>4874</v>
      </c>
      <c r="C2352" t="s">
        <v>645</v>
      </c>
      <c r="D2352" t="s">
        <v>76</v>
      </c>
      <c r="E2352" s="1">
        <v>45943</v>
      </c>
      <c r="F2352" t="s">
        <v>4318</v>
      </c>
      <c r="G2352" t="s">
        <v>2947</v>
      </c>
      <c r="H2352" t="s">
        <v>644</v>
      </c>
      <c r="I2352" t="s">
        <v>204</v>
      </c>
      <c r="J2352" s="1">
        <v>46478</v>
      </c>
      <c r="K2352" t="s">
        <v>720</v>
      </c>
      <c r="L2352">
        <v>1</v>
      </c>
      <c r="M2352">
        <v>4027.7</v>
      </c>
      <c r="N2352" t="s">
        <v>710</v>
      </c>
      <c r="O2352" t="s">
        <v>1038</v>
      </c>
      <c r="P2352" t="s">
        <v>4776</v>
      </c>
      <c r="Q2352" t="s">
        <v>4858</v>
      </c>
      <c r="R2352" t="s">
        <v>4773</v>
      </c>
    </row>
    <row r="2353" spans="1:18" x14ac:dyDescent="0.3">
      <c r="A2353">
        <v>41525</v>
      </c>
      <c r="B2353" t="s">
        <v>4874</v>
      </c>
      <c r="C2353" t="s">
        <v>294</v>
      </c>
      <c r="D2353" t="s">
        <v>101</v>
      </c>
      <c r="E2353" s="1">
        <v>45943</v>
      </c>
      <c r="F2353" t="s">
        <v>4304</v>
      </c>
      <c r="G2353" t="s">
        <v>3000</v>
      </c>
      <c r="H2353" t="s">
        <v>293</v>
      </c>
      <c r="I2353" t="s">
        <v>204</v>
      </c>
      <c r="J2353" s="1">
        <v>46191</v>
      </c>
      <c r="K2353" t="s">
        <v>720</v>
      </c>
      <c r="L2353">
        <v>1</v>
      </c>
      <c r="M2353">
        <v>190</v>
      </c>
      <c r="N2353" t="s">
        <v>710</v>
      </c>
      <c r="O2353" t="s">
        <v>4834</v>
      </c>
      <c r="P2353" t="s">
        <v>4776</v>
      </c>
      <c r="Q2353" t="s">
        <v>4858</v>
      </c>
      <c r="R2353" t="s">
        <v>4773</v>
      </c>
    </row>
    <row r="2354" spans="1:18" x14ac:dyDescent="0.3">
      <c r="A2354">
        <v>87676</v>
      </c>
      <c r="B2354" t="s">
        <v>1034</v>
      </c>
      <c r="C2354" t="s">
        <v>319</v>
      </c>
      <c r="D2354" t="s">
        <v>36</v>
      </c>
      <c r="E2354" s="1">
        <v>45943</v>
      </c>
      <c r="F2354" t="s">
        <v>4298</v>
      </c>
      <c r="G2354" t="s">
        <v>3011</v>
      </c>
      <c r="H2354" t="s">
        <v>318</v>
      </c>
      <c r="I2354" t="s">
        <v>204</v>
      </c>
      <c r="J2354" s="1">
        <v>46214</v>
      </c>
      <c r="K2354" t="s">
        <v>711</v>
      </c>
      <c r="L2354">
        <v>1306</v>
      </c>
      <c r="M2354">
        <v>1305.78</v>
      </c>
      <c r="N2354" t="s">
        <v>710</v>
      </c>
      <c r="O2354" t="s">
        <v>1036</v>
      </c>
      <c r="P2354" t="s">
        <v>4784</v>
      </c>
      <c r="Q2354" t="s">
        <v>4901</v>
      </c>
      <c r="R2354" t="s">
        <v>4771</v>
      </c>
    </row>
    <row r="2355" spans="1:18" x14ac:dyDescent="0.3">
      <c r="A2355">
        <v>7094</v>
      </c>
      <c r="B2355" t="s">
        <v>4874</v>
      </c>
      <c r="C2355" t="s">
        <v>230</v>
      </c>
      <c r="D2355" t="s">
        <v>85</v>
      </c>
      <c r="E2355" s="1">
        <v>45940</v>
      </c>
      <c r="F2355" t="s">
        <v>4421</v>
      </c>
      <c r="G2355" t="s">
        <v>2987</v>
      </c>
      <c r="H2355" t="s">
        <v>299</v>
      </c>
      <c r="I2355" t="s">
        <v>204</v>
      </c>
      <c r="J2355" s="1">
        <v>46536</v>
      </c>
      <c r="K2355" t="s">
        <v>762</v>
      </c>
      <c r="L2355">
        <v>12092.8</v>
      </c>
      <c r="M2355">
        <v>12092.8</v>
      </c>
      <c r="N2355" t="s">
        <v>710</v>
      </c>
      <c r="O2355" t="s">
        <v>1033</v>
      </c>
      <c r="P2355" t="s">
        <v>4781</v>
      </c>
      <c r="Q2355" t="s">
        <v>4852</v>
      </c>
      <c r="R2355" t="s">
        <v>4771</v>
      </c>
    </row>
    <row r="2356" spans="1:18" x14ac:dyDescent="0.3">
      <c r="A2356">
        <v>1856</v>
      </c>
      <c r="B2356" t="s">
        <v>4874</v>
      </c>
      <c r="C2356" t="s">
        <v>647</v>
      </c>
      <c r="D2356" t="s">
        <v>130</v>
      </c>
      <c r="E2356" s="1">
        <v>45940</v>
      </c>
      <c r="F2356" t="s">
        <v>4363</v>
      </c>
      <c r="G2356" t="s">
        <v>2926</v>
      </c>
      <c r="H2356" t="s">
        <v>646</v>
      </c>
      <c r="I2356" t="s">
        <v>204</v>
      </c>
      <c r="J2356" s="1">
        <v>46522</v>
      </c>
      <c r="K2356" t="s">
        <v>762</v>
      </c>
      <c r="L2356">
        <v>13492</v>
      </c>
      <c r="M2356">
        <v>13492</v>
      </c>
      <c r="N2356" t="s">
        <v>890</v>
      </c>
      <c r="O2356" t="s">
        <v>1044</v>
      </c>
      <c r="P2356" t="s">
        <v>4776</v>
      </c>
      <c r="Q2356" t="s">
        <v>4852</v>
      </c>
    </row>
    <row r="2357" spans="1:18" x14ac:dyDescent="0.3">
      <c r="A2357">
        <v>1845</v>
      </c>
      <c r="B2357" t="s">
        <v>4874</v>
      </c>
      <c r="C2357" t="s">
        <v>647</v>
      </c>
      <c r="D2357" t="s">
        <v>130</v>
      </c>
      <c r="E2357" s="1">
        <v>45940</v>
      </c>
      <c r="F2357" t="s">
        <v>4363</v>
      </c>
      <c r="G2357" t="s">
        <v>2926</v>
      </c>
      <c r="H2357" t="s">
        <v>646</v>
      </c>
      <c r="I2357" t="s">
        <v>204</v>
      </c>
      <c r="J2357" s="1">
        <v>46522</v>
      </c>
      <c r="K2357" t="s">
        <v>762</v>
      </c>
      <c r="L2357">
        <v>2081.4</v>
      </c>
      <c r="M2357">
        <v>2081.4</v>
      </c>
      <c r="N2357" t="s">
        <v>890</v>
      </c>
      <c r="O2357" t="s">
        <v>1044</v>
      </c>
      <c r="P2357" t="s">
        <v>4776</v>
      </c>
      <c r="Q2357" t="s">
        <v>4852</v>
      </c>
    </row>
    <row r="2358" spans="1:18" x14ac:dyDescent="0.3">
      <c r="A2358">
        <v>20251662</v>
      </c>
      <c r="B2358" t="s">
        <v>4875</v>
      </c>
      <c r="C2358" t="s">
        <v>550</v>
      </c>
      <c r="D2358" t="s">
        <v>189</v>
      </c>
      <c r="E2358" s="1">
        <v>45940</v>
      </c>
      <c r="F2358" t="s">
        <v>4338</v>
      </c>
      <c r="G2358" t="s">
        <v>2995</v>
      </c>
      <c r="H2358" t="s">
        <v>569</v>
      </c>
      <c r="I2358" t="s">
        <v>204</v>
      </c>
      <c r="J2358" s="1">
        <v>46599</v>
      </c>
      <c r="K2358" t="s">
        <v>768</v>
      </c>
      <c r="L2358">
        <v>23437.4</v>
      </c>
      <c r="M2358">
        <v>23437.4</v>
      </c>
      <c r="N2358" t="s">
        <v>710</v>
      </c>
      <c r="O2358" t="s">
        <v>4904</v>
      </c>
      <c r="P2358" t="s">
        <v>4792</v>
      </c>
      <c r="Q2358" t="s">
        <v>4904</v>
      </c>
      <c r="R2358" t="s">
        <v>4772</v>
      </c>
    </row>
    <row r="2359" spans="1:18" x14ac:dyDescent="0.3">
      <c r="A2359">
        <v>3058</v>
      </c>
      <c r="B2359" t="s">
        <v>4874</v>
      </c>
      <c r="C2359" t="s">
        <v>533</v>
      </c>
      <c r="D2359" t="s">
        <v>103</v>
      </c>
      <c r="E2359" s="1">
        <v>45940</v>
      </c>
      <c r="F2359" t="s">
        <v>4416</v>
      </c>
      <c r="G2359" t="s">
        <v>2929</v>
      </c>
      <c r="H2359" t="s">
        <v>532</v>
      </c>
      <c r="I2359" t="s">
        <v>204</v>
      </c>
      <c r="J2359" s="1">
        <v>46568</v>
      </c>
      <c r="K2359" t="s">
        <v>892</v>
      </c>
      <c r="L2359">
        <v>12367.55</v>
      </c>
      <c r="M2359">
        <v>12367.55</v>
      </c>
      <c r="N2359" t="s">
        <v>710</v>
      </c>
      <c r="O2359" t="s">
        <v>4811</v>
      </c>
      <c r="P2359" t="s">
        <v>4776</v>
      </c>
      <c r="Q2359" t="s">
        <v>4859</v>
      </c>
      <c r="R2359" t="s">
        <v>4771</v>
      </c>
    </row>
    <row r="2360" spans="1:18" x14ac:dyDescent="0.3">
      <c r="A2360">
        <v>20251663</v>
      </c>
      <c r="B2360" t="s">
        <v>1034</v>
      </c>
      <c r="C2360" t="s">
        <v>550</v>
      </c>
      <c r="D2360" t="s">
        <v>189</v>
      </c>
      <c r="E2360" s="1">
        <v>45940</v>
      </c>
      <c r="F2360" t="s">
        <v>4338</v>
      </c>
      <c r="G2360" t="s">
        <v>2993</v>
      </c>
      <c r="H2360" t="s">
        <v>582</v>
      </c>
      <c r="I2360" t="s">
        <v>204</v>
      </c>
      <c r="J2360" s="1">
        <v>46599</v>
      </c>
      <c r="K2360" t="s">
        <v>717</v>
      </c>
      <c r="L2360">
        <v>27301.11</v>
      </c>
      <c r="M2360">
        <v>27301.11</v>
      </c>
      <c r="N2360" t="s">
        <v>710</v>
      </c>
      <c r="O2360" t="s">
        <v>4904</v>
      </c>
      <c r="P2360" t="s">
        <v>4792</v>
      </c>
      <c r="Q2360" t="s">
        <v>4904</v>
      </c>
      <c r="R2360" t="s">
        <v>4772</v>
      </c>
    </row>
    <row r="2361" spans="1:18" x14ac:dyDescent="0.3">
      <c r="A2361">
        <v>269</v>
      </c>
      <c r="B2361" t="s">
        <v>1034</v>
      </c>
      <c r="C2361" t="s">
        <v>325</v>
      </c>
      <c r="D2361" t="s">
        <v>193</v>
      </c>
      <c r="E2361" s="1">
        <v>45940</v>
      </c>
      <c r="F2361" t="s">
        <v>4297</v>
      </c>
      <c r="G2361" t="s">
        <v>3009</v>
      </c>
      <c r="H2361" t="s">
        <v>324</v>
      </c>
      <c r="I2361" t="s">
        <v>204</v>
      </c>
      <c r="J2361" s="1">
        <v>54878</v>
      </c>
      <c r="K2361" t="s">
        <v>711</v>
      </c>
      <c r="L2361">
        <v>3900</v>
      </c>
      <c r="M2361">
        <v>3900</v>
      </c>
      <c r="N2361" t="s">
        <v>710</v>
      </c>
      <c r="O2361" t="s">
        <v>4844</v>
      </c>
      <c r="P2361" t="s">
        <v>4779</v>
      </c>
      <c r="Q2361" t="s">
        <v>4901</v>
      </c>
      <c r="R2361" t="s">
        <v>4773</v>
      </c>
    </row>
    <row r="2362" spans="1:18" x14ac:dyDescent="0.3">
      <c r="A2362">
        <v>335</v>
      </c>
      <c r="B2362" t="s">
        <v>4874</v>
      </c>
      <c r="C2362" t="s">
        <v>575</v>
      </c>
      <c r="D2362" t="s">
        <v>174</v>
      </c>
      <c r="E2362" s="1">
        <v>45940</v>
      </c>
      <c r="F2362" t="s">
        <v>4412</v>
      </c>
      <c r="G2362" t="s">
        <v>2962</v>
      </c>
      <c r="H2362" t="s">
        <v>574</v>
      </c>
      <c r="I2362" t="s">
        <v>204</v>
      </c>
      <c r="J2362" s="1">
        <v>46203</v>
      </c>
      <c r="K2362" t="s">
        <v>720</v>
      </c>
      <c r="L2362">
        <v>1</v>
      </c>
      <c r="M2362">
        <v>12677.92</v>
      </c>
      <c r="N2362" t="s">
        <v>890</v>
      </c>
      <c r="O2362" t="s">
        <v>1039</v>
      </c>
      <c r="P2362" t="s">
        <v>4776</v>
      </c>
      <c r="Q2362" t="s">
        <v>4858</v>
      </c>
      <c r="R2362" t="s">
        <v>4771</v>
      </c>
    </row>
    <row r="2363" spans="1:18" x14ac:dyDescent="0.3">
      <c r="A2363">
        <v>38941</v>
      </c>
      <c r="B2363" t="s">
        <v>4874</v>
      </c>
      <c r="C2363" t="s">
        <v>447</v>
      </c>
      <c r="D2363" t="s">
        <v>57</v>
      </c>
      <c r="E2363" s="1">
        <v>45940</v>
      </c>
      <c r="F2363" t="s">
        <v>4383</v>
      </c>
      <c r="G2363" t="s">
        <v>2999</v>
      </c>
      <c r="H2363" t="s">
        <v>446</v>
      </c>
      <c r="I2363" t="s">
        <v>204</v>
      </c>
      <c r="J2363" s="1">
        <v>46203</v>
      </c>
      <c r="K2363" t="s">
        <v>762</v>
      </c>
      <c r="L2363">
        <v>793.23</v>
      </c>
      <c r="M2363">
        <v>793.23</v>
      </c>
      <c r="N2363" t="s">
        <v>710</v>
      </c>
      <c r="O2363" t="s">
        <v>1038</v>
      </c>
      <c r="P2363" t="s">
        <v>4776</v>
      </c>
      <c r="Q2363" t="s">
        <v>4858</v>
      </c>
      <c r="R2363" t="s">
        <v>4774</v>
      </c>
    </row>
    <row r="2364" spans="1:18" x14ac:dyDescent="0.3">
      <c r="A2364">
        <v>281747</v>
      </c>
      <c r="B2364" t="s">
        <v>4874</v>
      </c>
      <c r="C2364" t="s">
        <v>391</v>
      </c>
      <c r="D2364" t="s">
        <v>104</v>
      </c>
      <c r="E2364" s="1">
        <v>45939</v>
      </c>
      <c r="F2364" t="s">
        <v>4315</v>
      </c>
      <c r="G2364" t="s">
        <v>2966</v>
      </c>
      <c r="H2364" t="s">
        <v>390</v>
      </c>
      <c r="I2364" t="s">
        <v>204</v>
      </c>
      <c r="J2364" s="1">
        <v>54878</v>
      </c>
      <c r="K2364" t="s">
        <v>762</v>
      </c>
      <c r="L2364">
        <v>312.67</v>
      </c>
      <c r="M2364">
        <v>312.67</v>
      </c>
      <c r="N2364" t="s">
        <v>710</v>
      </c>
      <c r="O2364" t="s">
        <v>4833</v>
      </c>
      <c r="P2364" t="s">
        <v>4776</v>
      </c>
      <c r="Q2364" t="s">
        <v>4852</v>
      </c>
      <c r="R2364" t="s">
        <v>4773</v>
      </c>
    </row>
    <row r="2365" spans="1:18" x14ac:dyDescent="0.3">
      <c r="A2365">
        <v>378564</v>
      </c>
      <c r="B2365" t="s">
        <v>4875</v>
      </c>
      <c r="C2365" t="s">
        <v>435</v>
      </c>
      <c r="D2365" t="s">
        <v>30</v>
      </c>
      <c r="E2365" s="1">
        <v>45939</v>
      </c>
      <c r="F2365" t="s">
        <v>4351</v>
      </c>
      <c r="G2365" t="s">
        <v>2981</v>
      </c>
      <c r="H2365" t="s">
        <v>434</v>
      </c>
      <c r="I2365" t="s">
        <v>204</v>
      </c>
      <c r="J2365" s="1">
        <v>46752</v>
      </c>
      <c r="K2365" t="s">
        <v>785</v>
      </c>
      <c r="L2365">
        <v>1</v>
      </c>
      <c r="M2365">
        <v>73438.320000000007</v>
      </c>
      <c r="N2365" t="s">
        <v>998</v>
      </c>
      <c r="O2365" t="s">
        <v>1038</v>
      </c>
      <c r="P2365" t="s">
        <v>4787</v>
      </c>
      <c r="Q2365" t="s">
        <v>4858</v>
      </c>
      <c r="R2365" t="s">
        <v>4771</v>
      </c>
    </row>
    <row r="2366" spans="1:18" x14ac:dyDescent="0.3">
      <c r="A2366">
        <v>21338</v>
      </c>
      <c r="B2366" t="s">
        <v>4874</v>
      </c>
      <c r="C2366" t="s">
        <v>243</v>
      </c>
      <c r="D2366" t="s">
        <v>61</v>
      </c>
      <c r="E2366" s="1">
        <v>45939</v>
      </c>
      <c r="F2366" t="s">
        <v>4304</v>
      </c>
      <c r="G2366" t="s">
        <v>2901</v>
      </c>
      <c r="H2366" t="s">
        <v>271</v>
      </c>
      <c r="I2366" t="s">
        <v>204</v>
      </c>
      <c r="J2366" s="1">
        <v>46424</v>
      </c>
      <c r="K2366" t="s">
        <v>720</v>
      </c>
      <c r="L2366">
        <v>1</v>
      </c>
      <c r="M2366">
        <v>4926.0200000000004</v>
      </c>
      <c r="N2366" t="s">
        <v>710</v>
      </c>
      <c r="O2366" t="s">
        <v>4834</v>
      </c>
      <c r="P2366" t="s">
        <v>4776</v>
      </c>
      <c r="Q2366" t="s">
        <v>4858</v>
      </c>
      <c r="R2366" t="s">
        <v>4771</v>
      </c>
    </row>
    <row r="2367" spans="1:18" x14ac:dyDescent="0.3">
      <c r="A2367">
        <v>579330</v>
      </c>
      <c r="B2367" t="s">
        <v>4874</v>
      </c>
      <c r="C2367" t="s">
        <v>333</v>
      </c>
      <c r="D2367" t="s">
        <v>29</v>
      </c>
      <c r="E2367" s="1">
        <v>45939</v>
      </c>
      <c r="F2367" t="s">
        <v>4317</v>
      </c>
      <c r="G2367" t="s">
        <v>2991</v>
      </c>
      <c r="H2367" t="s">
        <v>460</v>
      </c>
      <c r="I2367" t="s">
        <v>204</v>
      </c>
      <c r="J2367" s="1">
        <v>54878</v>
      </c>
      <c r="K2367" t="s">
        <v>785</v>
      </c>
      <c r="L2367">
        <v>1</v>
      </c>
      <c r="M2367">
        <v>136.46</v>
      </c>
      <c r="N2367" t="s">
        <v>710</v>
      </c>
      <c r="O2367" t="s">
        <v>1038</v>
      </c>
      <c r="P2367" t="s">
        <v>4776</v>
      </c>
      <c r="Q2367" t="s">
        <v>4858</v>
      </c>
      <c r="R2367" t="s">
        <v>4771</v>
      </c>
    </row>
    <row r="2368" spans="1:18" x14ac:dyDescent="0.3">
      <c r="A2368">
        <v>7071</v>
      </c>
      <c r="B2368" t="s">
        <v>4874</v>
      </c>
      <c r="C2368" t="s">
        <v>230</v>
      </c>
      <c r="D2368" t="s">
        <v>85</v>
      </c>
      <c r="E2368" s="1">
        <v>45939</v>
      </c>
      <c r="F2368" t="s">
        <v>4348</v>
      </c>
      <c r="G2368" t="s">
        <v>2988</v>
      </c>
      <c r="H2368" t="s">
        <v>299</v>
      </c>
      <c r="I2368" t="s">
        <v>204</v>
      </c>
      <c r="J2368" s="1">
        <v>46536</v>
      </c>
      <c r="K2368" t="s">
        <v>762</v>
      </c>
      <c r="L2368">
        <v>198518.11</v>
      </c>
      <c r="M2368">
        <v>198518.11</v>
      </c>
      <c r="N2368" t="s">
        <v>710</v>
      </c>
      <c r="O2368" t="s">
        <v>1033</v>
      </c>
      <c r="P2368" t="s">
        <v>4781</v>
      </c>
      <c r="Q2368" t="s">
        <v>4852</v>
      </c>
      <c r="R2368" t="s">
        <v>4771</v>
      </c>
    </row>
    <row r="2369" spans="1:18" x14ac:dyDescent="0.3">
      <c r="A2369">
        <v>308318</v>
      </c>
      <c r="B2369" t="s">
        <v>4874</v>
      </c>
      <c r="C2369" t="s">
        <v>491</v>
      </c>
      <c r="D2369" t="s">
        <v>33</v>
      </c>
      <c r="E2369" s="1">
        <v>45939</v>
      </c>
      <c r="F2369" t="s">
        <v>4407</v>
      </c>
      <c r="G2369" t="s">
        <v>2936</v>
      </c>
      <c r="H2369" t="s">
        <v>490</v>
      </c>
      <c r="I2369" t="s">
        <v>204</v>
      </c>
      <c r="J2369" s="1">
        <v>54878</v>
      </c>
      <c r="K2369" t="s">
        <v>762</v>
      </c>
      <c r="L2369">
        <v>602.5</v>
      </c>
      <c r="M2369">
        <v>602.5</v>
      </c>
      <c r="N2369" t="s">
        <v>710</v>
      </c>
      <c r="O2369" t="s">
        <v>4845</v>
      </c>
      <c r="P2369" t="s">
        <v>4776</v>
      </c>
      <c r="Q2369" t="s">
        <v>4845</v>
      </c>
      <c r="R2369" t="s">
        <v>4771</v>
      </c>
    </row>
    <row r="2370" spans="1:18" x14ac:dyDescent="0.3">
      <c r="A2370">
        <v>5378</v>
      </c>
      <c r="B2370" t="s">
        <v>4874</v>
      </c>
      <c r="C2370" t="s">
        <v>426</v>
      </c>
      <c r="D2370" t="s">
        <v>54</v>
      </c>
      <c r="E2370" s="1">
        <v>45939</v>
      </c>
      <c r="F2370" t="s">
        <v>4409</v>
      </c>
      <c r="G2370" t="s">
        <v>2980</v>
      </c>
      <c r="H2370" t="s">
        <v>425</v>
      </c>
      <c r="I2370" t="s">
        <v>204</v>
      </c>
      <c r="J2370" s="1">
        <v>46752</v>
      </c>
      <c r="K2370" t="s">
        <v>785</v>
      </c>
      <c r="L2370">
        <v>1</v>
      </c>
      <c r="M2370">
        <v>110913.13</v>
      </c>
      <c r="N2370" t="s">
        <v>710</v>
      </c>
      <c r="O2370" t="s">
        <v>1038</v>
      </c>
      <c r="P2370" t="s">
        <v>4787</v>
      </c>
      <c r="Q2370" t="s">
        <v>4858</v>
      </c>
      <c r="R2370" t="s">
        <v>4771</v>
      </c>
    </row>
    <row r="2371" spans="1:18" x14ac:dyDescent="0.3">
      <c r="A2371">
        <v>378693</v>
      </c>
      <c r="B2371" t="s">
        <v>4874</v>
      </c>
      <c r="C2371" t="s">
        <v>435</v>
      </c>
      <c r="D2371" t="s">
        <v>30</v>
      </c>
      <c r="E2371" s="1">
        <v>45939</v>
      </c>
      <c r="F2371" t="s">
        <v>4351</v>
      </c>
      <c r="G2371" t="s">
        <v>2983</v>
      </c>
      <c r="H2371" t="s">
        <v>434</v>
      </c>
      <c r="I2371" t="s">
        <v>204</v>
      </c>
      <c r="J2371" s="1">
        <v>46752</v>
      </c>
      <c r="K2371" t="s">
        <v>785</v>
      </c>
      <c r="L2371">
        <v>1</v>
      </c>
      <c r="M2371">
        <v>150745.29999999999</v>
      </c>
      <c r="N2371" t="s">
        <v>998</v>
      </c>
      <c r="O2371" t="s">
        <v>1038</v>
      </c>
      <c r="P2371" t="s">
        <v>4787</v>
      </c>
      <c r="Q2371" t="s">
        <v>4858</v>
      </c>
      <c r="R2371" t="s">
        <v>4771</v>
      </c>
    </row>
    <row r="2372" spans="1:18" x14ac:dyDescent="0.3">
      <c r="A2372">
        <v>239875</v>
      </c>
      <c r="B2372" t="s">
        <v>4875</v>
      </c>
      <c r="C2372" t="s">
        <v>493</v>
      </c>
      <c r="D2372" t="s">
        <v>197</v>
      </c>
      <c r="E2372" s="1">
        <v>45939</v>
      </c>
      <c r="F2372" t="s">
        <v>4306</v>
      </c>
      <c r="G2372" t="s">
        <v>2984</v>
      </c>
      <c r="H2372" t="s">
        <v>492</v>
      </c>
      <c r="I2372" t="s">
        <v>204</v>
      </c>
      <c r="J2372" s="1">
        <v>54878</v>
      </c>
      <c r="K2372" t="s">
        <v>768</v>
      </c>
      <c r="L2372">
        <v>799</v>
      </c>
      <c r="M2372">
        <v>799</v>
      </c>
      <c r="N2372" t="s">
        <v>710</v>
      </c>
      <c r="O2372" t="s">
        <v>4833</v>
      </c>
      <c r="P2372" t="s">
        <v>4786</v>
      </c>
      <c r="Q2372" t="s">
        <v>4852</v>
      </c>
      <c r="R2372" t="s">
        <v>4773</v>
      </c>
    </row>
    <row r="2373" spans="1:18" x14ac:dyDescent="0.3">
      <c r="A2373">
        <v>579614</v>
      </c>
      <c r="B2373" t="s">
        <v>4875</v>
      </c>
      <c r="C2373" t="s">
        <v>333</v>
      </c>
      <c r="D2373" t="s">
        <v>29</v>
      </c>
      <c r="E2373" s="1">
        <v>45939</v>
      </c>
      <c r="F2373" t="s">
        <v>4317</v>
      </c>
      <c r="G2373" t="s">
        <v>2992</v>
      </c>
      <c r="H2373" t="s">
        <v>335</v>
      </c>
      <c r="I2373" t="s">
        <v>204</v>
      </c>
      <c r="J2373" s="1">
        <v>54878</v>
      </c>
      <c r="K2373" t="s">
        <v>748</v>
      </c>
      <c r="L2373">
        <v>102</v>
      </c>
      <c r="M2373">
        <v>102.29</v>
      </c>
      <c r="N2373" t="s">
        <v>710</v>
      </c>
      <c r="O2373" t="s">
        <v>1040</v>
      </c>
      <c r="P2373" t="s">
        <v>4776</v>
      </c>
      <c r="Q2373" t="s">
        <v>4856</v>
      </c>
      <c r="R2373" t="s">
        <v>4771</v>
      </c>
    </row>
    <row r="2374" spans="1:18" x14ac:dyDescent="0.3">
      <c r="A2374">
        <v>820125</v>
      </c>
      <c r="B2374" t="s">
        <v>4875</v>
      </c>
      <c r="C2374" t="s">
        <v>609</v>
      </c>
      <c r="D2374" t="s">
        <v>182</v>
      </c>
      <c r="E2374" s="1">
        <v>45939</v>
      </c>
      <c r="F2374" t="s">
        <v>4336</v>
      </c>
      <c r="G2374" t="s">
        <v>2996</v>
      </c>
      <c r="H2374" t="s">
        <v>610</v>
      </c>
      <c r="I2374" t="s">
        <v>204</v>
      </c>
      <c r="J2374" s="1">
        <v>46282</v>
      </c>
      <c r="K2374" t="s">
        <v>768</v>
      </c>
      <c r="L2374">
        <v>1</v>
      </c>
      <c r="M2374">
        <v>65031</v>
      </c>
      <c r="N2374" t="s">
        <v>710</v>
      </c>
      <c r="O2374" t="s">
        <v>1037</v>
      </c>
      <c r="P2374" t="s">
        <v>4794</v>
      </c>
      <c r="Q2374" t="s">
        <v>4852</v>
      </c>
      <c r="R2374" t="s">
        <v>4772</v>
      </c>
    </row>
    <row r="2375" spans="1:18" x14ac:dyDescent="0.3">
      <c r="A2375">
        <v>215078</v>
      </c>
      <c r="B2375" t="s">
        <v>4874</v>
      </c>
      <c r="C2375" t="s">
        <v>391</v>
      </c>
      <c r="D2375" t="s">
        <v>104</v>
      </c>
      <c r="E2375" s="1">
        <v>45939</v>
      </c>
      <c r="F2375" t="s">
        <v>4306</v>
      </c>
      <c r="G2375" t="s">
        <v>2966</v>
      </c>
      <c r="H2375" t="s">
        <v>390</v>
      </c>
      <c r="I2375" t="s">
        <v>204</v>
      </c>
      <c r="J2375" s="1">
        <v>54878</v>
      </c>
      <c r="K2375" t="s">
        <v>762</v>
      </c>
      <c r="L2375">
        <v>1435.1</v>
      </c>
      <c r="M2375">
        <v>1435.1</v>
      </c>
      <c r="N2375" t="s">
        <v>710</v>
      </c>
      <c r="O2375" t="s">
        <v>4833</v>
      </c>
      <c r="P2375" t="s">
        <v>4776</v>
      </c>
      <c r="Q2375" t="s">
        <v>4852</v>
      </c>
      <c r="R2375" t="s">
        <v>4773</v>
      </c>
    </row>
    <row r="2376" spans="1:18" x14ac:dyDescent="0.3">
      <c r="A2376">
        <v>378549</v>
      </c>
      <c r="B2376" t="s">
        <v>1034</v>
      </c>
      <c r="C2376" t="s">
        <v>435</v>
      </c>
      <c r="D2376" t="s">
        <v>30</v>
      </c>
      <c r="E2376" s="1">
        <v>45939</v>
      </c>
      <c r="F2376" t="s">
        <v>4351</v>
      </c>
      <c r="G2376" t="s">
        <v>2982</v>
      </c>
      <c r="H2376" t="s">
        <v>434</v>
      </c>
      <c r="I2376" t="s">
        <v>204</v>
      </c>
      <c r="J2376" s="1">
        <v>46752</v>
      </c>
      <c r="K2376" t="s">
        <v>785</v>
      </c>
      <c r="L2376">
        <v>1</v>
      </c>
      <c r="M2376">
        <v>182393.92</v>
      </c>
      <c r="N2376" t="s">
        <v>998</v>
      </c>
      <c r="O2376" t="s">
        <v>1038</v>
      </c>
      <c r="P2376" t="s">
        <v>4787</v>
      </c>
      <c r="Q2376" t="s">
        <v>4858</v>
      </c>
      <c r="R2376" t="s">
        <v>4771</v>
      </c>
    </row>
    <row r="2377" spans="1:18" x14ac:dyDescent="0.3">
      <c r="A2377">
        <v>1744</v>
      </c>
      <c r="B2377" t="s">
        <v>1034</v>
      </c>
      <c r="C2377" t="s">
        <v>312</v>
      </c>
      <c r="D2377" t="s">
        <v>73</v>
      </c>
      <c r="E2377" s="1">
        <v>45939</v>
      </c>
      <c r="F2377" t="s">
        <v>4300</v>
      </c>
      <c r="G2377" t="s">
        <v>3006</v>
      </c>
      <c r="H2377" t="s">
        <v>311</v>
      </c>
      <c r="I2377" t="s">
        <v>204</v>
      </c>
      <c r="J2377" s="1">
        <v>54878</v>
      </c>
      <c r="K2377" t="s">
        <v>711</v>
      </c>
      <c r="L2377">
        <v>2255</v>
      </c>
      <c r="M2377">
        <v>2255</v>
      </c>
      <c r="N2377" t="s">
        <v>719</v>
      </c>
      <c r="O2377" t="s">
        <v>4834</v>
      </c>
      <c r="P2377" t="s">
        <v>1006</v>
      </c>
      <c r="Q2377" t="s">
        <v>4901</v>
      </c>
      <c r="R2377" t="s">
        <v>4773</v>
      </c>
    </row>
    <row r="2378" spans="1:18" x14ac:dyDescent="0.3">
      <c r="A2378">
        <v>18115</v>
      </c>
      <c r="B2378" t="s">
        <v>1034</v>
      </c>
      <c r="C2378" t="s">
        <v>355</v>
      </c>
      <c r="D2378" t="s">
        <v>143</v>
      </c>
      <c r="E2378" s="1">
        <v>45939</v>
      </c>
      <c r="F2378" t="s">
        <v>4368</v>
      </c>
      <c r="G2378" t="s">
        <v>3007</v>
      </c>
      <c r="H2378" t="s">
        <v>361</v>
      </c>
      <c r="I2378" t="s">
        <v>204</v>
      </c>
      <c r="J2378" s="1">
        <v>54878</v>
      </c>
      <c r="K2378" t="s">
        <v>711</v>
      </c>
      <c r="L2378">
        <v>1</v>
      </c>
      <c r="M2378">
        <v>2880</v>
      </c>
      <c r="N2378" t="s">
        <v>710</v>
      </c>
      <c r="O2378" t="s">
        <v>4834</v>
      </c>
      <c r="P2378" t="s">
        <v>4776</v>
      </c>
      <c r="Q2378" t="s">
        <v>4901</v>
      </c>
      <c r="R2378" t="s">
        <v>4771</v>
      </c>
    </row>
    <row r="2379" spans="1:18" x14ac:dyDescent="0.3">
      <c r="A2379">
        <v>820126</v>
      </c>
      <c r="B2379" t="s">
        <v>1034</v>
      </c>
      <c r="C2379" t="s">
        <v>609</v>
      </c>
      <c r="D2379" t="s">
        <v>182</v>
      </c>
      <c r="E2379" s="1">
        <v>45939</v>
      </c>
      <c r="F2379" t="s">
        <v>4336</v>
      </c>
      <c r="G2379" t="s">
        <v>2997</v>
      </c>
      <c r="H2379" t="s">
        <v>608</v>
      </c>
      <c r="I2379" t="s">
        <v>204</v>
      </c>
      <c r="J2379" s="1">
        <v>46281</v>
      </c>
      <c r="K2379" t="s">
        <v>717</v>
      </c>
      <c r="L2379">
        <v>1</v>
      </c>
      <c r="M2379">
        <v>229183.99</v>
      </c>
      <c r="N2379" t="s">
        <v>719</v>
      </c>
      <c r="O2379" t="s">
        <v>1037</v>
      </c>
      <c r="P2379" t="s">
        <v>4794</v>
      </c>
      <c r="Q2379" t="s">
        <v>4852</v>
      </c>
      <c r="R2379" t="s">
        <v>4772</v>
      </c>
    </row>
    <row r="2380" spans="1:18" x14ac:dyDescent="0.3">
      <c r="A2380">
        <v>275</v>
      </c>
      <c r="B2380" t="s">
        <v>1034</v>
      </c>
      <c r="C2380" t="s">
        <v>319</v>
      </c>
      <c r="D2380" t="s">
        <v>36</v>
      </c>
      <c r="E2380" s="1">
        <v>45939</v>
      </c>
      <c r="F2380" t="s">
        <v>4298</v>
      </c>
      <c r="G2380" t="s">
        <v>2998</v>
      </c>
      <c r="H2380" t="s">
        <v>318</v>
      </c>
      <c r="I2380" t="s">
        <v>204</v>
      </c>
      <c r="J2380" s="1">
        <v>46214</v>
      </c>
      <c r="K2380" t="s">
        <v>711</v>
      </c>
      <c r="L2380">
        <v>794</v>
      </c>
      <c r="M2380">
        <v>793.54</v>
      </c>
      <c r="N2380" t="s">
        <v>710</v>
      </c>
      <c r="O2380" t="s">
        <v>1036</v>
      </c>
      <c r="P2380" t="s">
        <v>4784</v>
      </c>
      <c r="Q2380" t="s">
        <v>4901</v>
      </c>
      <c r="R2380" t="s">
        <v>4771</v>
      </c>
    </row>
    <row r="2381" spans="1:18" x14ac:dyDescent="0.3">
      <c r="A2381">
        <v>42277</v>
      </c>
      <c r="B2381" t="s">
        <v>1034</v>
      </c>
      <c r="C2381" t="s">
        <v>327</v>
      </c>
      <c r="D2381" t="s">
        <v>159</v>
      </c>
      <c r="E2381" s="1">
        <v>45939</v>
      </c>
      <c r="F2381" t="s">
        <v>4295</v>
      </c>
      <c r="G2381" t="s">
        <v>2908</v>
      </c>
      <c r="H2381" t="s">
        <v>357</v>
      </c>
      <c r="I2381" t="s">
        <v>204</v>
      </c>
      <c r="J2381" s="1">
        <v>46476</v>
      </c>
      <c r="K2381" t="s">
        <v>711</v>
      </c>
      <c r="L2381">
        <v>2150</v>
      </c>
      <c r="M2381">
        <v>2150</v>
      </c>
      <c r="N2381" t="s">
        <v>890</v>
      </c>
      <c r="O2381" t="s">
        <v>4834</v>
      </c>
      <c r="P2381" t="s">
        <v>4776</v>
      </c>
      <c r="Q2381" t="s">
        <v>4901</v>
      </c>
      <c r="R2381" t="s">
        <v>4773</v>
      </c>
    </row>
    <row r="2382" spans="1:18" x14ac:dyDescent="0.3">
      <c r="A2382">
        <v>42276</v>
      </c>
      <c r="B2382" t="s">
        <v>1034</v>
      </c>
      <c r="C2382" t="s">
        <v>327</v>
      </c>
      <c r="D2382" t="s">
        <v>159</v>
      </c>
      <c r="E2382" s="1">
        <v>45939</v>
      </c>
      <c r="F2382" t="s">
        <v>4295</v>
      </c>
      <c r="G2382" t="s">
        <v>2909</v>
      </c>
      <c r="H2382" t="s">
        <v>357</v>
      </c>
      <c r="I2382" t="s">
        <v>204</v>
      </c>
      <c r="J2382" s="1">
        <v>46476</v>
      </c>
      <c r="K2382" t="s">
        <v>711</v>
      </c>
      <c r="L2382">
        <v>1360.8</v>
      </c>
      <c r="M2382">
        <v>1360.8</v>
      </c>
      <c r="N2382" t="s">
        <v>890</v>
      </c>
      <c r="O2382" t="s">
        <v>4834</v>
      </c>
      <c r="P2382" t="s">
        <v>4776</v>
      </c>
      <c r="Q2382" t="s">
        <v>4901</v>
      </c>
      <c r="R2382" t="s">
        <v>4773</v>
      </c>
    </row>
    <row r="2383" spans="1:18" x14ac:dyDescent="0.3">
      <c r="A2383">
        <v>572839</v>
      </c>
      <c r="B2383" t="s">
        <v>1034</v>
      </c>
      <c r="C2383" t="s">
        <v>333</v>
      </c>
      <c r="D2383" t="s">
        <v>29</v>
      </c>
      <c r="E2383" s="1">
        <v>45939</v>
      </c>
      <c r="F2383" t="s">
        <v>4317</v>
      </c>
      <c r="G2383" t="s">
        <v>2990</v>
      </c>
      <c r="H2383" t="s">
        <v>332</v>
      </c>
      <c r="I2383" t="s">
        <v>204</v>
      </c>
      <c r="J2383" s="1">
        <v>54878</v>
      </c>
      <c r="K2383" t="s">
        <v>711</v>
      </c>
      <c r="L2383">
        <v>134</v>
      </c>
      <c r="M2383">
        <v>134.44999999999999</v>
      </c>
      <c r="N2383" t="s">
        <v>710</v>
      </c>
      <c r="O2383" t="s">
        <v>1036</v>
      </c>
      <c r="P2383" t="s">
        <v>4776</v>
      </c>
      <c r="Q2383" t="s">
        <v>4901</v>
      </c>
      <c r="R2383" t="s">
        <v>4771</v>
      </c>
    </row>
    <row r="2384" spans="1:18" x14ac:dyDescent="0.3">
      <c r="A2384">
        <v>7074</v>
      </c>
      <c r="B2384" t="s">
        <v>1034</v>
      </c>
      <c r="C2384" t="s">
        <v>230</v>
      </c>
      <c r="D2384" t="s">
        <v>85</v>
      </c>
      <c r="E2384" s="1">
        <v>45939</v>
      </c>
      <c r="F2384" t="s">
        <v>4348</v>
      </c>
      <c r="G2384" t="s">
        <v>2989</v>
      </c>
      <c r="H2384" t="s">
        <v>570</v>
      </c>
      <c r="I2384" t="s">
        <v>204</v>
      </c>
      <c r="J2384" s="1">
        <v>46418</v>
      </c>
      <c r="K2384" t="s">
        <v>717</v>
      </c>
      <c r="L2384">
        <v>1</v>
      </c>
      <c r="M2384">
        <v>508195.8</v>
      </c>
      <c r="N2384" t="s">
        <v>719</v>
      </c>
      <c r="O2384" t="s">
        <v>1033</v>
      </c>
      <c r="P2384" t="s">
        <v>4781</v>
      </c>
      <c r="Q2384" t="s">
        <v>4852</v>
      </c>
      <c r="R2384" t="s">
        <v>4771</v>
      </c>
    </row>
    <row r="2385" spans="1:18" x14ac:dyDescent="0.3">
      <c r="A2385">
        <v>191321</v>
      </c>
      <c r="B2385" t="s">
        <v>4874</v>
      </c>
      <c r="C2385" t="s">
        <v>391</v>
      </c>
      <c r="D2385" t="s">
        <v>104</v>
      </c>
      <c r="E2385" s="1">
        <v>45939</v>
      </c>
      <c r="F2385" t="s">
        <v>4354</v>
      </c>
      <c r="G2385" t="s">
        <v>2966</v>
      </c>
      <c r="H2385" t="s">
        <v>390</v>
      </c>
      <c r="I2385" t="s">
        <v>204</v>
      </c>
      <c r="J2385" s="1">
        <v>54878</v>
      </c>
      <c r="K2385" t="s">
        <v>762</v>
      </c>
      <c r="L2385">
        <v>224.98</v>
      </c>
      <c r="M2385">
        <v>224.98</v>
      </c>
      <c r="N2385" t="s">
        <v>710</v>
      </c>
      <c r="O2385" t="s">
        <v>4833</v>
      </c>
      <c r="P2385" t="s">
        <v>4776</v>
      </c>
      <c r="Q2385" t="s">
        <v>4852</v>
      </c>
      <c r="R2385" t="s">
        <v>4773</v>
      </c>
    </row>
    <row r="2386" spans="1:18" x14ac:dyDescent="0.3">
      <c r="A2386">
        <v>78723</v>
      </c>
      <c r="B2386" t="s">
        <v>4874</v>
      </c>
      <c r="C2386" t="s">
        <v>634</v>
      </c>
      <c r="D2386" t="s">
        <v>99</v>
      </c>
      <c r="E2386" s="1">
        <v>45938</v>
      </c>
      <c r="F2386" t="s">
        <v>4307</v>
      </c>
      <c r="G2386" t="s">
        <v>2959</v>
      </c>
      <c r="H2386" t="s">
        <v>633</v>
      </c>
      <c r="I2386" t="s">
        <v>204</v>
      </c>
      <c r="J2386" s="1">
        <v>46204</v>
      </c>
      <c r="K2386" t="s">
        <v>762</v>
      </c>
      <c r="L2386">
        <v>2400</v>
      </c>
      <c r="M2386">
        <v>37416</v>
      </c>
      <c r="N2386" t="s">
        <v>719</v>
      </c>
      <c r="O2386" t="s">
        <v>1037</v>
      </c>
      <c r="P2386" t="s">
        <v>4790</v>
      </c>
      <c r="Q2386" t="s">
        <v>4852</v>
      </c>
    </row>
    <row r="2387" spans="1:18" x14ac:dyDescent="0.3">
      <c r="A2387">
        <v>163184</v>
      </c>
      <c r="B2387" t="s">
        <v>4874</v>
      </c>
      <c r="C2387" t="s">
        <v>214</v>
      </c>
      <c r="D2387" t="s">
        <v>94</v>
      </c>
      <c r="E2387" s="1">
        <v>45938</v>
      </c>
      <c r="F2387" t="s">
        <v>4295</v>
      </c>
      <c r="G2387" t="s">
        <v>2957</v>
      </c>
      <c r="H2387" t="s">
        <v>213</v>
      </c>
      <c r="I2387" t="s">
        <v>204</v>
      </c>
      <c r="J2387" s="1">
        <v>46309</v>
      </c>
      <c r="K2387" t="s">
        <v>720</v>
      </c>
      <c r="L2387">
        <v>1</v>
      </c>
      <c r="M2387">
        <v>28269.1</v>
      </c>
      <c r="N2387" t="s">
        <v>710</v>
      </c>
      <c r="O2387" t="s">
        <v>4834</v>
      </c>
      <c r="P2387" t="s">
        <v>4776</v>
      </c>
      <c r="Q2387" t="s">
        <v>4858</v>
      </c>
      <c r="R2387" t="s">
        <v>4772</v>
      </c>
    </row>
    <row r="2388" spans="1:18" x14ac:dyDescent="0.3">
      <c r="A2388">
        <v>893</v>
      </c>
      <c r="B2388" t="s">
        <v>1034</v>
      </c>
      <c r="C2388" t="s">
        <v>216</v>
      </c>
      <c r="D2388" t="s">
        <v>141</v>
      </c>
      <c r="E2388" s="1">
        <v>45938</v>
      </c>
      <c r="F2388" t="s">
        <v>4305</v>
      </c>
      <c r="G2388" t="s">
        <v>2795</v>
      </c>
      <c r="H2388" t="s">
        <v>528</v>
      </c>
      <c r="I2388" t="s">
        <v>204</v>
      </c>
      <c r="J2388" s="1">
        <v>55243</v>
      </c>
      <c r="K2388" t="s">
        <v>711</v>
      </c>
      <c r="L2388">
        <v>2500</v>
      </c>
      <c r="M2388">
        <v>2500</v>
      </c>
      <c r="N2388" t="s">
        <v>710</v>
      </c>
      <c r="O2388" t="s">
        <v>4844</v>
      </c>
      <c r="P2388" t="s">
        <v>4776</v>
      </c>
      <c r="Q2388" t="s">
        <v>4901</v>
      </c>
      <c r="R2388" t="s">
        <v>4771</v>
      </c>
    </row>
    <row r="2389" spans="1:18" x14ac:dyDescent="0.3">
      <c r="A2389">
        <v>78723</v>
      </c>
      <c r="B2389" t="s">
        <v>4874</v>
      </c>
      <c r="C2389" t="s">
        <v>634</v>
      </c>
      <c r="D2389" t="s">
        <v>99</v>
      </c>
      <c r="E2389" s="1">
        <v>45938</v>
      </c>
      <c r="F2389" t="s">
        <v>4394</v>
      </c>
      <c r="G2389" t="s">
        <v>2959</v>
      </c>
      <c r="H2389" t="s">
        <v>633</v>
      </c>
      <c r="I2389" t="s">
        <v>204</v>
      </c>
      <c r="J2389" s="1">
        <v>46204</v>
      </c>
      <c r="K2389" t="s">
        <v>762</v>
      </c>
      <c r="L2389">
        <v>2400</v>
      </c>
      <c r="M2389">
        <v>2400</v>
      </c>
      <c r="N2389" t="s">
        <v>719</v>
      </c>
      <c r="O2389" t="s">
        <v>1037</v>
      </c>
      <c r="P2389" t="s">
        <v>4790</v>
      </c>
      <c r="Q2389" t="s">
        <v>4852</v>
      </c>
    </row>
    <row r="2390" spans="1:18" x14ac:dyDescent="0.3">
      <c r="A2390">
        <v>78723</v>
      </c>
      <c r="B2390" t="s">
        <v>4874</v>
      </c>
      <c r="C2390" t="s">
        <v>634</v>
      </c>
      <c r="D2390" t="s">
        <v>99</v>
      </c>
      <c r="E2390" s="1">
        <v>45938</v>
      </c>
      <c r="F2390" t="s">
        <v>4310</v>
      </c>
      <c r="G2390" t="s">
        <v>2959</v>
      </c>
      <c r="H2390" t="s">
        <v>633</v>
      </c>
      <c r="I2390" t="s">
        <v>204</v>
      </c>
      <c r="J2390" s="1">
        <v>46204</v>
      </c>
      <c r="K2390" t="s">
        <v>762</v>
      </c>
      <c r="L2390">
        <v>87</v>
      </c>
      <c r="M2390">
        <v>318.42</v>
      </c>
      <c r="N2390" t="s">
        <v>719</v>
      </c>
      <c r="O2390" t="s">
        <v>1037</v>
      </c>
      <c r="P2390" t="s">
        <v>4790</v>
      </c>
      <c r="Q2390" t="s">
        <v>4852</v>
      </c>
    </row>
    <row r="2391" spans="1:18" x14ac:dyDescent="0.3">
      <c r="A2391">
        <v>78723</v>
      </c>
      <c r="B2391" t="s">
        <v>4874</v>
      </c>
      <c r="C2391" t="s">
        <v>634</v>
      </c>
      <c r="D2391" t="s">
        <v>99</v>
      </c>
      <c r="E2391" s="1">
        <v>45938</v>
      </c>
      <c r="F2391" t="s">
        <v>4329</v>
      </c>
      <c r="G2391" t="s">
        <v>2959</v>
      </c>
      <c r="H2391" t="s">
        <v>633</v>
      </c>
      <c r="I2391" t="s">
        <v>204</v>
      </c>
      <c r="J2391" s="1">
        <v>46204</v>
      </c>
      <c r="K2391" t="s">
        <v>762</v>
      </c>
      <c r="L2391">
        <v>5</v>
      </c>
      <c r="M2391">
        <v>66.45</v>
      </c>
      <c r="N2391" t="s">
        <v>719</v>
      </c>
      <c r="O2391" t="s">
        <v>1037</v>
      </c>
      <c r="P2391" t="s">
        <v>4790</v>
      </c>
      <c r="Q2391" t="s">
        <v>4852</v>
      </c>
    </row>
    <row r="2392" spans="1:18" x14ac:dyDescent="0.3">
      <c r="A2392">
        <v>78723</v>
      </c>
      <c r="B2392" t="s">
        <v>4874</v>
      </c>
      <c r="C2392" t="s">
        <v>634</v>
      </c>
      <c r="D2392" t="s">
        <v>99</v>
      </c>
      <c r="E2392" s="1">
        <v>45938</v>
      </c>
      <c r="F2392" t="s">
        <v>4400</v>
      </c>
      <c r="G2392" t="s">
        <v>2959</v>
      </c>
      <c r="H2392" t="s">
        <v>633</v>
      </c>
      <c r="I2392" t="s">
        <v>204</v>
      </c>
      <c r="J2392" s="1">
        <v>46204</v>
      </c>
      <c r="K2392" t="s">
        <v>762</v>
      </c>
      <c r="L2392">
        <v>23</v>
      </c>
      <c r="M2392">
        <v>134.78</v>
      </c>
      <c r="N2392" t="s">
        <v>719</v>
      </c>
      <c r="O2392" t="s">
        <v>1037</v>
      </c>
      <c r="P2392" t="s">
        <v>4790</v>
      </c>
      <c r="Q2392" t="s">
        <v>4852</v>
      </c>
    </row>
    <row r="2393" spans="1:18" x14ac:dyDescent="0.3">
      <c r="A2393">
        <v>19184</v>
      </c>
      <c r="B2393" t="s">
        <v>4874</v>
      </c>
      <c r="C2393" t="s">
        <v>212</v>
      </c>
      <c r="D2393" t="s">
        <v>62</v>
      </c>
      <c r="E2393" s="1">
        <v>45938</v>
      </c>
      <c r="F2393" t="s">
        <v>4318</v>
      </c>
      <c r="G2393" t="s">
        <v>2630</v>
      </c>
      <c r="H2393" t="s">
        <v>211</v>
      </c>
      <c r="I2393" t="s">
        <v>204</v>
      </c>
      <c r="J2393" s="1">
        <v>54878</v>
      </c>
      <c r="K2393" t="s">
        <v>720</v>
      </c>
      <c r="L2393">
        <v>1</v>
      </c>
      <c r="M2393">
        <v>1000</v>
      </c>
      <c r="N2393" t="s">
        <v>719</v>
      </c>
      <c r="O2393" t="s">
        <v>4834</v>
      </c>
      <c r="P2393" t="s">
        <v>4776</v>
      </c>
      <c r="Q2393" t="s">
        <v>4858</v>
      </c>
      <c r="R2393" t="s">
        <v>4771</v>
      </c>
    </row>
    <row r="2394" spans="1:18" x14ac:dyDescent="0.3">
      <c r="A2394">
        <v>19185</v>
      </c>
      <c r="B2394" t="s">
        <v>4874</v>
      </c>
      <c r="C2394" t="s">
        <v>212</v>
      </c>
      <c r="D2394" t="s">
        <v>62</v>
      </c>
      <c r="E2394" s="1">
        <v>45938</v>
      </c>
      <c r="F2394" t="s">
        <v>4318</v>
      </c>
      <c r="G2394" t="s">
        <v>2923</v>
      </c>
      <c r="H2394" t="s">
        <v>211</v>
      </c>
      <c r="I2394" t="s">
        <v>204</v>
      </c>
      <c r="J2394" s="1">
        <v>54878</v>
      </c>
      <c r="K2394" t="s">
        <v>720</v>
      </c>
      <c r="L2394">
        <v>1</v>
      </c>
      <c r="M2394">
        <v>1000</v>
      </c>
      <c r="N2394" t="s">
        <v>719</v>
      </c>
      <c r="O2394" t="s">
        <v>4834</v>
      </c>
      <c r="P2394" t="s">
        <v>4776</v>
      </c>
      <c r="Q2394" t="s">
        <v>4858</v>
      </c>
      <c r="R2394" t="s">
        <v>4771</v>
      </c>
    </row>
    <row r="2395" spans="1:18" x14ac:dyDescent="0.3">
      <c r="A2395">
        <v>78723</v>
      </c>
      <c r="B2395" t="s">
        <v>4874</v>
      </c>
      <c r="C2395" t="s">
        <v>634</v>
      </c>
      <c r="D2395" t="s">
        <v>99</v>
      </c>
      <c r="E2395" s="1">
        <v>45938</v>
      </c>
      <c r="F2395" t="s">
        <v>4308</v>
      </c>
      <c r="G2395" t="s">
        <v>2959</v>
      </c>
      <c r="H2395" t="s">
        <v>633</v>
      </c>
      <c r="I2395" t="s">
        <v>204</v>
      </c>
      <c r="J2395" s="1">
        <v>46204</v>
      </c>
      <c r="K2395" t="s">
        <v>762</v>
      </c>
      <c r="L2395">
        <v>112</v>
      </c>
      <c r="M2395">
        <v>545.44000000000005</v>
      </c>
      <c r="N2395" t="s">
        <v>719</v>
      </c>
      <c r="O2395" t="s">
        <v>1037</v>
      </c>
      <c r="P2395" t="s">
        <v>4790</v>
      </c>
      <c r="Q2395" t="s">
        <v>4852</v>
      </c>
    </row>
    <row r="2396" spans="1:18" x14ac:dyDescent="0.3">
      <c r="A2396">
        <v>420460</v>
      </c>
      <c r="B2396" t="s">
        <v>4874</v>
      </c>
      <c r="C2396" t="s">
        <v>376</v>
      </c>
      <c r="D2396" t="s">
        <v>35</v>
      </c>
      <c r="E2396" s="1">
        <v>45937</v>
      </c>
      <c r="F2396" t="s">
        <v>4324</v>
      </c>
      <c r="G2396" t="s">
        <v>2942</v>
      </c>
      <c r="H2396" t="s">
        <v>442</v>
      </c>
      <c r="I2396" t="s">
        <v>209</v>
      </c>
      <c r="J2396" s="1">
        <v>54878</v>
      </c>
      <c r="K2396" t="s">
        <v>762</v>
      </c>
      <c r="L2396">
        <v>3980</v>
      </c>
      <c r="M2396">
        <v>3980</v>
      </c>
      <c r="N2396" t="s">
        <v>710</v>
      </c>
      <c r="Q2396" t="s">
        <v>4852</v>
      </c>
      <c r="R2396" t="s">
        <v>4771</v>
      </c>
    </row>
    <row r="2397" spans="1:18" x14ac:dyDescent="0.3">
      <c r="A2397">
        <v>145589</v>
      </c>
      <c r="B2397" t="s">
        <v>4874</v>
      </c>
      <c r="C2397" t="s">
        <v>415</v>
      </c>
      <c r="D2397" t="s">
        <v>60</v>
      </c>
      <c r="E2397" s="1">
        <v>45937</v>
      </c>
      <c r="F2397" t="s">
        <v>4333</v>
      </c>
      <c r="G2397" t="s">
        <v>2890</v>
      </c>
      <c r="H2397" t="s">
        <v>457</v>
      </c>
      <c r="I2397" t="s">
        <v>204</v>
      </c>
      <c r="J2397" s="1">
        <v>46387</v>
      </c>
      <c r="K2397" t="s">
        <v>762</v>
      </c>
      <c r="L2397">
        <v>3322.03</v>
      </c>
      <c r="M2397">
        <v>3322.03</v>
      </c>
      <c r="N2397" t="s">
        <v>814</v>
      </c>
      <c r="O2397" t="s">
        <v>1037</v>
      </c>
      <c r="P2397" t="s">
        <v>4807</v>
      </c>
      <c r="Q2397" t="s">
        <v>4852</v>
      </c>
      <c r="R2397" t="s">
        <v>4771</v>
      </c>
    </row>
    <row r="2398" spans="1:18" x14ac:dyDescent="0.3">
      <c r="A2398">
        <v>3976690</v>
      </c>
      <c r="B2398" t="s">
        <v>4874</v>
      </c>
      <c r="C2398" t="s">
        <v>417</v>
      </c>
      <c r="D2398" t="s">
        <v>185</v>
      </c>
      <c r="E2398" s="1">
        <v>45937</v>
      </c>
      <c r="F2398" t="s">
        <v>4335</v>
      </c>
      <c r="G2398" t="s">
        <v>2949</v>
      </c>
      <c r="H2398" t="s">
        <v>461</v>
      </c>
      <c r="I2398" t="s">
        <v>204</v>
      </c>
      <c r="J2398" s="1">
        <v>54878</v>
      </c>
      <c r="K2398" t="s">
        <v>762</v>
      </c>
      <c r="L2398">
        <v>4457.8500000000004</v>
      </c>
      <c r="M2398">
        <v>4457.8500000000004</v>
      </c>
      <c r="N2398" t="s">
        <v>710</v>
      </c>
      <c r="O2398" t="s">
        <v>1037</v>
      </c>
      <c r="P2398" t="s">
        <v>4780</v>
      </c>
      <c r="Q2398" t="s">
        <v>4852</v>
      </c>
      <c r="R2398" t="s">
        <v>4771</v>
      </c>
    </row>
    <row r="2399" spans="1:18" x14ac:dyDescent="0.3">
      <c r="A2399">
        <v>389774</v>
      </c>
      <c r="B2399" t="s">
        <v>4874</v>
      </c>
      <c r="C2399" t="s">
        <v>250</v>
      </c>
      <c r="D2399" t="s">
        <v>55</v>
      </c>
      <c r="E2399" s="1">
        <v>45937</v>
      </c>
      <c r="F2399" t="s">
        <v>4391</v>
      </c>
      <c r="G2399" t="s">
        <v>2953</v>
      </c>
      <c r="H2399" t="s">
        <v>249</v>
      </c>
      <c r="I2399" t="s">
        <v>204</v>
      </c>
      <c r="J2399" s="1">
        <v>54878</v>
      </c>
      <c r="K2399" t="s">
        <v>720</v>
      </c>
      <c r="L2399">
        <v>1</v>
      </c>
      <c r="M2399">
        <v>643.59</v>
      </c>
      <c r="N2399" t="s">
        <v>719</v>
      </c>
      <c r="O2399" t="s">
        <v>1038</v>
      </c>
      <c r="P2399" t="s">
        <v>4778</v>
      </c>
      <c r="Q2399" t="s">
        <v>4858</v>
      </c>
      <c r="R2399" t="s">
        <v>4771</v>
      </c>
    </row>
    <row r="2400" spans="1:18" x14ac:dyDescent="0.3">
      <c r="A2400">
        <v>32450</v>
      </c>
      <c r="B2400" t="s">
        <v>4874</v>
      </c>
      <c r="C2400" t="s">
        <v>298</v>
      </c>
      <c r="D2400" t="s">
        <v>11</v>
      </c>
      <c r="E2400" s="1">
        <v>45937</v>
      </c>
      <c r="F2400" t="s">
        <v>4297</v>
      </c>
      <c r="G2400" t="s">
        <v>2954</v>
      </c>
      <c r="H2400" t="s">
        <v>297</v>
      </c>
      <c r="I2400" t="s">
        <v>204</v>
      </c>
      <c r="J2400" s="1">
        <v>54878</v>
      </c>
      <c r="K2400" t="s">
        <v>720</v>
      </c>
      <c r="L2400">
        <v>1</v>
      </c>
      <c r="M2400">
        <v>1185.78</v>
      </c>
      <c r="N2400" t="s">
        <v>710</v>
      </c>
      <c r="O2400" t="s">
        <v>1038</v>
      </c>
      <c r="P2400" t="s">
        <v>4779</v>
      </c>
      <c r="Q2400" t="s">
        <v>4858</v>
      </c>
      <c r="R2400" t="s">
        <v>4771</v>
      </c>
    </row>
    <row r="2401" spans="1:18" x14ac:dyDescent="0.3">
      <c r="A2401">
        <v>11962</v>
      </c>
      <c r="B2401" t="s">
        <v>4874</v>
      </c>
      <c r="C2401" t="s">
        <v>237</v>
      </c>
      <c r="D2401" t="s">
        <v>4</v>
      </c>
      <c r="E2401" s="1">
        <v>45937</v>
      </c>
      <c r="F2401" t="s">
        <v>4368</v>
      </c>
      <c r="G2401" t="s">
        <v>2956</v>
      </c>
      <c r="H2401" t="s">
        <v>236</v>
      </c>
      <c r="I2401" t="s">
        <v>204</v>
      </c>
      <c r="J2401" s="1">
        <v>54878</v>
      </c>
      <c r="K2401" t="s">
        <v>720</v>
      </c>
      <c r="L2401">
        <v>1</v>
      </c>
      <c r="M2401">
        <v>5271</v>
      </c>
      <c r="N2401" t="s">
        <v>710</v>
      </c>
      <c r="O2401" t="s">
        <v>1038</v>
      </c>
      <c r="P2401" t="s">
        <v>4776</v>
      </c>
      <c r="Q2401" t="s">
        <v>4858</v>
      </c>
      <c r="R2401" t="s">
        <v>4771</v>
      </c>
    </row>
    <row r="2402" spans="1:18" x14ac:dyDescent="0.3">
      <c r="A2402">
        <v>593160</v>
      </c>
      <c r="B2402" t="s">
        <v>4874</v>
      </c>
      <c r="C2402" t="s">
        <v>248</v>
      </c>
      <c r="D2402" t="s">
        <v>13</v>
      </c>
      <c r="E2402" s="1">
        <v>45937</v>
      </c>
      <c r="F2402" t="s">
        <v>4297</v>
      </c>
      <c r="G2402" t="s">
        <v>2963</v>
      </c>
      <c r="H2402" t="s">
        <v>247</v>
      </c>
      <c r="I2402" t="s">
        <v>204</v>
      </c>
      <c r="J2402" s="1">
        <v>54878</v>
      </c>
      <c r="K2402" t="s">
        <v>720</v>
      </c>
      <c r="L2402">
        <v>1</v>
      </c>
      <c r="M2402">
        <v>573.72</v>
      </c>
      <c r="N2402" t="s">
        <v>710</v>
      </c>
      <c r="O2402" t="s">
        <v>1038</v>
      </c>
      <c r="P2402" t="s">
        <v>4779</v>
      </c>
      <c r="Q2402" t="s">
        <v>4858</v>
      </c>
      <c r="R2402" t="s">
        <v>4773</v>
      </c>
    </row>
    <row r="2403" spans="1:18" x14ac:dyDescent="0.3">
      <c r="A2403">
        <v>186695</v>
      </c>
      <c r="B2403" t="s">
        <v>4874</v>
      </c>
      <c r="C2403" t="s">
        <v>411</v>
      </c>
      <c r="D2403" t="s">
        <v>154</v>
      </c>
      <c r="E2403" s="1">
        <v>45937</v>
      </c>
      <c r="F2403" t="s">
        <v>4315</v>
      </c>
      <c r="G2403" t="s">
        <v>2972</v>
      </c>
      <c r="H2403" t="s">
        <v>410</v>
      </c>
      <c r="I2403" t="s">
        <v>204</v>
      </c>
      <c r="J2403" s="1">
        <v>46344</v>
      </c>
      <c r="K2403" t="s">
        <v>762</v>
      </c>
      <c r="L2403">
        <v>3063.69</v>
      </c>
      <c r="M2403">
        <v>3063.69</v>
      </c>
      <c r="N2403" t="s">
        <v>710</v>
      </c>
      <c r="O2403" t="s">
        <v>4833</v>
      </c>
      <c r="P2403" t="s">
        <v>4776</v>
      </c>
      <c r="Q2403" t="s">
        <v>4852</v>
      </c>
      <c r="R2403" t="s">
        <v>4773</v>
      </c>
    </row>
    <row r="2404" spans="1:18" x14ac:dyDescent="0.3">
      <c r="A2404">
        <v>186014</v>
      </c>
      <c r="B2404" t="s">
        <v>4874</v>
      </c>
      <c r="C2404" t="s">
        <v>411</v>
      </c>
      <c r="D2404" t="s">
        <v>154</v>
      </c>
      <c r="E2404" s="1">
        <v>45937</v>
      </c>
      <c r="F2404" t="s">
        <v>4345</v>
      </c>
      <c r="G2404" t="s">
        <v>2944</v>
      </c>
      <c r="H2404" t="s">
        <v>410</v>
      </c>
      <c r="I2404" t="s">
        <v>204</v>
      </c>
      <c r="J2404" s="1">
        <v>46344</v>
      </c>
      <c r="K2404" t="s">
        <v>762</v>
      </c>
      <c r="L2404">
        <v>16275.21</v>
      </c>
      <c r="M2404">
        <v>16275.21</v>
      </c>
      <c r="N2404" t="s">
        <v>710</v>
      </c>
      <c r="O2404" t="s">
        <v>4833</v>
      </c>
      <c r="P2404" t="s">
        <v>4776</v>
      </c>
      <c r="Q2404" t="s">
        <v>4852</v>
      </c>
      <c r="R2404" t="s">
        <v>4773</v>
      </c>
    </row>
    <row r="2405" spans="1:18" x14ac:dyDescent="0.3">
      <c r="A2405">
        <v>48</v>
      </c>
      <c r="B2405" t="s">
        <v>4874</v>
      </c>
      <c r="C2405" t="s">
        <v>607</v>
      </c>
      <c r="D2405" t="s">
        <v>81</v>
      </c>
      <c r="E2405" s="1">
        <v>45937</v>
      </c>
      <c r="F2405" t="s">
        <v>4357</v>
      </c>
      <c r="G2405" t="s">
        <v>2918</v>
      </c>
      <c r="H2405" t="s">
        <v>606</v>
      </c>
      <c r="I2405" t="s">
        <v>204</v>
      </c>
      <c r="J2405" s="1">
        <v>46387</v>
      </c>
      <c r="K2405" t="s">
        <v>720</v>
      </c>
      <c r="L2405">
        <v>1</v>
      </c>
      <c r="M2405">
        <v>24098.27</v>
      </c>
      <c r="N2405" t="s">
        <v>710</v>
      </c>
      <c r="O2405" t="s">
        <v>1038</v>
      </c>
      <c r="P2405" t="s">
        <v>4777</v>
      </c>
      <c r="Q2405" t="s">
        <v>4858</v>
      </c>
      <c r="R2405" t="s">
        <v>4773</v>
      </c>
    </row>
    <row r="2406" spans="1:18" x14ac:dyDescent="0.3">
      <c r="A2406">
        <v>1984200</v>
      </c>
      <c r="B2406" t="s">
        <v>4874</v>
      </c>
      <c r="C2406" t="s">
        <v>417</v>
      </c>
      <c r="D2406" t="s">
        <v>185</v>
      </c>
      <c r="E2406" s="1">
        <v>45937</v>
      </c>
      <c r="F2406" t="s">
        <v>4346</v>
      </c>
      <c r="G2406" t="s">
        <v>2949</v>
      </c>
      <c r="H2406" t="s">
        <v>461</v>
      </c>
      <c r="I2406" t="s">
        <v>204</v>
      </c>
      <c r="J2406" s="1">
        <v>54878</v>
      </c>
      <c r="K2406" t="s">
        <v>762</v>
      </c>
      <c r="L2406">
        <v>29328.71</v>
      </c>
      <c r="M2406">
        <v>29328.71</v>
      </c>
      <c r="N2406" t="s">
        <v>710</v>
      </c>
      <c r="O2406" t="s">
        <v>1037</v>
      </c>
      <c r="P2406" t="s">
        <v>4780</v>
      </c>
      <c r="Q2406" t="s">
        <v>4852</v>
      </c>
      <c r="R2406" t="s">
        <v>4771</v>
      </c>
    </row>
    <row r="2407" spans="1:18" x14ac:dyDescent="0.3">
      <c r="A2407">
        <v>12427</v>
      </c>
      <c r="B2407" t="s">
        <v>4874</v>
      </c>
      <c r="C2407" t="s">
        <v>598</v>
      </c>
      <c r="D2407" t="s">
        <v>128</v>
      </c>
      <c r="E2407" s="1">
        <v>45937</v>
      </c>
      <c r="F2407" t="s">
        <v>4336</v>
      </c>
      <c r="G2407" t="s">
        <v>2968</v>
      </c>
      <c r="H2407" t="s">
        <v>599</v>
      </c>
      <c r="I2407" t="s">
        <v>204</v>
      </c>
      <c r="J2407" s="1">
        <v>45869</v>
      </c>
      <c r="K2407" t="s">
        <v>762</v>
      </c>
      <c r="L2407">
        <v>3765.03</v>
      </c>
      <c r="M2407">
        <v>3765.03</v>
      </c>
      <c r="N2407" t="s">
        <v>710</v>
      </c>
      <c r="O2407" t="s">
        <v>1037</v>
      </c>
      <c r="P2407" t="s">
        <v>4794</v>
      </c>
      <c r="Q2407" t="s">
        <v>4852</v>
      </c>
      <c r="R2407" t="s">
        <v>4772</v>
      </c>
    </row>
    <row r="2408" spans="1:18" x14ac:dyDescent="0.3">
      <c r="A2408">
        <v>429453</v>
      </c>
      <c r="B2408" t="s">
        <v>4874</v>
      </c>
      <c r="C2408" t="s">
        <v>376</v>
      </c>
      <c r="D2408" t="s">
        <v>35</v>
      </c>
      <c r="E2408" s="1">
        <v>45937</v>
      </c>
      <c r="F2408" t="s">
        <v>4324</v>
      </c>
      <c r="G2408" t="s">
        <v>2941</v>
      </c>
      <c r="H2408" t="s">
        <v>442</v>
      </c>
      <c r="I2408" t="s">
        <v>209</v>
      </c>
      <c r="J2408" s="1">
        <v>54878</v>
      </c>
      <c r="K2408" t="s">
        <v>762</v>
      </c>
      <c r="L2408">
        <v>1035</v>
      </c>
      <c r="M2408">
        <v>1035</v>
      </c>
      <c r="N2408" t="s">
        <v>710</v>
      </c>
      <c r="Q2408" t="s">
        <v>4852</v>
      </c>
      <c r="R2408" t="s">
        <v>4771</v>
      </c>
    </row>
    <row r="2409" spans="1:18" x14ac:dyDescent="0.3">
      <c r="A2409">
        <v>601</v>
      </c>
      <c r="B2409" t="s">
        <v>4874</v>
      </c>
      <c r="C2409" t="s">
        <v>259</v>
      </c>
      <c r="D2409" t="s">
        <v>122</v>
      </c>
      <c r="E2409" s="1">
        <v>45937</v>
      </c>
      <c r="F2409" t="s">
        <v>4390</v>
      </c>
      <c r="G2409" t="s">
        <v>2955</v>
      </c>
      <c r="H2409" t="s">
        <v>258</v>
      </c>
      <c r="I2409" t="s">
        <v>204</v>
      </c>
      <c r="J2409" s="1">
        <v>46337</v>
      </c>
      <c r="K2409" t="s">
        <v>720</v>
      </c>
      <c r="L2409">
        <v>1</v>
      </c>
      <c r="M2409">
        <v>17733.310000000001</v>
      </c>
      <c r="N2409" t="s">
        <v>710</v>
      </c>
      <c r="O2409" t="s">
        <v>1038</v>
      </c>
      <c r="P2409" t="s">
        <v>4777</v>
      </c>
      <c r="Q2409" t="s">
        <v>4858</v>
      </c>
      <c r="R2409" t="s">
        <v>4771</v>
      </c>
    </row>
    <row r="2410" spans="1:18" x14ac:dyDescent="0.3">
      <c r="A2410">
        <v>111057</v>
      </c>
      <c r="B2410" t="s">
        <v>4874</v>
      </c>
      <c r="C2410" t="s">
        <v>379</v>
      </c>
      <c r="D2410" t="s">
        <v>131</v>
      </c>
      <c r="E2410" s="1">
        <v>45937</v>
      </c>
      <c r="F2410" t="s">
        <v>4315</v>
      </c>
      <c r="G2410" t="s">
        <v>2969</v>
      </c>
      <c r="H2410" t="s">
        <v>378</v>
      </c>
      <c r="I2410" t="s">
        <v>204</v>
      </c>
      <c r="J2410" s="1">
        <v>54878</v>
      </c>
      <c r="K2410" t="s">
        <v>762</v>
      </c>
      <c r="L2410">
        <v>68.510000000000005</v>
      </c>
      <c r="M2410">
        <v>68.510000000000005</v>
      </c>
      <c r="N2410" t="s">
        <v>710</v>
      </c>
      <c r="O2410" t="s">
        <v>4833</v>
      </c>
      <c r="P2410" t="s">
        <v>4776</v>
      </c>
      <c r="Q2410" t="s">
        <v>4852</v>
      </c>
      <c r="R2410" t="s">
        <v>4773</v>
      </c>
    </row>
    <row r="2411" spans="1:18" x14ac:dyDescent="0.3">
      <c r="A2411">
        <v>621230</v>
      </c>
      <c r="B2411" t="s">
        <v>4874</v>
      </c>
      <c r="C2411" t="s">
        <v>433</v>
      </c>
      <c r="D2411" t="s">
        <v>168</v>
      </c>
      <c r="E2411" s="1">
        <v>45937</v>
      </c>
      <c r="F2411" t="s">
        <v>4319</v>
      </c>
      <c r="G2411" t="s">
        <v>2965</v>
      </c>
      <c r="H2411" t="s">
        <v>432</v>
      </c>
      <c r="I2411" t="s">
        <v>204</v>
      </c>
      <c r="J2411" s="1">
        <v>46473</v>
      </c>
      <c r="K2411" t="s">
        <v>762</v>
      </c>
      <c r="L2411">
        <v>4590</v>
      </c>
      <c r="M2411">
        <v>4589.6099999999997</v>
      </c>
      <c r="N2411" t="s">
        <v>710</v>
      </c>
      <c r="O2411" t="s">
        <v>4833</v>
      </c>
      <c r="P2411" t="s">
        <v>4802</v>
      </c>
      <c r="Q2411" t="s">
        <v>4852</v>
      </c>
      <c r="R2411" t="s">
        <v>4771</v>
      </c>
    </row>
    <row r="2412" spans="1:18" x14ac:dyDescent="0.3">
      <c r="A2412">
        <v>448385</v>
      </c>
      <c r="B2412" t="s">
        <v>1034</v>
      </c>
      <c r="C2412" t="s">
        <v>585</v>
      </c>
      <c r="D2412" t="s">
        <v>179</v>
      </c>
      <c r="E2412" s="1">
        <v>45937</v>
      </c>
      <c r="F2412" t="s">
        <v>4306</v>
      </c>
      <c r="G2412" t="s">
        <v>2930</v>
      </c>
      <c r="H2412" t="s">
        <v>584</v>
      </c>
      <c r="I2412" t="s">
        <v>204</v>
      </c>
      <c r="J2412" s="1">
        <v>46477</v>
      </c>
      <c r="K2412" t="s">
        <v>717</v>
      </c>
      <c r="L2412">
        <v>1</v>
      </c>
      <c r="M2412">
        <v>1139.9000000000001</v>
      </c>
      <c r="N2412" t="s">
        <v>719</v>
      </c>
      <c r="O2412" t="s">
        <v>4833</v>
      </c>
      <c r="P2412" t="s">
        <v>4786</v>
      </c>
      <c r="Q2412" t="s">
        <v>4852</v>
      </c>
      <c r="R2412" t="s">
        <v>4771</v>
      </c>
    </row>
    <row r="2413" spans="1:18" x14ac:dyDescent="0.3">
      <c r="A2413">
        <v>2025190</v>
      </c>
      <c r="B2413" t="s">
        <v>4875</v>
      </c>
      <c r="C2413" t="s">
        <v>322</v>
      </c>
      <c r="D2413" t="s">
        <v>158</v>
      </c>
      <c r="E2413" s="1">
        <v>45937</v>
      </c>
      <c r="F2413" t="s">
        <v>4432</v>
      </c>
      <c r="G2413" t="s">
        <v>2940</v>
      </c>
      <c r="H2413" t="s">
        <v>352</v>
      </c>
      <c r="I2413" t="s">
        <v>204</v>
      </c>
      <c r="J2413" s="1">
        <v>46310</v>
      </c>
      <c r="K2413" t="s">
        <v>748</v>
      </c>
      <c r="L2413">
        <v>2318.84</v>
      </c>
      <c r="M2413">
        <v>2318.84</v>
      </c>
      <c r="N2413" t="s">
        <v>710</v>
      </c>
      <c r="O2413" t="s">
        <v>1040</v>
      </c>
      <c r="P2413" t="s">
        <v>4782</v>
      </c>
      <c r="Q2413" t="s">
        <v>4856</v>
      </c>
      <c r="R2413" t="s">
        <v>4773</v>
      </c>
    </row>
    <row r="2414" spans="1:18" x14ac:dyDescent="0.3">
      <c r="A2414">
        <v>145590</v>
      </c>
      <c r="B2414" t="s">
        <v>4875</v>
      </c>
      <c r="C2414" t="s">
        <v>415</v>
      </c>
      <c r="D2414" t="s">
        <v>60</v>
      </c>
      <c r="E2414" s="1">
        <v>45937</v>
      </c>
      <c r="F2414" t="s">
        <v>4333</v>
      </c>
      <c r="G2414" t="s">
        <v>2892</v>
      </c>
      <c r="H2414" t="s">
        <v>414</v>
      </c>
      <c r="I2414" t="s">
        <v>204</v>
      </c>
      <c r="J2414" s="1">
        <v>46386</v>
      </c>
      <c r="K2414" t="s">
        <v>768</v>
      </c>
      <c r="L2414">
        <v>2870.8</v>
      </c>
      <c r="M2414">
        <v>2870.8</v>
      </c>
      <c r="N2414" t="s">
        <v>814</v>
      </c>
      <c r="O2414" t="s">
        <v>1037</v>
      </c>
      <c r="P2414" t="s">
        <v>4807</v>
      </c>
      <c r="Q2414" t="s">
        <v>4852</v>
      </c>
      <c r="R2414" t="s">
        <v>4771</v>
      </c>
    </row>
    <row r="2415" spans="1:18" x14ac:dyDescent="0.3">
      <c r="A2415">
        <v>448386</v>
      </c>
      <c r="B2415" t="s">
        <v>4875</v>
      </c>
      <c r="C2415" t="s">
        <v>585</v>
      </c>
      <c r="D2415" t="s">
        <v>179</v>
      </c>
      <c r="E2415" s="1">
        <v>45937</v>
      </c>
      <c r="F2415" t="s">
        <v>4306</v>
      </c>
      <c r="G2415" t="s">
        <v>2931</v>
      </c>
      <c r="H2415" t="s">
        <v>586</v>
      </c>
      <c r="I2415" t="s">
        <v>204</v>
      </c>
      <c r="J2415" s="1">
        <v>46477</v>
      </c>
      <c r="K2415" t="s">
        <v>768</v>
      </c>
      <c r="L2415">
        <v>1139.9000000000001</v>
      </c>
      <c r="M2415">
        <v>1139.9000000000001</v>
      </c>
      <c r="N2415" t="s">
        <v>719</v>
      </c>
      <c r="O2415" t="s">
        <v>4833</v>
      </c>
      <c r="P2415" t="s">
        <v>4786</v>
      </c>
      <c r="Q2415" t="s">
        <v>4852</v>
      </c>
      <c r="R2415" t="s">
        <v>4771</v>
      </c>
    </row>
    <row r="2416" spans="1:18" x14ac:dyDescent="0.3">
      <c r="A2416">
        <v>2781</v>
      </c>
      <c r="B2416" t="s">
        <v>4875</v>
      </c>
      <c r="C2416" t="s">
        <v>541</v>
      </c>
      <c r="D2416" t="s">
        <v>173</v>
      </c>
      <c r="E2416" s="1">
        <v>45937</v>
      </c>
      <c r="F2416" t="s">
        <v>4326</v>
      </c>
      <c r="G2416" t="s">
        <v>2894</v>
      </c>
      <c r="H2416" t="s">
        <v>542</v>
      </c>
      <c r="I2416" t="s">
        <v>204</v>
      </c>
      <c r="J2416" s="1">
        <v>46537</v>
      </c>
      <c r="K2416" t="s">
        <v>748</v>
      </c>
      <c r="L2416">
        <v>1</v>
      </c>
      <c r="M2416">
        <v>2337.9499999999998</v>
      </c>
      <c r="N2416" t="s">
        <v>814</v>
      </c>
      <c r="O2416" t="s">
        <v>1040</v>
      </c>
      <c r="P2416" t="s">
        <v>4791</v>
      </c>
      <c r="Q2416" t="s">
        <v>4856</v>
      </c>
      <c r="R2416" t="s">
        <v>4773</v>
      </c>
    </row>
    <row r="2417" spans="1:18" x14ac:dyDescent="0.3">
      <c r="A2417">
        <v>12443</v>
      </c>
      <c r="B2417" t="s">
        <v>4875</v>
      </c>
      <c r="C2417" t="s">
        <v>598</v>
      </c>
      <c r="D2417" t="s">
        <v>128</v>
      </c>
      <c r="E2417" s="1">
        <v>45937</v>
      </c>
      <c r="F2417" t="s">
        <v>4336</v>
      </c>
      <c r="G2417" t="s">
        <v>2970</v>
      </c>
      <c r="H2417" t="s">
        <v>600</v>
      </c>
      <c r="I2417" t="s">
        <v>204</v>
      </c>
      <c r="J2417" s="1">
        <v>45869</v>
      </c>
      <c r="K2417" t="s">
        <v>768</v>
      </c>
      <c r="L2417">
        <v>975.91</v>
      </c>
      <c r="M2417">
        <v>975.91</v>
      </c>
      <c r="N2417" t="s">
        <v>710</v>
      </c>
      <c r="O2417" t="s">
        <v>1037</v>
      </c>
      <c r="P2417" t="s">
        <v>4794</v>
      </c>
      <c r="Q2417" t="s">
        <v>4852</v>
      </c>
      <c r="R2417" t="s">
        <v>4772</v>
      </c>
    </row>
    <row r="2418" spans="1:18" x14ac:dyDescent="0.3">
      <c r="A2418">
        <v>53710</v>
      </c>
      <c r="B2418" t="s">
        <v>4875</v>
      </c>
      <c r="C2418" t="s">
        <v>208</v>
      </c>
      <c r="D2418" t="s">
        <v>164</v>
      </c>
      <c r="E2418" s="1">
        <v>45937</v>
      </c>
      <c r="F2418" t="s">
        <v>4297</v>
      </c>
      <c r="G2418" t="s">
        <v>2896</v>
      </c>
      <c r="H2418" t="s">
        <v>605</v>
      </c>
      <c r="I2418" t="s">
        <v>204</v>
      </c>
      <c r="J2418" s="1">
        <v>46256</v>
      </c>
      <c r="K2418" t="s">
        <v>748</v>
      </c>
      <c r="L2418">
        <v>1</v>
      </c>
      <c r="M2418">
        <v>120</v>
      </c>
      <c r="N2418" t="s">
        <v>710</v>
      </c>
      <c r="O2418" t="s">
        <v>1040</v>
      </c>
      <c r="P2418" t="s">
        <v>4795</v>
      </c>
      <c r="Q2418" t="s">
        <v>4856</v>
      </c>
    </row>
    <row r="2419" spans="1:18" x14ac:dyDescent="0.3">
      <c r="A2419">
        <v>2025188</v>
      </c>
      <c r="B2419" t="s">
        <v>4875</v>
      </c>
      <c r="C2419" t="s">
        <v>322</v>
      </c>
      <c r="D2419" t="s">
        <v>158</v>
      </c>
      <c r="E2419" s="1">
        <v>45937</v>
      </c>
      <c r="F2419" t="s">
        <v>4433</v>
      </c>
      <c r="G2419" t="s">
        <v>2937</v>
      </c>
      <c r="H2419" t="s">
        <v>346</v>
      </c>
      <c r="I2419" t="s">
        <v>204</v>
      </c>
      <c r="J2419" s="1">
        <v>46310</v>
      </c>
      <c r="K2419" t="s">
        <v>748</v>
      </c>
      <c r="L2419">
        <v>21660</v>
      </c>
      <c r="M2419">
        <v>21660</v>
      </c>
      <c r="N2419" t="s">
        <v>710</v>
      </c>
      <c r="O2419" t="s">
        <v>1040</v>
      </c>
      <c r="P2419" t="s">
        <v>4782</v>
      </c>
      <c r="Q2419" t="s">
        <v>4856</v>
      </c>
      <c r="R2419" t="s">
        <v>4773</v>
      </c>
    </row>
    <row r="2420" spans="1:18" x14ac:dyDescent="0.3">
      <c r="A2420">
        <v>2025189</v>
      </c>
      <c r="B2420" t="s">
        <v>4875</v>
      </c>
      <c r="C2420" t="s">
        <v>322</v>
      </c>
      <c r="D2420" t="s">
        <v>158</v>
      </c>
      <c r="E2420" s="1">
        <v>45937</v>
      </c>
      <c r="F2420" t="s">
        <v>4431</v>
      </c>
      <c r="G2420" t="s">
        <v>2939</v>
      </c>
      <c r="H2420" t="s">
        <v>321</v>
      </c>
      <c r="I2420" t="s">
        <v>204</v>
      </c>
      <c r="J2420" s="1">
        <v>46310</v>
      </c>
      <c r="K2420" t="s">
        <v>748</v>
      </c>
      <c r="L2420">
        <v>9274.86</v>
      </c>
      <c r="M2420">
        <v>9274.86</v>
      </c>
      <c r="N2420" t="s">
        <v>710</v>
      </c>
      <c r="O2420" t="s">
        <v>1040</v>
      </c>
      <c r="P2420" t="s">
        <v>4782</v>
      </c>
      <c r="Q2420" t="s">
        <v>4856</v>
      </c>
      <c r="R2420" t="s">
        <v>4773</v>
      </c>
    </row>
    <row r="2421" spans="1:18" x14ac:dyDescent="0.3">
      <c r="A2421">
        <v>434282</v>
      </c>
      <c r="B2421" t="s">
        <v>1034</v>
      </c>
      <c r="C2421" t="s">
        <v>376</v>
      </c>
      <c r="D2421" t="s">
        <v>35</v>
      </c>
      <c r="E2421" s="1">
        <v>45937</v>
      </c>
      <c r="F2421" t="s">
        <v>4302</v>
      </c>
      <c r="G2421" t="s">
        <v>2943</v>
      </c>
      <c r="H2421" t="s">
        <v>377</v>
      </c>
      <c r="I2421" t="s">
        <v>209</v>
      </c>
      <c r="J2421" s="1">
        <v>54878</v>
      </c>
      <c r="K2421" t="s">
        <v>717</v>
      </c>
      <c r="L2421">
        <v>42510.400000000001</v>
      </c>
      <c r="M2421">
        <v>42510.400000000001</v>
      </c>
      <c r="N2421" t="s">
        <v>710</v>
      </c>
      <c r="Q2421" t="s">
        <v>4852</v>
      </c>
      <c r="R2421" t="s">
        <v>4771</v>
      </c>
    </row>
    <row r="2422" spans="1:18" x14ac:dyDescent="0.3">
      <c r="A2422">
        <v>145584</v>
      </c>
      <c r="B2422" t="s">
        <v>1034</v>
      </c>
      <c r="C2422" t="s">
        <v>415</v>
      </c>
      <c r="D2422" t="s">
        <v>60</v>
      </c>
      <c r="E2422" s="1">
        <v>45937</v>
      </c>
      <c r="F2422" t="s">
        <v>4333</v>
      </c>
      <c r="G2422" t="s">
        <v>2889</v>
      </c>
      <c r="H2422" t="s">
        <v>431</v>
      </c>
      <c r="I2422" t="s">
        <v>204</v>
      </c>
      <c r="J2422" s="1">
        <v>46386</v>
      </c>
      <c r="K2422" t="s">
        <v>717</v>
      </c>
      <c r="L2422">
        <v>14584.86</v>
      </c>
      <c r="M2422">
        <v>14584.86</v>
      </c>
      <c r="N2422" t="s">
        <v>814</v>
      </c>
      <c r="O2422" t="s">
        <v>1037</v>
      </c>
      <c r="P2422" t="s">
        <v>4807</v>
      </c>
      <c r="Q2422" t="s">
        <v>4852</v>
      </c>
      <c r="R2422" t="s">
        <v>4771</v>
      </c>
    </row>
    <row r="2423" spans="1:18" x14ac:dyDescent="0.3">
      <c r="A2423">
        <v>163001</v>
      </c>
      <c r="B2423" t="s">
        <v>4875</v>
      </c>
      <c r="C2423" t="s">
        <v>301</v>
      </c>
      <c r="D2423" t="s">
        <v>23</v>
      </c>
      <c r="E2423" s="1">
        <v>45937</v>
      </c>
      <c r="F2423" t="s">
        <v>4321</v>
      </c>
      <c r="G2423" t="s">
        <v>2874</v>
      </c>
      <c r="H2423" t="s">
        <v>342</v>
      </c>
      <c r="I2423" t="s">
        <v>204</v>
      </c>
      <c r="J2423" s="1">
        <v>46285</v>
      </c>
      <c r="K2423" t="s">
        <v>748</v>
      </c>
      <c r="L2423">
        <v>5127.5200000000004</v>
      </c>
      <c r="M2423">
        <v>5127.51</v>
      </c>
      <c r="N2423" t="s">
        <v>710</v>
      </c>
      <c r="O2423" t="s">
        <v>1040</v>
      </c>
      <c r="P2423" t="s">
        <v>4782</v>
      </c>
      <c r="Q2423" t="s">
        <v>4856</v>
      </c>
      <c r="R2423" t="s">
        <v>4773</v>
      </c>
    </row>
    <row r="2424" spans="1:18" x14ac:dyDescent="0.3">
      <c r="A2424">
        <v>3976799</v>
      </c>
      <c r="B2424" t="s">
        <v>1034</v>
      </c>
      <c r="C2424" t="s">
        <v>417</v>
      </c>
      <c r="D2424" t="s">
        <v>185</v>
      </c>
      <c r="E2424" s="1">
        <v>45937</v>
      </c>
      <c r="F2424" t="s">
        <v>4335</v>
      </c>
      <c r="G2424" t="s">
        <v>2948</v>
      </c>
      <c r="H2424" t="s">
        <v>416</v>
      </c>
      <c r="I2424" t="s">
        <v>204</v>
      </c>
      <c r="J2424" s="1">
        <v>54878</v>
      </c>
      <c r="K2424" t="s">
        <v>717</v>
      </c>
      <c r="L2424">
        <v>1237.5899999999999</v>
      </c>
      <c r="M2424">
        <v>1237.5899999999999</v>
      </c>
      <c r="N2424" t="s">
        <v>710</v>
      </c>
      <c r="O2424" t="s">
        <v>1037</v>
      </c>
      <c r="P2424" t="s">
        <v>4780</v>
      </c>
      <c r="Q2424" t="s">
        <v>4852</v>
      </c>
      <c r="R2424" t="s">
        <v>4771</v>
      </c>
    </row>
    <row r="2425" spans="1:18" x14ac:dyDescent="0.3">
      <c r="A2425">
        <v>54001</v>
      </c>
      <c r="B2425" t="s">
        <v>1034</v>
      </c>
      <c r="C2425" t="s">
        <v>790</v>
      </c>
      <c r="D2425" t="s">
        <v>19</v>
      </c>
      <c r="E2425" s="1">
        <v>45937</v>
      </c>
      <c r="F2425" t="s">
        <v>4348</v>
      </c>
      <c r="G2425" t="s">
        <v>2933</v>
      </c>
      <c r="H2425" t="s">
        <v>287</v>
      </c>
      <c r="I2425" t="s">
        <v>209</v>
      </c>
      <c r="J2425" s="1">
        <v>54878</v>
      </c>
      <c r="K2425" t="s">
        <v>711</v>
      </c>
      <c r="L2425">
        <v>1</v>
      </c>
      <c r="M2425">
        <v>2950</v>
      </c>
      <c r="N2425" t="s">
        <v>710</v>
      </c>
      <c r="O2425" t="s">
        <v>1037</v>
      </c>
      <c r="P2425" t="s">
        <v>4781</v>
      </c>
      <c r="Q2425" t="s">
        <v>4852</v>
      </c>
      <c r="R2425" t="s">
        <v>4771</v>
      </c>
    </row>
    <row r="2426" spans="1:18" x14ac:dyDescent="0.3">
      <c r="A2426">
        <v>346509</v>
      </c>
      <c r="B2426" t="s">
        <v>1034</v>
      </c>
      <c r="C2426" t="s">
        <v>500</v>
      </c>
      <c r="D2426" t="s">
        <v>16</v>
      </c>
      <c r="E2426" s="1">
        <v>45937</v>
      </c>
      <c r="F2426" t="s">
        <v>4306</v>
      </c>
      <c r="G2426" t="s">
        <v>2979</v>
      </c>
      <c r="H2426" t="s">
        <v>499</v>
      </c>
      <c r="I2426" t="s">
        <v>204</v>
      </c>
      <c r="J2426" s="1">
        <v>54878</v>
      </c>
      <c r="K2426" t="s">
        <v>717</v>
      </c>
      <c r="L2426">
        <v>1633.45</v>
      </c>
      <c r="M2426">
        <v>1633.45</v>
      </c>
      <c r="N2426" t="s">
        <v>710</v>
      </c>
      <c r="O2426" t="s">
        <v>4833</v>
      </c>
      <c r="P2426" t="s">
        <v>4786</v>
      </c>
      <c r="Q2426" t="s">
        <v>4852</v>
      </c>
      <c r="R2426" t="s">
        <v>4773</v>
      </c>
    </row>
    <row r="2427" spans="1:18" x14ac:dyDescent="0.3">
      <c r="A2427">
        <v>12435</v>
      </c>
      <c r="B2427" t="s">
        <v>1034</v>
      </c>
      <c r="C2427" t="s">
        <v>598</v>
      </c>
      <c r="D2427" t="s">
        <v>128</v>
      </c>
      <c r="E2427" s="1">
        <v>45937</v>
      </c>
      <c r="F2427" t="s">
        <v>4336</v>
      </c>
      <c r="G2427" t="s">
        <v>2967</v>
      </c>
      <c r="H2427" t="s">
        <v>597</v>
      </c>
      <c r="I2427" t="s">
        <v>204</v>
      </c>
      <c r="J2427" s="1">
        <v>45839</v>
      </c>
      <c r="K2427" t="s">
        <v>717</v>
      </c>
      <c r="L2427">
        <v>4640.57</v>
      </c>
      <c r="M2427">
        <v>4640.57</v>
      </c>
      <c r="N2427" t="s">
        <v>710</v>
      </c>
      <c r="O2427" t="s">
        <v>1037</v>
      </c>
      <c r="P2427" t="s">
        <v>4794</v>
      </c>
      <c r="Q2427" t="s">
        <v>4852</v>
      </c>
      <c r="R2427" t="s">
        <v>4772</v>
      </c>
    </row>
    <row r="2428" spans="1:18" x14ac:dyDescent="0.3">
      <c r="A2428">
        <v>1984311</v>
      </c>
      <c r="B2428" t="s">
        <v>1034</v>
      </c>
      <c r="C2428" t="s">
        <v>417</v>
      </c>
      <c r="D2428" t="s">
        <v>185</v>
      </c>
      <c r="E2428" s="1">
        <v>45937</v>
      </c>
      <c r="F2428" t="s">
        <v>4346</v>
      </c>
      <c r="G2428" t="s">
        <v>2948</v>
      </c>
      <c r="H2428" t="s">
        <v>416</v>
      </c>
      <c r="I2428" t="s">
        <v>204</v>
      </c>
      <c r="J2428" s="1">
        <v>54878</v>
      </c>
      <c r="K2428" t="s">
        <v>717</v>
      </c>
      <c r="L2428">
        <v>4772.96</v>
      </c>
      <c r="M2428">
        <v>4772.96</v>
      </c>
      <c r="N2428" t="s">
        <v>710</v>
      </c>
      <c r="O2428" t="s">
        <v>1037</v>
      </c>
      <c r="P2428" t="s">
        <v>4780</v>
      </c>
      <c r="Q2428" t="s">
        <v>4852</v>
      </c>
      <c r="R2428" t="s">
        <v>4771</v>
      </c>
    </row>
    <row r="2429" spans="1:18" x14ac:dyDescent="0.3">
      <c r="A2429">
        <v>106392</v>
      </c>
      <c r="B2429" t="s">
        <v>1034</v>
      </c>
      <c r="C2429" t="s">
        <v>495</v>
      </c>
      <c r="D2429" t="s">
        <v>44</v>
      </c>
      <c r="E2429" s="1">
        <v>45937</v>
      </c>
      <c r="F2429" t="s">
        <v>4303</v>
      </c>
      <c r="G2429" t="s">
        <v>2927</v>
      </c>
      <c r="H2429" t="s">
        <v>494</v>
      </c>
      <c r="I2429" t="s">
        <v>204</v>
      </c>
      <c r="J2429" s="1">
        <v>54878</v>
      </c>
      <c r="K2429" t="s">
        <v>717</v>
      </c>
      <c r="L2429">
        <v>1658.79</v>
      </c>
      <c r="M2429">
        <v>1658.79</v>
      </c>
      <c r="N2429" t="s">
        <v>710</v>
      </c>
      <c r="O2429" t="s">
        <v>4833</v>
      </c>
      <c r="P2429" t="s">
        <v>4776</v>
      </c>
      <c r="Q2429" t="s">
        <v>4852</v>
      </c>
      <c r="R2429" t="s">
        <v>4773</v>
      </c>
    </row>
    <row r="2430" spans="1:18" x14ac:dyDescent="0.3">
      <c r="A2430">
        <v>101173</v>
      </c>
      <c r="B2430" t="s">
        <v>1034</v>
      </c>
      <c r="C2430" t="s">
        <v>502</v>
      </c>
      <c r="D2430" t="s">
        <v>2</v>
      </c>
      <c r="E2430" s="1">
        <v>45937</v>
      </c>
      <c r="F2430" t="s">
        <v>4303</v>
      </c>
      <c r="G2430" t="s">
        <v>2971</v>
      </c>
      <c r="H2430" t="s">
        <v>501</v>
      </c>
      <c r="I2430" t="s">
        <v>204</v>
      </c>
      <c r="J2430" s="1">
        <v>54878</v>
      </c>
      <c r="K2430" t="s">
        <v>717</v>
      </c>
      <c r="L2430">
        <v>1884.23</v>
      </c>
      <c r="M2430">
        <v>1884.23</v>
      </c>
      <c r="N2430" t="s">
        <v>710</v>
      </c>
      <c r="O2430" t="s">
        <v>4833</v>
      </c>
      <c r="P2430" t="s">
        <v>4776</v>
      </c>
      <c r="Q2430" t="s">
        <v>4852</v>
      </c>
      <c r="R2430" t="s">
        <v>4774</v>
      </c>
    </row>
    <row r="2431" spans="1:18" x14ac:dyDescent="0.3">
      <c r="A2431">
        <v>324</v>
      </c>
      <c r="B2431" t="s">
        <v>1034</v>
      </c>
      <c r="C2431" t="s">
        <v>479</v>
      </c>
      <c r="D2431" t="s">
        <v>99</v>
      </c>
      <c r="E2431" s="1">
        <v>45937</v>
      </c>
      <c r="F2431" t="s">
        <v>4330</v>
      </c>
      <c r="G2431" t="s">
        <v>2958</v>
      </c>
      <c r="H2431" t="s">
        <v>478</v>
      </c>
      <c r="I2431" t="s">
        <v>204</v>
      </c>
      <c r="J2431" s="1">
        <v>46239</v>
      </c>
      <c r="K2431" t="s">
        <v>717</v>
      </c>
      <c r="L2431">
        <v>5</v>
      </c>
      <c r="M2431">
        <v>39.299999999999997</v>
      </c>
      <c r="N2431" t="s">
        <v>710</v>
      </c>
      <c r="O2431" t="s">
        <v>1037</v>
      </c>
      <c r="P2431" t="s">
        <v>4790</v>
      </c>
      <c r="Q2431" t="s">
        <v>4852</v>
      </c>
      <c r="R2431" t="s">
        <v>4772</v>
      </c>
    </row>
    <row r="2432" spans="1:18" x14ac:dyDescent="0.3">
      <c r="A2432">
        <v>324</v>
      </c>
      <c r="B2432" t="s">
        <v>1034</v>
      </c>
      <c r="C2432" t="s">
        <v>479</v>
      </c>
      <c r="D2432" t="s">
        <v>99</v>
      </c>
      <c r="E2432" s="1">
        <v>45937</v>
      </c>
      <c r="F2432" t="s">
        <v>4372</v>
      </c>
      <c r="G2432" t="s">
        <v>2958</v>
      </c>
      <c r="H2432" t="s">
        <v>478</v>
      </c>
      <c r="I2432" t="s">
        <v>204</v>
      </c>
      <c r="J2432" s="1">
        <v>46239</v>
      </c>
      <c r="K2432" t="s">
        <v>717</v>
      </c>
      <c r="L2432">
        <v>232</v>
      </c>
      <c r="M2432">
        <v>1925.34</v>
      </c>
      <c r="N2432" t="s">
        <v>710</v>
      </c>
      <c r="O2432" t="s">
        <v>1037</v>
      </c>
      <c r="P2432" t="s">
        <v>4790</v>
      </c>
      <c r="Q2432" t="s">
        <v>4852</v>
      </c>
      <c r="R2432" t="s">
        <v>4772</v>
      </c>
    </row>
    <row r="2433" spans="1:18" x14ac:dyDescent="0.3">
      <c r="A2433">
        <v>324</v>
      </c>
      <c r="B2433" t="s">
        <v>1034</v>
      </c>
      <c r="C2433" t="s">
        <v>479</v>
      </c>
      <c r="D2433" t="s">
        <v>99</v>
      </c>
      <c r="E2433" s="1">
        <v>45937</v>
      </c>
      <c r="F2433" t="s">
        <v>4312</v>
      </c>
      <c r="G2433" t="s">
        <v>2958</v>
      </c>
      <c r="H2433" t="s">
        <v>478</v>
      </c>
      <c r="I2433" t="s">
        <v>204</v>
      </c>
      <c r="J2433" s="1">
        <v>46239</v>
      </c>
      <c r="K2433" t="s">
        <v>717</v>
      </c>
      <c r="L2433">
        <v>86</v>
      </c>
      <c r="M2433">
        <v>397.9</v>
      </c>
      <c r="N2433" t="s">
        <v>710</v>
      </c>
      <c r="O2433" t="s">
        <v>1037</v>
      </c>
      <c r="P2433" t="s">
        <v>4790</v>
      </c>
      <c r="Q2433" t="s">
        <v>4852</v>
      </c>
      <c r="R2433" t="s">
        <v>4772</v>
      </c>
    </row>
    <row r="2434" spans="1:18" x14ac:dyDescent="0.3">
      <c r="A2434">
        <v>324</v>
      </c>
      <c r="B2434" t="s">
        <v>1034</v>
      </c>
      <c r="C2434" t="s">
        <v>479</v>
      </c>
      <c r="D2434" t="s">
        <v>99</v>
      </c>
      <c r="E2434" s="1">
        <v>45937</v>
      </c>
      <c r="F2434" t="s">
        <v>4307</v>
      </c>
      <c r="G2434" t="s">
        <v>2958</v>
      </c>
      <c r="H2434" t="s">
        <v>478</v>
      </c>
      <c r="I2434" t="s">
        <v>204</v>
      </c>
      <c r="J2434" s="1">
        <v>46239</v>
      </c>
      <c r="K2434" t="s">
        <v>717</v>
      </c>
      <c r="L2434">
        <v>4570</v>
      </c>
      <c r="M2434">
        <v>54351.59</v>
      </c>
      <c r="N2434" t="s">
        <v>710</v>
      </c>
      <c r="O2434" t="s">
        <v>1037</v>
      </c>
      <c r="P2434" t="s">
        <v>4790</v>
      </c>
      <c r="Q2434" t="s">
        <v>4852</v>
      </c>
      <c r="R2434" t="s">
        <v>4772</v>
      </c>
    </row>
    <row r="2435" spans="1:18" x14ac:dyDescent="0.3">
      <c r="A2435">
        <v>324</v>
      </c>
      <c r="B2435" t="s">
        <v>1034</v>
      </c>
      <c r="C2435" t="s">
        <v>479</v>
      </c>
      <c r="D2435" t="s">
        <v>99</v>
      </c>
      <c r="E2435" s="1">
        <v>45937</v>
      </c>
      <c r="F2435" t="s">
        <v>4310</v>
      </c>
      <c r="G2435" t="s">
        <v>2958</v>
      </c>
      <c r="H2435" t="s">
        <v>478</v>
      </c>
      <c r="I2435" t="s">
        <v>204</v>
      </c>
      <c r="J2435" s="1">
        <v>46239</v>
      </c>
      <c r="K2435" t="s">
        <v>717</v>
      </c>
      <c r="L2435">
        <v>96</v>
      </c>
      <c r="M2435">
        <v>331.96</v>
      </c>
      <c r="N2435" t="s">
        <v>710</v>
      </c>
      <c r="O2435" t="s">
        <v>1037</v>
      </c>
      <c r="P2435" t="s">
        <v>4790</v>
      </c>
      <c r="Q2435" t="s">
        <v>4852</v>
      </c>
      <c r="R2435" t="s">
        <v>4772</v>
      </c>
    </row>
    <row r="2436" spans="1:18" x14ac:dyDescent="0.3">
      <c r="A2436">
        <v>324</v>
      </c>
      <c r="B2436" t="s">
        <v>1034</v>
      </c>
      <c r="C2436" t="s">
        <v>479</v>
      </c>
      <c r="D2436" t="s">
        <v>99</v>
      </c>
      <c r="E2436" s="1">
        <v>45937</v>
      </c>
      <c r="F2436" t="s">
        <v>4308</v>
      </c>
      <c r="G2436" t="s">
        <v>2958</v>
      </c>
      <c r="H2436" t="s">
        <v>478</v>
      </c>
      <c r="I2436" t="s">
        <v>204</v>
      </c>
      <c r="J2436" s="1">
        <v>46239</v>
      </c>
      <c r="K2436" t="s">
        <v>717</v>
      </c>
      <c r="L2436">
        <v>3212</v>
      </c>
      <c r="M2436">
        <v>12389.42</v>
      </c>
      <c r="N2436" t="s">
        <v>710</v>
      </c>
      <c r="O2436" t="s">
        <v>1037</v>
      </c>
      <c r="P2436" t="s">
        <v>4790</v>
      </c>
      <c r="Q2436" t="s">
        <v>4852</v>
      </c>
      <c r="R2436" t="s">
        <v>4772</v>
      </c>
    </row>
    <row r="2437" spans="1:18" x14ac:dyDescent="0.3">
      <c r="A2437">
        <v>86974</v>
      </c>
      <c r="B2437" t="s">
        <v>4875</v>
      </c>
      <c r="C2437" t="s">
        <v>319</v>
      </c>
      <c r="D2437" t="s">
        <v>36</v>
      </c>
      <c r="E2437" s="1">
        <v>45936</v>
      </c>
      <c r="F2437" t="s">
        <v>4434</v>
      </c>
      <c r="G2437" t="s">
        <v>2883</v>
      </c>
      <c r="H2437" t="s">
        <v>336</v>
      </c>
      <c r="I2437" t="s">
        <v>204</v>
      </c>
      <c r="J2437" s="1">
        <v>46075</v>
      </c>
      <c r="K2437" t="s">
        <v>748</v>
      </c>
      <c r="L2437">
        <v>28699.33</v>
      </c>
      <c r="M2437">
        <v>28699.33</v>
      </c>
      <c r="N2437" t="s">
        <v>710</v>
      </c>
      <c r="O2437" t="s">
        <v>1040</v>
      </c>
      <c r="P2437" t="s">
        <v>4784</v>
      </c>
      <c r="Q2437" t="s">
        <v>4856</v>
      </c>
      <c r="R2437" t="s">
        <v>4771</v>
      </c>
    </row>
    <row r="2438" spans="1:18" x14ac:dyDescent="0.3">
      <c r="A2438">
        <v>46065</v>
      </c>
      <c r="B2438" t="s">
        <v>1034</v>
      </c>
      <c r="C2438" t="s">
        <v>303</v>
      </c>
      <c r="D2438" t="s">
        <v>22</v>
      </c>
      <c r="E2438" s="1">
        <v>45936</v>
      </c>
      <c r="F2438" t="s">
        <v>4366</v>
      </c>
      <c r="G2438" t="s">
        <v>2884</v>
      </c>
      <c r="H2438" t="s">
        <v>302</v>
      </c>
      <c r="I2438" t="s">
        <v>204</v>
      </c>
      <c r="J2438" s="1">
        <v>46270</v>
      </c>
      <c r="K2438" t="s">
        <v>720</v>
      </c>
      <c r="L2438">
        <v>2436.35</v>
      </c>
      <c r="M2438">
        <v>2436.35</v>
      </c>
      <c r="N2438" t="s">
        <v>710</v>
      </c>
      <c r="O2438" t="s">
        <v>4834</v>
      </c>
      <c r="P2438" t="s">
        <v>4776</v>
      </c>
      <c r="Q2438" t="s">
        <v>4858</v>
      </c>
      <c r="R2438" t="s">
        <v>4773</v>
      </c>
    </row>
    <row r="2439" spans="1:18" x14ac:dyDescent="0.3">
      <c r="A2439">
        <v>17138</v>
      </c>
      <c r="B2439" t="s">
        <v>1034</v>
      </c>
      <c r="C2439" t="s">
        <v>359</v>
      </c>
      <c r="D2439" t="s">
        <v>53</v>
      </c>
      <c r="E2439" s="1">
        <v>45936</v>
      </c>
      <c r="F2439" t="s">
        <v>4305</v>
      </c>
      <c r="G2439" t="s">
        <v>2950</v>
      </c>
      <c r="H2439" t="s">
        <v>358</v>
      </c>
      <c r="I2439" t="s">
        <v>204</v>
      </c>
      <c r="J2439" s="1">
        <v>54878</v>
      </c>
      <c r="K2439" t="s">
        <v>711</v>
      </c>
      <c r="L2439">
        <v>625.37</v>
      </c>
      <c r="M2439">
        <v>625.37</v>
      </c>
      <c r="N2439" t="s">
        <v>710</v>
      </c>
      <c r="O2439" t="s">
        <v>1036</v>
      </c>
      <c r="P2439" t="s">
        <v>4776</v>
      </c>
      <c r="Q2439" t="s">
        <v>4901</v>
      </c>
      <c r="R2439" t="s">
        <v>4773</v>
      </c>
    </row>
    <row r="2440" spans="1:18" x14ac:dyDescent="0.3">
      <c r="A2440">
        <v>242</v>
      </c>
      <c r="B2440" t="s">
        <v>1034</v>
      </c>
      <c r="C2440" t="s">
        <v>319</v>
      </c>
      <c r="D2440" t="s">
        <v>36</v>
      </c>
      <c r="E2440" s="1">
        <v>45936</v>
      </c>
      <c r="F2440" t="s">
        <v>4298</v>
      </c>
      <c r="G2440" t="s">
        <v>2960</v>
      </c>
      <c r="H2440" t="s">
        <v>318</v>
      </c>
      <c r="I2440" t="s">
        <v>204</v>
      </c>
      <c r="J2440" s="1">
        <v>46214</v>
      </c>
      <c r="K2440" t="s">
        <v>711</v>
      </c>
      <c r="L2440">
        <v>764</v>
      </c>
      <c r="M2440">
        <v>764.03</v>
      </c>
      <c r="N2440" t="s">
        <v>710</v>
      </c>
      <c r="O2440" t="s">
        <v>1036</v>
      </c>
      <c r="P2440" t="s">
        <v>4784</v>
      </c>
      <c r="Q2440" t="s">
        <v>4901</v>
      </c>
      <c r="R2440" t="s">
        <v>4771</v>
      </c>
    </row>
    <row r="2441" spans="1:18" x14ac:dyDescent="0.3">
      <c r="A2441">
        <v>124</v>
      </c>
      <c r="B2441" t="s">
        <v>1034</v>
      </c>
      <c r="C2441" t="s">
        <v>618</v>
      </c>
      <c r="D2441" t="s">
        <v>112</v>
      </c>
      <c r="E2441" s="1">
        <v>45936</v>
      </c>
      <c r="F2441" t="s">
        <v>4361</v>
      </c>
      <c r="G2441" t="s">
        <v>2961</v>
      </c>
      <c r="H2441" t="s">
        <v>617</v>
      </c>
      <c r="I2441" t="s">
        <v>204</v>
      </c>
      <c r="J2441" s="1">
        <v>46347</v>
      </c>
      <c r="K2441" t="s">
        <v>711</v>
      </c>
      <c r="L2441">
        <v>1</v>
      </c>
      <c r="M2441">
        <v>713</v>
      </c>
      <c r="N2441" t="s">
        <v>818</v>
      </c>
      <c r="O2441" t="s">
        <v>1036</v>
      </c>
      <c r="P2441" t="s">
        <v>4776</v>
      </c>
      <c r="Q2441" t="s">
        <v>4901</v>
      </c>
      <c r="R2441" t="s">
        <v>4771</v>
      </c>
    </row>
    <row r="2442" spans="1:18" x14ac:dyDescent="0.3">
      <c r="A2442">
        <v>2783</v>
      </c>
      <c r="B2442" t="s">
        <v>4874</v>
      </c>
      <c r="C2442" t="s">
        <v>541</v>
      </c>
      <c r="D2442" t="s">
        <v>173</v>
      </c>
      <c r="E2442" s="1">
        <v>45936</v>
      </c>
      <c r="F2442" t="s">
        <v>4326</v>
      </c>
      <c r="G2442" t="s">
        <v>2952</v>
      </c>
      <c r="H2442" t="s">
        <v>548</v>
      </c>
      <c r="I2442" t="s">
        <v>204</v>
      </c>
      <c r="J2442" s="1">
        <v>46387</v>
      </c>
      <c r="K2442" t="s">
        <v>720</v>
      </c>
      <c r="L2442">
        <v>1</v>
      </c>
      <c r="M2442">
        <v>2300</v>
      </c>
      <c r="N2442" t="s">
        <v>710</v>
      </c>
      <c r="O2442" t="s">
        <v>1038</v>
      </c>
      <c r="P2442" t="s">
        <v>4791</v>
      </c>
      <c r="Q2442" t="s">
        <v>4858</v>
      </c>
      <c r="R2442" t="s">
        <v>4773</v>
      </c>
    </row>
    <row r="2443" spans="1:18" x14ac:dyDescent="0.3">
      <c r="A2443">
        <v>731436</v>
      </c>
      <c r="B2443" t="s">
        <v>4874</v>
      </c>
      <c r="C2443" t="s">
        <v>409</v>
      </c>
      <c r="D2443" t="s">
        <v>28</v>
      </c>
      <c r="E2443" s="1">
        <v>45936</v>
      </c>
      <c r="F2443" t="s">
        <v>4388</v>
      </c>
      <c r="G2443" t="s">
        <v>2922</v>
      </c>
      <c r="H2443" t="s">
        <v>408</v>
      </c>
      <c r="I2443" t="s">
        <v>204</v>
      </c>
      <c r="J2443" s="1">
        <v>54878</v>
      </c>
      <c r="K2443" t="s">
        <v>762</v>
      </c>
      <c r="L2443">
        <v>30764</v>
      </c>
      <c r="M2443">
        <v>30764.1</v>
      </c>
      <c r="N2443" t="s">
        <v>710</v>
      </c>
      <c r="O2443" t="s">
        <v>4833</v>
      </c>
      <c r="P2443" t="s">
        <v>4776</v>
      </c>
      <c r="Q2443" t="s">
        <v>4852</v>
      </c>
      <c r="R2443" t="s">
        <v>4773</v>
      </c>
    </row>
    <row r="2444" spans="1:18" x14ac:dyDescent="0.3">
      <c r="A2444">
        <v>212</v>
      </c>
      <c r="B2444" t="s">
        <v>4874</v>
      </c>
      <c r="C2444" t="s">
        <v>568</v>
      </c>
      <c r="D2444" t="s">
        <v>64</v>
      </c>
      <c r="E2444" s="1">
        <v>45936</v>
      </c>
      <c r="F2444" t="s">
        <v>4321</v>
      </c>
      <c r="G2444" t="s">
        <v>2381</v>
      </c>
      <c r="H2444" t="s">
        <v>576</v>
      </c>
      <c r="I2444" t="s">
        <v>209</v>
      </c>
      <c r="J2444" s="1">
        <v>46262</v>
      </c>
      <c r="K2444" t="s">
        <v>762</v>
      </c>
      <c r="L2444">
        <v>1</v>
      </c>
      <c r="M2444">
        <v>1740</v>
      </c>
      <c r="N2444" t="s">
        <v>710</v>
      </c>
      <c r="O2444" t="s">
        <v>1038</v>
      </c>
      <c r="P2444" t="s">
        <v>4782</v>
      </c>
      <c r="Q2444" t="s">
        <v>4858</v>
      </c>
      <c r="R2444" t="s">
        <v>4771</v>
      </c>
    </row>
    <row r="2445" spans="1:18" x14ac:dyDescent="0.3">
      <c r="A2445">
        <v>2243</v>
      </c>
      <c r="B2445" t="s">
        <v>4875</v>
      </c>
      <c r="C2445" t="s">
        <v>616</v>
      </c>
      <c r="D2445" t="s">
        <v>152</v>
      </c>
      <c r="E2445" s="1">
        <v>45936</v>
      </c>
      <c r="F2445" t="s">
        <v>4338</v>
      </c>
      <c r="G2445" t="s">
        <v>2871</v>
      </c>
      <c r="H2445" t="s">
        <v>622</v>
      </c>
      <c r="I2445" t="s">
        <v>204</v>
      </c>
      <c r="J2445" s="1">
        <v>46351</v>
      </c>
      <c r="K2445" t="s">
        <v>748</v>
      </c>
      <c r="L2445">
        <v>1</v>
      </c>
      <c r="M2445">
        <v>28600.99</v>
      </c>
      <c r="N2445" t="s">
        <v>710</v>
      </c>
      <c r="O2445" t="s">
        <v>4904</v>
      </c>
      <c r="P2445" t="s">
        <v>4796</v>
      </c>
      <c r="Q2445" t="s">
        <v>4856</v>
      </c>
      <c r="R2445" t="s">
        <v>4772</v>
      </c>
    </row>
    <row r="2446" spans="1:18" x14ac:dyDescent="0.3">
      <c r="A2446">
        <v>7218</v>
      </c>
      <c r="B2446" t="s">
        <v>4874</v>
      </c>
      <c r="C2446" t="s">
        <v>484</v>
      </c>
      <c r="D2446" t="s">
        <v>140</v>
      </c>
      <c r="E2446" s="1">
        <v>45936</v>
      </c>
      <c r="F2446" t="s">
        <v>4345</v>
      </c>
      <c r="G2446" t="s">
        <v>2920</v>
      </c>
      <c r="H2446" t="s">
        <v>483</v>
      </c>
      <c r="I2446" t="s">
        <v>204</v>
      </c>
      <c r="J2446" s="1">
        <v>46508</v>
      </c>
      <c r="K2446" t="s">
        <v>762</v>
      </c>
      <c r="L2446">
        <v>49120</v>
      </c>
      <c r="M2446">
        <v>49120</v>
      </c>
      <c r="N2446" t="s">
        <v>710</v>
      </c>
      <c r="O2446" t="s">
        <v>4833</v>
      </c>
      <c r="P2446" t="s">
        <v>4776</v>
      </c>
      <c r="Q2446" t="s">
        <v>4852</v>
      </c>
      <c r="R2446" t="s">
        <v>4773</v>
      </c>
    </row>
    <row r="2447" spans="1:18" x14ac:dyDescent="0.3">
      <c r="A2447">
        <v>7206</v>
      </c>
      <c r="B2447" t="s">
        <v>4874</v>
      </c>
      <c r="C2447" t="s">
        <v>387</v>
      </c>
      <c r="D2447" t="s">
        <v>42</v>
      </c>
      <c r="E2447" s="1">
        <v>45936</v>
      </c>
      <c r="F2447" t="s">
        <v>4345</v>
      </c>
      <c r="G2447" t="s">
        <v>2924</v>
      </c>
      <c r="H2447" t="s">
        <v>386</v>
      </c>
      <c r="I2447" t="s">
        <v>204</v>
      </c>
      <c r="J2447" s="1">
        <v>54878</v>
      </c>
      <c r="K2447" t="s">
        <v>762</v>
      </c>
      <c r="L2447">
        <v>1870</v>
      </c>
      <c r="M2447">
        <v>1870</v>
      </c>
      <c r="N2447" t="s">
        <v>719</v>
      </c>
      <c r="O2447" t="s">
        <v>4833</v>
      </c>
      <c r="P2447" t="s">
        <v>4776</v>
      </c>
      <c r="Q2447" t="s">
        <v>4852</v>
      </c>
      <c r="R2447" t="s">
        <v>4773</v>
      </c>
    </row>
    <row r="2448" spans="1:18" x14ac:dyDescent="0.3">
      <c r="A2448">
        <v>5614</v>
      </c>
      <c r="B2448" t="s">
        <v>4874</v>
      </c>
      <c r="C2448" t="s">
        <v>401</v>
      </c>
      <c r="D2448" t="s">
        <v>187</v>
      </c>
      <c r="E2448" s="1">
        <v>45936</v>
      </c>
      <c r="F2448" t="s">
        <v>4345</v>
      </c>
      <c r="G2448" t="s">
        <v>2945</v>
      </c>
      <c r="H2448" t="s">
        <v>400</v>
      </c>
      <c r="I2448" t="s">
        <v>204</v>
      </c>
      <c r="J2448" s="1">
        <v>54878</v>
      </c>
      <c r="K2448" t="s">
        <v>762</v>
      </c>
      <c r="L2448">
        <v>390</v>
      </c>
      <c r="M2448">
        <v>390</v>
      </c>
      <c r="N2448" t="s">
        <v>710</v>
      </c>
      <c r="O2448" t="s">
        <v>4833</v>
      </c>
      <c r="P2448" t="s">
        <v>4776</v>
      </c>
      <c r="Q2448" t="s">
        <v>4852</v>
      </c>
      <c r="R2448" t="s">
        <v>4773</v>
      </c>
    </row>
    <row r="2449" spans="1:18" x14ac:dyDescent="0.3">
      <c r="A2449">
        <v>650912</v>
      </c>
      <c r="B2449" t="s">
        <v>4874</v>
      </c>
      <c r="C2449" t="s">
        <v>491</v>
      </c>
      <c r="D2449" t="s">
        <v>33</v>
      </c>
      <c r="E2449" s="1">
        <v>45936</v>
      </c>
      <c r="F2449" t="s">
        <v>4389</v>
      </c>
      <c r="G2449" t="s">
        <v>2936</v>
      </c>
      <c r="H2449" t="s">
        <v>490</v>
      </c>
      <c r="I2449" t="s">
        <v>204</v>
      </c>
      <c r="J2449" s="1">
        <v>54878</v>
      </c>
      <c r="K2449" t="s">
        <v>762</v>
      </c>
      <c r="L2449">
        <v>263.32</v>
      </c>
      <c r="M2449">
        <v>263.32</v>
      </c>
      <c r="N2449" t="s">
        <v>710</v>
      </c>
      <c r="O2449" t="s">
        <v>4845</v>
      </c>
      <c r="P2449" t="s">
        <v>4776</v>
      </c>
      <c r="Q2449" t="s">
        <v>4845</v>
      </c>
      <c r="R2449" t="s">
        <v>4771</v>
      </c>
    </row>
    <row r="2450" spans="1:18" x14ac:dyDescent="0.3">
      <c r="A2450">
        <v>1301205</v>
      </c>
      <c r="B2450" t="s">
        <v>4874</v>
      </c>
      <c r="C2450" t="s">
        <v>472</v>
      </c>
      <c r="D2450" t="s">
        <v>48</v>
      </c>
      <c r="E2450" s="1">
        <v>45936</v>
      </c>
      <c r="F2450" t="s">
        <v>4315</v>
      </c>
      <c r="G2450" t="s">
        <v>2938</v>
      </c>
      <c r="H2450" t="s">
        <v>471</v>
      </c>
      <c r="I2450" t="s">
        <v>204</v>
      </c>
      <c r="J2450" s="1">
        <v>46270</v>
      </c>
      <c r="K2450" t="s">
        <v>762</v>
      </c>
      <c r="L2450">
        <v>537.80999999999995</v>
      </c>
      <c r="M2450">
        <v>537.80999999999995</v>
      </c>
      <c r="N2450" t="s">
        <v>710</v>
      </c>
      <c r="O2450" t="s">
        <v>4845</v>
      </c>
      <c r="P2450" t="s">
        <v>4776</v>
      </c>
      <c r="Q2450" t="s">
        <v>4845</v>
      </c>
      <c r="R2450" t="s">
        <v>4773</v>
      </c>
    </row>
    <row r="2451" spans="1:18" x14ac:dyDescent="0.3">
      <c r="A2451">
        <v>1301207</v>
      </c>
      <c r="B2451" t="s">
        <v>4874</v>
      </c>
      <c r="C2451" t="s">
        <v>472</v>
      </c>
      <c r="D2451" t="s">
        <v>48</v>
      </c>
      <c r="E2451" s="1">
        <v>45936</v>
      </c>
      <c r="F2451" t="s">
        <v>4345</v>
      </c>
      <c r="G2451" t="s">
        <v>2938</v>
      </c>
      <c r="H2451" t="s">
        <v>471</v>
      </c>
      <c r="I2451" t="s">
        <v>204</v>
      </c>
      <c r="J2451" s="1">
        <v>46270</v>
      </c>
      <c r="K2451" t="s">
        <v>762</v>
      </c>
      <c r="L2451">
        <v>53.78</v>
      </c>
      <c r="M2451">
        <v>53.78</v>
      </c>
      <c r="N2451" t="s">
        <v>710</v>
      </c>
      <c r="O2451" t="s">
        <v>4845</v>
      </c>
      <c r="P2451" t="s">
        <v>4776</v>
      </c>
      <c r="Q2451" t="s">
        <v>4845</v>
      </c>
      <c r="R2451" t="s">
        <v>4773</v>
      </c>
    </row>
    <row r="2452" spans="1:18" x14ac:dyDescent="0.3">
      <c r="A2452">
        <v>1541</v>
      </c>
      <c r="B2452" t="s">
        <v>1034</v>
      </c>
      <c r="C2452" t="s">
        <v>449</v>
      </c>
      <c r="D2452" t="s">
        <v>20</v>
      </c>
      <c r="E2452" s="1">
        <v>45936</v>
      </c>
      <c r="F2452" t="s">
        <v>4331</v>
      </c>
      <c r="G2452" t="s">
        <v>2946</v>
      </c>
      <c r="H2452" t="s">
        <v>448</v>
      </c>
      <c r="I2452" t="s">
        <v>204</v>
      </c>
      <c r="J2452" s="1">
        <v>46219</v>
      </c>
      <c r="K2452" t="s">
        <v>717</v>
      </c>
      <c r="L2452">
        <v>8625.69</v>
      </c>
      <c r="M2452">
        <v>8625.69</v>
      </c>
      <c r="N2452" t="s">
        <v>710</v>
      </c>
      <c r="O2452" t="s">
        <v>4902</v>
      </c>
      <c r="P2452" t="s">
        <v>4776</v>
      </c>
      <c r="Q2452" t="s">
        <v>4852</v>
      </c>
      <c r="R2452" t="s">
        <v>4771</v>
      </c>
    </row>
    <row r="2453" spans="1:18" x14ac:dyDescent="0.3">
      <c r="A2453">
        <v>592910</v>
      </c>
      <c r="B2453" t="s">
        <v>4875</v>
      </c>
      <c r="C2453" t="s">
        <v>248</v>
      </c>
      <c r="D2453" t="s">
        <v>13</v>
      </c>
      <c r="E2453" s="1">
        <v>45936</v>
      </c>
      <c r="F2453" t="s">
        <v>4430</v>
      </c>
      <c r="G2453" t="s">
        <v>2888</v>
      </c>
      <c r="H2453" t="s">
        <v>351</v>
      </c>
      <c r="I2453" t="s">
        <v>204</v>
      </c>
      <c r="J2453" s="1">
        <v>54878</v>
      </c>
      <c r="K2453" t="s">
        <v>748</v>
      </c>
      <c r="L2453">
        <v>1450.04</v>
      </c>
      <c r="M2453">
        <v>1450.04</v>
      </c>
      <c r="N2453" t="s">
        <v>710</v>
      </c>
      <c r="O2453" t="s">
        <v>1040</v>
      </c>
      <c r="P2453" t="s">
        <v>4779</v>
      </c>
      <c r="Q2453" t="s">
        <v>4856</v>
      </c>
      <c r="R2453" t="s">
        <v>4773</v>
      </c>
    </row>
    <row r="2454" spans="1:18" x14ac:dyDescent="0.3">
      <c r="A2454">
        <v>247</v>
      </c>
      <c r="B2454" t="s">
        <v>4875</v>
      </c>
      <c r="C2454" t="s">
        <v>319</v>
      </c>
      <c r="D2454" t="s">
        <v>36</v>
      </c>
      <c r="E2454" s="1">
        <v>45936</v>
      </c>
      <c r="F2454" t="s">
        <v>4434</v>
      </c>
      <c r="G2454" t="s">
        <v>2951</v>
      </c>
      <c r="H2454" t="s">
        <v>336</v>
      </c>
      <c r="I2454" t="s">
        <v>204</v>
      </c>
      <c r="J2454" s="1">
        <v>46075</v>
      </c>
      <c r="K2454" t="s">
        <v>748</v>
      </c>
      <c r="L2454">
        <v>22968.32</v>
      </c>
      <c r="M2454">
        <v>22968.32</v>
      </c>
      <c r="N2454" t="s">
        <v>710</v>
      </c>
      <c r="O2454" t="s">
        <v>1040</v>
      </c>
      <c r="P2454" t="s">
        <v>4784</v>
      </c>
      <c r="Q2454" t="s">
        <v>4856</v>
      </c>
      <c r="R2454" t="s">
        <v>4771</v>
      </c>
    </row>
    <row r="2455" spans="1:18" x14ac:dyDescent="0.3">
      <c r="A2455">
        <v>15</v>
      </c>
      <c r="B2455" t="s">
        <v>4875</v>
      </c>
      <c r="C2455" t="s">
        <v>319</v>
      </c>
      <c r="D2455" t="s">
        <v>36</v>
      </c>
      <c r="E2455" s="1">
        <v>45936</v>
      </c>
      <c r="F2455" t="s">
        <v>4298</v>
      </c>
      <c r="G2455" t="s">
        <v>2925</v>
      </c>
      <c r="H2455" t="s">
        <v>336</v>
      </c>
      <c r="I2455" t="s">
        <v>204</v>
      </c>
      <c r="J2455" s="1">
        <v>46075</v>
      </c>
      <c r="K2455" t="s">
        <v>748</v>
      </c>
      <c r="L2455">
        <v>5</v>
      </c>
      <c r="M2455">
        <v>932.7</v>
      </c>
      <c r="N2455" t="s">
        <v>710</v>
      </c>
      <c r="O2455" t="s">
        <v>1040</v>
      </c>
      <c r="P2455" t="s">
        <v>4784</v>
      </c>
      <c r="Q2455" t="s">
        <v>4856</v>
      </c>
      <c r="R2455" t="s">
        <v>4771</v>
      </c>
    </row>
    <row r="2456" spans="1:18" x14ac:dyDescent="0.3">
      <c r="A2456">
        <v>632</v>
      </c>
      <c r="B2456" t="s">
        <v>4875</v>
      </c>
      <c r="C2456" t="s">
        <v>638</v>
      </c>
      <c r="D2456" t="s">
        <v>134</v>
      </c>
      <c r="E2456" s="1">
        <v>45936</v>
      </c>
      <c r="F2456" t="s">
        <v>4296</v>
      </c>
      <c r="G2456" t="s">
        <v>2895</v>
      </c>
      <c r="H2456" t="s">
        <v>639</v>
      </c>
      <c r="I2456" t="s">
        <v>204</v>
      </c>
      <c r="J2456" s="1">
        <v>46537</v>
      </c>
      <c r="K2456" t="s">
        <v>748</v>
      </c>
      <c r="L2456">
        <v>1301</v>
      </c>
      <c r="M2456">
        <v>1301</v>
      </c>
      <c r="N2456" t="s">
        <v>710</v>
      </c>
      <c r="O2456" t="s">
        <v>1040</v>
      </c>
      <c r="P2456" t="s">
        <v>4776</v>
      </c>
      <c r="Q2456" t="s">
        <v>4856</v>
      </c>
    </row>
    <row r="2457" spans="1:18" x14ac:dyDescent="0.3">
      <c r="A2457">
        <v>28870</v>
      </c>
      <c r="B2457" t="s">
        <v>1034</v>
      </c>
      <c r="C2457" t="s">
        <v>660</v>
      </c>
      <c r="D2457" t="s">
        <v>96</v>
      </c>
      <c r="E2457" s="1">
        <v>45936</v>
      </c>
      <c r="F2457" t="s">
        <v>4379</v>
      </c>
      <c r="G2457" t="s">
        <v>2841</v>
      </c>
      <c r="H2457" t="s">
        <v>659</v>
      </c>
      <c r="I2457" t="s">
        <v>204</v>
      </c>
      <c r="J2457" s="1">
        <v>46276</v>
      </c>
      <c r="K2457" t="s">
        <v>717</v>
      </c>
      <c r="L2457">
        <v>1</v>
      </c>
      <c r="M2457">
        <v>33527.699999999997</v>
      </c>
      <c r="N2457" t="s">
        <v>710</v>
      </c>
      <c r="O2457" t="s">
        <v>4902</v>
      </c>
      <c r="P2457" t="s">
        <v>4776</v>
      </c>
      <c r="Q2457" t="s">
        <v>4852</v>
      </c>
      <c r="R2457" t="s">
        <v>807</v>
      </c>
    </row>
    <row r="2458" spans="1:18" x14ac:dyDescent="0.3">
      <c r="A2458">
        <v>37226</v>
      </c>
      <c r="B2458" t="s">
        <v>4875</v>
      </c>
      <c r="C2458" t="s">
        <v>530</v>
      </c>
      <c r="D2458" t="s">
        <v>24</v>
      </c>
      <c r="E2458" s="1">
        <v>45936</v>
      </c>
      <c r="F2458" t="s">
        <v>4297</v>
      </c>
      <c r="G2458" t="s">
        <v>2897</v>
      </c>
      <c r="H2458" t="s">
        <v>529</v>
      </c>
      <c r="I2458" t="s">
        <v>204</v>
      </c>
      <c r="J2458" s="1">
        <v>46477</v>
      </c>
      <c r="K2458" t="s">
        <v>748</v>
      </c>
      <c r="L2458">
        <v>1</v>
      </c>
      <c r="M2458">
        <v>7408.31</v>
      </c>
      <c r="N2458" t="s">
        <v>710</v>
      </c>
      <c r="O2458" t="s">
        <v>1040</v>
      </c>
      <c r="P2458" t="s">
        <v>4779</v>
      </c>
      <c r="Q2458" t="s">
        <v>4856</v>
      </c>
      <c r="R2458" t="s">
        <v>4773</v>
      </c>
    </row>
    <row r="2459" spans="1:18" x14ac:dyDescent="0.3">
      <c r="A2459">
        <v>321</v>
      </c>
      <c r="B2459" t="s">
        <v>1034</v>
      </c>
      <c r="C2459" t="s">
        <v>479</v>
      </c>
      <c r="D2459" t="s">
        <v>99</v>
      </c>
      <c r="E2459" s="1">
        <v>45933</v>
      </c>
      <c r="F2459" t="s">
        <v>4376</v>
      </c>
      <c r="G2459" t="s">
        <v>2935</v>
      </c>
      <c r="H2459" t="s">
        <v>478</v>
      </c>
      <c r="I2459" t="s">
        <v>204</v>
      </c>
      <c r="J2459" s="1">
        <v>46239</v>
      </c>
      <c r="K2459" t="s">
        <v>717</v>
      </c>
      <c r="L2459">
        <v>18</v>
      </c>
      <c r="M2459">
        <v>215.64</v>
      </c>
      <c r="N2459" t="s">
        <v>710</v>
      </c>
      <c r="O2459" t="s">
        <v>1037</v>
      </c>
      <c r="P2459" t="s">
        <v>4790</v>
      </c>
      <c r="Q2459" t="s">
        <v>4852</v>
      </c>
      <c r="R2459" t="s">
        <v>4772</v>
      </c>
    </row>
    <row r="2460" spans="1:18" x14ac:dyDescent="0.3">
      <c r="A2460">
        <v>9372</v>
      </c>
      <c r="B2460" t="s">
        <v>1034</v>
      </c>
      <c r="C2460" t="s">
        <v>594</v>
      </c>
      <c r="D2460" t="s">
        <v>27</v>
      </c>
      <c r="E2460" s="1">
        <v>45933</v>
      </c>
      <c r="F2460" t="s">
        <v>4323</v>
      </c>
      <c r="G2460" t="s">
        <v>2915</v>
      </c>
      <c r="H2460" t="s">
        <v>595</v>
      </c>
      <c r="I2460" t="s">
        <v>204</v>
      </c>
      <c r="J2460" s="1">
        <v>46204</v>
      </c>
      <c r="K2460" t="s">
        <v>717</v>
      </c>
      <c r="L2460">
        <v>71210.460000000006</v>
      </c>
      <c r="M2460">
        <v>71210.460000000006</v>
      </c>
      <c r="N2460" t="s">
        <v>814</v>
      </c>
      <c r="O2460" t="s">
        <v>1037</v>
      </c>
      <c r="P2460" t="s">
        <v>4794</v>
      </c>
      <c r="Q2460" t="s">
        <v>4852</v>
      </c>
      <c r="R2460" t="s">
        <v>4772</v>
      </c>
    </row>
    <row r="2461" spans="1:18" x14ac:dyDescent="0.3">
      <c r="A2461">
        <v>321</v>
      </c>
      <c r="B2461" t="s">
        <v>1034</v>
      </c>
      <c r="C2461" t="s">
        <v>479</v>
      </c>
      <c r="D2461" t="s">
        <v>99</v>
      </c>
      <c r="E2461" s="1">
        <v>45933</v>
      </c>
      <c r="F2461" t="s">
        <v>4373</v>
      </c>
      <c r="G2461" t="s">
        <v>2935</v>
      </c>
      <c r="H2461" t="s">
        <v>478</v>
      </c>
      <c r="I2461" t="s">
        <v>204</v>
      </c>
      <c r="J2461" s="1">
        <v>46239</v>
      </c>
      <c r="K2461" t="s">
        <v>717</v>
      </c>
      <c r="L2461">
        <v>19</v>
      </c>
      <c r="M2461">
        <v>292.98</v>
      </c>
      <c r="N2461" t="s">
        <v>710</v>
      </c>
      <c r="O2461" t="s">
        <v>1037</v>
      </c>
      <c r="P2461" t="s">
        <v>4790</v>
      </c>
      <c r="Q2461" t="s">
        <v>4852</v>
      </c>
      <c r="R2461" t="s">
        <v>4772</v>
      </c>
    </row>
    <row r="2462" spans="1:18" x14ac:dyDescent="0.3">
      <c r="A2462">
        <v>321</v>
      </c>
      <c r="B2462" t="s">
        <v>1034</v>
      </c>
      <c r="C2462" t="s">
        <v>479</v>
      </c>
      <c r="D2462" t="s">
        <v>99</v>
      </c>
      <c r="E2462" s="1">
        <v>45933</v>
      </c>
      <c r="F2462" t="s">
        <v>4374</v>
      </c>
      <c r="G2462" t="s">
        <v>2935</v>
      </c>
      <c r="H2462" t="s">
        <v>478</v>
      </c>
      <c r="I2462" t="s">
        <v>204</v>
      </c>
      <c r="J2462" s="1">
        <v>46239</v>
      </c>
      <c r="K2462" t="s">
        <v>717</v>
      </c>
      <c r="L2462">
        <v>1</v>
      </c>
      <c r="M2462">
        <v>22.53</v>
      </c>
      <c r="N2462" t="s">
        <v>710</v>
      </c>
      <c r="O2462" t="s">
        <v>1037</v>
      </c>
      <c r="P2462" t="s">
        <v>4790</v>
      </c>
      <c r="Q2462" t="s">
        <v>4852</v>
      </c>
      <c r="R2462" t="s">
        <v>4772</v>
      </c>
    </row>
    <row r="2463" spans="1:18" x14ac:dyDescent="0.3">
      <c r="A2463">
        <v>9381</v>
      </c>
      <c r="B2463" t="s">
        <v>4875</v>
      </c>
      <c r="C2463" t="s">
        <v>594</v>
      </c>
      <c r="D2463" t="s">
        <v>27</v>
      </c>
      <c r="E2463" s="1">
        <v>45933</v>
      </c>
      <c r="F2463" t="s">
        <v>4323</v>
      </c>
      <c r="G2463" t="s">
        <v>2916</v>
      </c>
      <c r="H2463" t="s">
        <v>596</v>
      </c>
      <c r="I2463" t="s">
        <v>204</v>
      </c>
      <c r="J2463" s="1">
        <v>46204</v>
      </c>
      <c r="K2463" t="s">
        <v>768</v>
      </c>
      <c r="L2463">
        <v>14220.08</v>
      </c>
      <c r="M2463">
        <v>14220.08</v>
      </c>
      <c r="N2463" t="s">
        <v>814</v>
      </c>
      <c r="O2463" t="s">
        <v>1037</v>
      </c>
      <c r="P2463" t="s">
        <v>4794</v>
      </c>
      <c r="Q2463" t="s">
        <v>4852</v>
      </c>
      <c r="R2463" t="s">
        <v>4772</v>
      </c>
    </row>
    <row r="2464" spans="1:18" x14ac:dyDescent="0.3">
      <c r="A2464">
        <v>7098</v>
      </c>
      <c r="B2464" t="s">
        <v>1035</v>
      </c>
      <c r="C2464" t="s">
        <v>230</v>
      </c>
      <c r="D2464" t="s">
        <v>85</v>
      </c>
      <c r="E2464" s="1">
        <v>45933</v>
      </c>
      <c r="F2464" t="s">
        <v>4348</v>
      </c>
      <c r="G2464" t="s">
        <v>2905</v>
      </c>
      <c r="H2464" t="s">
        <v>229</v>
      </c>
      <c r="I2464" t="s">
        <v>204</v>
      </c>
      <c r="J2464" s="1">
        <v>46203</v>
      </c>
      <c r="K2464" t="s">
        <v>744</v>
      </c>
      <c r="L2464">
        <v>6183.29</v>
      </c>
      <c r="M2464">
        <v>6183.29</v>
      </c>
      <c r="N2464" t="s">
        <v>710</v>
      </c>
      <c r="O2464" t="s">
        <v>1033</v>
      </c>
      <c r="P2464" t="s">
        <v>4781</v>
      </c>
      <c r="Q2464" t="s">
        <v>4852</v>
      </c>
      <c r="R2464" t="s">
        <v>4771</v>
      </c>
    </row>
    <row r="2465" spans="1:18" x14ac:dyDescent="0.3">
      <c r="A2465">
        <v>9363</v>
      </c>
      <c r="B2465" t="s">
        <v>4874</v>
      </c>
      <c r="C2465" t="s">
        <v>594</v>
      </c>
      <c r="D2465" t="s">
        <v>27</v>
      </c>
      <c r="E2465" s="1">
        <v>45933</v>
      </c>
      <c r="F2465" t="s">
        <v>4323</v>
      </c>
      <c r="G2465" t="s">
        <v>2921</v>
      </c>
      <c r="H2465" t="s">
        <v>593</v>
      </c>
      <c r="I2465" t="s">
        <v>204</v>
      </c>
      <c r="J2465" s="1">
        <v>46204</v>
      </c>
      <c r="K2465" t="s">
        <v>762</v>
      </c>
      <c r="L2465">
        <v>404635.5</v>
      </c>
      <c r="M2465">
        <v>404635.5</v>
      </c>
      <c r="N2465" t="s">
        <v>814</v>
      </c>
      <c r="O2465" t="s">
        <v>1037</v>
      </c>
      <c r="P2465" t="s">
        <v>4794</v>
      </c>
      <c r="Q2465" t="s">
        <v>4852</v>
      </c>
      <c r="R2465" t="s">
        <v>4772</v>
      </c>
    </row>
    <row r="2466" spans="1:18" x14ac:dyDescent="0.3">
      <c r="A2466">
        <v>321</v>
      </c>
      <c r="B2466" t="s">
        <v>1034</v>
      </c>
      <c r="C2466" t="s">
        <v>479</v>
      </c>
      <c r="D2466" t="s">
        <v>99</v>
      </c>
      <c r="E2466" s="1">
        <v>45933</v>
      </c>
      <c r="F2466" t="s">
        <v>4375</v>
      </c>
      <c r="G2466" t="s">
        <v>2935</v>
      </c>
      <c r="H2466" t="s">
        <v>478</v>
      </c>
      <c r="I2466" t="s">
        <v>204</v>
      </c>
      <c r="J2466" s="1">
        <v>46239</v>
      </c>
      <c r="K2466" t="s">
        <v>717</v>
      </c>
      <c r="L2466">
        <v>6</v>
      </c>
      <c r="M2466">
        <v>71.88</v>
      </c>
      <c r="N2466" t="s">
        <v>710</v>
      </c>
      <c r="O2466" t="s">
        <v>1037</v>
      </c>
      <c r="P2466" t="s">
        <v>4790</v>
      </c>
      <c r="Q2466" t="s">
        <v>4852</v>
      </c>
      <c r="R2466" t="s">
        <v>4772</v>
      </c>
    </row>
    <row r="2467" spans="1:18" x14ac:dyDescent="0.3">
      <c r="A2467">
        <v>47</v>
      </c>
      <c r="B2467" t="s">
        <v>4876</v>
      </c>
      <c r="C2467" t="s">
        <v>476</v>
      </c>
      <c r="D2467" t="s">
        <v>195</v>
      </c>
      <c r="E2467" s="1">
        <v>45933</v>
      </c>
      <c r="F2467" t="s">
        <v>4401</v>
      </c>
      <c r="G2467" t="s">
        <v>2932</v>
      </c>
      <c r="H2467" t="s">
        <v>475</v>
      </c>
      <c r="I2467" t="s">
        <v>204</v>
      </c>
      <c r="J2467" s="1">
        <v>54878</v>
      </c>
      <c r="K2467" t="s">
        <v>839</v>
      </c>
      <c r="L2467">
        <v>39330</v>
      </c>
      <c r="M2467">
        <v>39330</v>
      </c>
      <c r="N2467" t="s">
        <v>710</v>
      </c>
      <c r="O2467" t="s">
        <v>1042</v>
      </c>
      <c r="P2467" t="s">
        <v>1006</v>
      </c>
      <c r="Q2467" t="s">
        <v>4852</v>
      </c>
      <c r="R2467" t="s">
        <v>4771</v>
      </c>
    </row>
    <row r="2468" spans="1:18" x14ac:dyDescent="0.3">
      <c r="A2468">
        <v>7065</v>
      </c>
      <c r="B2468" t="s">
        <v>1035</v>
      </c>
      <c r="C2468" t="s">
        <v>230</v>
      </c>
      <c r="D2468" t="s">
        <v>85</v>
      </c>
      <c r="E2468" s="1">
        <v>45933</v>
      </c>
      <c r="F2468" t="s">
        <v>4348</v>
      </c>
      <c r="G2468" t="s">
        <v>2917</v>
      </c>
      <c r="H2468" t="s">
        <v>229</v>
      </c>
      <c r="I2468" t="s">
        <v>204</v>
      </c>
      <c r="J2468" s="1">
        <v>46203</v>
      </c>
      <c r="K2468" t="s">
        <v>744</v>
      </c>
      <c r="L2468">
        <v>1</v>
      </c>
      <c r="M2468">
        <v>48517.85</v>
      </c>
      <c r="N2468" t="s">
        <v>710</v>
      </c>
      <c r="O2468" t="s">
        <v>1033</v>
      </c>
      <c r="P2468" t="s">
        <v>4781</v>
      </c>
      <c r="Q2468" t="s">
        <v>4852</v>
      </c>
      <c r="R2468" t="s">
        <v>4771</v>
      </c>
    </row>
    <row r="2469" spans="1:18" x14ac:dyDescent="0.3">
      <c r="A2469">
        <v>7066</v>
      </c>
      <c r="B2469" t="s">
        <v>1035</v>
      </c>
      <c r="C2469" t="s">
        <v>230</v>
      </c>
      <c r="D2469" t="s">
        <v>85</v>
      </c>
      <c r="E2469" s="1">
        <v>45933</v>
      </c>
      <c r="F2469" t="s">
        <v>4348</v>
      </c>
      <c r="G2469" t="s">
        <v>2917</v>
      </c>
      <c r="H2469" t="s">
        <v>229</v>
      </c>
      <c r="I2469" t="s">
        <v>204</v>
      </c>
      <c r="J2469" s="1">
        <v>46203</v>
      </c>
      <c r="K2469" t="s">
        <v>744</v>
      </c>
      <c r="L2469">
        <v>1</v>
      </c>
      <c r="M2469">
        <v>18802.560000000001</v>
      </c>
      <c r="N2469" t="s">
        <v>710</v>
      </c>
      <c r="O2469" t="s">
        <v>1033</v>
      </c>
      <c r="P2469" t="s">
        <v>4781</v>
      </c>
      <c r="Q2469" t="s">
        <v>4852</v>
      </c>
      <c r="R2469" t="s">
        <v>4771</v>
      </c>
    </row>
    <row r="2470" spans="1:18" x14ac:dyDescent="0.3">
      <c r="A2470">
        <v>442826</v>
      </c>
      <c r="B2470" t="s">
        <v>4874</v>
      </c>
      <c r="C2470" t="s">
        <v>407</v>
      </c>
      <c r="D2470" t="s">
        <v>170</v>
      </c>
      <c r="E2470" s="1">
        <v>45932</v>
      </c>
      <c r="F2470" t="s">
        <v>4388</v>
      </c>
      <c r="G2470" t="s">
        <v>2919</v>
      </c>
      <c r="H2470" t="s">
        <v>406</v>
      </c>
      <c r="I2470" t="s">
        <v>204</v>
      </c>
      <c r="J2470" s="1">
        <v>46387</v>
      </c>
      <c r="K2470" t="s">
        <v>762</v>
      </c>
      <c r="L2470">
        <v>38251</v>
      </c>
      <c r="M2470">
        <v>38251.269999999997</v>
      </c>
      <c r="N2470" t="s">
        <v>710</v>
      </c>
      <c r="O2470" t="s">
        <v>4833</v>
      </c>
      <c r="P2470" t="s">
        <v>4776</v>
      </c>
      <c r="Q2470" t="s">
        <v>4852</v>
      </c>
      <c r="R2470" t="s">
        <v>4771</v>
      </c>
    </row>
    <row r="2471" spans="1:18" x14ac:dyDescent="0.3">
      <c r="A2471">
        <v>2764</v>
      </c>
      <c r="B2471" t="s">
        <v>4874</v>
      </c>
      <c r="C2471" t="s">
        <v>630</v>
      </c>
      <c r="D2471" t="s">
        <v>145</v>
      </c>
      <c r="E2471" s="1">
        <v>45932</v>
      </c>
      <c r="F2471" t="s">
        <v>4300</v>
      </c>
      <c r="G2471" t="s">
        <v>2907</v>
      </c>
      <c r="H2471" t="s">
        <v>629</v>
      </c>
      <c r="I2471" t="s">
        <v>204</v>
      </c>
      <c r="J2471" s="1">
        <v>46264</v>
      </c>
      <c r="K2471" t="s">
        <v>720</v>
      </c>
      <c r="L2471">
        <v>1</v>
      </c>
      <c r="M2471">
        <v>18000</v>
      </c>
      <c r="N2471" t="s">
        <v>710</v>
      </c>
      <c r="O2471" t="s">
        <v>4849</v>
      </c>
      <c r="P2471" t="s">
        <v>4777</v>
      </c>
      <c r="Q2471" t="s">
        <v>4855</v>
      </c>
      <c r="R2471" t="s">
        <v>4771</v>
      </c>
    </row>
    <row r="2472" spans="1:18" x14ac:dyDescent="0.3">
      <c r="A2472">
        <v>149707</v>
      </c>
      <c r="B2472" t="s">
        <v>1034</v>
      </c>
      <c r="C2472" t="s">
        <v>218</v>
      </c>
      <c r="D2472" t="s">
        <v>180</v>
      </c>
      <c r="E2472" s="1">
        <v>45932</v>
      </c>
      <c r="F2472" t="s">
        <v>4305</v>
      </c>
      <c r="G2472" t="s">
        <v>2885</v>
      </c>
      <c r="H2472" t="s">
        <v>217</v>
      </c>
      <c r="I2472" t="s">
        <v>204</v>
      </c>
      <c r="J2472" s="1">
        <v>54878</v>
      </c>
      <c r="K2472" t="s">
        <v>711</v>
      </c>
      <c r="L2472">
        <v>18878.689999999999</v>
      </c>
      <c r="M2472">
        <v>18878.689999999999</v>
      </c>
      <c r="N2472" t="s">
        <v>710</v>
      </c>
      <c r="O2472" t="s">
        <v>4834</v>
      </c>
      <c r="P2472" t="s">
        <v>4776</v>
      </c>
      <c r="Q2472" t="s">
        <v>4901</v>
      </c>
      <c r="R2472" t="s">
        <v>4773</v>
      </c>
    </row>
    <row r="2473" spans="1:18" x14ac:dyDescent="0.3">
      <c r="A2473">
        <v>115556</v>
      </c>
      <c r="B2473" t="s">
        <v>1034</v>
      </c>
      <c r="C2473" t="s">
        <v>497</v>
      </c>
      <c r="D2473" t="s">
        <v>58</v>
      </c>
      <c r="E2473" s="1">
        <v>45932</v>
      </c>
      <c r="F2473" t="s">
        <v>4354</v>
      </c>
      <c r="G2473" t="s">
        <v>2856</v>
      </c>
      <c r="H2473" t="s">
        <v>496</v>
      </c>
      <c r="I2473" t="s">
        <v>204</v>
      </c>
      <c r="J2473" s="1">
        <v>46265</v>
      </c>
      <c r="K2473" t="s">
        <v>717</v>
      </c>
      <c r="L2473">
        <v>1</v>
      </c>
      <c r="M2473">
        <v>5115.3100000000004</v>
      </c>
      <c r="N2473" t="s">
        <v>710</v>
      </c>
      <c r="O2473" t="s">
        <v>4833</v>
      </c>
      <c r="P2473" t="s">
        <v>4776</v>
      </c>
      <c r="Q2473" t="s">
        <v>4852</v>
      </c>
      <c r="R2473" t="s">
        <v>4773</v>
      </c>
    </row>
    <row r="2474" spans="1:18" x14ac:dyDescent="0.3">
      <c r="A2474">
        <v>83</v>
      </c>
      <c r="B2474" t="s">
        <v>1034</v>
      </c>
      <c r="C2474" t="s">
        <v>658</v>
      </c>
      <c r="D2474" t="s">
        <v>192</v>
      </c>
      <c r="E2474" s="1">
        <v>45932</v>
      </c>
      <c r="F2474" t="s">
        <v>4377</v>
      </c>
      <c r="G2474" t="s">
        <v>2860</v>
      </c>
      <c r="H2474" t="s">
        <v>657</v>
      </c>
      <c r="I2474" t="s">
        <v>204</v>
      </c>
      <c r="J2474" s="1">
        <v>46218</v>
      </c>
      <c r="K2474" t="s">
        <v>711</v>
      </c>
      <c r="L2474">
        <v>1</v>
      </c>
      <c r="M2474">
        <v>2150</v>
      </c>
      <c r="N2474" t="s">
        <v>710</v>
      </c>
      <c r="O2474" t="s">
        <v>4834</v>
      </c>
      <c r="P2474" t="s">
        <v>4776</v>
      </c>
      <c r="Q2474" t="s">
        <v>4901</v>
      </c>
      <c r="R2474" t="s">
        <v>807</v>
      </c>
    </row>
    <row r="2475" spans="1:18" x14ac:dyDescent="0.3">
      <c r="A2475">
        <v>55</v>
      </c>
      <c r="B2475" t="s">
        <v>4875</v>
      </c>
      <c r="C2475" t="s">
        <v>561</v>
      </c>
      <c r="D2475" t="s">
        <v>121</v>
      </c>
      <c r="E2475" s="1">
        <v>45932</v>
      </c>
      <c r="F2475" t="s">
        <v>4390</v>
      </c>
      <c r="G2475" t="s">
        <v>2873</v>
      </c>
      <c r="H2475" t="s">
        <v>560</v>
      </c>
      <c r="I2475" t="s">
        <v>204</v>
      </c>
      <c r="J2475" s="1">
        <v>46732</v>
      </c>
      <c r="K2475" t="s">
        <v>748</v>
      </c>
      <c r="L2475">
        <v>13950</v>
      </c>
      <c r="M2475">
        <v>13950</v>
      </c>
      <c r="N2475" t="s">
        <v>818</v>
      </c>
      <c r="O2475" t="s">
        <v>1040</v>
      </c>
      <c r="P2475" t="s">
        <v>4777</v>
      </c>
      <c r="Q2475" t="s">
        <v>4856</v>
      </c>
      <c r="R2475" t="s">
        <v>4771</v>
      </c>
    </row>
    <row r="2476" spans="1:18" x14ac:dyDescent="0.3">
      <c r="A2476">
        <v>2025185</v>
      </c>
      <c r="B2476" t="s">
        <v>4875</v>
      </c>
      <c r="C2476" t="s">
        <v>322</v>
      </c>
      <c r="D2476" t="s">
        <v>158</v>
      </c>
      <c r="E2476" s="1">
        <v>45932</v>
      </c>
      <c r="F2476" t="s">
        <v>4431</v>
      </c>
      <c r="G2476" t="s">
        <v>2849</v>
      </c>
      <c r="H2476" t="s">
        <v>321</v>
      </c>
      <c r="I2476" t="s">
        <v>204</v>
      </c>
      <c r="J2476" s="1">
        <v>46310</v>
      </c>
      <c r="K2476" t="s">
        <v>748</v>
      </c>
      <c r="L2476">
        <v>10300.5</v>
      </c>
      <c r="M2476">
        <v>10300.5</v>
      </c>
      <c r="N2476" t="s">
        <v>710</v>
      </c>
      <c r="O2476" t="s">
        <v>1040</v>
      </c>
      <c r="P2476" t="s">
        <v>4782</v>
      </c>
      <c r="Q2476" t="s">
        <v>4856</v>
      </c>
      <c r="R2476" t="s">
        <v>4773</v>
      </c>
    </row>
    <row r="2477" spans="1:18" x14ac:dyDescent="0.3">
      <c r="A2477">
        <v>8</v>
      </c>
      <c r="B2477" t="s">
        <v>4874</v>
      </c>
      <c r="C2477" t="s">
        <v>664</v>
      </c>
      <c r="D2477" t="s">
        <v>83</v>
      </c>
      <c r="E2477" s="1">
        <v>45932</v>
      </c>
      <c r="F2477" t="s">
        <v>4399</v>
      </c>
      <c r="G2477" t="s">
        <v>2934</v>
      </c>
      <c r="H2477" t="s">
        <v>663</v>
      </c>
      <c r="I2477" t="s">
        <v>204</v>
      </c>
      <c r="J2477" s="1">
        <v>46660</v>
      </c>
      <c r="K2477" t="s">
        <v>762</v>
      </c>
      <c r="L2477">
        <v>57891.24</v>
      </c>
      <c r="M2477">
        <v>57891.24</v>
      </c>
      <c r="N2477" t="s">
        <v>710</v>
      </c>
      <c r="O2477" t="s">
        <v>1037</v>
      </c>
      <c r="P2477" t="s">
        <v>850</v>
      </c>
      <c r="Q2477" t="s">
        <v>4852</v>
      </c>
      <c r="R2477" t="s">
        <v>807</v>
      </c>
    </row>
    <row r="2478" spans="1:18" x14ac:dyDescent="0.3">
      <c r="A2478">
        <v>3868</v>
      </c>
      <c r="B2478" t="s">
        <v>4875</v>
      </c>
      <c r="C2478" t="s">
        <v>535</v>
      </c>
      <c r="D2478" t="s">
        <v>148</v>
      </c>
      <c r="E2478" s="1">
        <v>45931</v>
      </c>
      <c r="F2478" t="s">
        <v>4297</v>
      </c>
      <c r="G2478" t="s">
        <v>2876</v>
      </c>
      <c r="H2478" t="s">
        <v>654</v>
      </c>
      <c r="I2478" t="s">
        <v>204</v>
      </c>
      <c r="J2478" s="1">
        <v>46227</v>
      </c>
      <c r="K2478" t="s">
        <v>748</v>
      </c>
      <c r="L2478">
        <v>1</v>
      </c>
      <c r="M2478">
        <v>5500</v>
      </c>
      <c r="N2478" t="s">
        <v>954</v>
      </c>
      <c r="O2478" t="s">
        <v>1040</v>
      </c>
      <c r="P2478" t="s">
        <v>4779</v>
      </c>
      <c r="Q2478" t="s">
        <v>4856</v>
      </c>
      <c r="R2478" t="s">
        <v>807</v>
      </c>
    </row>
    <row r="2479" spans="1:18" x14ac:dyDescent="0.3">
      <c r="A2479">
        <v>78602</v>
      </c>
      <c r="B2479" t="s">
        <v>4874</v>
      </c>
      <c r="C2479" t="s">
        <v>634</v>
      </c>
      <c r="D2479" t="s">
        <v>99</v>
      </c>
      <c r="E2479" s="1">
        <v>45931</v>
      </c>
      <c r="F2479" t="s">
        <v>4307</v>
      </c>
      <c r="G2479" t="s">
        <v>2867</v>
      </c>
      <c r="H2479" t="s">
        <v>633</v>
      </c>
      <c r="I2479" t="s">
        <v>204</v>
      </c>
      <c r="J2479" s="1">
        <v>46204</v>
      </c>
      <c r="K2479" t="s">
        <v>762</v>
      </c>
      <c r="L2479">
        <v>2761</v>
      </c>
      <c r="M2479">
        <v>43043.99</v>
      </c>
      <c r="N2479" t="s">
        <v>719</v>
      </c>
      <c r="O2479" t="s">
        <v>1037</v>
      </c>
      <c r="P2479" t="s">
        <v>4790</v>
      </c>
      <c r="Q2479" t="s">
        <v>4852</v>
      </c>
    </row>
    <row r="2480" spans="1:18" x14ac:dyDescent="0.3">
      <c r="A2480">
        <v>1068998</v>
      </c>
      <c r="B2480" t="s">
        <v>4875</v>
      </c>
      <c r="C2480" t="s">
        <v>203</v>
      </c>
      <c r="D2480" t="s">
        <v>118</v>
      </c>
      <c r="E2480" s="1">
        <v>45931</v>
      </c>
      <c r="F2480" t="s">
        <v>4353</v>
      </c>
      <c r="G2480" t="s">
        <v>2903</v>
      </c>
      <c r="H2480" t="s">
        <v>202</v>
      </c>
      <c r="I2480" t="s">
        <v>204</v>
      </c>
      <c r="J2480" s="1">
        <v>46387</v>
      </c>
      <c r="K2480" t="s">
        <v>717</v>
      </c>
      <c r="L2480">
        <v>144.53</v>
      </c>
      <c r="M2480">
        <v>144.53</v>
      </c>
      <c r="N2480" t="s">
        <v>710</v>
      </c>
      <c r="O2480" t="s">
        <v>1037</v>
      </c>
      <c r="P2480" t="s">
        <v>4776</v>
      </c>
      <c r="Q2480" t="s">
        <v>4852</v>
      </c>
      <c r="R2480" t="s">
        <v>4772</v>
      </c>
    </row>
    <row r="2481" spans="1:18" x14ac:dyDescent="0.3">
      <c r="A2481">
        <v>1758</v>
      </c>
      <c r="B2481" t="s">
        <v>4875</v>
      </c>
      <c r="C2481" t="s">
        <v>312</v>
      </c>
      <c r="D2481" t="s">
        <v>73</v>
      </c>
      <c r="E2481" s="1">
        <v>45931</v>
      </c>
      <c r="F2481" t="s">
        <v>4300</v>
      </c>
      <c r="G2481" t="s">
        <v>2887</v>
      </c>
      <c r="H2481" t="s">
        <v>365</v>
      </c>
      <c r="I2481" t="s">
        <v>204</v>
      </c>
      <c r="J2481" s="1">
        <v>46418</v>
      </c>
      <c r="K2481" t="s">
        <v>748</v>
      </c>
      <c r="L2481">
        <v>2255</v>
      </c>
      <c r="M2481">
        <v>2255</v>
      </c>
      <c r="N2481" t="s">
        <v>710</v>
      </c>
      <c r="O2481" t="s">
        <v>4834</v>
      </c>
      <c r="P2481" t="s">
        <v>1006</v>
      </c>
      <c r="Q2481" t="s">
        <v>4856</v>
      </c>
      <c r="R2481" t="s">
        <v>4773</v>
      </c>
    </row>
    <row r="2482" spans="1:18" x14ac:dyDescent="0.3">
      <c r="A2482">
        <v>190201</v>
      </c>
      <c r="B2482" t="s">
        <v>4874</v>
      </c>
      <c r="C2482" t="s">
        <v>391</v>
      </c>
      <c r="D2482" t="s">
        <v>104</v>
      </c>
      <c r="E2482" s="1">
        <v>45931</v>
      </c>
      <c r="F2482" t="s">
        <v>4354</v>
      </c>
      <c r="G2482" t="s">
        <v>2832</v>
      </c>
      <c r="H2482" t="s">
        <v>390</v>
      </c>
      <c r="I2482" t="s">
        <v>204</v>
      </c>
      <c r="J2482" s="1">
        <v>54878</v>
      </c>
      <c r="K2482" t="s">
        <v>762</v>
      </c>
      <c r="L2482">
        <v>224.98</v>
      </c>
      <c r="M2482">
        <v>224.98</v>
      </c>
      <c r="N2482" t="s">
        <v>710</v>
      </c>
      <c r="O2482" t="s">
        <v>4833</v>
      </c>
      <c r="P2482" t="s">
        <v>4776</v>
      </c>
      <c r="Q2482" t="s">
        <v>4852</v>
      </c>
      <c r="R2482" t="s">
        <v>4773</v>
      </c>
    </row>
    <row r="2483" spans="1:18" x14ac:dyDescent="0.3">
      <c r="A2483">
        <v>78602</v>
      </c>
      <c r="B2483" t="s">
        <v>4874</v>
      </c>
      <c r="C2483" t="s">
        <v>634</v>
      </c>
      <c r="D2483" t="s">
        <v>99</v>
      </c>
      <c r="E2483" s="1">
        <v>45931</v>
      </c>
      <c r="F2483" t="s">
        <v>4308</v>
      </c>
      <c r="G2483" t="s">
        <v>2867</v>
      </c>
      <c r="H2483" t="s">
        <v>633</v>
      </c>
      <c r="I2483" t="s">
        <v>204</v>
      </c>
      <c r="J2483" s="1">
        <v>46204</v>
      </c>
      <c r="K2483" t="s">
        <v>762</v>
      </c>
      <c r="L2483">
        <v>160</v>
      </c>
      <c r="M2483">
        <v>779.2</v>
      </c>
      <c r="N2483" t="s">
        <v>719</v>
      </c>
      <c r="O2483" t="s">
        <v>1037</v>
      </c>
      <c r="P2483" t="s">
        <v>4790</v>
      </c>
      <c r="Q2483" t="s">
        <v>4852</v>
      </c>
    </row>
    <row r="2484" spans="1:18" x14ac:dyDescent="0.3">
      <c r="A2484">
        <v>78602</v>
      </c>
      <c r="B2484" t="s">
        <v>4874</v>
      </c>
      <c r="C2484" t="s">
        <v>634</v>
      </c>
      <c r="D2484" t="s">
        <v>99</v>
      </c>
      <c r="E2484" s="1">
        <v>45931</v>
      </c>
      <c r="F2484" t="s">
        <v>4400</v>
      </c>
      <c r="G2484" t="s">
        <v>2867</v>
      </c>
      <c r="H2484" t="s">
        <v>633</v>
      </c>
      <c r="I2484" t="s">
        <v>204</v>
      </c>
      <c r="J2484" s="1">
        <v>46204</v>
      </c>
      <c r="K2484" t="s">
        <v>762</v>
      </c>
      <c r="L2484">
        <v>34</v>
      </c>
      <c r="M2484">
        <v>199.24</v>
      </c>
      <c r="N2484" t="s">
        <v>719</v>
      </c>
      <c r="O2484" t="s">
        <v>1037</v>
      </c>
      <c r="P2484" t="s">
        <v>4790</v>
      </c>
      <c r="Q2484" t="s">
        <v>4852</v>
      </c>
    </row>
    <row r="2485" spans="1:18" x14ac:dyDescent="0.3">
      <c r="A2485">
        <v>78602</v>
      </c>
      <c r="B2485" t="s">
        <v>4874</v>
      </c>
      <c r="C2485" t="s">
        <v>634</v>
      </c>
      <c r="D2485" t="s">
        <v>99</v>
      </c>
      <c r="E2485" s="1">
        <v>45931</v>
      </c>
      <c r="F2485" t="s">
        <v>4310</v>
      </c>
      <c r="G2485" t="s">
        <v>2867</v>
      </c>
      <c r="H2485" t="s">
        <v>633</v>
      </c>
      <c r="I2485" t="s">
        <v>204</v>
      </c>
      <c r="J2485" s="1">
        <v>46204</v>
      </c>
      <c r="K2485" t="s">
        <v>762</v>
      </c>
      <c r="L2485">
        <v>70</v>
      </c>
      <c r="M2485">
        <v>256.2</v>
      </c>
      <c r="N2485" t="s">
        <v>719</v>
      </c>
      <c r="O2485" t="s">
        <v>1037</v>
      </c>
      <c r="P2485" t="s">
        <v>4790</v>
      </c>
      <c r="Q2485" t="s">
        <v>4852</v>
      </c>
    </row>
    <row r="2486" spans="1:18" x14ac:dyDescent="0.3">
      <c r="A2486">
        <v>2929</v>
      </c>
      <c r="B2486" t="s">
        <v>4874</v>
      </c>
      <c r="C2486" t="s">
        <v>469</v>
      </c>
      <c r="D2486" t="s">
        <v>124</v>
      </c>
      <c r="E2486" s="1">
        <v>45931</v>
      </c>
      <c r="F2486" t="s">
        <v>4361</v>
      </c>
      <c r="G2486" t="s">
        <v>2865</v>
      </c>
      <c r="H2486" t="s">
        <v>468</v>
      </c>
      <c r="I2486" t="s">
        <v>204</v>
      </c>
      <c r="J2486" s="1">
        <v>54878</v>
      </c>
      <c r="K2486" t="s">
        <v>762</v>
      </c>
      <c r="L2486">
        <v>2114</v>
      </c>
      <c r="M2486">
        <v>2114</v>
      </c>
      <c r="N2486" t="s">
        <v>719</v>
      </c>
      <c r="O2486" t="s">
        <v>4845</v>
      </c>
      <c r="P2486" t="s">
        <v>4776</v>
      </c>
      <c r="Q2486" t="s">
        <v>4845</v>
      </c>
      <c r="R2486" t="s">
        <v>4771</v>
      </c>
    </row>
    <row r="2487" spans="1:18" x14ac:dyDescent="0.3">
      <c r="A2487">
        <v>1794</v>
      </c>
      <c r="B2487" t="s">
        <v>4874</v>
      </c>
      <c r="C2487" t="s">
        <v>252</v>
      </c>
      <c r="D2487" t="s">
        <v>183</v>
      </c>
      <c r="E2487" s="1">
        <v>45931</v>
      </c>
      <c r="F2487" t="s">
        <v>4404</v>
      </c>
      <c r="G2487" t="s">
        <v>1270</v>
      </c>
      <c r="H2487" t="s">
        <v>251</v>
      </c>
      <c r="I2487" t="s">
        <v>204</v>
      </c>
      <c r="J2487" s="1">
        <v>46418</v>
      </c>
      <c r="K2487" t="s">
        <v>762</v>
      </c>
      <c r="L2487">
        <v>18900</v>
      </c>
      <c r="M2487">
        <v>18900</v>
      </c>
      <c r="N2487" t="s">
        <v>719</v>
      </c>
      <c r="O2487" t="s">
        <v>4904</v>
      </c>
      <c r="P2487" t="s">
        <v>4792</v>
      </c>
      <c r="Q2487" t="s">
        <v>4904</v>
      </c>
      <c r="R2487" t="s">
        <v>4773</v>
      </c>
    </row>
    <row r="2488" spans="1:18" x14ac:dyDescent="0.3">
      <c r="A2488">
        <v>3306</v>
      </c>
      <c r="B2488" t="s">
        <v>4874</v>
      </c>
      <c r="C2488" t="s">
        <v>572</v>
      </c>
      <c r="D2488" t="s">
        <v>43</v>
      </c>
      <c r="E2488" s="1">
        <v>45931</v>
      </c>
      <c r="F2488" t="s">
        <v>4321</v>
      </c>
      <c r="G2488" t="s">
        <v>2899</v>
      </c>
      <c r="H2488" t="s">
        <v>571</v>
      </c>
      <c r="I2488" t="s">
        <v>204</v>
      </c>
      <c r="J2488" s="1">
        <v>46387</v>
      </c>
      <c r="K2488" t="s">
        <v>720</v>
      </c>
      <c r="L2488">
        <v>1</v>
      </c>
      <c r="M2488">
        <v>7205.1</v>
      </c>
      <c r="N2488" t="s">
        <v>814</v>
      </c>
      <c r="O2488" t="s">
        <v>1038</v>
      </c>
      <c r="P2488" t="s">
        <v>4782</v>
      </c>
      <c r="Q2488" t="s">
        <v>4858</v>
      </c>
      <c r="R2488" t="s">
        <v>4771</v>
      </c>
    </row>
    <row r="2489" spans="1:18" x14ac:dyDescent="0.3">
      <c r="A2489">
        <v>3306</v>
      </c>
      <c r="B2489" t="s">
        <v>4874</v>
      </c>
      <c r="C2489" t="s">
        <v>572</v>
      </c>
      <c r="D2489" t="s">
        <v>43</v>
      </c>
      <c r="E2489" s="1">
        <v>45931</v>
      </c>
      <c r="F2489" t="s">
        <v>4321</v>
      </c>
      <c r="G2489" t="s">
        <v>2899</v>
      </c>
      <c r="H2489" t="s">
        <v>571</v>
      </c>
      <c r="I2489" t="s">
        <v>204</v>
      </c>
      <c r="J2489" s="1">
        <v>46387</v>
      </c>
      <c r="K2489" t="s">
        <v>720</v>
      </c>
      <c r="L2489">
        <v>1</v>
      </c>
      <c r="M2489">
        <v>2800</v>
      </c>
      <c r="N2489" t="s">
        <v>814</v>
      </c>
      <c r="O2489" t="s">
        <v>1038</v>
      </c>
      <c r="P2489" t="s">
        <v>4782</v>
      </c>
      <c r="Q2489" t="s">
        <v>4858</v>
      </c>
      <c r="R2489" t="s">
        <v>4771</v>
      </c>
    </row>
    <row r="2490" spans="1:18" x14ac:dyDescent="0.3">
      <c r="A2490">
        <v>7196</v>
      </c>
      <c r="B2490" t="s">
        <v>4874</v>
      </c>
      <c r="C2490" t="s">
        <v>628</v>
      </c>
      <c r="D2490" t="s">
        <v>25</v>
      </c>
      <c r="E2490" s="1">
        <v>45931</v>
      </c>
      <c r="F2490" t="s">
        <v>4415</v>
      </c>
      <c r="G2490" t="s">
        <v>2859</v>
      </c>
      <c r="H2490" t="s">
        <v>627</v>
      </c>
      <c r="I2490" t="s">
        <v>209</v>
      </c>
      <c r="J2490" s="1">
        <v>46476</v>
      </c>
      <c r="K2490" t="s">
        <v>720</v>
      </c>
      <c r="L2490">
        <v>1</v>
      </c>
      <c r="M2490">
        <v>380</v>
      </c>
      <c r="N2490" t="s">
        <v>710</v>
      </c>
      <c r="O2490" t="s">
        <v>1038</v>
      </c>
      <c r="P2490" t="s">
        <v>4776</v>
      </c>
      <c r="Q2490" t="s">
        <v>4858</v>
      </c>
      <c r="R2490" t="s">
        <v>4771</v>
      </c>
    </row>
    <row r="2491" spans="1:18" x14ac:dyDescent="0.3">
      <c r="A2491">
        <v>7196</v>
      </c>
      <c r="B2491" t="s">
        <v>4874</v>
      </c>
      <c r="C2491" t="s">
        <v>628</v>
      </c>
      <c r="D2491" t="s">
        <v>25</v>
      </c>
      <c r="E2491" s="1">
        <v>45931</v>
      </c>
      <c r="F2491" t="s">
        <v>4415</v>
      </c>
      <c r="G2491" t="s">
        <v>2859</v>
      </c>
      <c r="H2491" t="s">
        <v>627</v>
      </c>
      <c r="I2491" t="s">
        <v>209</v>
      </c>
      <c r="J2491" s="1">
        <v>46476</v>
      </c>
      <c r="K2491" t="s">
        <v>720</v>
      </c>
      <c r="L2491">
        <v>1</v>
      </c>
      <c r="M2491">
        <v>380</v>
      </c>
      <c r="N2491" t="s">
        <v>710</v>
      </c>
      <c r="O2491" t="s">
        <v>1038</v>
      </c>
      <c r="P2491" t="s">
        <v>4776</v>
      </c>
      <c r="Q2491" t="s">
        <v>4858</v>
      </c>
      <c r="R2491" t="s">
        <v>4771</v>
      </c>
    </row>
    <row r="2492" spans="1:18" x14ac:dyDescent="0.3">
      <c r="A2492">
        <v>7196</v>
      </c>
      <c r="B2492" t="s">
        <v>4874</v>
      </c>
      <c r="C2492" t="s">
        <v>628</v>
      </c>
      <c r="D2492" t="s">
        <v>25</v>
      </c>
      <c r="E2492" s="1">
        <v>45931</v>
      </c>
      <c r="F2492" t="s">
        <v>4415</v>
      </c>
      <c r="G2492" t="s">
        <v>2859</v>
      </c>
      <c r="H2492" t="s">
        <v>627</v>
      </c>
      <c r="I2492" t="s">
        <v>209</v>
      </c>
      <c r="J2492" s="1">
        <v>46476</v>
      </c>
      <c r="K2492" t="s">
        <v>720</v>
      </c>
      <c r="L2492">
        <v>1</v>
      </c>
      <c r="M2492">
        <v>380</v>
      </c>
      <c r="N2492" t="s">
        <v>710</v>
      </c>
      <c r="O2492" t="s">
        <v>1038</v>
      </c>
      <c r="P2492" t="s">
        <v>4776</v>
      </c>
      <c r="Q2492" t="s">
        <v>4858</v>
      </c>
      <c r="R2492" t="s">
        <v>4771</v>
      </c>
    </row>
    <row r="2493" spans="1:18" x14ac:dyDescent="0.3">
      <c r="A2493">
        <v>3381</v>
      </c>
      <c r="B2493" t="s">
        <v>4874</v>
      </c>
      <c r="C2493" t="s">
        <v>612</v>
      </c>
      <c r="D2493" t="s">
        <v>102</v>
      </c>
      <c r="E2493" s="1">
        <v>45931</v>
      </c>
      <c r="F2493" t="s">
        <v>4300</v>
      </c>
      <c r="G2493" t="s">
        <v>2910</v>
      </c>
      <c r="H2493" t="s">
        <v>611</v>
      </c>
      <c r="I2493" t="s">
        <v>209</v>
      </c>
      <c r="J2493" s="1">
        <v>45961</v>
      </c>
      <c r="K2493" t="s">
        <v>720</v>
      </c>
      <c r="L2493">
        <v>20748</v>
      </c>
      <c r="M2493">
        <v>20748</v>
      </c>
      <c r="N2493" t="s">
        <v>710</v>
      </c>
      <c r="O2493" t="s">
        <v>1037</v>
      </c>
      <c r="P2493" t="s">
        <v>4777</v>
      </c>
      <c r="Q2493" t="s">
        <v>4852</v>
      </c>
      <c r="R2493" t="s">
        <v>4773</v>
      </c>
    </row>
    <row r="2494" spans="1:18" x14ac:dyDescent="0.3">
      <c r="A2494">
        <v>3797</v>
      </c>
      <c r="B2494" t="s">
        <v>4874</v>
      </c>
      <c r="C2494" t="s">
        <v>225</v>
      </c>
      <c r="D2494" t="s">
        <v>166</v>
      </c>
      <c r="E2494" s="1">
        <v>45931</v>
      </c>
      <c r="F2494" t="s">
        <v>4383</v>
      </c>
      <c r="G2494" t="s">
        <v>2906</v>
      </c>
      <c r="H2494" t="s">
        <v>224</v>
      </c>
      <c r="I2494" t="s">
        <v>204</v>
      </c>
      <c r="J2494" s="1">
        <v>54878</v>
      </c>
      <c r="K2494" t="s">
        <v>720</v>
      </c>
      <c r="L2494">
        <v>476.36</v>
      </c>
      <c r="M2494">
        <v>476.36</v>
      </c>
      <c r="N2494" t="s">
        <v>710</v>
      </c>
      <c r="O2494" t="s">
        <v>4849</v>
      </c>
      <c r="P2494" t="s">
        <v>4776</v>
      </c>
      <c r="Q2494" t="s">
        <v>4855</v>
      </c>
      <c r="R2494" t="s">
        <v>4773</v>
      </c>
    </row>
    <row r="2495" spans="1:18" x14ac:dyDescent="0.3">
      <c r="A2495">
        <v>279314</v>
      </c>
      <c r="B2495" t="s">
        <v>4874</v>
      </c>
      <c r="C2495" t="s">
        <v>391</v>
      </c>
      <c r="D2495" t="s">
        <v>104</v>
      </c>
      <c r="E2495" s="1">
        <v>45931</v>
      </c>
      <c r="F2495" t="s">
        <v>4315</v>
      </c>
      <c r="G2495" t="s">
        <v>2832</v>
      </c>
      <c r="H2495" t="s">
        <v>390</v>
      </c>
      <c r="I2495" t="s">
        <v>204</v>
      </c>
      <c r="J2495" s="1">
        <v>54878</v>
      </c>
      <c r="K2495" t="s">
        <v>762</v>
      </c>
      <c r="L2495">
        <v>312.67</v>
      </c>
      <c r="M2495">
        <v>312.67</v>
      </c>
      <c r="N2495" t="s">
        <v>710</v>
      </c>
      <c r="O2495" t="s">
        <v>4833</v>
      </c>
      <c r="P2495" t="s">
        <v>4776</v>
      </c>
      <c r="Q2495" t="s">
        <v>4852</v>
      </c>
      <c r="R2495" t="s">
        <v>4773</v>
      </c>
    </row>
    <row r="2496" spans="1:18" x14ac:dyDescent="0.3">
      <c r="A2496">
        <v>7196</v>
      </c>
      <c r="B2496" t="s">
        <v>4874</v>
      </c>
      <c r="C2496" t="s">
        <v>628</v>
      </c>
      <c r="D2496" t="s">
        <v>25</v>
      </c>
      <c r="E2496" s="1">
        <v>45931</v>
      </c>
      <c r="F2496" t="s">
        <v>4415</v>
      </c>
      <c r="G2496" t="s">
        <v>2859</v>
      </c>
      <c r="H2496" t="s">
        <v>627</v>
      </c>
      <c r="I2496" t="s">
        <v>209</v>
      </c>
      <c r="J2496" s="1">
        <v>46476</v>
      </c>
      <c r="K2496" t="s">
        <v>720</v>
      </c>
      <c r="L2496">
        <v>1</v>
      </c>
      <c r="M2496">
        <v>380</v>
      </c>
      <c r="N2496" t="s">
        <v>710</v>
      </c>
      <c r="O2496" t="s">
        <v>1038</v>
      </c>
      <c r="P2496" t="s">
        <v>4776</v>
      </c>
      <c r="Q2496" t="s">
        <v>4858</v>
      </c>
      <c r="R2496" t="s">
        <v>4771</v>
      </c>
    </row>
    <row r="2497" spans="1:18" x14ac:dyDescent="0.3">
      <c r="A2497">
        <v>78602</v>
      </c>
      <c r="B2497" t="s">
        <v>4874</v>
      </c>
      <c r="C2497" t="s">
        <v>634</v>
      </c>
      <c r="D2497" t="s">
        <v>99</v>
      </c>
      <c r="E2497" s="1">
        <v>45931</v>
      </c>
      <c r="F2497" t="s">
        <v>4329</v>
      </c>
      <c r="G2497" t="s">
        <v>2867</v>
      </c>
      <c r="H2497" t="s">
        <v>633</v>
      </c>
      <c r="I2497" t="s">
        <v>204</v>
      </c>
      <c r="J2497" s="1">
        <v>46204</v>
      </c>
      <c r="K2497" t="s">
        <v>762</v>
      </c>
      <c r="L2497">
        <v>15</v>
      </c>
      <c r="M2497">
        <v>199.35</v>
      </c>
      <c r="N2497" t="s">
        <v>719</v>
      </c>
      <c r="O2497" t="s">
        <v>1037</v>
      </c>
      <c r="P2497" t="s">
        <v>4790</v>
      </c>
      <c r="Q2497" t="s">
        <v>4852</v>
      </c>
    </row>
    <row r="2498" spans="1:18" x14ac:dyDescent="0.3">
      <c r="A2498">
        <v>78602</v>
      </c>
      <c r="B2498" t="s">
        <v>4874</v>
      </c>
      <c r="C2498" t="s">
        <v>634</v>
      </c>
      <c r="D2498" t="s">
        <v>99</v>
      </c>
      <c r="E2498" s="1">
        <v>45931</v>
      </c>
      <c r="F2498" t="s">
        <v>4394</v>
      </c>
      <c r="G2498" t="s">
        <v>2867</v>
      </c>
      <c r="H2498" t="s">
        <v>633</v>
      </c>
      <c r="I2498" t="s">
        <v>204</v>
      </c>
      <c r="J2498" s="1">
        <v>46204</v>
      </c>
      <c r="K2498" t="s">
        <v>762</v>
      </c>
      <c r="L2498">
        <v>2761</v>
      </c>
      <c r="M2498">
        <v>2761</v>
      </c>
      <c r="N2498" t="s">
        <v>719</v>
      </c>
      <c r="O2498" t="s">
        <v>1037</v>
      </c>
      <c r="P2498" t="s">
        <v>4790</v>
      </c>
      <c r="Q2498" t="s">
        <v>4852</v>
      </c>
    </row>
    <row r="2499" spans="1:18" x14ac:dyDescent="0.3">
      <c r="A2499">
        <v>212637</v>
      </c>
      <c r="B2499" t="s">
        <v>4874</v>
      </c>
      <c r="C2499" t="s">
        <v>391</v>
      </c>
      <c r="D2499" t="s">
        <v>104</v>
      </c>
      <c r="E2499" s="1">
        <v>45931</v>
      </c>
      <c r="F2499" t="s">
        <v>4306</v>
      </c>
      <c r="G2499" t="s">
        <v>2832</v>
      </c>
      <c r="H2499" t="s">
        <v>390</v>
      </c>
      <c r="I2499" t="s">
        <v>204</v>
      </c>
      <c r="J2499" s="1">
        <v>54878</v>
      </c>
      <c r="K2499" t="s">
        <v>762</v>
      </c>
      <c r="L2499">
        <v>1435.1</v>
      </c>
      <c r="M2499">
        <v>1435.1</v>
      </c>
      <c r="N2499" t="s">
        <v>710</v>
      </c>
      <c r="O2499" t="s">
        <v>4833</v>
      </c>
      <c r="P2499" t="s">
        <v>4776</v>
      </c>
      <c r="Q2499" t="s">
        <v>4852</v>
      </c>
      <c r="R2499" t="s">
        <v>4773</v>
      </c>
    </row>
    <row r="2500" spans="1:18" x14ac:dyDescent="0.3">
      <c r="A2500">
        <v>149529</v>
      </c>
      <c r="B2500" t="s">
        <v>1034</v>
      </c>
      <c r="C2500" t="s">
        <v>522</v>
      </c>
      <c r="D2500" t="s">
        <v>50</v>
      </c>
      <c r="E2500" s="1">
        <v>45931</v>
      </c>
      <c r="F2500" t="s">
        <v>4352</v>
      </c>
      <c r="G2500" t="s">
        <v>2902</v>
      </c>
      <c r="H2500" t="s">
        <v>521</v>
      </c>
      <c r="I2500" t="s">
        <v>204</v>
      </c>
      <c r="J2500" s="1">
        <v>46387</v>
      </c>
      <c r="K2500" t="s">
        <v>717</v>
      </c>
      <c r="L2500">
        <v>547.27</v>
      </c>
      <c r="M2500">
        <v>547.27</v>
      </c>
      <c r="N2500" t="s">
        <v>884</v>
      </c>
      <c r="O2500" t="s">
        <v>1037</v>
      </c>
      <c r="P2500" t="s">
        <v>4776</v>
      </c>
      <c r="Q2500" t="s">
        <v>4852</v>
      </c>
      <c r="R2500" t="s">
        <v>4773</v>
      </c>
    </row>
    <row r="2501" spans="1:18" x14ac:dyDescent="0.3">
      <c r="A2501">
        <v>20256599</v>
      </c>
      <c r="B2501" t="s">
        <v>1034</v>
      </c>
      <c r="C2501" t="s">
        <v>203</v>
      </c>
      <c r="D2501" t="s">
        <v>118</v>
      </c>
      <c r="E2501" s="1">
        <v>45931</v>
      </c>
      <c r="F2501" t="s">
        <v>4353</v>
      </c>
      <c r="G2501" t="s">
        <v>2904</v>
      </c>
      <c r="H2501" t="s">
        <v>202</v>
      </c>
      <c r="I2501" t="s">
        <v>204</v>
      </c>
      <c r="J2501" s="1">
        <v>46387</v>
      </c>
      <c r="K2501" t="s">
        <v>717</v>
      </c>
      <c r="L2501">
        <v>215.47</v>
      </c>
      <c r="M2501">
        <v>215.47</v>
      </c>
      <c r="N2501" t="s">
        <v>710</v>
      </c>
      <c r="O2501" t="s">
        <v>1037</v>
      </c>
      <c r="P2501" t="s">
        <v>4776</v>
      </c>
      <c r="Q2501" t="s">
        <v>4852</v>
      </c>
      <c r="R2501" t="s">
        <v>4772</v>
      </c>
    </row>
    <row r="2502" spans="1:18" x14ac:dyDescent="0.3">
      <c r="A2502">
        <v>16855</v>
      </c>
      <c r="B2502" t="s">
        <v>1034</v>
      </c>
      <c r="C2502" t="s">
        <v>632</v>
      </c>
      <c r="D2502" t="s">
        <v>41</v>
      </c>
      <c r="E2502" s="1">
        <v>45931</v>
      </c>
      <c r="F2502" t="s">
        <v>4352</v>
      </c>
      <c r="G2502" t="s">
        <v>2047</v>
      </c>
      <c r="H2502" t="s">
        <v>631</v>
      </c>
      <c r="I2502" t="s">
        <v>204</v>
      </c>
      <c r="J2502" s="1">
        <v>50860</v>
      </c>
      <c r="K2502" t="s">
        <v>717</v>
      </c>
      <c r="L2502">
        <v>1</v>
      </c>
      <c r="M2502">
        <v>6240</v>
      </c>
      <c r="N2502" t="s">
        <v>710</v>
      </c>
      <c r="O2502" t="s">
        <v>4833</v>
      </c>
      <c r="P2502" t="s">
        <v>4776</v>
      </c>
      <c r="Q2502" t="s">
        <v>4852</v>
      </c>
      <c r="R2502" t="s">
        <v>4771</v>
      </c>
    </row>
    <row r="2503" spans="1:18" x14ac:dyDescent="0.3">
      <c r="A2503">
        <v>4824</v>
      </c>
      <c r="B2503" t="s">
        <v>1034</v>
      </c>
      <c r="C2503" t="s">
        <v>319</v>
      </c>
      <c r="D2503" t="s">
        <v>36</v>
      </c>
      <c r="E2503" s="1">
        <v>45930</v>
      </c>
      <c r="F2503" t="s">
        <v>4298</v>
      </c>
      <c r="G2503" t="s">
        <v>2911</v>
      </c>
      <c r="H2503" t="s">
        <v>318</v>
      </c>
      <c r="I2503" t="s">
        <v>204</v>
      </c>
      <c r="J2503" s="1">
        <v>46214</v>
      </c>
      <c r="K2503" t="s">
        <v>711</v>
      </c>
      <c r="L2503">
        <v>1306</v>
      </c>
      <c r="M2503">
        <v>1305.78</v>
      </c>
      <c r="N2503" t="s">
        <v>710</v>
      </c>
      <c r="O2503" t="s">
        <v>1036</v>
      </c>
      <c r="P2503" t="s">
        <v>4784</v>
      </c>
      <c r="Q2503" t="s">
        <v>4901</v>
      </c>
      <c r="R2503" t="s">
        <v>4771</v>
      </c>
    </row>
    <row r="2504" spans="1:18" x14ac:dyDescent="0.3">
      <c r="A2504">
        <v>5548781</v>
      </c>
      <c r="B2504" t="s">
        <v>1034</v>
      </c>
      <c r="C2504" t="s">
        <v>463</v>
      </c>
      <c r="D2504" t="s">
        <v>147</v>
      </c>
      <c r="E2504" s="1">
        <v>45930</v>
      </c>
      <c r="F2504" t="s">
        <v>4334</v>
      </c>
      <c r="G2504" t="s">
        <v>2912</v>
      </c>
      <c r="H2504" t="s">
        <v>462</v>
      </c>
      <c r="I2504" t="s">
        <v>204</v>
      </c>
      <c r="J2504" s="1">
        <v>46752</v>
      </c>
      <c r="K2504" t="s">
        <v>717</v>
      </c>
      <c r="L2504">
        <v>2317.89</v>
      </c>
      <c r="M2504">
        <v>2317.89</v>
      </c>
      <c r="N2504" t="s">
        <v>719</v>
      </c>
      <c r="O2504" t="s">
        <v>1033</v>
      </c>
      <c r="P2504" t="s">
        <v>4776</v>
      </c>
      <c r="Q2504" t="s">
        <v>4852</v>
      </c>
      <c r="R2504" t="s">
        <v>4771</v>
      </c>
    </row>
    <row r="2505" spans="1:18" x14ac:dyDescent="0.3">
      <c r="A2505">
        <v>46756</v>
      </c>
      <c r="B2505" t="s">
        <v>1034</v>
      </c>
      <c r="C2505" t="s">
        <v>497</v>
      </c>
      <c r="D2505" t="s">
        <v>58</v>
      </c>
      <c r="E2505" s="1">
        <v>45930</v>
      </c>
      <c r="F2505" t="s">
        <v>4316</v>
      </c>
      <c r="G2505" t="s">
        <v>2858</v>
      </c>
      <c r="H2505" t="s">
        <v>498</v>
      </c>
      <c r="I2505" t="s">
        <v>204</v>
      </c>
      <c r="J2505" s="1">
        <v>46265</v>
      </c>
      <c r="K2505" t="s">
        <v>717</v>
      </c>
      <c r="L2505">
        <v>1</v>
      </c>
      <c r="M2505">
        <v>549.86</v>
      </c>
      <c r="N2505" t="s">
        <v>710</v>
      </c>
      <c r="O2505" t="s">
        <v>4833</v>
      </c>
      <c r="P2505" t="s">
        <v>4776</v>
      </c>
      <c r="Q2505" t="s">
        <v>4852</v>
      </c>
      <c r="R2505" t="s">
        <v>4773</v>
      </c>
    </row>
    <row r="2506" spans="1:18" x14ac:dyDescent="0.3">
      <c r="A2506">
        <v>149702</v>
      </c>
      <c r="B2506" t="s">
        <v>4874</v>
      </c>
      <c r="C2506" t="s">
        <v>218</v>
      </c>
      <c r="D2506" t="s">
        <v>180</v>
      </c>
      <c r="E2506" s="1">
        <v>45930</v>
      </c>
      <c r="F2506" t="s">
        <v>4305</v>
      </c>
      <c r="G2506" t="s">
        <v>2882</v>
      </c>
      <c r="H2506" t="s">
        <v>520</v>
      </c>
      <c r="I2506" t="s">
        <v>204</v>
      </c>
      <c r="J2506" s="1">
        <v>45291</v>
      </c>
      <c r="K2506" t="s">
        <v>720</v>
      </c>
      <c r="L2506">
        <v>1</v>
      </c>
      <c r="M2506">
        <v>17180.02</v>
      </c>
      <c r="N2506" t="s">
        <v>710</v>
      </c>
      <c r="O2506" t="s">
        <v>4834</v>
      </c>
      <c r="P2506" t="s">
        <v>4776</v>
      </c>
      <c r="Q2506" t="s">
        <v>4858</v>
      </c>
      <c r="R2506" t="s">
        <v>4773</v>
      </c>
    </row>
    <row r="2507" spans="1:18" x14ac:dyDescent="0.3">
      <c r="A2507">
        <v>21236</v>
      </c>
      <c r="B2507" t="s">
        <v>4874</v>
      </c>
      <c r="C2507" t="s">
        <v>243</v>
      </c>
      <c r="D2507" t="s">
        <v>61</v>
      </c>
      <c r="E2507" s="1">
        <v>45929</v>
      </c>
      <c r="F2507" t="s">
        <v>4304</v>
      </c>
      <c r="G2507" t="s">
        <v>2844</v>
      </c>
      <c r="H2507" t="s">
        <v>271</v>
      </c>
      <c r="I2507" t="s">
        <v>204</v>
      </c>
      <c r="J2507" s="1">
        <v>46424</v>
      </c>
      <c r="K2507" t="s">
        <v>720</v>
      </c>
      <c r="L2507">
        <v>1</v>
      </c>
      <c r="M2507">
        <v>298.41000000000003</v>
      </c>
      <c r="N2507" t="s">
        <v>710</v>
      </c>
      <c r="O2507" t="s">
        <v>4834</v>
      </c>
      <c r="P2507" t="s">
        <v>4776</v>
      </c>
      <c r="Q2507" t="s">
        <v>4858</v>
      </c>
      <c r="R2507" t="s">
        <v>4771</v>
      </c>
    </row>
    <row r="2508" spans="1:18" x14ac:dyDescent="0.3">
      <c r="A2508">
        <v>42253</v>
      </c>
      <c r="B2508" t="s">
        <v>1034</v>
      </c>
      <c r="C2508" t="s">
        <v>327</v>
      </c>
      <c r="D2508" t="s">
        <v>159</v>
      </c>
      <c r="E2508" s="1">
        <v>45929</v>
      </c>
      <c r="F2508" t="s">
        <v>4295</v>
      </c>
      <c r="G2508" t="s">
        <v>2880</v>
      </c>
      <c r="H2508" t="s">
        <v>357</v>
      </c>
      <c r="I2508" t="s">
        <v>204</v>
      </c>
      <c r="J2508" s="1">
        <v>46476</v>
      </c>
      <c r="K2508" t="s">
        <v>711</v>
      </c>
      <c r="L2508">
        <v>2150</v>
      </c>
      <c r="M2508">
        <v>2150</v>
      </c>
      <c r="N2508" t="s">
        <v>890</v>
      </c>
      <c r="O2508" t="s">
        <v>4834</v>
      </c>
      <c r="P2508" t="s">
        <v>4776</v>
      </c>
      <c r="Q2508" t="s">
        <v>4901</v>
      </c>
      <c r="R2508" t="s">
        <v>4773</v>
      </c>
    </row>
    <row r="2509" spans="1:18" x14ac:dyDescent="0.3">
      <c r="A2509">
        <v>42254</v>
      </c>
      <c r="B2509" t="s">
        <v>1034</v>
      </c>
      <c r="C2509" t="s">
        <v>327</v>
      </c>
      <c r="D2509" t="s">
        <v>159</v>
      </c>
      <c r="E2509" s="1">
        <v>45929</v>
      </c>
      <c r="F2509" t="s">
        <v>4296</v>
      </c>
      <c r="G2509" t="s">
        <v>2881</v>
      </c>
      <c r="H2509" t="s">
        <v>357</v>
      </c>
      <c r="I2509" t="s">
        <v>204</v>
      </c>
      <c r="J2509" s="1">
        <v>46476</v>
      </c>
      <c r="K2509" t="s">
        <v>711</v>
      </c>
      <c r="L2509">
        <v>1559.08</v>
      </c>
      <c r="M2509">
        <v>1559.08</v>
      </c>
      <c r="N2509" t="s">
        <v>890</v>
      </c>
      <c r="O2509" t="s">
        <v>4834</v>
      </c>
      <c r="P2509" t="s">
        <v>4776</v>
      </c>
      <c r="Q2509" t="s">
        <v>4901</v>
      </c>
      <c r="R2509" t="s">
        <v>4773</v>
      </c>
    </row>
    <row r="2510" spans="1:18" x14ac:dyDescent="0.3">
      <c r="A2510">
        <v>652219</v>
      </c>
      <c r="B2510" t="s">
        <v>4874</v>
      </c>
      <c r="C2510" t="s">
        <v>239</v>
      </c>
      <c r="D2510" t="s">
        <v>199</v>
      </c>
      <c r="E2510" s="1">
        <v>45926</v>
      </c>
      <c r="F2510" t="s">
        <v>4325</v>
      </c>
      <c r="G2510" t="s">
        <v>2898</v>
      </c>
      <c r="H2510" t="s">
        <v>268</v>
      </c>
      <c r="I2510" t="s">
        <v>204</v>
      </c>
      <c r="J2510" s="1">
        <v>46172</v>
      </c>
      <c r="K2510" t="s">
        <v>720</v>
      </c>
      <c r="L2510">
        <v>1</v>
      </c>
      <c r="M2510">
        <v>109.9</v>
      </c>
      <c r="N2510" t="s">
        <v>710</v>
      </c>
      <c r="O2510" t="s">
        <v>1038</v>
      </c>
      <c r="P2510" t="s">
        <v>4779</v>
      </c>
      <c r="Q2510" t="s">
        <v>4858</v>
      </c>
      <c r="R2510" t="s">
        <v>4771</v>
      </c>
    </row>
    <row r="2511" spans="1:18" x14ac:dyDescent="0.3">
      <c r="A2511">
        <v>189111</v>
      </c>
      <c r="B2511" t="s">
        <v>4874</v>
      </c>
      <c r="C2511" t="s">
        <v>376</v>
      </c>
      <c r="D2511" t="s">
        <v>35</v>
      </c>
      <c r="E2511" s="1">
        <v>45926</v>
      </c>
      <c r="F2511" t="s">
        <v>4324</v>
      </c>
      <c r="G2511" t="s">
        <v>2893</v>
      </c>
      <c r="H2511" t="s">
        <v>442</v>
      </c>
      <c r="I2511" t="s">
        <v>209</v>
      </c>
      <c r="J2511" s="1">
        <v>54878</v>
      </c>
      <c r="K2511" t="s">
        <v>762</v>
      </c>
      <c r="L2511">
        <v>1000.66</v>
      </c>
      <c r="M2511">
        <v>1000.66</v>
      </c>
      <c r="N2511" t="s">
        <v>710</v>
      </c>
      <c r="Q2511" t="s">
        <v>4852</v>
      </c>
      <c r="R2511" t="s">
        <v>4771</v>
      </c>
    </row>
    <row r="2512" spans="1:18" x14ac:dyDescent="0.3">
      <c r="A2512">
        <v>905</v>
      </c>
      <c r="B2512" t="s">
        <v>1034</v>
      </c>
      <c r="C2512" t="s">
        <v>216</v>
      </c>
      <c r="D2512" t="s">
        <v>141</v>
      </c>
      <c r="E2512" s="1">
        <v>45926</v>
      </c>
      <c r="F2512" t="s">
        <v>4305</v>
      </c>
      <c r="G2512" t="s">
        <v>2814</v>
      </c>
      <c r="H2512" t="s">
        <v>528</v>
      </c>
      <c r="I2512" t="s">
        <v>204</v>
      </c>
      <c r="J2512" s="1">
        <v>55243</v>
      </c>
      <c r="K2512" t="s">
        <v>711</v>
      </c>
      <c r="L2512">
        <v>4000</v>
      </c>
      <c r="M2512">
        <v>4000</v>
      </c>
      <c r="N2512" t="s">
        <v>710</v>
      </c>
      <c r="O2512" t="s">
        <v>4844</v>
      </c>
      <c r="P2512" t="s">
        <v>4776</v>
      </c>
      <c r="Q2512" t="s">
        <v>4901</v>
      </c>
      <c r="R2512" t="s">
        <v>4771</v>
      </c>
    </row>
    <row r="2513" spans="1:18" x14ac:dyDescent="0.3">
      <c r="A2513">
        <v>208</v>
      </c>
      <c r="B2513" t="s">
        <v>1034</v>
      </c>
      <c r="C2513" t="s">
        <v>319</v>
      </c>
      <c r="D2513" t="s">
        <v>36</v>
      </c>
      <c r="E2513" s="1">
        <v>45926</v>
      </c>
      <c r="F2513" t="s">
        <v>4298</v>
      </c>
      <c r="G2513" t="s">
        <v>2891</v>
      </c>
      <c r="H2513" t="s">
        <v>318</v>
      </c>
      <c r="I2513" t="s">
        <v>204</v>
      </c>
      <c r="J2513" s="1">
        <v>46214</v>
      </c>
      <c r="K2513" t="s">
        <v>711</v>
      </c>
      <c r="L2513">
        <v>937</v>
      </c>
      <c r="M2513">
        <v>636.96</v>
      </c>
      <c r="N2513" t="s">
        <v>710</v>
      </c>
      <c r="O2513" t="s">
        <v>1036</v>
      </c>
      <c r="P2513" t="s">
        <v>4784</v>
      </c>
      <c r="Q2513" t="s">
        <v>4901</v>
      </c>
      <c r="R2513" t="s">
        <v>4771</v>
      </c>
    </row>
    <row r="2514" spans="1:18" x14ac:dyDescent="0.3">
      <c r="A2514">
        <v>2917</v>
      </c>
      <c r="B2514" t="s">
        <v>4874</v>
      </c>
      <c r="C2514" t="s">
        <v>372</v>
      </c>
      <c r="D2514" t="s">
        <v>105</v>
      </c>
      <c r="E2514" s="1">
        <v>45925</v>
      </c>
      <c r="F2514" t="s">
        <v>4408</v>
      </c>
      <c r="G2514" t="s">
        <v>2872</v>
      </c>
      <c r="H2514" t="s">
        <v>371</v>
      </c>
      <c r="I2514" t="s">
        <v>209</v>
      </c>
      <c r="J2514" s="1">
        <v>45904</v>
      </c>
      <c r="K2514" t="s">
        <v>720</v>
      </c>
      <c r="L2514">
        <v>1</v>
      </c>
      <c r="M2514">
        <v>13134.92</v>
      </c>
      <c r="N2514" t="s">
        <v>719</v>
      </c>
      <c r="O2514" t="s">
        <v>1038</v>
      </c>
      <c r="P2514" t="s">
        <v>4777</v>
      </c>
      <c r="Q2514" t="s">
        <v>4858</v>
      </c>
      <c r="R2514" t="s">
        <v>4773</v>
      </c>
    </row>
    <row r="2515" spans="1:18" x14ac:dyDescent="0.3">
      <c r="A2515">
        <v>405805033</v>
      </c>
      <c r="B2515" t="s">
        <v>4874</v>
      </c>
      <c r="C2515" t="s">
        <v>433</v>
      </c>
      <c r="D2515" t="s">
        <v>168</v>
      </c>
      <c r="E2515" s="1">
        <v>45925</v>
      </c>
      <c r="F2515" t="s">
        <v>4319</v>
      </c>
      <c r="G2515" t="s">
        <v>2875</v>
      </c>
      <c r="H2515" t="s">
        <v>432</v>
      </c>
      <c r="I2515" t="s">
        <v>204</v>
      </c>
      <c r="J2515" s="1">
        <v>46473</v>
      </c>
      <c r="K2515" t="s">
        <v>762</v>
      </c>
      <c r="L2515">
        <v>1367</v>
      </c>
      <c r="M2515">
        <v>1366.93</v>
      </c>
      <c r="N2515" t="s">
        <v>710</v>
      </c>
      <c r="O2515" t="s">
        <v>4833</v>
      </c>
      <c r="P2515" t="s">
        <v>4802</v>
      </c>
      <c r="Q2515" t="s">
        <v>4852</v>
      </c>
      <c r="R2515" t="s">
        <v>4771</v>
      </c>
    </row>
    <row r="2516" spans="1:18" x14ac:dyDescent="0.3">
      <c r="A2516">
        <v>98987</v>
      </c>
      <c r="B2516" t="s">
        <v>1034</v>
      </c>
      <c r="C2516" t="s">
        <v>452</v>
      </c>
      <c r="D2516" t="s">
        <v>171</v>
      </c>
      <c r="E2516" s="1">
        <v>45925</v>
      </c>
      <c r="F2516" t="s">
        <v>4319</v>
      </c>
      <c r="G2516" t="s">
        <v>2879</v>
      </c>
      <c r="H2516" t="s">
        <v>512</v>
      </c>
      <c r="I2516" t="s">
        <v>209</v>
      </c>
      <c r="J2516" s="1">
        <v>45138</v>
      </c>
      <c r="K2516" t="s">
        <v>762</v>
      </c>
      <c r="L2516">
        <v>235</v>
      </c>
      <c r="M2516">
        <v>235.21</v>
      </c>
      <c r="N2516" t="s">
        <v>710</v>
      </c>
      <c r="O2516" t="s">
        <v>4833</v>
      </c>
      <c r="P2516" t="s">
        <v>4802</v>
      </c>
      <c r="Q2516" t="s">
        <v>4852</v>
      </c>
      <c r="R2516" t="s">
        <v>4771</v>
      </c>
    </row>
    <row r="2517" spans="1:18" x14ac:dyDescent="0.3">
      <c r="A2517">
        <v>60738</v>
      </c>
      <c r="B2517" t="s">
        <v>4874</v>
      </c>
      <c r="C2517" t="s">
        <v>437</v>
      </c>
      <c r="D2517" t="s">
        <v>150</v>
      </c>
      <c r="E2517" s="1">
        <v>45924</v>
      </c>
      <c r="F2517" t="s">
        <v>4395</v>
      </c>
      <c r="G2517" t="s">
        <v>2886</v>
      </c>
      <c r="H2517" t="s">
        <v>436</v>
      </c>
      <c r="I2517" t="s">
        <v>204</v>
      </c>
      <c r="J2517" s="1">
        <v>54878</v>
      </c>
      <c r="K2517" t="s">
        <v>762</v>
      </c>
      <c r="L2517">
        <v>840</v>
      </c>
      <c r="M2517">
        <v>840</v>
      </c>
      <c r="N2517" t="s">
        <v>719</v>
      </c>
      <c r="O2517" t="s">
        <v>1037</v>
      </c>
      <c r="P2517" t="s">
        <v>4788</v>
      </c>
      <c r="Q2517" t="s">
        <v>4852</v>
      </c>
      <c r="R2517" t="s">
        <v>4771</v>
      </c>
    </row>
    <row r="2518" spans="1:18" x14ac:dyDescent="0.3">
      <c r="A2518">
        <v>63081645</v>
      </c>
      <c r="B2518" t="s">
        <v>4874</v>
      </c>
      <c r="C2518" t="s">
        <v>653</v>
      </c>
      <c r="D2518" t="s">
        <v>14</v>
      </c>
      <c r="E2518" s="1">
        <v>45924</v>
      </c>
      <c r="F2518" t="s">
        <v>4336</v>
      </c>
      <c r="G2518" t="s">
        <v>2870</v>
      </c>
      <c r="H2518" t="s">
        <v>652</v>
      </c>
      <c r="I2518" t="s">
        <v>204</v>
      </c>
      <c r="J2518" s="1">
        <v>46583</v>
      </c>
      <c r="K2518" t="s">
        <v>762</v>
      </c>
      <c r="L2518">
        <v>1</v>
      </c>
      <c r="M2518">
        <v>54204.09</v>
      </c>
      <c r="N2518" t="s">
        <v>710</v>
      </c>
      <c r="O2518" t="s">
        <v>1037</v>
      </c>
      <c r="P2518" t="s">
        <v>4794</v>
      </c>
      <c r="Q2518" t="s">
        <v>4852</v>
      </c>
      <c r="R2518" t="s">
        <v>807</v>
      </c>
    </row>
    <row r="2519" spans="1:18" x14ac:dyDescent="0.3">
      <c r="A2519">
        <v>7048</v>
      </c>
      <c r="B2519" t="s">
        <v>1035</v>
      </c>
      <c r="C2519" t="s">
        <v>230</v>
      </c>
      <c r="D2519" t="s">
        <v>85</v>
      </c>
      <c r="E2519" s="1">
        <v>45924</v>
      </c>
      <c r="F2519" t="s">
        <v>4436</v>
      </c>
      <c r="G2519" t="s">
        <v>2815</v>
      </c>
      <c r="H2519" t="s">
        <v>229</v>
      </c>
      <c r="I2519" t="s">
        <v>204</v>
      </c>
      <c r="J2519" s="1">
        <v>46203</v>
      </c>
      <c r="K2519" t="s">
        <v>744</v>
      </c>
      <c r="L2519">
        <v>5793.36</v>
      </c>
      <c r="M2519">
        <v>5793.36</v>
      </c>
      <c r="N2519" t="s">
        <v>710</v>
      </c>
      <c r="O2519" t="s">
        <v>1033</v>
      </c>
      <c r="P2519" t="s">
        <v>4781</v>
      </c>
      <c r="Q2519" t="s">
        <v>4852</v>
      </c>
      <c r="R2519" t="s">
        <v>4771</v>
      </c>
    </row>
    <row r="2520" spans="1:18" x14ac:dyDescent="0.3">
      <c r="A2520">
        <v>7056</v>
      </c>
      <c r="B2520" t="s">
        <v>1035</v>
      </c>
      <c r="C2520" t="s">
        <v>230</v>
      </c>
      <c r="D2520" t="s">
        <v>85</v>
      </c>
      <c r="E2520" s="1">
        <v>45924</v>
      </c>
      <c r="F2520" t="s">
        <v>4348</v>
      </c>
      <c r="G2520" t="s">
        <v>2816</v>
      </c>
      <c r="H2520" t="s">
        <v>229</v>
      </c>
      <c r="I2520" t="s">
        <v>204</v>
      </c>
      <c r="J2520" s="1">
        <v>46203</v>
      </c>
      <c r="K2520" t="s">
        <v>744</v>
      </c>
      <c r="L2520">
        <v>3901.96</v>
      </c>
      <c r="M2520">
        <v>3901.96</v>
      </c>
      <c r="N2520" t="s">
        <v>710</v>
      </c>
      <c r="O2520" t="s">
        <v>1033</v>
      </c>
      <c r="P2520" t="s">
        <v>4781</v>
      </c>
      <c r="Q2520" t="s">
        <v>4852</v>
      </c>
      <c r="R2520" t="s">
        <v>4771</v>
      </c>
    </row>
    <row r="2521" spans="1:18" x14ac:dyDescent="0.3">
      <c r="A2521">
        <v>593</v>
      </c>
      <c r="B2521" t="s">
        <v>1034</v>
      </c>
      <c r="C2521" t="s">
        <v>319</v>
      </c>
      <c r="D2521" t="s">
        <v>36</v>
      </c>
      <c r="E2521" s="1">
        <v>45923</v>
      </c>
      <c r="F2521" t="s">
        <v>4298</v>
      </c>
      <c r="G2521" t="s">
        <v>2818</v>
      </c>
      <c r="H2521" t="s">
        <v>318</v>
      </c>
      <c r="I2521" t="s">
        <v>204</v>
      </c>
      <c r="J2521" s="1">
        <v>46214</v>
      </c>
      <c r="K2521" t="s">
        <v>711</v>
      </c>
      <c r="L2521">
        <v>1398</v>
      </c>
      <c r="M2521">
        <v>1397.86</v>
      </c>
      <c r="N2521" t="s">
        <v>710</v>
      </c>
      <c r="O2521" t="s">
        <v>1036</v>
      </c>
      <c r="P2521" t="s">
        <v>4784</v>
      </c>
      <c r="Q2521" t="s">
        <v>4901</v>
      </c>
      <c r="R2521" t="s">
        <v>4771</v>
      </c>
    </row>
    <row r="2522" spans="1:18" x14ac:dyDescent="0.3">
      <c r="A2522">
        <v>52</v>
      </c>
      <c r="B2522" t="s">
        <v>1034</v>
      </c>
      <c r="C2522" t="s">
        <v>319</v>
      </c>
      <c r="D2522" t="s">
        <v>36</v>
      </c>
      <c r="E2522" s="1">
        <v>45923</v>
      </c>
      <c r="F2522" t="s">
        <v>4298</v>
      </c>
      <c r="G2522" t="s">
        <v>2878</v>
      </c>
      <c r="H2522" t="s">
        <v>318</v>
      </c>
      <c r="I2522" t="s">
        <v>204</v>
      </c>
      <c r="J2522" s="1">
        <v>46214</v>
      </c>
      <c r="K2522" t="s">
        <v>711</v>
      </c>
      <c r="L2522">
        <v>952</v>
      </c>
      <c r="M2522">
        <v>952.33</v>
      </c>
      <c r="N2522" t="s">
        <v>710</v>
      </c>
      <c r="O2522" t="s">
        <v>1036</v>
      </c>
      <c r="P2522" t="s">
        <v>4784</v>
      </c>
      <c r="Q2522" t="s">
        <v>4901</v>
      </c>
      <c r="R2522" t="s">
        <v>4771</v>
      </c>
    </row>
    <row r="2523" spans="1:18" x14ac:dyDescent="0.3">
      <c r="A2523">
        <v>4803</v>
      </c>
      <c r="B2523" t="s">
        <v>1034</v>
      </c>
      <c r="C2523" t="s">
        <v>319</v>
      </c>
      <c r="D2523" t="s">
        <v>36</v>
      </c>
      <c r="E2523" s="1">
        <v>45923</v>
      </c>
      <c r="F2523" t="s">
        <v>4298</v>
      </c>
      <c r="G2523" t="s">
        <v>2877</v>
      </c>
      <c r="H2523" t="s">
        <v>318</v>
      </c>
      <c r="I2523" t="s">
        <v>204</v>
      </c>
      <c r="J2523" s="1">
        <v>46214</v>
      </c>
      <c r="K2523" t="s">
        <v>711</v>
      </c>
      <c r="L2523">
        <v>933</v>
      </c>
      <c r="M2523">
        <v>932.7</v>
      </c>
      <c r="N2523" t="s">
        <v>710</v>
      </c>
      <c r="O2523" t="s">
        <v>1036</v>
      </c>
      <c r="P2523" t="s">
        <v>4784</v>
      </c>
      <c r="Q2523" t="s">
        <v>4901</v>
      </c>
      <c r="R2523" t="s">
        <v>4771</v>
      </c>
    </row>
    <row r="2524" spans="1:18" x14ac:dyDescent="0.3">
      <c r="A2524">
        <v>6559</v>
      </c>
      <c r="B2524" t="s">
        <v>4875</v>
      </c>
      <c r="C2524" t="s">
        <v>319</v>
      </c>
      <c r="D2524" t="s">
        <v>36</v>
      </c>
      <c r="E2524" s="1">
        <v>45923</v>
      </c>
      <c r="F2524" t="s">
        <v>4298</v>
      </c>
      <c r="G2524" t="s">
        <v>2803</v>
      </c>
      <c r="H2524" t="s">
        <v>336</v>
      </c>
      <c r="I2524" t="s">
        <v>204</v>
      </c>
      <c r="J2524" s="1">
        <v>46075</v>
      </c>
      <c r="K2524" t="s">
        <v>748</v>
      </c>
      <c r="L2524">
        <v>5</v>
      </c>
      <c r="M2524">
        <v>1050.23</v>
      </c>
      <c r="N2524" t="s">
        <v>710</v>
      </c>
      <c r="O2524" t="s">
        <v>1040</v>
      </c>
      <c r="P2524" t="s">
        <v>4784</v>
      </c>
      <c r="Q2524" t="s">
        <v>4856</v>
      </c>
      <c r="R2524" t="s">
        <v>4771</v>
      </c>
    </row>
    <row r="2525" spans="1:18" x14ac:dyDescent="0.3">
      <c r="A2525">
        <v>7180</v>
      </c>
      <c r="B2525" t="s">
        <v>4874</v>
      </c>
      <c r="C2525" t="s">
        <v>628</v>
      </c>
      <c r="D2525" t="s">
        <v>25</v>
      </c>
      <c r="E2525" s="1">
        <v>45923</v>
      </c>
      <c r="F2525" t="s">
        <v>4415</v>
      </c>
      <c r="G2525" t="s">
        <v>2859</v>
      </c>
      <c r="H2525" t="s">
        <v>627</v>
      </c>
      <c r="I2525" t="s">
        <v>209</v>
      </c>
      <c r="J2525" s="1">
        <v>46476</v>
      </c>
      <c r="K2525" t="s">
        <v>720</v>
      </c>
      <c r="L2525">
        <v>1</v>
      </c>
      <c r="M2525">
        <v>380</v>
      </c>
      <c r="N2525" t="s">
        <v>710</v>
      </c>
      <c r="O2525" t="s">
        <v>1038</v>
      </c>
      <c r="P2525" t="s">
        <v>4776</v>
      </c>
      <c r="Q2525" t="s">
        <v>4858</v>
      </c>
      <c r="R2525" t="s">
        <v>4771</v>
      </c>
    </row>
    <row r="2526" spans="1:18" x14ac:dyDescent="0.3">
      <c r="A2526">
        <v>189111</v>
      </c>
      <c r="B2526" t="s">
        <v>4874</v>
      </c>
      <c r="C2526" t="s">
        <v>376</v>
      </c>
      <c r="D2526" t="s">
        <v>35</v>
      </c>
      <c r="E2526" s="1">
        <v>45923</v>
      </c>
      <c r="F2526" t="s">
        <v>4324</v>
      </c>
      <c r="G2526" t="s">
        <v>2701</v>
      </c>
      <c r="H2526" t="s">
        <v>442</v>
      </c>
      <c r="I2526" t="s">
        <v>209</v>
      </c>
      <c r="J2526" s="1">
        <v>54878</v>
      </c>
      <c r="K2526" t="s">
        <v>762</v>
      </c>
      <c r="L2526">
        <v>1066</v>
      </c>
      <c r="M2526">
        <v>-1066</v>
      </c>
      <c r="N2526" t="s">
        <v>710</v>
      </c>
      <c r="Q2526" t="s">
        <v>4852</v>
      </c>
      <c r="R2526" t="s">
        <v>4771</v>
      </c>
    </row>
    <row r="2527" spans="1:18" x14ac:dyDescent="0.3">
      <c r="A2527">
        <v>3840</v>
      </c>
      <c r="B2527" t="s">
        <v>1034</v>
      </c>
      <c r="C2527" t="s">
        <v>267</v>
      </c>
      <c r="D2527" t="s">
        <v>186</v>
      </c>
      <c r="E2527" s="1">
        <v>45922</v>
      </c>
      <c r="F2527" t="s">
        <v>4349</v>
      </c>
      <c r="G2527" t="s">
        <v>2861</v>
      </c>
      <c r="H2527" t="s">
        <v>266</v>
      </c>
      <c r="I2527" t="s">
        <v>204</v>
      </c>
      <c r="J2527" s="1">
        <v>46259</v>
      </c>
      <c r="K2527" t="s">
        <v>717</v>
      </c>
      <c r="L2527">
        <v>43997.77</v>
      </c>
      <c r="M2527">
        <v>43997.77</v>
      </c>
      <c r="N2527" t="s">
        <v>710</v>
      </c>
      <c r="O2527" t="s">
        <v>1037</v>
      </c>
      <c r="P2527" t="s">
        <v>4780</v>
      </c>
      <c r="Q2527" t="s">
        <v>4852</v>
      </c>
      <c r="R2527" t="s">
        <v>4772</v>
      </c>
    </row>
    <row r="2528" spans="1:18" x14ac:dyDescent="0.3">
      <c r="A2528">
        <v>15585</v>
      </c>
      <c r="B2528" t="s">
        <v>4876</v>
      </c>
      <c r="C2528" t="s">
        <v>439</v>
      </c>
      <c r="D2528" t="s">
        <v>156</v>
      </c>
      <c r="E2528" s="1">
        <v>45922</v>
      </c>
      <c r="F2528" t="s">
        <v>4396</v>
      </c>
      <c r="G2528" t="s">
        <v>2851</v>
      </c>
      <c r="H2528" t="s">
        <v>485</v>
      </c>
      <c r="I2528" t="s">
        <v>204</v>
      </c>
      <c r="J2528" s="1">
        <v>54878</v>
      </c>
      <c r="K2528" t="s">
        <v>839</v>
      </c>
      <c r="L2528">
        <v>5258.24</v>
      </c>
      <c r="M2528">
        <v>5258.24</v>
      </c>
      <c r="N2528" t="s">
        <v>710</v>
      </c>
      <c r="O2528" t="s">
        <v>1037</v>
      </c>
      <c r="P2528" t="s">
        <v>4776</v>
      </c>
      <c r="Q2528" t="s">
        <v>4852</v>
      </c>
      <c r="R2528" t="s">
        <v>4771</v>
      </c>
    </row>
    <row r="2529" spans="1:18" x14ac:dyDescent="0.3">
      <c r="A2529">
        <v>9002</v>
      </c>
      <c r="B2529" t="s">
        <v>1034</v>
      </c>
      <c r="C2529" t="s">
        <v>267</v>
      </c>
      <c r="D2529" t="s">
        <v>186</v>
      </c>
      <c r="E2529" s="1">
        <v>45922</v>
      </c>
      <c r="F2529" t="s">
        <v>4350</v>
      </c>
      <c r="G2529" t="s">
        <v>2861</v>
      </c>
      <c r="H2529" t="s">
        <v>266</v>
      </c>
      <c r="I2529" t="s">
        <v>204</v>
      </c>
      <c r="J2529" s="1">
        <v>46259</v>
      </c>
      <c r="K2529" t="s">
        <v>717</v>
      </c>
      <c r="L2529">
        <v>8069.46</v>
      </c>
      <c r="M2529">
        <v>8069.46</v>
      </c>
      <c r="N2529" t="s">
        <v>710</v>
      </c>
      <c r="O2529" t="s">
        <v>1037</v>
      </c>
      <c r="P2529" t="s">
        <v>4780</v>
      </c>
      <c r="Q2529" t="s">
        <v>4852</v>
      </c>
      <c r="R2529" t="s">
        <v>4772</v>
      </c>
    </row>
    <row r="2530" spans="1:18" x14ac:dyDescent="0.3">
      <c r="A2530">
        <v>9003</v>
      </c>
      <c r="B2530" t="s">
        <v>1034</v>
      </c>
      <c r="C2530" t="s">
        <v>267</v>
      </c>
      <c r="D2530" t="s">
        <v>186</v>
      </c>
      <c r="E2530" s="1">
        <v>45922</v>
      </c>
      <c r="F2530" t="s">
        <v>4350</v>
      </c>
      <c r="G2530" t="s">
        <v>2861</v>
      </c>
      <c r="H2530" t="s">
        <v>266</v>
      </c>
      <c r="I2530" t="s">
        <v>204</v>
      </c>
      <c r="J2530" s="1">
        <v>46259</v>
      </c>
      <c r="K2530" t="s">
        <v>717</v>
      </c>
      <c r="L2530">
        <v>19005.7</v>
      </c>
      <c r="M2530">
        <v>19005.7</v>
      </c>
      <c r="N2530" t="s">
        <v>710</v>
      </c>
      <c r="O2530" t="s">
        <v>1037</v>
      </c>
      <c r="P2530" t="s">
        <v>4780</v>
      </c>
      <c r="Q2530" t="s">
        <v>4852</v>
      </c>
      <c r="R2530" t="s">
        <v>4772</v>
      </c>
    </row>
    <row r="2531" spans="1:18" x14ac:dyDescent="0.3">
      <c r="A2531">
        <v>9006</v>
      </c>
      <c r="B2531" t="s">
        <v>1034</v>
      </c>
      <c r="C2531" t="s">
        <v>267</v>
      </c>
      <c r="D2531" t="s">
        <v>186</v>
      </c>
      <c r="E2531" s="1">
        <v>45922</v>
      </c>
      <c r="F2531" t="s">
        <v>4350</v>
      </c>
      <c r="G2531" t="s">
        <v>2861</v>
      </c>
      <c r="H2531" t="s">
        <v>266</v>
      </c>
      <c r="I2531" t="s">
        <v>204</v>
      </c>
      <c r="J2531" s="1">
        <v>46259</v>
      </c>
      <c r="K2531" t="s">
        <v>717</v>
      </c>
      <c r="L2531">
        <v>15462.72</v>
      </c>
      <c r="M2531">
        <v>15462.72</v>
      </c>
      <c r="N2531" t="s">
        <v>710</v>
      </c>
      <c r="O2531" t="s">
        <v>1037</v>
      </c>
      <c r="P2531" t="s">
        <v>4780</v>
      </c>
      <c r="Q2531" t="s">
        <v>4852</v>
      </c>
      <c r="R2531" t="s">
        <v>4772</v>
      </c>
    </row>
    <row r="2532" spans="1:18" x14ac:dyDescent="0.3">
      <c r="A2532">
        <v>3</v>
      </c>
      <c r="B2532" t="s">
        <v>1034</v>
      </c>
      <c r="C2532" t="s">
        <v>636</v>
      </c>
      <c r="D2532" t="s">
        <v>51</v>
      </c>
      <c r="E2532" s="1">
        <v>45922</v>
      </c>
      <c r="F2532" t="s">
        <v>4297</v>
      </c>
      <c r="G2532" t="s">
        <v>2293</v>
      </c>
      <c r="H2532" t="s">
        <v>635</v>
      </c>
      <c r="I2532" t="s">
        <v>204</v>
      </c>
      <c r="J2532" s="1">
        <v>46193</v>
      </c>
      <c r="K2532" t="s">
        <v>711</v>
      </c>
      <c r="L2532">
        <v>1</v>
      </c>
      <c r="M2532">
        <v>7933</v>
      </c>
      <c r="N2532" t="s">
        <v>710</v>
      </c>
      <c r="O2532" t="s">
        <v>4844</v>
      </c>
      <c r="P2532" t="s">
        <v>4779</v>
      </c>
      <c r="Q2532" t="s">
        <v>4845</v>
      </c>
      <c r="R2532" t="s">
        <v>4771</v>
      </c>
    </row>
    <row r="2533" spans="1:18" x14ac:dyDescent="0.3">
      <c r="A2533">
        <v>9007</v>
      </c>
      <c r="B2533" t="s">
        <v>1034</v>
      </c>
      <c r="C2533" t="s">
        <v>267</v>
      </c>
      <c r="D2533" t="s">
        <v>186</v>
      </c>
      <c r="E2533" s="1">
        <v>45922</v>
      </c>
      <c r="F2533" t="s">
        <v>4350</v>
      </c>
      <c r="G2533" t="s">
        <v>2861</v>
      </c>
      <c r="H2533" t="s">
        <v>266</v>
      </c>
      <c r="I2533" t="s">
        <v>204</v>
      </c>
      <c r="J2533" s="1">
        <v>46259</v>
      </c>
      <c r="K2533" t="s">
        <v>717</v>
      </c>
      <c r="L2533">
        <v>25200</v>
      </c>
      <c r="M2533">
        <v>25200</v>
      </c>
      <c r="N2533" t="s">
        <v>710</v>
      </c>
      <c r="O2533" t="s">
        <v>1037</v>
      </c>
      <c r="P2533" t="s">
        <v>4780</v>
      </c>
      <c r="Q2533" t="s">
        <v>4852</v>
      </c>
      <c r="R2533" t="s">
        <v>4772</v>
      </c>
    </row>
    <row r="2534" spans="1:18" x14ac:dyDescent="0.3">
      <c r="A2534">
        <v>903220</v>
      </c>
      <c r="B2534" t="s">
        <v>4875</v>
      </c>
      <c r="C2534" t="s">
        <v>376</v>
      </c>
      <c r="D2534" t="s">
        <v>35</v>
      </c>
      <c r="E2534" s="1">
        <v>45922</v>
      </c>
      <c r="F2534" t="s">
        <v>4324</v>
      </c>
      <c r="G2534" t="s">
        <v>2847</v>
      </c>
      <c r="H2534" t="s">
        <v>486</v>
      </c>
      <c r="I2534" t="s">
        <v>209</v>
      </c>
      <c r="J2534" s="1">
        <v>54878</v>
      </c>
      <c r="K2534" t="s">
        <v>768</v>
      </c>
      <c r="L2534">
        <v>43538</v>
      </c>
      <c r="M2534">
        <v>43538</v>
      </c>
      <c r="N2534" t="s">
        <v>710</v>
      </c>
      <c r="Q2534" t="s">
        <v>4852</v>
      </c>
      <c r="R2534" t="s">
        <v>4771</v>
      </c>
    </row>
    <row r="2535" spans="1:18" x14ac:dyDescent="0.3">
      <c r="A2535">
        <v>904042</v>
      </c>
      <c r="B2535" t="s">
        <v>4874</v>
      </c>
      <c r="C2535" t="s">
        <v>376</v>
      </c>
      <c r="D2535" t="s">
        <v>35</v>
      </c>
      <c r="E2535" s="1">
        <v>45922</v>
      </c>
      <c r="F2535" t="s">
        <v>4324</v>
      </c>
      <c r="G2535" t="s">
        <v>2848</v>
      </c>
      <c r="H2535" t="s">
        <v>442</v>
      </c>
      <c r="I2535" t="s">
        <v>209</v>
      </c>
      <c r="J2535" s="1">
        <v>54878</v>
      </c>
      <c r="K2535" t="s">
        <v>762</v>
      </c>
      <c r="L2535">
        <v>99394.32</v>
      </c>
      <c r="M2535">
        <v>99394.32</v>
      </c>
      <c r="N2535" t="s">
        <v>710</v>
      </c>
      <c r="Q2535" t="s">
        <v>4852</v>
      </c>
      <c r="R2535" t="s">
        <v>4771</v>
      </c>
    </row>
    <row r="2536" spans="1:18" x14ac:dyDescent="0.3">
      <c r="A2536">
        <v>9012</v>
      </c>
      <c r="B2536" t="s">
        <v>1034</v>
      </c>
      <c r="C2536" t="s">
        <v>267</v>
      </c>
      <c r="D2536" t="s">
        <v>186</v>
      </c>
      <c r="E2536" s="1">
        <v>45922</v>
      </c>
      <c r="F2536" t="s">
        <v>4350</v>
      </c>
      <c r="G2536" t="s">
        <v>2861</v>
      </c>
      <c r="H2536" t="s">
        <v>266</v>
      </c>
      <c r="I2536" t="s">
        <v>204</v>
      </c>
      <c r="J2536" s="1">
        <v>46259</v>
      </c>
      <c r="K2536" t="s">
        <v>717</v>
      </c>
      <c r="L2536">
        <v>21857.040000000001</v>
      </c>
      <c r="M2536">
        <v>21857.040000000001</v>
      </c>
      <c r="N2536" t="s">
        <v>710</v>
      </c>
      <c r="O2536" t="s">
        <v>1037</v>
      </c>
      <c r="P2536" t="s">
        <v>4780</v>
      </c>
      <c r="Q2536" t="s">
        <v>4852</v>
      </c>
      <c r="R2536" t="s">
        <v>4772</v>
      </c>
    </row>
    <row r="2537" spans="1:18" x14ac:dyDescent="0.3">
      <c r="A2537">
        <v>405505631</v>
      </c>
      <c r="B2537" t="s">
        <v>4874</v>
      </c>
      <c r="C2537" t="s">
        <v>433</v>
      </c>
      <c r="D2537" t="s">
        <v>168</v>
      </c>
      <c r="E2537" s="1">
        <v>45922</v>
      </c>
      <c r="F2537" t="s">
        <v>4319</v>
      </c>
      <c r="G2537" t="s">
        <v>2862</v>
      </c>
      <c r="H2537" t="s">
        <v>432</v>
      </c>
      <c r="I2537" t="s">
        <v>204</v>
      </c>
      <c r="J2537" s="1">
        <v>46473</v>
      </c>
      <c r="K2537" t="s">
        <v>762</v>
      </c>
      <c r="L2537">
        <v>119</v>
      </c>
      <c r="M2537">
        <v>119.11</v>
      </c>
      <c r="N2537" t="s">
        <v>710</v>
      </c>
      <c r="O2537" t="s">
        <v>4833</v>
      </c>
      <c r="P2537" t="s">
        <v>4802</v>
      </c>
      <c r="Q2537" t="s">
        <v>4852</v>
      </c>
      <c r="R2537" t="s">
        <v>4771</v>
      </c>
    </row>
    <row r="2538" spans="1:18" x14ac:dyDescent="0.3">
      <c r="A2538">
        <v>15586</v>
      </c>
      <c r="B2538" t="s">
        <v>4874</v>
      </c>
      <c r="C2538" t="s">
        <v>439</v>
      </c>
      <c r="D2538" t="s">
        <v>156</v>
      </c>
      <c r="E2538" s="1">
        <v>45922</v>
      </c>
      <c r="F2538" t="s">
        <v>4396</v>
      </c>
      <c r="G2538" t="s">
        <v>2852</v>
      </c>
      <c r="H2538" t="s">
        <v>438</v>
      </c>
      <c r="I2538" t="s">
        <v>204</v>
      </c>
      <c r="J2538" s="1">
        <v>46265</v>
      </c>
      <c r="K2538" t="s">
        <v>762</v>
      </c>
      <c r="L2538">
        <v>23556.73</v>
      </c>
      <c r="M2538">
        <v>23556.73</v>
      </c>
      <c r="N2538" t="s">
        <v>710</v>
      </c>
      <c r="O2538" t="s">
        <v>1037</v>
      </c>
      <c r="P2538" t="s">
        <v>4789</v>
      </c>
      <c r="Q2538" t="s">
        <v>4852</v>
      </c>
      <c r="R2538" t="s">
        <v>4771</v>
      </c>
    </row>
    <row r="2539" spans="1:18" x14ac:dyDescent="0.3">
      <c r="A2539">
        <v>132</v>
      </c>
      <c r="B2539" t="s">
        <v>1034</v>
      </c>
      <c r="C2539" t="s">
        <v>643</v>
      </c>
      <c r="D2539" t="s">
        <v>52</v>
      </c>
      <c r="E2539" s="1">
        <v>45922</v>
      </c>
      <c r="F2539" t="s">
        <v>4318</v>
      </c>
      <c r="G2539" t="s">
        <v>2855</v>
      </c>
      <c r="H2539" t="s">
        <v>642</v>
      </c>
      <c r="I2539" t="s">
        <v>204</v>
      </c>
      <c r="J2539" s="1">
        <v>46548</v>
      </c>
      <c r="K2539" t="s">
        <v>711</v>
      </c>
      <c r="L2539">
        <v>1</v>
      </c>
      <c r="M2539">
        <v>2300</v>
      </c>
      <c r="N2539" t="s">
        <v>710</v>
      </c>
      <c r="O2539" t="s">
        <v>4834</v>
      </c>
      <c r="P2539" t="s">
        <v>4776</v>
      </c>
      <c r="Q2539" t="s">
        <v>4901</v>
      </c>
    </row>
    <row r="2540" spans="1:18" x14ac:dyDescent="0.3">
      <c r="A2540">
        <v>9011</v>
      </c>
      <c r="B2540" t="s">
        <v>1034</v>
      </c>
      <c r="C2540" t="s">
        <v>267</v>
      </c>
      <c r="D2540" t="s">
        <v>186</v>
      </c>
      <c r="E2540" s="1">
        <v>45922</v>
      </c>
      <c r="F2540" t="s">
        <v>4350</v>
      </c>
      <c r="G2540" t="s">
        <v>2861</v>
      </c>
      <c r="H2540" t="s">
        <v>266</v>
      </c>
      <c r="I2540" t="s">
        <v>204</v>
      </c>
      <c r="J2540" s="1">
        <v>46259</v>
      </c>
      <c r="K2540" t="s">
        <v>717</v>
      </c>
      <c r="L2540">
        <v>54772.95</v>
      </c>
      <c r="M2540">
        <v>54772.95</v>
      </c>
      <c r="N2540" t="s">
        <v>710</v>
      </c>
      <c r="O2540" t="s">
        <v>1037</v>
      </c>
      <c r="P2540" t="s">
        <v>4780</v>
      </c>
      <c r="Q2540" t="s">
        <v>4852</v>
      </c>
      <c r="R2540" t="s">
        <v>4772</v>
      </c>
    </row>
    <row r="2541" spans="1:18" x14ac:dyDescent="0.3">
      <c r="A2541">
        <v>405506508</v>
      </c>
      <c r="B2541" t="s">
        <v>1034</v>
      </c>
      <c r="C2541" t="s">
        <v>433</v>
      </c>
      <c r="D2541" t="s">
        <v>168</v>
      </c>
      <c r="E2541" s="1">
        <v>45922</v>
      </c>
      <c r="F2541" t="s">
        <v>4319</v>
      </c>
      <c r="G2541" t="s">
        <v>2863</v>
      </c>
      <c r="H2541" t="s">
        <v>432</v>
      </c>
      <c r="I2541" t="s">
        <v>204</v>
      </c>
      <c r="J2541" s="1">
        <v>46473</v>
      </c>
      <c r="K2541" t="s">
        <v>762</v>
      </c>
      <c r="L2541">
        <v>312</v>
      </c>
      <c r="M2541">
        <v>312.32</v>
      </c>
      <c r="N2541" t="s">
        <v>710</v>
      </c>
      <c r="O2541" t="s">
        <v>4833</v>
      </c>
      <c r="P2541" t="s">
        <v>4802</v>
      </c>
      <c r="Q2541" t="s">
        <v>4852</v>
      </c>
      <c r="R2541" t="s">
        <v>4771</v>
      </c>
    </row>
    <row r="2542" spans="1:18" x14ac:dyDescent="0.3">
      <c r="A2542">
        <v>320</v>
      </c>
      <c r="B2542" t="s">
        <v>1034</v>
      </c>
      <c r="C2542" t="s">
        <v>479</v>
      </c>
      <c r="D2542" t="s">
        <v>99</v>
      </c>
      <c r="E2542" s="1">
        <v>45922</v>
      </c>
      <c r="F2542" t="s">
        <v>4329</v>
      </c>
      <c r="G2542" t="s">
        <v>2866</v>
      </c>
      <c r="H2542" t="s">
        <v>478</v>
      </c>
      <c r="I2542" t="s">
        <v>204</v>
      </c>
      <c r="J2542" s="1">
        <v>46239</v>
      </c>
      <c r="K2542" t="s">
        <v>717</v>
      </c>
      <c r="L2542">
        <v>25</v>
      </c>
      <c r="M2542">
        <v>282.25</v>
      </c>
      <c r="N2542" t="s">
        <v>710</v>
      </c>
      <c r="O2542" t="s">
        <v>1037</v>
      </c>
      <c r="P2542" t="s">
        <v>4790</v>
      </c>
      <c r="Q2542" t="s">
        <v>4852</v>
      </c>
      <c r="R2542" t="s">
        <v>4772</v>
      </c>
    </row>
    <row r="2543" spans="1:18" x14ac:dyDescent="0.3">
      <c r="A2543">
        <v>320</v>
      </c>
      <c r="B2543" t="s">
        <v>1034</v>
      </c>
      <c r="C2543" t="s">
        <v>479</v>
      </c>
      <c r="D2543" t="s">
        <v>99</v>
      </c>
      <c r="E2543" s="1">
        <v>45922</v>
      </c>
      <c r="F2543" t="s">
        <v>4372</v>
      </c>
      <c r="G2543" t="s">
        <v>2866</v>
      </c>
      <c r="H2543" t="s">
        <v>478</v>
      </c>
      <c r="I2543" t="s">
        <v>204</v>
      </c>
      <c r="J2543" s="1">
        <v>46239</v>
      </c>
      <c r="K2543" t="s">
        <v>717</v>
      </c>
      <c r="L2543">
        <v>263</v>
      </c>
      <c r="M2543">
        <v>2240.7600000000002</v>
      </c>
      <c r="N2543" t="s">
        <v>710</v>
      </c>
      <c r="O2543" t="s">
        <v>1037</v>
      </c>
      <c r="P2543" t="s">
        <v>4790</v>
      </c>
      <c r="Q2543" t="s">
        <v>4852</v>
      </c>
      <c r="R2543" t="s">
        <v>4772</v>
      </c>
    </row>
    <row r="2544" spans="1:18" x14ac:dyDescent="0.3">
      <c r="A2544">
        <v>320</v>
      </c>
      <c r="B2544" t="s">
        <v>1034</v>
      </c>
      <c r="C2544" t="s">
        <v>479</v>
      </c>
      <c r="D2544" t="s">
        <v>99</v>
      </c>
      <c r="E2544" s="1">
        <v>45922</v>
      </c>
      <c r="F2544" t="s">
        <v>4312</v>
      </c>
      <c r="G2544" t="s">
        <v>2866</v>
      </c>
      <c r="H2544" t="s">
        <v>478</v>
      </c>
      <c r="I2544" t="s">
        <v>204</v>
      </c>
      <c r="J2544" s="1">
        <v>46239</v>
      </c>
      <c r="K2544" t="s">
        <v>717</v>
      </c>
      <c r="L2544">
        <v>38</v>
      </c>
      <c r="M2544">
        <v>180.5</v>
      </c>
      <c r="N2544" t="s">
        <v>710</v>
      </c>
      <c r="O2544" t="s">
        <v>1037</v>
      </c>
      <c r="P2544" t="s">
        <v>4790</v>
      </c>
      <c r="Q2544" t="s">
        <v>4852</v>
      </c>
      <c r="R2544" t="s">
        <v>4772</v>
      </c>
    </row>
    <row r="2545" spans="1:18" x14ac:dyDescent="0.3">
      <c r="A2545">
        <v>320</v>
      </c>
      <c r="B2545" t="s">
        <v>1034</v>
      </c>
      <c r="C2545" t="s">
        <v>479</v>
      </c>
      <c r="D2545" t="s">
        <v>99</v>
      </c>
      <c r="E2545" s="1">
        <v>45922</v>
      </c>
      <c r="F2545" t="s">
        <v>4310</v>
      </c>
      <c r="G2545" t="s">
        <v>2866</v>
      </c>
      <c r="H2545" t="s">
        <v>478</v>
      </c>
      <c r="I2545" t="s">
        <v>204</v>
      </c>
      <c r="J2545" s="1">
        <v>46239</v>
      </c>
      <c r="K2545" t="s">
        <v>717</v>
      </c>
      <c r="L2545">
        <v>38</v>
      </c>
      <c r="M2545">
        <v>134.9</v>
      </c>
      <c r="N2545" t="s">
        <v>710</v>
      </c>
      <c r="O2545" t="s">
        <v>1037</v>
      </c>
      <c r="P2545" t="s">
        <v>4790</v>
      </c>
      <c r="Q2545" t="s">
        <v>4852</v>
      </c>
      <c r="R2545" t="s">
        <v>4772</v>
      </c>
    </row>
    <row r="2546" spans="1:18" x14ac:dyDescent="0.3">
      <c r="A2546">
        <v>320</v>
      </c>
      <c r="B2546" t="s">
        <v>1034</v>
      </c>
      <c r="C2546" t="s">
        <v>479</v>
      </c>
      <c r="D2546" t="s">
        <v>99</v>
      </c>
      <c r="E2546" s="1">
        <v>45922</v>
      </c>
      <c r="F2546" t="s">
        <v>4308</v>
      </c>
      <c r="G2546" t="s">
        <v>2866</v>
      </c>
      <c r="H2546" t="s">
        <v>478</v>
      </c>
      <c r="I2546" t="s">
        <v>204</v>
      </c>
      <c r="J2546" s="1">
        <v>46239</v>
      </c>
      <c r="K2546" t="s">
        <v>717</v>
      </c>
      <c r="L2546">
        <v>3335</v>
      </c>
      <c r="M2546">
        <v>13206.6</v>
      </c>
      <c r="N2546" t="s">
        <v>710</v>
      </c>
      <c r="O2546" t="s">
        <v>1037</v>
      </c>
      <c r="P2546" t="s">
        <v>4790</v>
      </c>
      <c r="Q2546" t="s">
        <v>4852</v>
      </c>
      <c r="R2546" t="s">
        <v>4772</v>
      </c>
    </row>
    <row r="2547" spans="1:18" x14ac:dyDescent="0.3">
      <c r="A2547">
        <v>320</v>
      </c>
      <c r="B2547" t="s">
        <v>1034</v>
      </c>
      <c r="C2547" t="s">
        <v>479</v>
      </c>
      <c r="D2547" t="s">
        <v>99</v>
      </c>
      <c r="E2547" s="1">
        <v>45922</v>
      </c>
      <c r="F2547" t="s">
        <v>4307</v>
      </c>
      <c r="G2547" t="s">
        <v>2866</v>
      </c>
      <c r="H2547" t="s">
        <v>478</v>
      </c>
      <c r="I2547" t="s">
        <v>204</v>
      </c>
      <c r="J2547" s="1">
        <v>46239</v>
      </c>
      <c r="K2547" t="s">
        <v>717</v>
      </c>
      <c r="L2547">
        <v>4881</v>
      </c>
      <c r="M2547">
        <v>59597.01</v>
      </c>
      <c r="N2547" t="s">
        <v>710</v>
      </c>
      <c r="O2547" t="s">
        <v>1037</v>
      </c>
      <c r="P2547" t="s">
        <v>4790</v>
      </c>
      <c r="Q2547" t="s">
        <v>4852</v>
      </c>
      <c r="R2547" t="s">
        <v>4772</v>
      </c>
    </row>
    <row r="2548" spans="1:18" x14ac:dyDescent="0.3">
      <c r="A2548">
        <v>405505248</v>
      </c>
      <c r="B2548" t="s">
        <v>4874</v>
      </c>
      <c r="C2548" t="s">
        <v>433</v>
      </c>
      <c r="D2548" t="s">
        <v>168</v>
      </c>
      <c r="E2548" s="1">
        <v>45922</v>
      </c>
      <c r="F2548" t="s">
        <v>4319</v>
      </c>
      <c r="G2548" t="s">
        <v>2864</v>
      </c>
      <c r="H2548" t="s">
        <v>432</v>
      </c>
      <c r="I2548" t="s">
        <v>204</v>
      </c>
      <c r="J2548" s="1">
        <v>46473</v>
      </c>
      <c r="K2548" t="s">
        <v>762</v>
      </c>
      <c r="L2548">
        <v>180</v>
      </c>
      <c r="M2548">
        <v>180</v>
      </c>
      <c r="N2548" t="s">
        <v>710</v>
      </c>
      <c r="O2548" t="s">
        <v>4833</v>
      </c>
      <c r="P2548" t="s">
        <v>4802</v>
      </c>
      <c r="Q2548" t="s">
        <v>4852</v>
      </c>
      <c r="R2548" t="s">
        <v>4771</v>
      </c>
    </row>
    <row r="2549" spans="1:18" x14ac:dyDescent="0.3">
      <c r="A2549">
        <v>902923</v>
      </c>
      <c r="B2549" t="s">
        <v>1034</v>
      </c>
      <c r="C2549" t="s">
        <v>376</v>
      </c>
      <c r="D2549" t="s">
        <v>35</v>
      </c>
      <c r="E2549" s="1">
        <v>45922</v>
      </c>
      <c r="F2549" t="s">
        <v>4324</v>
      </c>
      <c r="G2549" t="s">
        <v>2846</v>
      </c>
      <c r="H2549" t="s">
        <v>375</v>
      </c>
      <c r="I2549" t="s">
        <v>209</v>
      </c>
      <c r="J2549" s="1">
        <v>54878</v>
      </c>
      <c r="K2549" t="s">
        <v>717</v>
      </c>
      <c r="L2549">
        <v>140320.32000000001</v>
      </c>
      <c r="M2549">
        <v>140320.32000000001</v>
      </c>
      <c r="N2549" t="s">
        <v>710</v>
      </c>
      <c r="O2549" t="s">
        <v>1037</v>
      </c>
      <c r="P2549" t="s">
        <v>4807</v>
      </c>
      <c r="Q2549" t="s">
        <v>4852</v>
      </c>
      <c r="R2549" t="s">
        <v>4771</v>
      </c>
    </row>
    <row r="2550" spans="1:18" x14ac:dyDescent="0.3">
      <c r="A2550">
        <v>3033</v>
      </c>
      <c r="B2550" t="s">
        <v>4874</v>
      </c>
      <c r="C2550" t="s">
        <v>533</v>
      </c>
      <c r="D2550" t="s">
        <v>103</v>
      </c>
      <c r="E2550" s="1">
        <v>45919</v>
      </c>
      <c r="F2550" t="s">
        <v>4416</v>
      </c>
      <c r="G2550" t="s">
        <v>2854</v>
      </c>
      <c r="H2550" t="s">
        <v>532</v>
      </c>
      <c r="I2550" t="s">
        <v>204</v>
      </c>
      <c r="J2550" s="1">
        <v>46568</v>
      </c>
      <c r="K2550" t="s">
        <v>892</v>
      </c>
      <c r="L2550">
        <v>4774</v>
      </c>
      <c r="M2550">
        <v>4774</v>
      </c>
      <c r="N2550" t="s">
        <v>710</v>
      </c>
      <c r="O2550" t="s">
        <v>4811</v>
      </c>
      <c r="P2550" t="s">
        <v>4776</v>
      </c>
      <c r="Q2550" t="s">
        <v>4859</v>
      </c>
      <c r="R2550" t="s">
        <v>4771</v>
      </c>
    </row>
    <row r="2551" spans="1:18" x14ac:dyDescent="0.3">
      <c r="A2551">
        <v>1258</v>
      </c>
      <c r="B2551" t="s">
        <v>4874</v>
      </c>
      <c r="C2551" t="s">
        <v>305</v>
      </c>
      <c r="D2551" t="s">
        <v>59</v>
      </c>
      <c r="E2551" s="1">
        <v>45919</v>
      </c>
      <c r="F2551" t="s">
        <v>4359</v>
      </c>
      <c r="G2551" t="s">
        <v>2857</v>
      </c>
      <c r="H2551" t="s">
        <v>304</v>
      </c>
      <c r="I2551" t="s">
        <v>204</v>
      </c>
      <c r="J2551" s="1">
        <v>46481</v>
      </c>
      <c r="K2551" t="s">
        <v>720</v>
      </c>
      <c r="L2551">
        <v>1</v>
      </c>
      <c r="M2551">
        <v>2295.8000000000002</v>
      </c>
      <c r="N2551" t="s">
        <v>809</v>
      </c>
      <c r="O2551" t="s">
        <v>1038</v>
      </c>
      <c r="P2551" t="s">
        <v>4783</v>
      </c>
      <c r="Q2551" t="s">
        <v>4858</v>
      </c>
      <c r="R2551" t="s">
        <v>4771</v>
      </c>
    </row>
    <row r="2552" spans="1:18" x14ac:dyDescent="0.3">
      <c r="A2552">
        <v>7163</v>
      </c>
      <c r="B2552" t="s">
        <v>4874</v>
      </c>
      <c r="C2552" t="s">
        <v>628</v>
      </c>
      <c r="D2552" t="s">
        <v>25</v>
      </c>
      <c r="E2552" s="1">
        <v>45919</v>
      </c>
      <c r="F2552" t="s">
        <v>4415</v>
      </c>
      <c r="G2552" t="s">
        <v>2613</v>
      </c>
      <c r="H2552" t="s">
        <v>627</v>
      </c>
      <c r="I2552" t="s">
        <v>209</v>
      </c>
      <c r="J2552" s="1">
        <v>46476</v>
      </c>
      <c r="K2552" t="s">
        <v>720</v>
      </c>
      <c r="L2552">
        <v>1</v>
      </c>
      <c r="M2552">
        <v>2630</v>
      </c>
      <c r="N2552" t="s">
        <v>710</v>
      </c>
      <c r="O2552" t="s">
        <v>1038</v>
      </c>
      <c r="P2552" t="s">
        <v>4776</v>
      </c>
      <c r="Q2552" t="s">
        <v>4858</v>
      </c>
      <c r="R2552" t="s">
        <v>4771</v>
      </c>
    </row>
    <row r="2553" spans="1:18" x14ac:dyDescent="0.3">
      <c r="A2553">
        <v>5400</v>
      </c>
      <c r="B2553" t="s">
        <v>1034</v>
      </c>
      <c r="C2553" t="s">
        <v>399</v>
      </c>
      <c r="D2553" t="s">
        <v>97</v>
      </c>
      <c r="E2553" s="1">
        <v>45919</v>
      </c>
      <c r="F2553" t="s">
        <v>4301</v>
      </c>
      <c r="G2553" t="s">
        <v>2843</v>
      </c>
      <c r="H2553" t="s">
        <v>398</v>
      </c>
      <c r="I2553" t="s">
        <v>204</v>
      </c>
      <c r="J2553" s="1">
        <v>46274</v>
      </c>
      <c r="K2553" t="s">
        <v>717</v>
      </c>
      <c r="L2553">
        <v>3</v>
      </c>
      <c r="M2553">
        <v>63211.27</v>
      </c>
      <c r="N2553" t="s">
        <v>710</v>
      </c>
      <c r="O2553" t="s">
        <v>4902</v>
      </c>
      <c r="P2553" t="s">
        <v>4776</v>
      </c>
      <c r="Q2553" t="s">
        <v>4852</v>
      </c>
      <c r="R2553" t="s">
        <v>4773</v>
      </c>
    </row>
    <row r="2554" spans="1:18" x14ac:dyDescent="0.3">
      <c r="A2554">
        <v>181</v>
      </c>
      <c r="B2554" t="s">
        <v>1034</v>
      </c>
      <c r="C2554" t="s">
        <v>319</v>
      </c>
      <c r="D2554" t="s">
        <v>36</v>
      </c>
      <c r="E2554" s="1">
        <v>45919</v>
      </c>
      <c r="F2554" t="s">
        <v>4298</v>
      </c>
      <c r="G2554" t="s">
        <v>2868</v>
      </c>
      <c r="H2554" t="s">
        <v>318</v>
      </c>
      <c r="I2554" t="s">
        <v>204</v>
      </c>
      <c r="J2554" s="1">
        <v>46214</v>
      </c>
      <c r="K2554" t="s">
        <v>711</v>
      </c>
      <c r="L2554">
        <v>946</v>
      </c>
      <c r="M2554">
        <v>946.01</v>
      </c>
      <c r="N2554" t="s">
        <v>710</v>
      </c>
      <c r="O2554" t="s">
        <v>1036</v>
      </c>
      <c r="P2554" t="s">
        <v>4784</v>
      </c>
      <c r="Q2554" t="s">
        <v>4901</v>
      </c>
      <c r="R2554" t="s">
        <v>4771</v>
      </c>
    </row>
    <row r="2555" spans="1:18" x14ac:dyDescent="0.3">
      <c r="A2555">
        <v>4783</v>
      </c>
      <c r="B2555" t="s">
        <v>1034</v>
      </c>
      <c r="C2555" t="s">
        <v>319</v>
      </c>
      <c r="D2555" t="s">
        <v>36</v>
      </c>
      <c r="E2555" s="1">
        <v>45919</v>
      </c>
      <c r="F2555" t="s">
        <v>4298</v>
      </c>
      <c r="G2555" t="s">
        <v>2869</v>
      </c>
      <c r="H2555" t="s">
        <v>318</v>
      </c>
      <c r="I2555" t="s">
        <v>204</v>
      </c>
      <c r="J2555" s="1">
        <v>46214</v>
      </c>
      <c r="K2555" t="s">
        <v>711</v>
      </c>
      <c r="L2555">
        <v>1492</v>
      </c>
      <c r="M2555">
        <v>1492.32</v>
      </c>
      <c r="N2555" t="s">
        <v>710</v>
      </c>
      <c r="O2555" t="s">
        <v>1036</v>
      </c>
      <c r="P2555" t="s">
        <v>4784</v>
      </c>
      <c r="Q2555" t="s">
        <v>4901</v>
      </c>
      <c r="R2555" t="s">
        <v>4771</v>
      </c>
    </row>
    <row r="2556" spans="1:18" x14ac:dyDescent="0.3">
      <c r="A2556">
        <v>834399</v>
      </c>
      <c r="B2556" t="s">
        <v>1034</v>
      </c>
      <c r="C2556" t="s">
        <v>276</v>
      </c>
      <c r="D2556" t="s">
        <v>5</v>
      </c>
      <c r="E2556" s="1">
        <v>45918</v>
      </c>
      <c r="F2556" t="s">
        <v>4315</v>
      </c>
      <c r="G2556" t="s">
        <v>2853</v>
      </c>
      <c r="H2556" t="s">
        <v>275</v>
      </c>
      <c r="I2556" t="s">
        <v>204</v>
      </c>
      <c r="J2556" s="1">
        <v>46904</v>
      </c>
      <c r="K2556" t="s">
        <v>717</v>
      </c>
      <c r="L2556">
        <v>37771.760000000002</v>
      </c>
      <c r="M2556">
        <v>37771.760000000002</v>
      </c>
      <c r="N2556" t="s">
        <v>710</v>
      </c>
      <c r="O2556" t="s">
        <v>1037</v>
      </c>
      <c r="P2556" t="s">
        <v>4776</v>
      </c>
      <c r="Q2556" t="s">
        <v>4852</v>
      </c>
      <c r="R2556" t="s">
        <v>4773</v>
      </c>
    </row>
    <row r="2557" spans="1:18" x14ac:dyDescent="0.3">
      <c r="A2557">
        <v>42415</v>
      </c>
      <c r="B2557" t="s">
        <v>4875</v>
      </c>
      <c r="C2557" t="s">
        <v>220</v>
      </c>
      <c r="D2557" t="s">
        <v>15</v>
      </c>
      <c r="E2557" s="1">
        <v>45918</v>
      </c>
      <c r="F2557" t="s">
        <v>4304</v>
      </c>
      <c r="G2557" t="s">
        <v>2850</v>
      </c>
      <c r="H2557" t="s">
        <v>273</v>
      </c>
      <c r="I2557" t="s">
        <v>204</v>
      </c>
      <c r="J2557" s="1">
        <v>54878</v>
      </c>
      <c r="K2557" t="s">
        <v>748</v>
      </c>
      <c r="L2557">
        <v>1305</v>
      </c>
      <c r="M2557">
        <v>1305</v>
      </c>
      <c r="N2557" t="s">
        <v>710</v>
      </c>
      <c r="O2557" t="s">
        <v>4834</v>
      </c>
      <c r="P2557" t="s">
        <v>4776</v>
      </c>
      <c r="Q2557" t="s">
        <v>4856</v>
      </c>
      <c r="R2557" t="s">
        <v>4773</v>
      </c>
    </row>
    <row r="2558" spans="1:18" x14ac:dyDescent="0.3">
      <c r="A2558">
        <v>35104</v>
      </c>
      <c r="B2558" t="s">
        <v>4875</v>
      </c>
      <c r="C2558" t="s">
        <v>314</v>
      </c>
      <c r="D2558" t="s">
        <v>39</v>
      </c>
      <c r="E2558" s="1">
        <v>45918</v>
      </c>
      <c r="F2558" t="s">
        <v>4347</v>
      </c>
      <c r="G2558" t="s">
        <v>2789</v>
      </c>
      <c r="H2558" t="s">
        <v>341</v>
      </c>
      <c r="I2558" t="s">
        <v>204</v>
      </c>
      <c r="J2558" s="1">
        <v>46266</v>
      </c>
      <c r="K2558" t="s">
        <v>748</v>
      </c>
      <c r="L2558">
        <v>1100</v>
      </c>
      <c r="M2558">
        <v>1100</v>
      </c>
      <c r="N2558" t="s">
        <v>710</v>
      </c>
      <c r="O2558" t="s">
        <v>4834</v>
      </c>
      <c r="P2558" t="s">
        <v>4776</v>
      </c>
      <c r="Q2558" t="s">
        <v>4856</v>
      </c>
      <c r="R2558" t="s">
        <v>4773</v>
      </c>
    </row>
    <row r="2559" spans="1:18" x14ac:dyDescent="0.3">
      <c r="A2559">
        <v>633944</v>
      </c>
      <c r="B2559" t="s">
        <v>4874</v>
      </c>
      <c r="C2559" t="s">
        <v>239</v>
      </c>
      <c r="D2559" t="s">
        <v>199</v>
      </c>
      <c r="E2559" s="1">
        <v>45917</v>
      </c>
      <c r="F2559" t="s">
        <v>4325</v>
      </c>
      <c r="G2559" t="s">
        <v>2837</v>
      </c>
      <c r="H2559" t="s">
        <v>268</v>
      </c>
      <c r="I2559" t="s">
        <v>204</v>
      </c>
      <c r="J2559" s="1">
        <v>46172</v>
      </c>
      <c r="K2559" t="s">
        <v>720</v>
      </c>
      <c r="L2559">
        <v>1</v>
      </c>
      <c r="M2559">
        <v>712.5</v>
      </c>
      <c r="N2559" t="s">
        <v>710</v>
      </c>
      <c r="O2559" t="s">
        <v>1038</v>
      </c>
      <c r="P2559" t="s">
        <v>4779</v>
      </c>
      <c r="Q2559" t="s">
        <v>4858</v>
      </c>
      <c r="R2559" t="s">
        <v>4771</v>
      </c>
    </row>
    <row r="2560" spans="1:18" x14ac:dyDescent="0.3">
      <c r="A2560">
        <v>160</v>
      </c>
      <c r="B2560" t="s">
        <v>4874</v>
      </c>
      <c r="C2560" t="s">
        <v>565</v>
      </c>
      <c r="D2560" t="s">
        <v>113</v>
      </c>
      <c r="E2560" s="1">
        <v>45917</v>
      </c>
      <c r="F2560" t="s">
        <v>4390</v>
      </c>
      <c r="G2560" t="s">
        <v>2845</v>
      </c>
      <c r="H2560" t="s">
        <v>564</v>
      </c>
      <c r="I2560" t="s">
        <v>204</v>
      </c>
      <c r="J2560" s="1">
        <v>46386</v>
      </c>
      <c r="K2560" t="s">
        <v>720</v>
      </c>
      <c r="L2560">
        <v>1</v>
      </c>
      <c r="M2560">
        <v>5200</v>
      </c>
      <c r="N2560" t="s">
        <v>710</v>
      </c>
      <c r="O2560" t="s">
        <v>1038</v>
      </c>
      <c r="P2560" t="s">
        <v>4777</v>
      </c>
      <c r="Q2560" t="s">
        <v>4858</v>
      </c>
      <c r="R2560" t="s">
        <v>4771</v>
      </c>
    </row>
    <row r="2561" spans="1:18" x14ac:dyDescent="0.3">
      <c r="A2561">
        <v>161</v>
      </c>
      <c r="B2561" t="s">
        <v>4874</v>
      </c>
      <c r="C2561" t="s">
        <v>565</v>
      </c>
      <c r="D2561" t="s">
        <v>113</v>
      </c>
      <c r="E2561" s="1">
        <v>45917</v>
      </c>
      <c r="F2561" t="s">
        <v>4390</v>
      </c>
      <c r="G2561" t="s">
        <v>2845</v>
      </c>
      <c r="H2561" t="s">
        <v>564</v>
      </c>
      <c r="I2561" t="s">
        <v>204</v>
      </c>
      <c r="J2561" s="1">
        <v>46386</v>
      </c>
      <c r="K2561" t="s">
        <v>720</v>
      </c>
      <c r="L2561">
        <v>1</v>
      </c>
      <c r="M2561">
        <v>5200</v>
      </c>
      <c r="N2561" t="s">
        <v>710</v>
      </c>
      <c r="O2561" t="s">
        <v>1038</v>
      </c>
      <c r="P2561" t="s">
        <v>4777</v>
      </c>
      <c r="Q2561" t="s">
        <v>4858</v>
      </c>
      <c r="R2561" t="s">
        <v>4771</v>
      </c>
    </row>
    <row r="2562" spans="1:18" x14ac:dyDescent="0.3">
      <c r="A2562">
        <v>59975</v>
      </c>
      <c r="B2562" t="s">
        <v>4874</v>
      </c>
      <c r="C2562" t="s">
        <v>514</v>
      </c>
      <c r="D2562" t="s">
        <v>47</v>
      </c>
      <c r="E2562" s="1">
        <v>45917</v>
      </c>
      <c r="F2562" t="s">
        <v>4362</v>
      </c>
      <c r="G2562" t="s">
        <v>2830</v>
      </c>
      <c r="H2562" t="s">
        <v>513</v>
      </c>
      <c r="I2562" t="s">
        <v>204</v>
      </c>
      <c r="J2562" s="1">
        <v>46386</v>
      </c>
      <c r="K2562" t="s">
        <v>762</v>
      </c>
      <c r="L2562">
        <v>8080.48</v>
      </c>
      <c r="M2562">
        <v>8080.48</v>
      </c>
      <c r="N2562" t="s">
        <v>710</v>
      </c>
      <c r="O2562" t="s">
        <v>4833</v>
      </c>
      <c r="P2562" t="s">
        <v>4779</v>
      </c>
      <c r="Q2562" t="s">
        <v>4852</v>
      </c>
    </row>
    <row r="2563" spans="1:18" x14ac:dyDescent="0.3">
      <c r="A2563">
        <v>28566</v>
      </c>
      <c r="B2563" t="s">
        <v>1034</v>
      </c>
      <c r="C2563" t="s">
        <v>660</v>
      </c>
      <c r="D2563" t="s">
        <v>96</v>
      </c>
      <c r="E2563" s="1">
        <v>45917</v>
      </c>
      <c r="F2563" t="s">
        <v>4378</v>
      </c>
      <c r="G2563" t="s">
        <v>2842</v>
      </c>
      <c r="H2563" t="s">
        <v>661</v>
      </c>
      <c r="I2563" t="s">
        <v>204</v>
      </c>
      <c r="J2563" s="1">
        <v>46537</v>
      </c>
      <c r="K2563" t="s">
        <v>717</v>
      </c>
      <c r="L2563">
        <v>1</v>
      </c>
      <c r="M2563">
        <v>40349.85</v>
      </c>
      <c r="N2563" t="s">
        <v>710</v>
      </c>
      <c r="O2563" t="s">
        <v>4902</v>
      </c>
      <c r="P2563" t="s">
        <v>4776</v>
      </c>
      <c r="Q2563" t="s">
        <v>4852</v>
      </c>
      <c r="R2563" t="s">
        <v>807</v>
      </c>
    </row>
    <row r="2564" spans="1:18" x14ac:dyDescent="0.3">
      <c r="A2564">
        <v>635613</v>
      </c>
      <c r="B2564" t="s">
        <v>1035</v>
      </c>
      <c r="C2564" t="s">
        <v>239</v>
      </c>
      <c r="D2564" t="s">
        <v>199</v>
      </c>
      <c r="E2564" s="1">
        <v>45917</v>
      </c>
      <c r="F2564" t="s">
        <v>4325</v>
      </c>
      <c r="G2564" t="s">
        <v>2838</v>
      </c>
      <c r="H2564" t="s">
        <v>238</v>
      </c>
      <c r="I2564" t="s">
        <v>204</v>
      </c>
      <c r="J2564" s="1">
        <v>54878</v>
      </c>
      <c r="K2564" t="s">
        <v>754</v>
      </c>
      <c r="L2564">
        <v>1</v>
      </c>
      <c r="M2564">
        <v>75.08</v>
      </c>
      <c r="N2564" t="s">
        <v>710</v>
      </c>
      <c r="O2564" t="s">
        <v>4903</v>
      </c>
      <c r="P2564" t="s">
        <v>4779</v>
      </c>
      <c r="Q2564" t="s">
        <v>4858</v>
      </c>
      <c r="R2564" t="s">
        <v>4771</v>
      </c>
    </row>
    <row r="2565" spans="1:18" x14ac:dyDescent="0.3">
      <c r="A2565">
        <v>326</v>
      </c>
      <c r="B2565" t="s">
        <v>4874</v>
      </c>
      <c r="C2565" t="s">
        <v>645</v>
      </c>
      <c r="D2565" t="s">
        <v>76</v>
      </c>
      <c r="E2565" s="1">
        <v>45917</v>
      </c>
      <c r="F2565" t="s">
        <v>4318</v>
      </c>
      <c r="G2565" t="s">
        <v>2752</v>
      </c>
      <c r="H2565" t="s">
        <v>644</v>
      </c>
      <c r="I2565" t="s">
        <v>204</v>
      </c>
      <c r="J2565" s="1">
        <v>46478</v>
      </c>
      <c r="K2565" t="s">
        <v>720</v>
      </c>
      <c r="L2565">
        <v>1</v>
      </c>
      <c r="M2565">
        <v>4027.7</v>
      </c>
      <c r="N2565" t="s">
        <v>710</v>
      </c>
      <c r="O2565" t="s">
        <v>1038</v>
      </c>
      <c r="P2565" t="s">
        <v>4776</v>
      </c>
      <c r="Q2565" t="s">
        <v>4858</v>
      </c>
      <c r="R2565" t="s">
        <v>4773</v>
      </c>
    </row>
    <row r="2566" spans="1:18" x14ac:dyDescent="0.3">
      <c r="A2566">
        <v>24944</v>
      </c>
      <c r="B2566" t="s">
        <v>4874</v>
      </c>
      <c r="C2566" t="s">
        <v>592</v>
      </c>
      <c r="D2566" t="s">
        <v>8</v>
      </c>
      <c r="E2566" s="1">
        <v>45916</v>
      </c>
      <c r="F2566" t="s">
        <v>4363</v>
      </c>
      <c r="G2566" t="s">
        <v>2831</v>
      </c>
      <c r="H2566" t="s">
        <v>601</v>
      </c>
      <c r="I2566" t="s">
        <v>209</v>
      </c>
      <c r="J2566" s="1">
        <v>45945</v>
      </c>
      <c r="K2566" t="s">
        <v>762</v>
      </c>
      <c r="L2566">
        <v>612.84</v>
      </c>
      <c r="M2566">
        <v>612.84</v>
      </c>
      <c r="N2566" t="s">
        <v>890</v>
      </c>
      <c r="O2566" t="s">
        <v>4833</v>
      </c>
      <c r="P2566" t="s">
        <v>950</v>
      </c>
      <c r="Q2566" t="s">
        <v>4852</v>
      </c>
      <c r="R2566" t="s">
        <v>807</v>
      </c>
    </row>
    <row r="2567" spans="1:18" x14ac:dyDescent="0.3">
      <c r="A2567">
        <v>113009</v>
      </c>
      <c r="B2567" t="s">
        <v>4874</v>
      </c>
      <c r="C2567" t="s">
        <v>227</v>
      </c>
      <c r="D2567" t="s">
        <v>191</v>
      </c>
      <c r="E2567" s="1">
        <v>45916</v>
      </c>
      <c r="F2567" t="s">
        <v>4387</v>
      </c>
      <c r="G2567" t="s">
        <v>2833</v>
      </c>
      <c r="H2567" t="s">
        <v>577</v>
      </c>
      <c r="I2567" t="s">
        <v>204</v>
      </c>
      <c r="J2567" s="1">
        <v>46493</v>
      </c>
      <c r="K2567" t="s">
        <v>762</v>
      </c>
      <c r="L2567">
        <v>62472.5</v>
      </c>
      <c r="M2567">
        <v>62472.5</v>
      </c>
      <c r="N2567" t="s">
        <v>809</v>
      </c>
      <c r="O2567" t="s">
        <v>4904</v>
      </c>
      <c r="P2567" t="s">
        <v>4792</v>
      </c>
      <c r="Q2567" t="s">
        <v>4904</v>
      </c>
      <c r="R2567" t="s">
        <v>4772</v>
      </c>
    </row>
    <row r="2568" spans="1:18" x14ac:dyDescent="0.3">
      <c r="A2568">
        <v>970773</v>
      </c>
      <c r="B2568" t="s">
        <v>1034</v>
      </c>
      <c r="C2568" t="s">
        <v>338</v>
      </c>
      <c r="D2568" t="s">
        <v>31</v>
      </c>
      <c r="E2568" s="1">
        <v>45916</v>
      </c>
      <c r="F2568" t="s">
        <v>4299</v>
      </c>
      <c r="G2568" t="s">
        <v>2836</v>
      </c>
      <c r="H2568" t="s">
        <v>337</v>
      </c>
      <c r="I2568" t="s">
        <v>204</v>
      </c>
      <c r="J2568" s="1">
        <v>54878</v>
      </c>
      <c r="K2568" t="s">
        <v>711</v>
      </c>
      <c r="L2568">
        <v>29111</v>
      </c>
      <c r="M2568">
        <v>29111.47</v>
      </c>
      <c r="N2568" t="s">
        <v>710</v>
      </c>
      <c r="O2568" t="s">
        <v>1036</v>
      </c>
      <c r="P2568" t="s">
        <v>4785</v>
      </c>
      <c r="Q2568" t="s">
        <v>4901</v>
      </c>
      <c r="R2568" t="s">
        <v>4773</v>
      </c>
    </row>
    <row r="2569" spans="1:18" x14ac:dyDescent="0.3">
      <c r="A2569">
        <v>27943</v>
      </c>
      <c r="B2569" t="s">
        <v>1034</v>
      </c>
      <c r="C2569" t="s">
        <v>660</v>
      </c>
      <c r="D2569" t="s">
        <v>96</v>
      </c>
      <c r="E2569" s="1">
        <v>45916</v>
      </c>
      <c r="F2569" t="s">
        <v>4378</v>
      </c>
      <c r="G2569" t="s">
        <v>2842</v>
      </c>
      <c r="H2569" t="s">
        <v>661</v>
      </c>
      <c r="I2569" t="s">
        <v>204</v>
      </c>
      <c r="J2569" s="1">
        <v>46537</v>
      </c>
      <c r="K2569" t="s">
        <v>717</v>
      </c>
      <c r="L2569">
        <v>1</v>
      </c>
      <c r="M2569">
        <v>40349.85</v>
      </c>
      <c r="N2569" t="s">
        <v>710</v>
      </c>
      <c r="O2569" t="s">
        <v>4902</v>
      </c>
      <c r="P2569" t="s">
        <v>4776</v>
      </c>
      <c r="Q2569" t="s">
        <v>4852</v>
      </c>
      <c r="R2569" t="s">
        <v>807</v>
      </c>
    </row>
    <row r="2570" spans="1:18" x14ac:dyDescent="0.3">
      <c r="A2570">
        <v>7164</v>
      </c>
      <c r="B2570" t="s">
        <v>4874</v>
      </c>
      <c r="C2570" t="s">
        <v>628</v>
      </c>
      <c r="D2570" t="s">
        <v>25</v>
      </c>
      <c r="E2570" s="1">
        <v>45916</v>
      </c>
      <c r="F2570" t="s">
        <v>4415</v>
      </c>
      <c r="G2570" t="s">
        <v>2332</v>
      </c>
      <c r="H2570" t="s">
        <v>627</v>
      </c>
      <c r="I2570" t="s">
        <v>209</v>
      </c>
      <c r="J2570" s="1">
        <v>46476</v>
      </c>
      <c r="K2570" t="s">
        <v>720</v>
      </c>
      <c r="L2570">
        <v>1</v>
      </c>
      <c r="M2570">
        <v>370</v>
      </c>
      <c r="N2570" t="s">
        <v>710</v>
      </c>
      <c r="O2570" t="s">
        <v>1038</v>
      </c>
      <c r="P2570" t="s">
        <v>4776</v>
      </c>
      <c r="Q2570" t="s">
        <v>4858</v>
      </c>
      <c r="R2570" t="s">
        <v>4771</v>
      </c>
    </row>
    <row r="2571" spans="1:18" x14ac:dyDescent="0.3">
      <c r="A2571">
        <v>202525605</v>
      </c>
      <c r="B2571" t="s">
        <v>4874</v>
      </c>
      <c r="C2571" t="s">
        <v>222</v>
      </c>
      <c r="D2571" t="s">
        <v>80</v>
      </c>
      <c r="E2571" s="1">
        <v>45916</v>
      </c>
      <c r="F2571" t="s">
        <v>4419</v>
      </c>
      <c r="G2571" t="s">
        <v>2805</v>
      </c>
      <c r="H2571" t="s">
        <v>223</v>
      </c>
      <c r="I2571" t="s">
        <v>204</v>
      </c>
      <c r="J2571" s="1">
        <v>46504</v>
      </c>
      <c r="K2571" t="s">
        <v>720</v>
      </c>
      <c r="L2571">
        <v>1</v>
      </c>
      <c r="M2571">
        <v>500</v>
      </c>
      <c r="N2571" t="s">
        <v>710</v>
      </c>
      <c r="O2571" t="s">
        <v>4834</v>
      </c>
      <c r="P2571" t="s">
        <v>4778</v>
      </c>
      <c r="Q2571" t="s">
        <v>4858</v>
      </c>
      <c r="R2571" t="s">
        <v>4773</v>
      </c>
    </row>
    <row r="2572" spans="1:18" x14ac:dyDescent="0.3">
      <c r="A2572">
        <v>35002</v>
      </c>
      <c r="B2572" t="s">
        <v>1034</v>
      </c>
      <c r="C2572" t="s">
        <v>314</v>
      </c>
      <c r="D2572" t="s">
        <v>39</v>
      </c>
      <c r="E2572" s="1">
        <v>45915</v>
      </c>
      <c r="F2572" t="s">
        <v>4347</v>
      </c>
      <c r="G2572" t="s">
        <v>2751</v>
      </c>
      <c r="H2572" t="s">
        <v>313</v>
      </c>
      <c r="I2572" t="s">
        <v>204</v>
      </c>
      <c r="J2572" s="1">
        <v>46237</v>
      </c>
      <c r="K2572" t="s">
        <v>711</v>
      </c>
      <c r="L2572">
        <v>1150</v>
      </c>
      <c r="M2572">
        <v>1150</v>
      </c>
      <c r="N2572" t="s">
        <v>710</v>
      </c>
      <c r="O2572" t="s">
        <v>4834</v>
      </c>
      <c r="P2572" t="s">
        <v>4779</v>
      </c>
      <c r="Q2572" t="s">
        <v>4901</v>
      </c>
      <c r="R2572" t="s">
        <v>4773</v>
      </c>
    </row>
    <row r="2573" spans="1:18" x14ac:dyDescent="0.3">
      <c r="A2573">
        <v>100750</v>
      </c>
      <c r="B2573" t="s">
        <v>1034</v>
      </c>
      <c r="C2573" t="s">
        <v>502</v>
      </c>
      <c r="D2573" t="s">
        <v>2</v>
      </c>
      <c r="E2573" s="1">
        <v>45915</v>
      </c>
      <c r="F2573" t="s">
        <v>4303</v>
      </c>
      <c r="G2573" t="s">
        <v>2808</v>
      </c>
      <c r="H2573" t="s">
        <v>501</v>
      </c>
      <c r="I2573" t="s">
        <v>204</v>
      </c>
      <c r="J2573" s="1">
        <v>54878</v>
      </c>
      <c r="K2573" t="s">
        <v>717</v>
      </c>
      <c r="L2573">
        <v>1884.23</v>
      </c>
      <c r="M2573">
        <v>1884.23</v>
      </c>
      <c r="N2573" t="s">
        <v>710</v>
      </c>
      <c r="O2573" t="s">
        <v>4833</v>
      </c>
      <c r="P2573" t="s">
        <v>4776</v>
      </c>
      <c r="Q2573" t="s">
        <v>4852</v>
      </c>
      <c r="R2573" t="s">
        <v>4774</v>
      </c>
    </row>
    <row r="2574" spans="1:18" x14ac:dyDescent="0.3">
      <c r="A2574">
        <v>337323</v>
      </c>
      <c r="B2574" t="s">
        <v>1034</v>
      </c>
      <c r="C2574" t="s">
        <v>500</v>
      </c>
      <c r="D2574" t="s">
        <v>16</v>
      </c>
      <c r="E2574" s="1">
        <v>45915</v>
      </c>
      <c r="F2574" t="s">
        <v>4306</v>
      </c>
      <c r="G2574" t="s">
        <v>2807</v>
      </c>
      <c r="H2574" t="s">
        <v>499</v>
      </c>
      <c r="I2574" t="s">
        <v>204</v>
      </c>
      <c r="J2574" s="1">
        <v>54878</v>
      </c>
      <c r="K2574" t="s">
        <v>717</v>
      </c>
      <c r="L2574">
        <v>1317.3</v>
      </c>
      <c r="M2574">
        <v>1317.3</v>
      </c>
      <c r="N2574" t="s">
        <v>710</v>
      </c>
      <c r="O2574" t="s">
        <v>4833</v>
      </c>
      <c r="P2574" t="s">
        <v>4786</v>
      </c>
      <c r="Q2574" t="s">
        <v>4852</v>
      </c>
      <c r="R2574" t="s">
        <v>4773</v>
      </c>
    </row>
    <row r="2575" spans="1:18" x14ac:dyDescent="0.3">
      <c r="A2575">
        <v>337324</v>
      </c>
      <c r="B2575" t="s">
        <v>1034</v>
      </c>
      <c r="C2575" t="s">
        <v>500</v>
      </c>
      <c r="D2575" t="s">
        <v>16</v>
      </c>
      <c r="E2575" s="1">
        <v>45915</v>
      </c>
      <c r="F2575" t="s">
        <v>4306</v>
      </c>
      <c r="G2575" t="s">
        <v>2807</v>
      </c>
      <c r="H2575" t="s">
        <v>499</v>
      </c>
      <c r="I2575" t="s">
        <v>204</v>
      </c>
      <c r="J2575" s="1">
        <v>54878</v>
      </c>
      <c r="K2575" t="s">
        <v>717</v>
      </c>
      <c r="L2575">
        <v>1633.45</v>
      </c>
      <c r="M2575">
        <v>1633.45</v>
      </c>
      <c r="N2575" t="s">
        <v>710</v>
      </c>
      <c r="O2575" t="s">
        <v>4833</v>
      </c>
      <c r="P2575" t="s">
        <v>4786</v>
      </c>
      <c r="Q2575" t="s">
        <v>4852</v>
      </c>
      <c r="R2575" t="s">
        <v>4773</v>
      </c>
    </row>
    <row r="2576" spans="1:18" x14ac:dyDescent="0.3">
      <c r="A2576">
        <v>42414</v>
      </c>
      <c r="B2576" t="s">
        <v>1034</v>
      </c>
      <c r="C2576" t="s">
        <v>220</v>
      </c>
      <c r="D2576" t="s">
        <v>15</v>
      </c>
      <c r="E2576" s="1">
        <v>45915</v>
      </c>
      <c r="F2576" t="s">
        <v>4304</v>
      </c>
      <c r="G2576" t="s">
        <v>2839</v>
      </c>
      <c r="H2576" t="s">
        <v>219</v>
      </c>
      <c r="I2576" t="s">
        <v>204</v>
      </c>
      <c r="J2576" s="1">
        <v>54878</v>
      </c>
      <c r="K2576" t="s">
        <v>711</v>
      </c>
      <c r="L2576">
        <v>1565</v>
      </c>
      <c r="M2576">
        <v>1565</v>
      </c>
      <c r="N2576" t="s">
        <v>710</v>
      </c>
      <c r="O2576" t="s">
        <v>4834</v>
      </c>
      <c r="P2576" t="s">
        <v>4776</v>
      </c>
      <c r="Q2576" t="s">
        <v>4901</v>
      </c>
      <c r="R2576" t="s">
        <v>4773</v>
      </c>
    </row>
    <row r="2577" spans="1:18" x14ac:dyDescent="0.3">
      <c r="A2577">
        <v>42212</v>
      </c>
      <c r="B2577" t="s">
        <v>1034</v>
      </c>
      <c r="C2577" t="s">
        <v>327</v>
      </c>
      <c r="D2577" t="s">
        <v>159</v>
      </c>
      <c r="E2577" s="1">
        <v>45915</v>
      </c>
      <c r="F2577" t="s">
        <v>4295</v>
      </c>
      <c r="G2577" t="s">
        <v>2835</v>
      </c>
      <c r="H2577" t="s">
        <v>357</v>
      </c>
      <c r="I2577" t="s">
        <v>204</v>
      </c>
      <c r="J2577" s="1">
        <v>46476</v>
      </c>
      <c r="K2577" t="s">
        <v>711</v>
      </c>
      <c r="L2577">
        <v>2150</v>
      </c>
      <c r="M2577">
        <v>2150</v>
      </c>
      <c r="N2577" t="s">
        <v>890</v>
      </c>
      <c r="O2577" t="s">
        <v>4834</v>
      </c>
      <c r="P2577" t="s">
        <v>4776</v>
      </c>
      <c r="Q2577" t="s">
        <v>4901</v>
      </c>
      <c r="R2577" t="s">
        <v>4773</v>
      </c>
    </row>
    <row r="2578" spans="1:18" x14ac:dyDescent="0.3">
      <c r="A2578">
        <v>32</v>
      </c>
      <c r="B2578" t="s">
        <v>4874</v>
      </c>
      <c r="C2578" t="s">
        <v>607</v>
      </c>
      <c r="D2578" t="s">
        <v>81</v>
      </c>
      <c r="E2578" s="1">
        <v>45915</v>
      </c>
      <c r="F2578" t="s">
        <v>4357</v>
      </c>
      <c r="G2578" t="s">
        <v>2798</v>
      </c>
      <c r="H2578" t="s">
        <v>606</v>
      </c>
      <c r="I2578" t="s">
        <v>204</v>
      </c>
      <c r="J2578" s="1">
        <v>46387</v>
      </c>
      <c r="K2578" t="s">
        <v>720</v>
      </c>
      <c r="L2578">
        <v>1</v>
      </c>
      <c r="M2578">
        <v>27761.34</v>
      </c>
      <c r="N2578" t="s">
        <v>710</v>
      </c>
      <c r="O2578" t="s">
        <v>1038</v>
      </c>
      <c r="P2578" t="s">
        <v>4777</v>
      </c>
      <c r="Q2578" t="s">
        <v>4858</v>
      </c>
      <c r="R2578" t="s">
        <v>4773</v>
      </c>
    </row>
    <row r="2579" spans="1:18" x14ac:dyDescent="0.3">
      <c r="A2579">
        <v>213863</v>
      </c>
      <c r="B2579" t="s">
        <v>4874</v>
      </c>
      <c r="C2579" t="s">
        <v>391</v>
      </c>
      <c r="D2579" t="s">
        <v>104</v>
      </c>
      <c r="E2579" s="1">
        <v>45915</v>
      </c>
      <c r="F2579" t="s">
        <v>4306</v>
      </c>
      <c r="G2579" t="s">
        <v>2820</v>
      </c>
      <c r="H2579" t="s">
        <v>390</v>
      </c>
      <c r="I2579" t="s">
        <v>204</v>
      </c>
      <c r="J2579" s="1">
        <v>54878</v>
      </c>
      <c r="K2579" t="s">
        <v>762</v>
      </c>
      <c r="L2579">
        <v>838.58</v>
      </c>
      <c r="M2579">
        <v>838.58</v>
      </c>
      <c r="N2579" t="s">
        <v>710</v>
      </c>
      <c r="O2579" t="s">
        <v>4833</v>
      </c>
      <c r="P2579" t="s">
        <v>4776</v>
      </c>
      <c r="Q2579" t="s">
        <v>4852</v>
      </c>
      <c r="R2579" t="s">
        <v>4773</v>
      </c>
    </row>
    <row r="2580" spans="1:18" x14ac:dyDescent="0.3">
      <c r="A2580">
        <v>83906</v>
      </c>
      <c r="B2580" t="s">
        <v>4874</v>
      </c>
      <c r="C2580" t="s">
        <v>422</v>
      </c>
      <c r="D2580" t="s">
        <v>37</v>
      </c>
      <c r="E2580" s="1">
        <v>45915</v>
      </c>
      <c r="F2580" t="s">
        <v>4306</v>
      </c>
      <c r="G2580" t="s">
        <v>2809</v>
      </c>
      <c r="H2580" t="s">
        <v>421</v>
      </c>
      <c r="I2580" t="s">
        <v>204</v>
      </c>
      <c r="J2580" s="1">
        <v>46080</v>
      </c>
      <c r="K2580" t="s">
        <v>762</v>
      </c>
      <c r="L2580">
        <v>800</v>
      </c>
      <c r="M2580">
        <v>800</v>
      </c>
      <c r="N2580" t="s">
        <v>710</v>
      </c>
      <c r="O2580" t="s">
        <v>4833</v>
      </c>
      <c r="P2580" t="s">
        <v>4786</v>
      </c>
      <c r="Q2580" t="s">
        <v>4852</v>
      </c>
      <c r="R2580" t="s">
        <v>4773</v>
      </c>
    </row>
    <row r="2581" spans="1:18" x14ac:dyDescent="0.3">
      <c r="A2581">
        <v>185538</v>
      </c>
      <c r="B2581" t="s">
        <v>4874</v>
      </c>
      <c r="C2581" t="s">
        <v>411</v>
      </c>
      <c r="D2581" t="s">
        <v>154</v>
      </c>
      <c r="E2581" s="1">
        <v>45915</v>
      </c>
      <c r="F2581" t="s">
        <v>4315</v>
      </c>
      <c r="G2581" t="s">
        <v>2810</v>
      </c>
      <c r="H2581" t="s">
        <v>410</v>
      </c>
      <c r="I2581" t="s">
        <v>204</v>
      </c>
      <c r="J2581" s="1">
        <v>46344</v>
      </c>
      <c r="K2581" t="s">
        <v>762</v>
      </c>
      <c r="L2581">
        <v>3482.41</v>
      </c>
      <c r="M2581">
        <v>3482.41</v>
      </c>
      <c r="N2581" t="s">
        <v>710</v>
      </c>
      <c r="O2581" t="s">
        <v>4833</v>
      </c>
      <c r="P2581" t="s">
        <v>4776</v>
      </c>
      <c r="Q2581" t="s">
        <v>4852</v>
      </c>
      <c r="R2581" t="s">
        <v>4773</v>
      </c>
    </row>
    <row r="2582" spans="1:18" x14ac:dyDescent="0.3">
      <c r="A2582">
        <v>1819</v>
      </c>
      <c r="B2582" t="s">
        <v>4874</v>
      </c>
      <c r="C2582" t="s">
        <v>647</v>
      </c>
      <c r="D2582" t="s">
        <v>130</v>
      </c>
      <c r="E2582" s="1">
        <v>45915</v>
      </c>
      <c r="F2582" t="s">
        <v>4363</v>
      </c>
      <c r="G2582" t="s">
        <v>2775</v>
      </c>
      <c r="H2582" t="s">
        <v>646</v>
      </c>
      <c r="I2582" t="s">
        <v>204</v>
      </c>
      <c r="J2582" s="1">
        <v>46522</v>
      </c>
      <c r="K2582" t="s">
        <v>762</v>
      </c>
      <c r="L2582">
        <v>2081</v>
      </c>
      <c r="M2582">
        <v>2081</v>
      </c>
      <c r="N2582" t="s">
        <v>890</v>
      </c>
      <c r="O2582" t="s">
        <v>1044</v>
      </c>
      <c r="P2582" t="s">
        <v>4776</v>
      </c>
      <c r="Q2582" t="s">
        <v>4852</v>
      </c>
    </row>
    <row r="2583" spans="1:18" x14ac:dyDescent="0.3">
      <c r="A2583">
        <v>42213</v>
      </c>
      <c r="B2583" t="s">
        <v>1034</v>
      </c>
      <c r="C2583" t="s">
        <v>327</v>
      </c>
      <c r="D2583" t="s">
        <v>159</v>
      </c>
      <c r="E2583" s="1">
        <v>45915</v>
      </c>
      <c r="F2583" t="s">
        <v>4295</v>
      </c>
      <c r="G2583" t="s">
        <v>2834</v>
      </c>
      <c r="H2583" t="s">
        <v>357</v>
      </c>
      <c r="I2583" t="s">
        <v>204</v>
      </c>
      <c r="J2583" s="1">
        <v>46476</v>
      </c>
      <c r="K2583" t="s">
        <v>711</v>
      </c>
      <c r="L2583">
        <v>1398.6</v>
      </c>
      <c r="M2583">
        <v>1398.6</v>
      </c>
      <c r="N2583" t="s">
        <v>890</v>
      </c>
      <c r="O2583" t="s">
        <v>4834</v>
      </c>
      <c r="P2583" t="s">
        <v>4776</v>
      </c>
      <c r="Q2583" t="s">
        <v>4901</v>
      </c>
      <c r="R2583" t="s">
        <v>4773</v>
      </c>
    </row>
    <row r="2584" spans="1:18" x14ac:dyDescent="0.3">
      <c r="A2584">
        <v>202517</v>
      </c>
      <c r="B2584" t="s">
        <v>1034</v>
      </c>
      <c r="C2584" t="s">
        <v>516</v>
      </c>
      <c r="D2584" t="s">
        <v>12</v>
      </c>
      <c r="E2584" s="1">
        <v>45915</v>
      </c>
      <c r="F2584" t="s">
        <v>4337</v>
      </c>
      <c r="G2584" t="s">
        <v>2650</v>
      </c>
      <c r="H2584" t="s">
        <v>515</v>
      </c>
      <c r="I2584" t="s">
        <v>204</v>
      </c>
      <c r="J2584" s="1">
        <v>46489</v>
      </c>
      <c r="K2584" t="s">
        <v>711</v>
      </c>
      <c r="L2584">
        <v>4830</v>
      </c>
      <c r="M2584">
        <v>4830</v>
      </c>
      <c r="N2584" t="s">
        <v>884</v>
      </c>
      <c r="O2584" t="s">
        <v>1037</v>
      </c>
      <c r="P2584" t="s">
        <v>4776</v>
      </c>
      <c r="Q2584" t="s">
        <v>4852</v>
      </c>
      <c r="R2584" t="s">
        <v>4772</v>
      </c>
    </row>
    <row r="2585" spans="1:18" x14ac:dyDescent="0.3">
      <c r="A2585">
        <v>1831</v>
      </c>
      <c r="B2585" t="s">
        <v>4874</v>
      </c>
      <c r="C2585" t="s">
        <v>647</v>
      </c>
      <c r="D2585" t="s">
        <v>130</v>
      </c>
      <c r="E2585" s="1">
        <v>45915</v>
      </c>
      <c r="F2585" t="s">
        <v>4363</v>
      </c>
      <c r="G2585" t="s">
        <v>2775</v>
      </c>
      <c r="H2585" t="s">
        <v>646</v>
      </c>
      <c r="I2585" t="s">
        <v>204</v>
      </c>
      <c r="J2585" s="1">
        <v>46522</v>
      </c>
      <c r="K2585" t="s">
        <v>762</v>
      </c>
      <c r="L2585">
        <v>13492</v>
      </c>
      <c r="M2585">
        <v>13492</v>
      </c>
      <c r="N2585" t="s">
        <v>890</v>
      </c>
      <c r="O2585" t="s">
        <v>1044</v>
      </c>
      <c r="P2585" t="s">
        <v>4776</v>
      </c>
      <c r="Q2585" t="s">
        <v>4852</v>
      </c>
    </row>
    <row r="2586" spans="1:18" x14ac:dyDescent="0.3">
      <c r="A2586">
        <v>892</v>
      </c>
      <c r="B2586" t="s">
        <v>1034</v>
      </c>
      <c r="C2586" t="s">
        <v>216</v>
      </c>
      <c r="D2586" t="s">
        <v>141</v>
      </c>
      <c r="E2586" s="1">
        <v>45915</v>
      </c>
      <c r="F2586" t="s">
        <v>4305</v>
      </c>
      <c r="G2586" t="s">
        <v>2794</v>
      </c>
      <c r="H2586" t="s">
        <v>528</v>
      </c>
      <c r="I2586" t="s">
        <v>204</v>
      </c>
      <c r="J2586" s="1">
        <v>55243</v>
      </c>
      <c r="K2586" t="s">
        <v>711</v>
      </c>
      <c r="L2586">
        <v>12200</v>
      </c>
      <c r="M2586">
        <v>12200</v>
      </c>
      <c r="N2586" t="s">
        <v>710</v>
      </c>
      <c r="O2586" t="s">
        <v>4844</v>
      </c>
      <c r="P2586" t="s">
        <v>4776</v>
      </c>
      <c r="Q2586" t="s">
        <v>4901</v>
      </c>
      <c r="R2586" t="s">
        <v>4771</v>
      </c>
    </row>
    <row r="2587" spans="1:18" x14ac:dyDescent="0.3">
      <c r="A2587">
        <v>2713</v>
      </c>
      <c r="B2587" t="s">
        <v>4874</v>
      </c>
      <c r="C2587" t="s">
        <v>630</v>
      </c>
      <c r="D2587" t="s">
        <v>145</v>
      </c>
      <c r="E2587" s="1">
        <v>45912</v>
      </c>
      <c r="F2587" t="s">
        <v>4300</v>
      </c>
      <c r="G2587" t="s">
        <v>2766</v>
      </c>
      <c r="H2587" t="s">
        <v>629</v>
      </c>
      <c r="I2587" t="s">
        <v>204</v>
      </c>
      <c r="J2587" s="1">
        <v>46264</v>
      </c>
      <c r="K2587" t="s">
        <v>720</v>
      </c>
      <c r="L2587">
        <v>1</v>
      </c>
      <c r="M2587">
        <v>18000</v>
      </c>
      <c r="N2587" t="s">
        <v>710</v>
      </c>
      <c r="O2587" t="s">
        <v>4849</v>
      </c>
      <c r="P2587" t="s">
        <v>4777</v>
      </c>
      <c r="Q2587" t="s">
        <v>4855</v>
      </c>
      <c r="R2587" t="s">
        <v>4771</v>
      </c>
    </row>
    <row r="2588" spans="1:18" x14ac:dyDescent="0.3">
      <c r="A2588">
        <v>1285718</v>
      </c>
      <c r="B2588" t="s">
        <v>4874</v>
      </c>
      <c r="C2588" t="s">
        <v>472</v>
      </c>
      <c r="D2588" t="s">
        <v>48</v>
      </c>
      <c r="E2588" s="1">
        <v>45912</v>
      </c>
      <c r="F2588" t="s">
        <v>4345</v>
      </c>
      <c r="G2588" t="s">
        <v>2797</v>
      </c>
      <c r="H2588" t="s">
        <v>471</v>
      </c>
      <c r="I2588" t="s">
        <v>204</v>
      </c>
      <c r="J2588" s="1">
        <v>46270</v>
      </c>
      <c r="K2588" t="s">
        <v>762</v>
      </c>
      <c r="L2588">
        <v>53.78</v>
      </c>
      <c r="M2588">
        <v>53.78</v>
      </c>
      <c r="N2588" t="s">
        <v>710</v>
      </c>
      <c r="O2588" t="s">
        <v>4845</v>
      </c>
      <c r="P2588" t="s">
        <v>4776</v>
      </c>
      <c r="Q2588" t="s">
        <v>4845</v>
      </c>
      <c r="R2588" t="s">
        <v>4773</v>
      </c>
    </row>
    <row r="2589" spans="1:18" x14ac:dyDescent="0.3">
      <c r="A2589">
        <v>1285716</v>
      </c>
      <c r="B2589" t="s">
        <v>4874</v>
      </c>
      <c r="C2589" t="s">
        <v>472</v>
      </c>
      <c r="D2589" t="s">
        <v>48</v>
      </c>
      <c r="E2589" s="1">
        <v>45912</v>
      </c>
      <c r="F2589" t="s">
        <v>4315</v>
      </c>
      <c r="G2589" t="s">
        <v>2797</v>
      </c>
      <c r="H2589" t="s">
        <v>471</v>
      </c>
      <c r="I2589" t="s">
        <v>204</v>
      </c>
      <c r="J2589" s="1">
        <v>46270</v>
      </c>
      <c r="K2589" t="s">
        <v>762</v>
      </c>
      <c r="L2589">
        <v>537.80999999999995</v>
      </c>
      <c r="M2589">
        <v>537.80999999999995</v>
      </c>
      <c r="N2589" t="s">
        <v>710</v>
      </c>
      <c r="O2589" t="s">
        <v>4845</v>
      </c>
      <c r="P2589" t="s">
        <v>4776</v>
      </c>
      <c r="Q2589" t="s">
        <v>4845</v>
      </c>
      <c r="R2589" t="s">
        <v>4773</v>
      </c>
    </row>
    <row r="2590" spans="1:18" x14ac:dyDescent="0.3">
      <c r="A2590">
        <v>3021</v>
      </c>
      <c r="B2590" t="s">
        <v>4874</v>
      </c>
      <c r="C2590" t="s">
        <v>533</v>
      </c>
      <c r="D2590" t="s">
        <v>103</v>
      </c>
      <c r="E2590" s="1">
        <v>45912</v>
      </c>
      <c r="F2590" t="s">
        <v>4416</v>
      </c>
      <c r="G2590" t="s">
        <v>2799</v>
      </c>
      <c r="H2590" t="s">
        <v>532</v>
      </c>
      <c r="I2590" t="s">
        <v>204</v>
      </c>
      <c r="J2590" s="1">
        <v>46568</v>
      </c>
      <c r="K2590" t="s">
        <v>892</v>
      </c>
      <c r="L2590">
        <v>12367.55</v>
      </c>
      <c r="M2590">
        <v>12367.55</v>
      </c>
      <c r="N2590" t="s">
        <v>710</v>
      </c>
      <c r="O2590" t="s">
        <v>4811</v>
      </c>
      <c r="P2590" t="s">
        <v>4776</v>
      </c>
      <c r="Q2590" t="s">
        <v>4859</v>
      </c>
      <c r="R2590" t="s">
        <v>4771</v>
      </c>
    </row>
    <row r="2591" spans="1:18" x14ac:dyDescent="0.3">
      <c r="A2591">
        <v>592</v>
      </c>
      <c r="B2591" t="s">
        <v>4874</v>
      </c>
      <c r="C2591" t="s">
        <v>259</v>
      </c>
      <c r="D2591" t="s">
        <v>122</v>
      </c>
      <c r="E2591" s="1">
        <v>45912</v>
      </c>
      <c r="F2591" t="s">
        <v>4390</v>
      </c>
      <c r="G2591" t="s">
        <v>2802</v>
      </c>
      <c r="H2591" t="s">
        <v>258</v>
      </c>
      <c r="I2591" t="s">
        <v>204</v>
      </c>
      <c r="J2591" s="1">
        <v>46337</v>
      </c>
      <c r="K2591" t="s">
        <v>720</v>
      </c>
      <c r="L2591">
        <v>1</v>
      </c>
      <c r="M2591">
        <v>37289.71</v>
      </c>
      <c r="N2591" t="s">
        <v>710</v>
      </c>
      <c r="O2591" t="s">
        <v>1038</v>
      </c>
      <c r="P2591" t="s">
        <v>4777</v>
      </c>
      <c r="Q2591" t="s">
        <v>4858</v>
      </c>
      <c r="R2591" t="s">
        <v>4771</v>
      </c>
    </row>
    <row r="2592" spans="1:18" x14ac:dyDescent="0.3">
      <c r="A2592">
        <v>919242</v>
      </c>
      <c r="B2592" t="s">
        <v>4874</v>
      </c>
      <c r="C2592" t="s">
        <v>389</v>
      </c>
      <c r="D2592" t="s">
        <v>32</v>
      </c>
      <c r="E2592" s="1">
        <v>45912</v>
      </c>
      <c r="F2592" t="s">
        <v>4299</v>
      </c>
      <c r="G2592" t="s">
        <v>2825</v>
      </c>
      <c r="H2592" t="s">
        <v>388</v>
      </c>
      <c r="I2592" t="s">
        <v>204</v>
      </c>
      <c r="J2592" s="1">
        <v>46752</v>
      </c>
      <c r="K2592" t="s">
        <v>785</v>
      </c>
      <c r="L2592">
        <v>1</v>
      </c>
      <c r="M2592">
        <v>48164.85</v>
      </c>
      <c r="N2592" t="s">
        <v>710</v>
      </c>
      <c r="O2592" t="s">
        <v>1038</v>
      </c>
      <c r="P2592" t="s">
        <v>4785</v>
      </c>
      <c r="Q2592" t="s">
        <v>4858</v>
      </c>
      <c r="R2592" t="s">
        <v>4771</v>
      </c>
    </row>
    <row r="2593" spans="1:18" x14ac:dyDescent="0.3">
      <c r="A2593">
        <v>336583</v>
      </c>
      <c r="B2593" t="s">
        <v>4874</v>
      </c>
      <c r="C2593" t="s">
        <v>426</v>
      </c>
      <c r="D2593" t="s">
        <v>54</v>
      </c>
      <c r="E2593" s="1">
        <v>45912</v>
      </c>
      <c r="F2593" t="s">
        <v>4409</v>
      </c>
      <c r="G2593" t="s">
        <v>2826</v>
      </c>
      <c r="H2593" t="s">
        <v>425</v>
      </c>
      <c r="I2593" t="s">
        <v>204</v>
      </c>
      <c r="J2593" s="1">
        <v>46752</v>
      </c>
      <c r="K2593" t="s">
        <v>785</v>
      </c>
      <c r="L2593">
        <v>1</v>
      </c>
      <c r="M2593">
        <v>112311.9</v>
      </c>
      <c r="N2593" t="s">
        <v>710</v>
      </c>
      <c r="O2593" t="s">
        <v>1038</v>
      </c>
      <c r="P2593" t="s">
        <v>4787</v>
      </c>
      <c r="Q2593" t="s">
        <v>4858</v>
      </c>
      <c r="R2593" t="s">
        <v>4771</v>
      </c>
    </row>
    <row r="2594" spans="1:18" x14ac:dyDescent="0.3">
      <c r="A2594">
        <v>562857</v>
      </c>
      <c r="B2594" t="s">
        <v>4874</v>
      </c>
      <c r="C2594" t="s">
        <v>333</v>
      </c>
      <c r="D2594" t="s">
        <v>29</v>
      </c>
      <c r="E2594" s="1">
        <v>45912</v>
      </c>
      <c r="F2594" t="s">
        <v>4317</v>
      </c>
      <c r="G2594" t="s">
        <v>2823</v>
      </c>
      <c r="H2594" t="s">
        <v>460</v>
      </c>
      <c r="I2594" t="s">
        <v>204</v>
      </c>
      <c r="J2594" s="1">
        <v>54878</v>
      </c>
      <c r="K2594" t="s">
        <v>785</v>
      </c>
      <c r="L2594">
        <v>1</v>
      </c>
      <c r="M2594">
        <v>136.94999999999999</v>
      </c>
      <c r="N2594" t="s">
        <v>710</v>
      </c>
      <c r="O2594" t="s">
        <v>1038</v>
      </c>
      <c r="P2594" t="s">
        <v>4776</v>
      </c>
      <c r="Q2594" t="s">
        <v>4858</v>
      </c>
      <c r="R2594" t="s">
        <v>4771</v>
      </c>
    </row>
    <row r="2595" spans="1:18" x14ac:dyDescent="0.3">
      <c r="A2595">
        <v>563679</v>
      </c>
      <c r="B2595" t="s">
        <v>1034</v>
      </c>
      <c r="C2595" t="s">
        <v>333</v>
      </c>
      <c r="D2595" t="s">
        <v>29</v>
      </c>
      <c r="E2595" s="1">
        <v>45912</v>
      </c>
      <c r="F2595" t="s">
        <v>4317</v>
      </c>
      <c r="G2595" t="s">
        <v>2821</v>
      </c>
      <c r="H2595" t="s">
        <v>332</v>
      </c>
      <c r="I2595" t="s">
        <v>204</v>
      </c>
      <c r="J2595" s="1">
        <v>54878</v>
      </c>
      <c r="K2595" t="s">
        <v>711</v>
      </c>
      <c r="L2595">
        <v>135</v>
      </c>
      <c r="M2595">
        <v>134.93</v>
      </c>
      <c r="N2595" t="s">
        <v>710</v>
      </c>
      <c r="O2595" t="s">
        <v>1036</v>
      </c>
      <c r="P2595" t="s">
        <v>4776</v>
      </c>
      <c r="Q2595" t="s">
        <v>4901</v>
      </c>
      <c r="R2595" t="s">
        <v>4771</v>
      </c>
    </row>
    <row r="2596" spans="1:18" x14ac:dyDescent="0.3">
      <c r="A2596">
        <v>594319</v>
      </c>
      <c r="B2596" t="s">
        <v>1034</v>
      </c>
      <c r="C2596" t="s">
        <v>376</v>
      </c>
      <c r="D2596" t="s">
        <v>35</v>
      </c>
      <c r="E2596" s="1">
        <v>45912</v>
      </c>
      <c r="F2596" t="s">
        <v>4324</v>
      </c>
      <c r="G2596" t="s">
        <v>2715</v>
      </c>
      <c r="H2596" t="s">
        <v>375</v>
      </c>
      <c r="I2596" t="s">
        <v>209</v>
      </c>
      <c r="J2596" s="1">
        <v>54878</v>
      </c>
      <c r="K2596" t="s">
        <v>717</v>
      </c>
      <c r="L2596">
        <v>222</v>
      </c>
      <c r="M2596">
        <v>222</v>
      </c>
      <c r="N2596" t="s">
        <v>710</v>
      </c>
      <c r="O2596" t="s">
        <v>1037</v>
      </c>
      <c r="P2596" t="s">
        <v>4807</v>
      </c>
      <c r="Q2596" t="s">
        <v>4852</v>
      </c>
      <c r="R2596" t="s">
        <v>4771</v>
      </c>
    </row>
    <row r="2597" spans="1:18" x14ac:dyDescent="0.3">
      <c r="A2597">
        <v>161661</v>
      </c>
      <c r="B2597" t="s">
        <v>4874</v>
      </c>
      <c r="C2597" t="s">
        <v>301</v>
      </c>
      <c r="D2597" t="s">
        <v>23</v>
      </c>
      <c r="E2597" s="1">
        <v>45912</v>
      </c>
      <c r="F2597" t="s">
        <v>4321</v>
      </c>
      <c r="G2597" t="s">
        <v>2827</v>
      </c>
      <c r="H2597" t="s">
        <v>300</v>
      </c>
      <c r="I2597" t="s">
        <v>204</v>
      </c>
      <c r="J2597" s="1">
        <v>46418</v>
      </c>
      <c r="K2597" t="s">
        <v>720</v>
      </c>
      <c r="L2597">
        <v>1</v>
      </c>
      <c r="M2597">
        <v>5140.3900000000003</v>
      </c>
      <c r="N2597" t="s">
        <v>710</v>
      </c>
      <c r="O2597" t="s">
        <v>1038</v>
      </c>
      <c r="P2597" t="s">
        <v>4782</v>
      </c>
      <c r="Q2597" t="s">
        <v>4858</v>
      </c>
      <c r="R2597" t="s">
        <v>4773</v>
      </c>
    </row>
    <row r="2598" spans="1:18" x14ac:dyDescent="0.3">
      <c r="A2598">
        <v>1257</v>
      </c>
      <c r="B2598" t="s">
        <v>4874</v>
      </c>
      <c r="C2598" t="s">
        <v>305</v>
      </c>
      <c r="D2598" t="s">
        <v>59</v>
      </c>
      <c r="E2598" s="1">
        <v>45912</v>
      </c>
      <c r="F2598" t="s">
        <v>4359</v>
      </c>
      <c r="G2598" t="s">
        <v>2787</v>
      </c>
      <c r="H2598" t="s">
        <v>304</v>
      </c>
      <c r="I2598" t="s">
        <v>204</v>
      </c>
      <c r="J2598" s="1">
        <v>46481</v>
      </c>
      <c r="K2598" t="s">
        <v>720</v>
      </c>
      <c r="L2598">
        <v>1</v>
      </c>
      <c r="M2598">
        <v>299.44</v>
      </c>
      <c r="N2598" t="s">
        <v>809</v>
      </c>
      <c r="O2598" t="s">
        <v>1038</v>
      </c>
      <c r="P2598" t="s">
        <v>4783</v>
      </c>
      <c r="Q2598" t="s">
        <v>4858</v>
      </c>
      <c r="R2598" t="s">
        <v>4771</v>
      </c>
    </row>
    <row r="2599" spans="1:18" x14ac:dyDescent="0.3">
      <c r="A2599">
        <v>567879</v>
      </c>
      <c r="B2599" t="s">
        <v>4875</v>
      </c>
      <c r="C2599" t="s">
        <v>333</v>
      </c>
      <c r="D2599" t="s">
        <v>29</v>
      </c>
      <c r="E2599" s="1">
        <v>45912</v>
      </c>
      <c r="F2599" t="s">
        <v>4317</v>
      </c>
      <c r="G2599" t="s">
        <v>2824</v>
      </c>
      <c r="H2599" t="s">
        <v>335</v>
      </c>
      <c r="I2599" t="s">
        <v>204</v>
      </c>
      <c r="J2599" s="1">
        <v>54878</v>
      </c>
      <c r="K2599" t="s">
        <v>748</v>
      </c>
      <c r="L2599">
        <v>102</v>
      </c>
      <c r="M2599">
        <v>102.32</v>
      </c>
      <c r="N2599" t="s">
        <v>710</v>
      </c>
      <c r="O2599" t="s">
        <v>1040</v>
      </c>
      <c r="P2599" t="s">
        <v>4776</v>
      </c>
      <c r="Q2599" t="s">
        <v>4856</v>
      </c>
      <c r="R2599" t="s">
        <v>4771</v>
      </c>
    </row>
    <row r="2600" spans="1:18" x14ac:dyDescent="0.3">
      <c r="A2600">
        <v>326</v>
      </c>
      <c r="B2600" t="s">
        <v>4874</v>
      </c>
      <c r="C2600" t="s">
        <v>575</v>
      </c>
      <c r="D2600" t="s">
        <v>174</v>
      </c>
      <c r="E2600" s="1">
        <v>45912</v>
      </c>
      <c r="F2600" t="s">
        <v>4412</v>
      </c>
      <c r="G2600" t="s">
        <v>2735</v>
      </c>
      <c r="H2600" t="s">
        <v>574</v>
      </c>
      <c r="I2600" t="s">
        <v>204</v>
      </c>
      <c r="J2600" s="1">
        <v>46203</v>
      </c>
      <c r="K2600" t="s">
        <v>720</v>
      </c>
      <c r="L2600">
        <v>1</v>
      </c>
      <c r="M2600">
        <v>14692.71</v>
      </c>
      <c r="N2600" t="s">
        <v>890</v>
      </c>
      <c r="O2600" t="s">
        <v>1039</v>
      </c>
      <c r="P2600" t="s">
        <v>4776</v>
      </c>
      <c r="Q2600" t="s">
        <v>4858</v>
      </c>
      <c r="R2600" t="s">
        <v>4771</v>
      </c>
    </row>
    <row r="2601" spans="1:18" x14ac:dyDescent="0.3">
      <c r="A2601">
        <v>2178</v>
      </c>
      <c r="B2601" t="s">
        <v>4874</v>
      </c>
      <c r="C2601" t="s">
        <v>616</v>
      </c>
      <c r="D2601" t="s">
        <v>152</v>
      </c>
      <c r="E2601" s="1">
        <v>45911</v>
      </c>
      <c r="F2601" t="s">
        <v>4338</v>
      </c>
      <c r="G2601" t="s">
        <v>2813</v>
      </c>
      <c r="H2601" t="s">
        <v>615</v>
      </c>
      <c r="I2601" t="s">
        <v>204</v>
      </c>
      <c r="J2601" s="1">
        <v>46327</v>
      </c>
      <c r="K2601" t="s">
        <v>720</v>
      </c>
      <c r="L2601">
        <v>1</v>
      </c>
      <c r="M2601">
        <v>101787.59</v>
      </c>
      <c r="N2601" t="s">
        <v>710</v>
      </c>
      <c r="O2601" t="s">
        <v>4834</v>
      </c>
      <c r="P2601" t="s">
        <v>4776</v>
      </c>
      <c r="Q2601" t="s">
        <v>4858</v>
      </c>
      <c r="R2601" t="s">
        <v>4772</v>
      </c>
    </row>
    <row r="2602" spans="1:18" x14ac:dyDescent="0.3">
      <c r="A2602">
        <v>805931</v>
      </c>
      <c r="B2602" t="s">
        <v>4875</v>
      </c>
      <c r="C2602" t="s">
        <v>609</v>
      </c>
      <c r="D2602" t="s">
        <v>182</v>
      </c>
      <c r="E2602" s="1">
        <v>45911</v>
      </c>
      <c r="F2602" t="s">
        <v>4336</v>
      </c>
      <c r="G2602" t="s">
        <v>2811</v>
      </c>
      <c r="H2602" t="s">
        <v>610</v>
      </c>
      <c r="I2602" t="s">
        <v>204</v>
      </c>
      <c r="J2602" s="1">
        <v>46282</v>
      </c>
      <c r="K2602" t="s">
        <v>768</v>
      </c>
      <c r="L2602">
        <v>1</v>
      </c>
      <c r="M2602">
        <v>49077.29</v>
      </c>
      <c r="N2602" t="s">
        <v>710</v>
      </c>
      <c r="O2602" t="s">
        <v>1037</v>
      </c>
      <c r="P2602" t="s">
        <v>4794</v>
      </c>
      <c r="Q2602" t="s">
        <v>4852</v>
      </c>
      <c r="R2602" t="s">
        <v>4772</v>
      </c>
    </row>
    <row r="2603" spans="1:18" x14ac:dyDescent="0.3">
      <c r="A2603">
        <v>318</v>
      </c>
      <c r="B2603" t="s">
        <v>1034</v>
      </c>
      <c r="C2603" t="s">
        <v>479</v>
      </c>
      <c r="D2603" t="s">
        <v>99</v>
      </c>
      <c r="E2603" s="1">
        <v>45911</v>
      </c>
      <c r="F2603" t="s">
        <v>4312</v>
      </c>
      <c r="G2603" t="s">
        <v>2817</v>
      </c>
      <c r="H2603" t="s">
        <v>478</v>
      </c>
      <c r="I2603" t="s">
        <v>204</v>
      </c>
      <c r="J2603" s="1">
        <v>46239</v>
      </c>
      <c r="K2603" t="s">
        <v>717</v>
      </c>
      <c r="L2603">
        <v>90</v>
      </c>
      <c r="M2603">
        <v>427.5</v>
      </c>
      <c r="N2603" t="s">
        <v>710</v>
      </c>
      <c r="O2603" t="s">
        <v>1037</v>
      </c>
      <c r="P2603" t="s">
        <v>4790</v>
      </c>
      <c r="Q2603" t="s">
        <v>4852</v>
      </c>
      <c r="R2603" t="s">
        <v>4772</v>
      </c>
    </row>
    <row r="2604" spans="1:18" x14ac:dyDescent="0.3">
      <c r="A2604">
        <v>318</v>
      </c>
      <c r="B2604" t="s">
        <v>1034</v>
      </c>
      <c r="C2604" t="s">
        <v>479</v>
      </c>
      <c r="D2604" t="s">
        <v>99</v>
      </c>
      <c r="E2604" s="1">
        <v>45911</v>
      </c>
      <c r="F2604" t="s">
        <v>4372</v>
      </c>
      <c r="G2604" t="s">
        <v>2817</v>
      </c>
      <c r="H2604" t="s">
        <v>478</v>
      </c>
      <c r="I2604" t="s">
        <v>204</v>
      </c>
      <c r="J2604" s="1">
        <v>46239</v>
      </c>
      <c r="K2604" t="s">
        <v>717</v>
      </c>
      <c r="L2604">
        <v>264</v>
      </c>
      <c r="M2604">
        <v>2249.2800000000002</v>
      </c>
      <c r="N2604" t="s">
        <v>710</v>
      </c>
      <c r="O2604" t="s">
        <v>1037</v>
      </c>
      <c r="P2604" t="s">
        <v>4790</v>
      </c>
      <c r="Q2604" t="s">
        <v>4852</v>
      </c>
      <c r="R2604" t="s">
        <v>4772</v>
      </c>
    </row>
    <row r="2605" spans="1:18" x14ac:dyDescent="0.3">
      <c r="A2605">
        <v>599</v>
      </c>
      <c r="B2605" t="s">
        <v>4875</v>
      </c>
      <c r="C2605" t="s">
        <v>319</v>
      </c>
      <c r="D2605" t="s">
        <v>36</v>
      </c>
      <c r="E2605" s="1">
        <v>45911</v>
      </c>
      <c r="F2605" t="s">
        <v>4434</v>
      </c>
      <c r="G2605" t="s">
        <v>2800</v>
      </c>
      <c r="H2605" t="s">
        <v>336</v>
      </c>
      <c r="I2605" t="s">
        <v>204</v>
      </c>
      <c r="J2605" s="1">
        <v>46075</v>
      </c>
      <c r="K2605" t="s">
        <v>748</v>
      </c>
      <c r="L2605">
        <v>35884.5</v>
      </c>
      <c r="M2605">
        <v>35884.5</v>
      </c>
      <c r="N2605" t="s">
        <v>710</v>
      </c>
      <c r="O2605" t="s">
        <v>1040</v>
      </c>
      <c r="P2605" t="s">
        <v>4784</v>
      </c>
      <c r="Q2605" t="s">
        <v>4856</v>
      </c>
      <c r="R2605" t="s">
        <v>4771</v>
      </c>
    </row>
    <row r="2606" spans="1:18" x14ac:dyDescent="0.3">
      <c r="A2606">
        <v>20251277</v>
      </c>
      <c r="B2606" t="s">
        <v>1034</v>
      </c>
      <c r="C2606" t="s">
        <v>364</v>
      </c>
      <c r="D2606" t="s">
        <v>72</v>
      </c>
      <c r="E2606" s="1">
        <v>45911</v>
      </c>
      <c r="F2606" t="s">
        <v>4295</v>
      </c>
      <c r="G2606" t="s">
        <v>2726</v>
      </c>
      <c r="H2606" t="s">
        <v>363</v>
      </c>
      <c r="I2606" t="s">
        <v>209</v>
      </c>
      <c r="J2606" s="1">
        <v>46092</v>
      </c>
      <c r="K2606" t="s">
        <v>711</v>
      </c>
      <c r="L2606">
        <v>7788</v>
      </c>
      <c r="M2606">
        <v>7788</v>
      </c>
      <c r="N2606" t="s">
        <v>710</v>
      </c>
      <c r="O2606" t="s">
        <v>4834</v>
      </c>
      <c r="P2606" t="s">
        <v>4776</v>
      </c>
      <c r="Q2606" t="s">
        <v>4901</v>
      </c>
      <c r="R2606" t="s">
        <v>4773</v>
      </c>
    </row>
    <row r="2607" spans="1:18" x14ac:dyDescent="0.3">
      <c r="A2607">
        <v>805932</v>
      </c>
      <c r="B2607" t="s">
        <v>1034</v>
      </c>
      <c r="C2607" t="s">
        <v>609</v>
      </c>
      <c r="D2607" t="s">
        <v>182</v>
      </c>
      <c r="E2607" s="1">
        <v>45911</v>
      </c>
      <c r="F2607" t="s">
        <v>4336</v>
      </c>
      <c r="G2607" t="s">
        <v>2812</v>
      </c>
      <c r="H2607" t="s">
        <v>608</v>
      </c>
      <c r="I2607" t="s">
        <v>204</v>
      </c>
      <c r="J2607" s="1">
        <v>46281</v>
      </c>
      <c r="K2607" t="s">
        <v>717</v>
      </c>
      <c r="L2607">
        <v>1</v>
      </c>
      <c r="M2607">
        <v>180504.53</v>
      </c>
      <c r="N2607" t="s">
        <v>719</v>
      </c>
      <c r="O2607" t="s">
        <v>1037</v>
      </c>
      <c r="P2607" t="s">
        <v>4794</v>
      </c>
      <c r="Q2607" t="s">
        <v>4852</v>
      </c>
      <c r="R2607" t="s">
        <v>4772</v>
      </c>
    </row>
    <row r="2608" spans="1:18" x14ac:dyDescent="0.3">
      <c r="A2608">
        <v>318</v>
      </c>
      <c r="B2608" t="s">
        <v>1034</v>
      </c>
      <c r="C2608" t="s">
        <v>479</v>
      </c>
      <c r="D2608" t="s">
        <v>99</v>
      </c>
      <c r="E2608" s="1">
        <v>45911</v>
      </c>
      <c r="F2608" t="s">
        <v>4307</v>
      </c>
      <c r="G2608" t="s">
        <v>2817</v>
      </c>
      <c r="H2608" t="s">
        <v>478</v>
      </c>
      <c r="I2608" t="s">
        <v>204</v>
      </c>
      <c r="J2608" s="1">
        <v>46239</v>
      </c>
      <c r="K2608" t="s">
        <v>717</v>
      </c>
      <c r="L2608">
        <v>4448</v>
      </c>
      <c r="M2608">
        <v>54310.080000000002</v>
      </c>
      <c r="N2608" t="s">
        <v>710</v>
      </c>
      <c r="O2608" t="s">
        <v>1037</v>
      </c>
      <c r="P2608" t="s">
        <v>4790</v>
      </c>
      <c r="Q2608" t="s">
        <v>4852</v>
      </c>
      <c r="R2608" t="s">
        <v>4772</v>
      </c>
    </row>
    <row r="2609" spans="1:18" x14ac:dyDescent="0.3">
      <c r="A2609">
        <v>318</v>
      </c>
      <c r="B2609" t="s">
        <v>1034</v>
      </c>
      <c r="C2609" t="s">
        <v>479</v>
      </c>
      <c r="D2609" t="s">
        <v>99</v>
      </c>
      <c r="E2609" s="1">
        <v>45911</v>
      </c>
      <c r="F2609" t="s">
        <v>4308</v>
      </c>
      <c r="G2609" t="s">
        <v>2817</v>
      </c>
      <c r="H2609" t="s">
        <v>478</v>
      </c>
      <c r="I2609" t="s">
        <v>204</v>
      </c>
      <c r="J2609" s="1">
        <v>46239</v>
      </c>
      <c r="K2609" t="s">
        <v>717</v>
      </c>
      <c r="L2609">
        <v>2987</v>
      </c>
      <c r="M2609">
        <v>11828.52</v>
      </c>
      <c r="N2609" t="s">
        <v>710</v>
      </c>
      <c r="O2609" t="s">
        <v>1037</v>
      </c>
      <c r="P2609" t="s">
        <v>4790</v>
      </c>
      <c r="Q2609" t="s">
        <v>4852</v>
      </c>
      <c r="R2609" t="s">
        <v>4772</v>
      </c>
    </row>
    <row r="2610" spans="1:18" x14ac:dyDescent="0.3">
      <c r="A2610">
        <v>318</v>
      </c>
      <c r="B2610" t="s">
        <v>1034</v>
      </c>
      <c r="C2610" t="s">
        <v>479</v>
      </c>
      <c r="D2610" t="s">
        <v>99</v>
      </c>
      <c r="E2610" s="1">
        <v>45911</v>
      </c>
      <c r="F2610" t="s">
        <v>4310</v>
      </c>
      <c r="G2610" t="s">
        <v>2817</v>
      </c>
      <c r="H2610" t="s">
        <v>478</v>
      </c>
      <c r="I2610" t="s">
        <v>204</v>
      </c>
      <c r="J2610" s="1">
        <v>46239</v>
      </c>
      <c r="K2610" t="s">
        <v>717</v>
      </c>
      <c r="L2610">
        <v>90</v>
      </c>
      <c r="M2610">
        <v>319.5</v>
      </c>
      <c r="N2610" t="s">
        <v>710</v>
      </c>
      <c r="O2610" t="s">
        <v>1037</v>
      </c>
      <c r="P2610" t="s">
        <v>4790</v>
      </c>
      <c r="Q2610" t="s">
        <v>4852</v>
      </c>
      <c r="R2610" t="s">
        <v>4772</v>
      </c>
    </row>
    <row r="2611" spans="1:18" x14ac:dyDescent="0.3">
      <c r="A2611">
        <v>42197</v>
      </c>
      <c r="B2611" t="s">
        <v>1034</v>
      </c>
      <c r="C2611" t="s">
        <v>327</v>
      </c>
      <c r="D2611" t="s">
        <v>159</v>
      </c>
      <c r="E2611" s="1">
        <v>45911</v>
      </c>
      <c r="F2611" t="s">
        <v>4296</v>
      </c>
      <c r="G2611" t="s">
        <v>2829</v>
      </c>
      <c r="H2611" t="s">
        <v>357</v>
      </c>
      <c r="I2611" t="s">
        <v>204</v>
      </c>
      <c r="J2611" s="1">
        <v>46476</v>
      </c>
      <c r="K2611" t="s">
        <v>711</v>
      </c>
      <c r="L2611">
        <v>1200.45</v>
      </c>
      <c r="M2611">
        <v>1200.45</v>
      </c>
      <c r="N2611" t="s">
        <v>890</v>
      </c>
      <c r="O2611" t="s">
        <v>4834</v>
      </c>
      <c r="P2611" t="s">
        <v>4776</v>
      </c>
      <c r="Q2611" t="s">
        <v>4901</v>
      </c>
      <c r="R2611" t="s">
        <v>4773</v>
      </c>
    </row>
    <row r="2612" spans="1:18" x14ac:dyDescent="0.3">
      <c r="A2612">
        <v>42196</v>
      </c>
      <c r="B2612" t="s">
        <v>1034</v>
      </c>
      <c r="C2612" t="s">
        <v>327</v>
      </c>
      <c r="D2612" t="s">
        <v>159</v>
      </c>
      <c r="E2612" s="1">
        <v>45911</v>
      </c>
      <c r="F2612" t="s">
        <v>4295</v>
      </c>
      <c r="G2612" t="s">
        <v>2828</v>
      </c>
      <c r="H2612" t="s">
        <v>357</v>
      </c>
      <c r="I2612" t="s">
        <v>204</v>
      </c>
      <c r="J2612" s="1">
        <v>46476</v>
      </c>
      <c r="K2612" t="s">
        <v>711</v>
      </c>
      <c r="L2612">
        <v>2150</v>
      </c>
      <c r="M2612">
        <v>2150</v>
      </c>
      <c r="N2612" t="s">
        <v>890</v>
      </c>
      <c r="O2612" t="s">
        <v>4834</v>
      </c>
      <c r="P2612" t="s">
        <v>4776</v>
      </c>
      <c r="Q2612" t="s">
        <v>4901</v>
      </c>
      <c r="R2612" t="s">
        <v>4773</v>
      </c>
    </row>
    <row r="2613" spans="1:18" x14ac:dyDescent="0.3">
      <c r="A2613">
        <v>7512</v>
      </c>
      <c r="B2613" t="s">
        <v>1034</v>
      </c>
      <c r="C2613" t="s">
        <v>559</v>
      </c>
      <c r="D2613" t="s">
        <v>89</v>
      </c>
      <c r="E2613" s="1">
        <v>45911</v>
      </c>
      <c r="F2613" t="s">
        <v>4359</v>
      </c>
      <c r="G2613" t="s">
        <v>2703</v>
      </c>
      <c r="H2613" t="s">
        <v>558</v>
      </c>
      <c r="I2613" t="s">
        <v>209</v>
      </c>
      <c r="J2613" s="1">
        <v>45565</v>
      </c>
      <c r="K2613" t="s">
        <v>711</v>
      </c>
      <c r="L2613">
        <v>1</v>
      </c>
      <c r="M2613">
        <v>966.11</v>
      </c>
      <c r="N2613" t="s">
        <v>710</v>
      </c>
      <c r="P2613" t="s">
        <v>4783</v>
      </c>
      <c r="Q2613" t="s">
        <v>4901</v>
      </c>
      <c r="R2613" t="s">
        <v>4771</v>
      </c>
    </row>
    <row r="2614" spans="1:18" x14ac:dyDescent="0.3">
      <c r="A2614">
        <v>85</v>
      </c>
      <c r="B2614" t="s">
        <v>1034</v>
      </c>
      <c r="C2614" t="s">
        <v>641</v>
      </c>
      <c r="D2614" t="s">
        <v>26</v>
      </c>
      <c r="E2614" s="1">
        <v>45911</v>
      </c>
      <c r="F2614" t="s">
        <v>4370</v>
      </c>
      <c r="G2614" t="s">
        <v>2822</v>
      </c>
      <c r="H2614" t="s">
        <v>640</v>
      </c>
      <c r="I2614" t="s">
        <v>204</v>
      </c>
      <c r="J2614" s="1">
        <v>46142</v>
      </c>
      <c r="K2614" t="s">
        <v>717</v>
      </c>
      <c r="L2614">
        <v>9527.99</v>
      </c>
      <c r="M2614">
        <v>9527.99</v>
      </c>
      <c r="N2614" t="s">
        <v>710</v>
      </c>
      <c r="O2614" t="s">
        <v>1042</v>
      </c>
      <c r="P2614" t="s">
        <v>1006</v>
      </c>
      <c r="Q2614" t="s">
        <v>4852</v>
      </c>
    </row>
    <row r="2615" spans="1:18" x14ac:dyDescent="0.3">
      <c r="A2615">
        <v>4911</v>
      </c>
      <c r="B2615" t="s">
        <v>4874</v>
      </c>
      <c r="C2615" t="s">
        <v>456</v>
      </c>
      <c r="D2615" t="s">
        <v>71</v>
      </c>
      <c r="E2615" s="1">
        <v>45910</v>
      </c>
      <c r="F2615" t="s">
        <v>4401</v>
      </c>
      <c r="G2615" t="s">
        <v>2742</v>
      </c>
      <c r="H2615" t="s">
        <v>455</v>
      </c>
      <c r="I2615" t="s">
        <v>204</v>
      </c>
      <c r="J2615" s="1">
        <v>54878</v>
      </c>
      <c r="K2615" t="s">
        <v>762</v>
      </c>
      <c r="L2615">
        <v>6885.9</v>
      </c>
      <c r="M2615">
        <v>6885.9</v>
      </c>
      <c r="N2615" t="s">
        <v>710</v>
      </c>
      <c r="O2615" t="s">
        <v>1042</v>
      </c>
      <c r="P2615" t="s">
        <v>1006</v>
      </c>
      <c r="Q2615" t="s">
        <v>4852</v>
      </c>
      <c r="R2615" t="s">
        <v>4771</v>
      </c>
    </row>
    <row r="2616" spans="1:18" x14ac:dyDescent="0.3">
      <c r="A2616">
        <v>4386</v>
      </c>
      <c r="B2616" t="s">
        <v>4874</v>
      </c>
      <c r="C2616" t="s">
        <v>444</v>
      </c>
      <c r="D2616" t="s">
        <v>21</v>
      </c>
      <c r="E2616" s="1">
        <v>45910</v>
      </c>
      <c r="F2616" t="s">
        <v>4380</v>
      </c>
      <c r="G2616" t="s">
        <v>2801</v>
      </c>
      <c r="H2616" t="s">
        <v>443</v>
      </c>
      <c r="I2616" t="s">
        <v>209</v>
      </c>
      <c r="J2616" s="1">
        <v>54878</v>
      </c>
      <c r="K2616" t="s">
        <v>762</v>
      </c>
      <c r="L2616">
        <v>1</v>
      </c>
      <c r="M2616">
        <v>320</v>
      </c>
      <c r="N2616" t="s">
        <v>710</v>
      </c>
      <c r="O2616" t="s">
        <v>1037</v>
      </c>
      <c r="P2616" t="s">
        <v>4808</v>
      </c>
      <c r="Q2616" t="s">
        <v>4852</v>
      </c>
      <c r="R2616" t="s">
        <v>4772</v>
      </c>
    </row>
    <row r="2617" spans="1:18" x14ac:dyDescent="0.3">
      <c r="A2617">
        <v>202536</v>
      </c>
      <c r="B2617" t="s">
        <v>4875</v>
      </c>
      <c r="C2617" t="s">
        <v>651</v>
      </c>
      <c r="D2617" t="s">
        <v>46</v>
      </c>
      <c r="E2617" s="1">
        <v>45910</v>
      </c>
      <c r="F2617" t="s">
        <v>4435</v>
      </c>
      <c r="G2617" t="s">
        <v>2791</v>
      </c>
      <c r="H2617" t="s">
        <v>650</v>
      </c>
      <c r="I2617" t="s">
        <v>204</v>
      </c>
      <c r="J2617" s="1">
        <v>46173</v>
      </c>
      <c r="K2617" t="s">
        <v>748</v>
      </c>
      <c r="L2617">
        <v>1</v>
      </c>
      <c r="M2617">
        <v>680</v>
      </c>
      <c r="N2617" t="s">
        <v>710</v>
      </c>
      <c r="O2617" t="s">
        <v>1040</v>
      </c>
      <c r="P2617" t="s">
        <v>4779</v>
      </c>
      <c r="Q2617" t="s">
        <v>4856</v>
      </c>
    </row>
    <row r="2618" spans="1:18" x14ac:dyDescent="0.3">
      <c r="A2618">
        <v>2210</v>
      </c>
      <c r="B2618" t="s">
        <v>1034</v>
      </c>
      <c r="C2618" t="s">
        <v>616</v>
      </c>
      <c r="D2618" t="s">
        <v>152</v>
      </c>
      <c r="E2618" s="1">
        <v>45910</v>
      </c>
      <c r="F2618" t="s">
        <v>4338</v>
      </c>
      <c r="G2618" t="s">
        <v>2705</v>
      </c>
      <c r="H2618" t="s">
        <v>621</v>
      </c>
      <c r="I2618" t="s">
        <v>204</v>
      </c>
      <c r="J2618" s="1">
        <v>46349</v>
      </c>
      <c r="K2618" t="s">
        <v>711</v>
      </c>
      <c r="L2618">
        <v>67259.55</v>
      </c>
      <c r="M2618">
        <v>67259.55</v>
      </c>
      <c r="N2618" t="s">
        <v>710</v>
      </c>
      <c r="O2618" t="s">
        <v>4904</v>
      </c>
      <c r="P2618" t="s">
        <v>4796</v>
      </c>
      <c r="Q2618" t="s">
        <v>4901</v>
      </c>
      <c r="R2618" t="s">
        <v>4772</v>
      </c>
    </row>
    <row r="2619" spans="1:18" x14ac:dyDescent="0.3">
      <c r="A2619">
        <v>844296</v>
      </c>
      <c r="B2619" t="s">
        <v>4875</v>
      </c>
      <c r="C2619" t="s">
        <v>338</v>
      </c>
      <c r="D2619" t="s">
        <v>31</v>
      </c>
      <c r="E2619" s="1">
        <v>45910</v>
      </c>
      <c r="F2619" t="s">
        <v>4299</v>
      </c>
      <c r="G2619" t="s">
        <v>2793</v>
      </c>
      <c r="H2619" t="s">
        <v>353</v>
      </c>
      <c r="I2619" t="s">
        <v>204</v>
      </c>
      <c r="J2619" s="1">
        <v>54878</v>
      </c>
      <c r="K2619" t="s">
        <v>748</v>
      </c>
      <c r="L2619">
        <v>6449</v>
      </c>
      <c r="M2619">
        <v>6449.11</v>
      </c>
      <c r="N2619" t="s">
        <v>710</v>
      </c>
      <c r="O2619" t="s">
        <v>1040</v>
      </c>
      <c r="P2619" t="s">
        <v>4785</v>
      </c>
      <c r="Q2619" t="s">
        <v>4856</v>
      </c>
      <c r="R2619" t="s">
        <v>4773</v>
      </c>
    </row>
    <row r="2620" spans="1:18" x14ac:dyDescent="0.3">
      <c r="A2620">
        <v>2025167</v>
      </c>
      <c r="B2620" t="s">
        <v>4875</v>
      </c>
      <c r="C2620" t="s">
        <v>322</v>
      </c>
      <c r="D2620" t="s">
        <v>158</v>
      </c>
      <c r="E2620" s="1">
        <v>45910</v>
      </c>
      <c r="F2620" t="s">
        <v>4432</v>
      </c>
      <c r="G2620" t="s">
        <v>2724</v>
      </c>
      <c r="H2620" t="s">
        <v>352</v>
      </c>
      <c r="I2620" t="s">
        <v>204</v>
      </c>
      <c r="J2620" s="1">
        <v>46310</v>
      </c>
      <c r="K2620" t="s">
        <v>748</v>
      </c>
      <c r="L2620">
        <v>3013.1</v>
      </c>
      <c r="M2620">
        <v>3013.1</v>
      </c>
      <c r="N2620" t="s">
        <v>710</v>
      </c>
      <c r="O2620" t="s">
        <v>1040</v>
      </c>
      <c r="P2620" t="s">
        <v>4782</v>
      </c>
      <c r="Q2620" t="s">
        <v>4856</v>
      </c>
      <c r="R2620" t="s">
        <v>4773</v>
      </c>
    </row>
    <row r="2621" spans="1:18" x14ac:dyDescent="0.3">
      <c r="A2621">
        <v>489</v>
      </c>
      <c r="B2621" t="s">
        <v>4875</v>
      </c>
      <c r="C2621" t="s">
        <v>638</v>
      </c>
      <c r="D2621" t="s">
        <v>134</v>
      </c>
      <c r="E2621" s="1">
        <v>45910</v>
      </c>
      <c r="F2621" t="s">
        <v>4296</v>
      </c>
      <c r="G2621" t="s">
        <v>2686</v>
      </c>
      <c r="H2621" t="s">
        <v>639</v>
      </c>
      <c r="I2621" t="s">
        <v>204</v>
      </c>
      <c r="J2621" s="1">
        <v>46537</v>
      </c>
      <c r="K2621" t="s">
        <v>748</v>
      </c>
      <c r="L2621">
        <v>1</v>
      </c>
      <c r="M2621">
        <v>1301</v>
      </c>
      <c r="N2621" t="s">
        <v>710</v>
      </c>
      <c r="O2621" t="s">
        <v>1040</v>
      </c>
      <c r="P2621" t="s">
        <v>4776</v>
      </c>
      <c r="Q2621" t="s">
        <v>4856</v>
      </c>
    </row>
    <row r="2622" spans="1:18" x14ac:dyDescent="0.3">
      <c r="A2622">
        <v>592087</v>
      </c>
      <c r="B2622" t="s">
        <v>1034</v>
      </c>
      <c r="C2622" t="s">
        <v>248</v>
      </c>
      <c r="D2622" t="s">
        <v>13</v>
      </c>
      <c r="E2622" s="1">
        <v>45910</v>
      </c>
      <c r="F2622" t="s">
        <v>4297</v>
      </c>
      <c r="G2622" t="s">
        <v>2707</v>
      </c>
      <c r="H2622" t="s">
        <v>315</v>
      </c>
      <c r="I2622" t="s">
        <v>204</v>
      </c>
      <c r="J2622" s="1">
        <v>46073</v>
      </c>
      <c r="K2622" t="s">
        <v>711</v>
      </c>
      <c r="L2622">
        <v>5391.91</v>
      </c>
      <c r="M2622">
        <v>5391.91</v>
      </c>
      <c r="N2622" t="s">
        <v>710</v>
      </c>
      <c r="O2622" t="s">
        <v>1036</v>
      </c>
      <c r="P2622" t="s">
        <v>4779</v>
      </c>
      <c r="Q2622" t="s">
        <v>4901</v>
      </c>
      <c r="R2622" t="s">
        <v>4773</v>
      </c>
    </row>
    <row r="2623" spans="1:18" x14ac:dyDescent="0.3">
      <c r="A2623">
        <v>21222</v>
      </c>
      <c r="B2623" t="s">
        <v>1034</v>
      </c>
      <c r="C2623" t="s">
        <v>243</v>
      </c>
      <c r="D2623" t="s">
        <v>61</v>
      </c>
      <c r="E2623" s="1">
        <v>45910</v>
      </c>
      <c r="F2623" t="s">
        <v>4304</v>
      </c>
      <c r="G2623" t="s">
        <v>2458</v>
      </c>
      <c r="H2623" t="s">
        <v>246</v>
      </c>
      <c r="I2623" t="s">
        <v>204</v>
      </c>
      <c r="J2623" s="1">
        <v>46203</v>
      </c>
      <c r="K2623" t="s">
        <v>711</v>
      </c>
      <c r="L2623">
        <v>4137.54</v>
      </c>
      <c r="M2623">
        <v>4137.54</v>
      </c>
      <c r="N2623" t="s">
        <v>710</v>
      </c>
      <c r="O2623" t="s">
        <v>4834</v>
      </c>
      <c r="P2623" t="s">
        <v>4776</v>
      </c>
      <c r="Q2623" t="s">
        <v>4901</v>
      </c>
      <c r="R2623" t="s">
        <v>4771</v>
      </c>
    </row>
    <row r="2624" spans="1:18" x14ac:dyDescent="0.3">
      <c r="A2624">
        <v>132</v>
      </c>
      <c r="B2624" t="s">
        <v>1034</v>
      </c>
      <c r="C2624" t="s">
        <v>319</v>
      </c>
      <c r="D2624" t="s">
        <v>36</v>
      </c>
      <c r="E2624" s="1">
        <v>45910</v>
      </c>
      <c r="F2624" t="s">
        <v>4298</v>
      </c>
      <c r="G2624" t="s">
        <v>2819</v>
      </c>
      <c r="H2624" t="s">
        <v>318</v>
      </c>
      <c r="I2624" t="s">
        <v>204</v>
      </c>
      <c r="J2624" s="1">
        <v>46214</v>
      </c>
      <c r="K2624" t="s">
        <v>711</v>
      </c>
      <c r="L2624">
        <v>682</v>
      </c>
      <c r="M2624">
        <v>682.05</v>
      </c>
      <c r="N2624" t="s">
        <v>710</v>
      </c>
      <c r="O2624" t="s">
        <v>1036</v>
      </c>
      <c r="P2624" t="s">
        <v>4784</v>
      </c>
      <c r="Q2624" t="s">
        <v>4901</v>
      </c>
      <c r="R2624" t="s">
        <v>4771</v>
      </c>
    </row>
    <row r="2625" spans="1:18" x14ac:dyDescent="0.3">
      <c r="A2625">
        <v>2025165</v>
      </c>
      <c r="B2625" t="s">
        <v>4875</v>
      </c>
      <c r="C2625" t="s">
        <v>322</v>
      </c>
      <c r="D2625" t="s">
        <v>158</v>
      </c>
      <c r="E2625" s="1">
        <v>45910</v>
      </c>
      <c r="F2625" t="s">
        <v>4433</v>
      </c>
      <c r="G2625" t="s">
        <v>2721</v>
      </c>
      <c r="H2625" t="s">
        <v>346</v>
      </c>
      <c r="I2625" t="s">
        <v>204</v>
      </c>
      <c r="J2625" s="1">
        <v>46310</v>
      </c>
      <c r="K2625" t="s">
        <v>748</v>
      </c>
      <c r="L2625">
        <v>27295.7</v>
      </c>
      <c r="M2625">
        <v>27295.7</v>
      </c>
      <c r="N2625" t="s">
        <v>710</v>
      </c>
      <c r="O2625" t="s">
        <v>1040</v>
      </c>
      <c r="P2625" t="s">
        <v>4782</v>
      </c>
      <c r="Q2625" t="s">
        <v>4856</v>
      </c>
      <c r="R2625" t="s">
        <v>4773</v>
      </c>
    </row>
    <row r="2626" spans="1:18" x14ac:dyDescent="0.3">
      <c r="A2626">
        <v>2025166</v>
      </c>
      <c r="B2626" t="s">
        <v>4875</v>
      </c>
      <c r="C2626" t="s">
        <v>322</v>
      </c>
      <c r="D2626" t="s">
        <v>158</v>
      </c>
      <c r="E2626" s="1">
        <v>45910</v>
      </c>
      <c r="F2626" t="s">
        <v>4431</v>
      </c>
      <c r="G2626" t="s">
        <v>2722</v>
      </c>
      <c r="H2626" t="s">
        <v>321</v>
      </c>
      <c r="I2626" t="s">
        <v>204</v>
      </c>
      <c r="J2626" s="1">
        <v>46310</v>
      </c>
      <c r="K2626" t="s">
        <v>748</v>
      </c>
      <c r="L2626">
        <v>12892.5</v>
      </c>
      <c r="M2626">
        <v>12892.5</v>
      </c>
      <c r="N2626" t="s">
        <v>710</v>
      </c>
      <c r="O2626" t="s">
        <v>1040</v>
      </c>
      <c r="P2626" t="s">
        <v>4782</v>
      </c>
      <c r="Q2626" t="s">
        <v>4856</v>
      </c>
      <c r="R2626" t="s">
        <v>4773</v>
      </c>
    </row>
    <row r="2627" spans="1:18" x14ac:dyDescent="0.3">
      <c r="A2627">
        <v>2208</v>
      </c>
      <c r="B2627" t="s">
        <v>4875</v>
      </c>
      <c r="C2627" t="s">
        <v>616</v>
      </c>
      <c r="D2627" t="s">
        <v>152</v>
      </c>
      <c r="E2627" s="1">
        <v>45910</v>
      </c>
      <c r="F2627" t="s">
        <v>4338</v>
      </c>
      <c r="G2627" t="s">
        <v>2678</v>
      </c>
      <c r="H2627" t="s">
        <v>622</v>
      </c>
      <c r="I2627" t="s">
        <v>204</v>
      </c>
      <c r="J2627" s="1">
        <v>46351</v>
      </c>
      <c r="K2627" t="s">
        <v>748</v>
      </c>
      <c r="L2627">
        <v>1</v>
      </c>
      <c r="M2627">
        <v>28600.99</v>
      </c>
      <c r="N2627" t="s">
        <v>710</v>
      </c>
      <c r="O2627" t="s">
        <v>4904</v>
      </c>
      <c r="P2627" t="s">
        <v>4796</v>
      </c>
      <c r="Q2627" t="s">
        <v>4856</v>
      </c>
      <c r="R2627" t="s">
        <v>4772</v>
      </c>
    </row>
    <row r="2628" spans="1:18" x14ac:dyDescent="0.3">
      <c r="A2628">
        <v>202525568</v>
      </c>
      <c r="B2628" t="s">
        <v>4874</v>
      </c>
      <c r="C2628" t="s">
        <v>222</v>
      </c>
      <c r="D2628" t="s">
        <v>80</v>
      </c>
      <c r="E2628" s="1">
        <v>45909</v>
      </c>
      <c r="F2628" t="s">
        <v>4419</v>
      </c>
      <c r="G2628" t="s">
        <v>2804</v>
      </c>
      <c r="H2628" t="s">
        <v>223</v>
      </c>
      <c r="I2628" t="s">
        <v>204</v>
      </c>
      <c r="J2628" s="1">
        <v>46504</v>
      </c>
      <c r="K2628" t="s">
        <v>720</v>
      </c>
      <c r="L2628">
        <v>1</v>
      </c>
      <c r="M2628">
        <v>500</v>
      </c>
      <c r="N2628" t="s">
        <v>710</v>
      </c>
      <c r="O2628" t="s">
        <v>4834</v>
      </c>
      <c r="P2628" t="s">
        <v>4778</v>
      </c>
      <c r="Q2628" t="s">
        <v>4858</v>
      </c>
      <c r="R2628" t="s">
        <v>4773</v>
      </c>
    </row>
    <row r="2629" spans="1:18" x14ac:dyDescent="0.3">
      <c r="A2629">
        <v>184638</v>
      </c>
      <c r="B2629" t="s">
        <v>4874</v>
      </c>
      <c r="C2629" t="s">
        <v>411</v>
      </c>
      <c r="D2629" t="s">
        <v>154</v>
      </c>
      <c r="E2629" s="1">
        <v>45909</v>
      </c>
      <c r="F2629" t="s">
        <v>4345</v>
      </c>
      <c r="G2629" t="s">
        <v>2746</v>
      </c>
      <c r="H2629" t="s">
        <v>410</v>
      </c>
      <c r="I2629" t="s">
        <v>204</v>
      </c>
      <c r="J2629" s="1">
        <v>46344</v>
      </c>
      <c r="K2629" t="s">
        <v>762</v>
      </c>
      <c r="L2629">
        <v>16275.21</v>
      </c>
      <c r="M2629">
        <v>16275.21</v>
      </c>
      <c r="N2629" t="s">
        <v>710</v>
      </c>
      <c r="O2629" t="s">
        <v>4833</v>
      </c>
      <c r="P2629" t="s">
        <v>4776</v>
      </c>
      <c r="Q2629" t="s">
        <v>4852</v>
      </c>
      <c r="R2629" t="s">
        <v>4773</v>
      </c>
    </row>
    <row r="2630" spans="1:18" x14ac:dyDescent="0.3">
      <c r="A2630">
        <v>78482</v>
      </c>
      <c r="B2630" t="s">
        <v>4874</v>
      </c>
      <c r="C2630" t="s">
        <v>634</v>
      </c>
      <c r="D2630" t="s">
        <v>99</v>
      </c>
      <c r="E2630" s="1">
        <v>45909</v>
      </c>
      <c r="F2630" t="s">
        <v>4310</v>
      </c>
      <c r="G2630" t="s">
        <v>2738</v>
      </c>
      <c r="H2630" t="s">
        <v>633</v>
      </c>
      <c r="I2630" t="s">
        <v>204</v>
      </c>
      <c r="J2630" s="1">
        <v>46204</v>
      </c>
      <c r="K2630" t="s">
        <v>762</v>
      </c>
      <c r="L2630">
        <v>183</v>
      </c>
      <c r="M2630">
        <v>669.78</v>
      </c>
      <c r="N2630" t="s">
        <v>719</v>
      </c>
      <c r="O2630" t="s">
        <v>1037</v>
      </c>
      <c r="P2630" t="s">
        <v>4790</v>
      </c>
      <c r="Q2630" t="s">
        <v>4852</v>
      </c>
    </row>
    <row r="2631" spans="1:18" x14ac:dyDescent="0.3">
      <c r="A2631">
        <v>78482</v>
      </c>
      <c r="B2631" t="s">
        <v>4874</v>
      </c>
      <c r="C2631" t="s">
        <v>634</v>
      </c>
      <c r="D2631" t="s">
        <v>99</v>
      </c>
      <c r="E2631" s="1">
        <v>45909</v>
      </c>
      <c r="F2631" t="s">
        <v>4400</v>
      </c>
      <c r="G2631" t="s">
        <v>2738</v>
      </c>
      <c r="H2631" t="s">
        <v>633</v>
      </c>
      <c r="I2631" t="s">
        <v>204</v>
      </c>
      <c r="J2631" s="1">
        <v>46204</v>
      </c>
      <c r="K2631" t="s">
        <v>762</v>
      </c>
      <c r="L2631">
        <v>25</v>
      </c>
      <c r="M2631">
        <v>146.5</v>
      </c>
      <c r="N2631" t="s">
        <v>719</v>
      </c>
      <c r="O2631" t="s">
        <v>1037</v>
      </c>
      <c r="P2631" t="s">
        <v>4790</v>
      </c>
      <c r="Q2631" t="s">
        <v>4852</v>
      </c>
    </row>
    <row r="2632" spans="1:18" x14ac:dyDescent="0.3">
      <c r="A2632">
        <v>78482</v>
      </c>
      <c r="B2632" t="s">
        <v>4874</v>
      </c>
      <c r="C2632" t="s">
        <v>634</v>
      </c>
      <c r="D2632" t="s">
        <v>99</v>
      </c>
      <c r="E2632" s="1">
        <v>45909</v>
      </c>
      <c r="F2632" t="s">
        <v>4329</v>
      </c>
      <c r="G2632" t="s">
        <v>2738</v>
      </c>
      <c r="H2632" t="s">
        <v>633</v>
      </c>
      <c r="I2632" t="s">
        <v>204</v>
      </c>
      <c r="J2632" s="1">
        <v>46204</v>
      </c>
      <c r="K2632" t="s">
        <v>762</v>
      </c>
      <c r="L2632">
        <v>66</v>
      </c>
      <c r="M2632">
        <v>877.14</v>
      </c>
      <c r="N2632" t="s">
        <v>719</v>
      </c>
      <c r="O2632" t="s">
        <v>1037</v>
      </c>
      <c r="P2632" t="s">
        <v>4790</v>
      </c>
      <c r="Q2632" t="s">
        <v>4852</v>
      </c>
    </row>
    <row r="2633" spans="1:18" x14ac:dyDescent="0.3">
      <c r="A2633">
        <v>78482</v>
      </c>
      <c r="B2633" t="s">
        <v>4874</v>
      </c>
      <c r="C2633" t="s">
        <v>634</v>
      </c>
      <c r="D2633" t="s">
        <v>99</v>
      </c>
      <c r="E2633" s="1">
        <v>45909</v>
      </c>
      <c r="F2633" t="s">
        <v>4308</v>
      </c>
      <c r="G2633" t="s">
        <v>2738</v>
      </c>
      <c r="H2633" t="s">
        <v>633</v>
      </c>
      <c r="I2633" t="s">
        <v>204</v>
      </c>
      <c r="J2633" s="1">
        <v>46204</v>
      </c>
      <c r="K2633" t="s">
        <v>762</v>
      </c>
      <c r="L2633">
        <v>133</v>
      </c>
      <c r="M2633">
        <v>647.71</v>
      </c>
      <c r="N2633" t="s">
        <v>719</v>
      </c>
      <c r="O2633" t="s">
        <v>1037</v>
      </c>
      <c r="P2633" t="s">
        <v>4790</v>
      </c>
      <c r="Q2633" t="s">
        <v>4852</v>
      </c>
    </row>
    <row r="2634" spans="1:18" x14ac:dyDescent="0.3">
      <c r="A2634">
        <v>78482</v>
      </c>
      <c r="B2634" t="s">
        <v>4874</v>
      </c>
      <c r="C2634" t="s">
        <v>634</v>
      </c>
      <c r="D2634" t="s">
        <v>99</v>
      </c>
      <c r="E2634" s="1">
        <v>45909</v>
      </c>
      <c r="F2634" t="s">
        <v>4394</v>
      </c>
      <c r="G2634" t="s">
        <v>2738</v>
      </c>
      <c r="H2634" t="s">
        <v>633</v>
      </c>
      <c r="I2634" t="s">
        <v>204</v>
      </c>
      <c r="J2634" s="1">
        <v>46204</v>
      </c>
      <c r="K2634" t="s">
        <v>762</v>
      </c>
      <c r="L2634">
        <v>2496</v>
      </c>
      <c r="M2634">
        <v>2496</v>
      </c>
      <c r="N2634" t="s">
        <v>719</v>
      </c>
      <c r="O2634" t="s">
        <v>1037</v>
      </c>
      <c r="P2634" t="s">
        <v>4790</v>
      </c>
      <c r="Q2634" t="s">
        <v>4852</v>
      </c>
    </row>
    <row r="2635" spans="1:18" x14ac:dyDescent="0.3">
      <c r="A2635">
        <v>78482</v>
      </c>
      <c r="B2635" t="s">
        <v>4874</v>
      </c>
      <c r="C2635" t="s">
        <v>634</v>
      </c>
      <c r="D2635" t="s">
        <v>99</v>
      </c>
      <c r="E2635" s="1">
        <v>45909</v>
      </c>
      <c r="F2635" t="s">
        <v>4307</v>
      </c>
      <c r="G2635" t="s">
        <v>2738</v>
      </c>
      <c r="H2635" t="s">
        <v>633</v>
      </c>
      <c r="I2635" t="s">
        <v>204</v>
      </c>
      <c r="J2635" s="1">
        <v>46204</v>
      </c>
      <c r="K2635" t="s">
        <v>762</v>
      </c>
      <c r="L2635">
        <v>2496</v>
      </c>
      <c r="M2635">
        <v>38912.639999999999</v>
      </c>
      <c r="N2635" t="s">
        <v>719</v>
      </c>
      <c r="O2635" t="s">
        <v>1037</v>
      </c>
      <c r="P2635" t="s">
        <v>4790</v>
      </c>
      <c r="Q2635" t="s">
        <v>4852</v>
      </c>
    </row>
    <row r="2636" spans="1:18" x14ac:dyDescent="0.3">
      <c r="A2636">
        <v>208888</v>
      </c>
      <c r="B2636" t="s">
        <v>4874</v>
      </c>
      <c r="C2636" t="s">
        <v>441</v>
      </c>
      <c r="D2636" t="s">
        <v>38</v>
      </c>
      <c r="E2636" s="1">
        <v>45909</v>
      </c>
      <c r="F2636" t="s">
        <v>4393</v>
      </c>
      <c r="G2636" t="s">
        <v>2790</v>
      </c>
      <c r="H2636" t="s">
        <v>440</v>
      </c>
      <c r="I2636" t="s">
        <v>204</v>
      </c>
      <c r="J2636" s="1">
        <v>46191</v>
      </c>
      <c r="K2636" t="s">
        <v>762</v>
      </c>
      <c r="L2636">
        <v>11315</v>
      </c>
      <c r="M2636">
        <v>11315</v>
      </c>
      <c r="N2636" t="s">
        <v>710</v>
      </c>
      <c r="O2636" t="s">
        <v>4833</v>
      </c>
      <c r="P2636" t="s">
        <v>4786</v>
      </c>
      <c r="Q2636" t="s">
        <v>4852</v>
      </c>
      <c r="R2636" t="s">
        <v>4773</v>
      </c>
    </row>
    <row r="2637" spans="1:18" x14ac:dyDescent="0.3">
      <c r="A2637">
        <v>592024</v>
      </c>
      <c r="B2637" t="s">
        <v>4874</v>
      </c>
      <c r="C2637" t="s">
        <v>248</v>
      </c>
      <c r="D2637" t="s">
        <v>13</v>
      </c>
      <c r="E2637" s="1">
        <v>45909</v>
      </c>
      <c r="F2637" t="s">
        <v>4297</v>
      </c>
      <c r="G2637" t="s">
        <v>2785</v>
      </c>
      <c r="H2637" t="s">
        <v>247</v>
      </c>
      <c r="I2637" t="s">
        <v>204</v>
      </c>
      <c r="J2637" s="1">
        <v>54878</v>
      </c>
      <c r="K2637" t="s">
        <v>720</v>
      </c>
      <c r="L2637">
        <v>1</v>
      </c>
      <c r="M2637">
        <v>573.72</v>
      </c>
      <c r="N2637" t="s">
        <v>710</v>
      </c>
      <c r="O2637" t="s">
        <v>1038</v>
      </c>
      <c r="P2637" t="s">
        <v>4779</v>
      </c>
      <c r="Q2637" t="s">
        <v>4858</v>
      </c>
      <c r="R2637" t="s">
        <v>4773</v>
      </c>
    </row>
    <row r="2638" spans="1:18" x14ac:dyDescent="0.3">
      <c r="A2638">
        <v>804251</v>
      </c>
      <c r="B2638" t="s">
        <v>4875</v>
      </c>
      <c r="C2638" t="s">
        <v>609</v>
      </c>
      <c r="D2638" t="s">
        <v>182</v>
      </c>
      <c r="E2638" s="1">
        <v>45909</v>
      </c>
      <c r="F2638" t="s">
        <v>4336</v>
      </c>
      <c r="G2638" t="s">
        <v>2782</v>
      </c>
      <c r="H2638" t="s">
        <v>610</v>
      </c>
      <c r="I2638" t="s">
        <v>204</v>
      </c>
      <c r="J2638" s="1">
        <v>46282</v>
      </c>
      <c r="K2638" t="s">
        <v>768</v>
      </c>
      <c r="L2638">
        <v>1</v>
      </c>
      <c r="M2638">
        <v>6737.24</v>
      </c>
      <c r="N2638" t="s">
        <v>710</v>
      </c>
      <c r="O2638" t="s">
        <v>1037</v>
      </c>
      <c r="P2638" t="s">
        <v>4794</v>
      </c>
      <c r="Q2638" t="s">
        <v>4852</v>
      </c>
      <c r="R2638" t="s">
        <v>4772</v>
      </c>
    </row>
    <row r="2639" spans="1:18" x14ac:dyDescent="0.3">
      <c r="A2639">
        <v>316</v>
      </c>
      <c r="B2639" t="s">
        <v>1034</v>
      </c>
      <c r="C2639" t="s">
        <v>479</v>
      </c>
      <c r="D2639" t="s">
        <v>99</v>
      </c>
      <c r="E2639" s="1">
        <v>45909</v>
      </c>
      <c r="F2639" t="s">
        <v>4373</v>
      </c>
      <c r="G2639" t="s">
        <v>2739</v>
      </c>
      <c r="H2639" t="s">
        <v>478</v>
      </c>
      <c r="I2639" t="s">
        <v>204</v>
      </c>
      <c r="J2639" s="1">
        <v>46239</v>
      </c>
      <c r="K2639" t="s">
        <v>717</v>
      </c>
      <c r="L2639">
        <v>6</v>
      </c>
      <c r="M2639">
        <v>92.52</v>
      </c>
      <c r="N2639" t="s">
        <v>710</v>
      </c>
      <c r="O2639" t="s">
        <v>1037</v>
      </c>
      <c r="P2639" t="s">
        <v>4790</v>
      </c>
      <c r="Q2639" t="s">
        <v>4852</v>
      </c>
      <c r="R2639" t="s">
        <v>4772</v>
      </c>
    </row>
    <row r="2640" spans="1:18" x14ac:dyDescent="0.3">
      <c r="A2640">
        <v>316</v>
      </c>
      <c r="B2640" t="s">
        <v>1034</v>
      </c>
      <c r="C2640" t="s">
        <v>479</v>
      </c>
      <c r="D2640" t="s">
        <v>99</v>
      </c>
      <c r="E2640" s="1">
        <v>45909</v>
      </c>
      <c r="F2640" t="s">
        <v>4374</v>
      </c>
      <c r="G2640" t="s">
        <v>2739</v>
      </c>
      <c r="H2640" t="s">
        <v>478</v>
      </c>
      <c r="I2640" t="s">
        <v>204</v>
      </c>
      <c r="J2640" s="1">
        <v>46239</v>
      </c>
      <c r="K2640" t="s">
        <v>717</v>
      </c>
      <c r="L2640">
        <v>8</v>
      </c>
      <c r="M2640">
        <v>180.24</v>
      </c>
      <c r="N2640" t="s">
        <v>710</v>
      </c>
      <c r="O2640" t="s">
        <v>1037</v>
      </c>
      <c r="P2640" t="s">
        <v>4790</v>
      </c>
      <c r="Q2640" t="s">
        <v>4852</v>
      </c>
      <c r="R2640" t="s">
        <v>4772</v>
      </c>
    </row>
    <row r="2641" spans="1:18" x14ac:dyDescent="0.3">
      <c r="A2641">
        <v>316</v>
      </c>
      <c r="B2641" t="s">
        <v>1034</v>
      </c>
      <c r="C2641" t="s">
        <v>479</v>
      </c>
      <c r="D2641" t="s">
        <v>99</v>
      </c>
      <c r="E2641" s="1">
        <v>45909</v>
      </c>
      <c r="F2641" t="s">
        <v>4375</v>
      </c>
      <c r="G2641" t="s">
        <v>2739</v>
      </c>
      <c r="H2641" t="s">
        <v>478</v>
      </c>
      <c r="I2641" t="s">
        <v>204</v>
      </c>
      <c r="J2641" s="1">
        <v>46239</v>
      </c>
      <c r="K2641" t="s">
        <v>717</v>
      </c>
      <c r="L2641">
        <v>12</v>
      </c>
      <c r="M2641">
        <v>143.76</v>
      </c>
      <c r="N2641" t="s">
        <v>710</v>
      </c>
      <c r="O2641" t="s">
        <v>1037</v>
      </c>
      <c r="P2641" t="s">
        <v>4790</v>
      </c>
      <c r="Q2641" t="s">
        <v>4852</v>
      </c>
      <c r="R2641" t="s">
        <v>4772</v>
      </c>
    </row>
    <row r="2642" spans="1:18" x14ac:dyDescent="0.3">
      <c r="A2642">
        <v>316</v>
      </c>
      <c r="B2642" t="s">
        <v>1034</v>
      </c>
      <c r="C2642" t="s">
        <v>479</v>
      </c>
      <c r="D2642" t="s">
        <v>99</v>
      </c>
      <c r="E2642" s="1">
        <v>45909</v>
      </c>
      <c r="F2642" t="s">
        <v>4376</v>
      </c>
      <c r="G2642" t="s">
        <v>2739</v>
      </c>
      <c r="H2642" t="s">
        <v>478</v>
      </c>
      <c r="I2642" t="s">
        <v>204</v>
      </c>
      <c r="J2642" s="1">
        <v>46239</v>
      </c>
      <c r="K2642" t="s">
        <v>717</v>
      </c>
      <c r="L2642">
        <v>26</v>
      </c>
      <c r="M2642">
        <v>311.48</v>
      </c>
      <c r="N2642" t="s">
        <v>710</v>
      </c>
      <c r="O2642" t="s">
        <v>1037</v>
      </c>
      <c r="P2642" t="s">
        <v>4790</v>
      </c>
      <c r="Q2642" t="s">
        <v>4852</v>
      </c>
      <c r="R2642" t="s">
        <v>4772</v>
      </c>
    </row>
    <row r="2643" spans="1:18" x14ac:dyDescent="0.3">
      <c r="A2643">
        <v>804252</v>
      </c>
      <c r="B2643" t="s">
        <v>1034</v>
      </c>
      <c r="C2643" t="s">
        <v>609</v>
      </c>
      <c r="D2643" t="s">
        <v>182</v>
      </c>
      <c r="E2643" s="1">
        <v>45909</v>
      </c>
      <c r="F2643" t="s">
        <v>4336</v>
      </c>
      <c r="G2643" t="s">
        <v>2783</v>
      </c>
      <c r="H2643" t="s">
        <v>608</v>
      </c>
      <c r="I2643" t="s">
        <v>204</v>
      </c>
      <c r="J2643" s="1">
        <v>46281</v>
      </c>
      <c r="K2643" t="s">
        <v>717</v>
      </c>
      <c r="L2643">
        <v>1</v>
      </c>
      <c r="M2643">
        <v>32999.440000000002</v>
      </c>
      <c r="N2643" t="s">
        <v>719</v>
      </c>
      <c r="O2643" t="s">
        <v>1037</v>
      </c>
      <c r="P2643" t="s">
        <v>4794</v>
      </c>
      <c r="Q2643" t="s">
        <v>4852</v>
      </c>
      <c r="R2643" t="s">
        <v>4772</v>
      </c>
    </row>
    <row r="2644" spans="1:18" x14ac:dyDescent="0.3">
      <c r="A2644">
        <v>180447446</v>
      </c>
      <c r="B2644" t="s">
        <v>1034</v>
      </c>
      <c r="C2644" t="s">
        <v>585</v>
      </c>
      <c r="D2644" t="s">
        <v>179</v>
      </c>
      <c r="E2644" s="1">
        <v>45909</v>
      </c>
      <c r="F2644" t="s">
        <v>4306</v>
      </c>
      <c r="G2644" t="s">
        <v>2768</v>
      </c>
      <c r="H2644" t="s">
        <v>584</v>
      </c>
      <c r="I2644" t="s">
        <v>204</v>
      </c>
      <c r="J2644" s="1">
        <v>46477</v>
      </c>
      <c r="K2644" t="s">
        <v>717</v>
      </c>
      <c r="L2644">
        <v>1139.9000000000001</v>
      </c>
      <c r="M2644">
        <v>1139.9000000000001</v>
      </c>
      <c r="N2644" t="s">
        <v>719</v>
      </c>
      <c r="O2644" t="s">
        <v>4833</v>
      </c>
      <c r="P2644" t="s">
        <v>4786</v>
      </c>
      <c r="Q2644" t="s">
        <v>4852</v>
      </c>
      <c r="R2644" t="s">
        <v>4771</v>
      </c>
    </row>
    <row r="2645" spans="1:18" x14ac:dyDescent="0.3">
      <c r="A2645">
        <v>6561</v>
      </c>
      <c r="B2645" t="s">
        <v>1034</v>
      </c>
      <c r="C2645" t="s">
        <v>319</v>
      </c>
      <c r="D2645" t="s">
        <v>36</v>
      </c>
      <c r="E2645" s="1">
        <v>45909</v>
      </c>
      <c r="F2645" t="s">
        <v>4298</v>
      </c>
      <c r="G2645" t="s">
        <v>2806</v>
      </c>
      <c r="H2645" t="s">
        <v>318</v>
      </c>
      <c r="I2645" t="s">
        <v>204</v>
      </c>
      <c r="J2645" s="1">
        <v>46214</v>
      </c>
      <c r="K2645" t="s">
        <v>711</v>
      </c>
      <c r="L2645">
        <v>1755</v>
      </c>
      <c r="M2645">
        <v>1754.89</v>
      </c>
      <c r="N2645" t="s">
        <v>710</v>
      </c>
      <c r="O2645" t="s">
        <v>1036</v>
      </c>
      <c r="P2645" t="s">
        <v>4784</v>
      </c>
      <c r="Q2645" t="s">
        <v>4901</v>
      </c>
      <c r="R2645" t="s">
        <v>4771</v>
      </c>
    </row>
    <row r="2646" spans="1:18" x14ac:dyDescent="0.3">
      <c r="A2646">
        <v>734015</v>
      </c>
      <c r="B2646" t="s">
        <v>4874</v>
      </c>
      <c r="C2646" t="s">
        <v>298</v>
      </c>
      <c r="D2646" t="s">
        <v>11</v>
      </c>
      <c r="E2646" s="1">
        <v>45909</v>
      </c>
      <c r="F2646" t="s">
        <v>4297</v>
      </c>
      <c r="G2646" t="s">
        <v>2786</v>
      </c>
      <c r="H2646" t="s">
        <v>297</v>
      </c>
      <c r="I2646" t="s">
        <v>204</v>
      </c>
      <c r="J2646" s="1">
        <v>54878</v>
      </c>
      <c r="K2646" t="s">
        <v>720</v>
      </c>
      <c r="L2646">
        <v>1</v>
      </c>
      <c r="M2646">
        <v>1225.32</v>
      </c>
      <c r="N2646" t="s">
        <v>710</v>
      </c>
      <c r="O2646" t="s">
        <v>1038</v>
      </c>
      <c r="P2646" t="s">
        <v>4779</v>
      </c>
      <c r="Q2646" t="s">
        <v>4858</v>
      </c>
      <c r="R2646" t="s">
        <v>4771</v>
      </c>
    </row>
    <row r="2647" spans="1:18" x14ac:dyDescent="0.3">
      <c r="A2647">
        <v>180447447</v>
      </c>
      <c r="B2647" t="s">
        <v>4875</v>
      </c>
      <c r="C2647" t="s">
        <v>585</v>
      </c>
      <c r="D2647" t="s">
        <v>179</v>
      </c>
      <c r="E2647" s="1">
        <v>45909</v>
      </c>
      <c r="F2647" t="s">
        <v>4306</v>
      </c>
      <c r="G2647" t="s">
        <v>2769</v>
      </c>
      <c r="H2647" t="s">
        <v>586</v>
      </c>
      <c r="I2647" t="s">
        <v>204</v>
      </c>
      <c r="J2647" s="1">
        <v>46477</v>
      </c>
      <c r="K2647" t="s">
        <v>768</v>
      </c>
      <c r="L2647">
        <v>1139.9000000000001</v>
      </c>
      <c r="M2647">
        <v>1139.9000000000001</v>
      </c>
      <c r="N2647" t="s">
        <v>719</v>
      </c>
      <c r="O2647" t="s">
        <v>4833</v>
      </c>
      <c r="P2647" t="s">
        <v>4786</v>
      </c>
      <c r="Q2647" t="s">
        <v>4852</v>
      </c>
      <c r="R2647" t="s">
        <v>4771</v>
      </c>
    </row>
    <row r="2648" spans="1:18" x14ac:dyDescent="0.3">
      <c r="A2648">
        <v>120</v>
      </c>
      <c r="B2648" t="s">
        <v>1034</v>
      </c>
      <c r="C2648" t="s">
        <v>618</v>
      </c>
      <c r="D2648" t="s">
        <v>112</v>
      </c>
      <c r="E2648" s="1">
        <v>45909</v>
      </c>
      <c r="F2648" t="s">
        <v>4361</v>
      </c>
      <c r="G2648" t="s">
        <v>2796</v>
      </c>
      <c r="H2648" t="s">
        <v>617</v>
      </c>
      <c r="I2648" t="s">
        <v>204</v>
      </c>
      <c r="J2648" s="1">
        <v>46347</v>
      </c>
      <c r="K2648" t="s">
        <v>711</v>
      </c>
      <c r="L2648">
        <v>1</v>
      </c>
      <c r="M2648">
        <v>1020</v>
      </c>
      <c r="N2648" t="s">
        <v>818</v>
      </c>
      <c r="O2648" t="s">
        <v>1036</v>
      </c>
      <c r="P2648" t="s">
        <v>4776</v>
      </c>
      <c r="Q2648" t="s">
        <v>4901</v>
      </c>
      <c r="R2648" t="s">
        <v>4771</v>
      </c>
    </row>
    <row r="2649" spans="1:18" x14ac:dyDescent="0.3">
      <c r="A2649">
        <v>81127</v>
      </c>
      <c r="B2649" t="s">
        <v>4874</v>
      </c>
      <c r="C2649" t="s">
        <v>614</v>
      </c>
      <c r="D2649" t="s">
        <v>74</v>
      </c>
      <c r="E2649" s="1">
        <v>45908</v>
      </c>
      <c r="F2649" t="s">
        <v>4362</v>
      </c>
      <c r="G2649" t="s">
        <v>2031</v>
      </c>
      <c r="H2649" t="s">
        <v>613</v>
      </c>
      <c r="I2649" t="s">
        <v>204</v>
      </c>
      <c r="J2649" s="1">
        <v>46993</v>
      </c>
      <c r="K2649" t="s">
        <v>720</v>
      </c>
      <c r="L2649">
        <v>1</v>
      </c>
      <c r="M2649">
        <v>1515</v>
      </c>
      <c r="N2649" t="s">
        <v>710</v>
      </c>
      <c r="O2649" t="s">
        <v>1038</v>
      </c>
      <c r="P2649" t="s">
        <v>4779</v>
      </c>
      <c r="Q2649" t="s">
        <v>4858</v>
      </c>
      <c r="R2649" t="s">
        <v>4771</v>
      </c>
    </row>
    <row r="2650" spans="1:18" x14ac:dyDescent="0.3">
      <c r="A2650">
        <v>2695</v>
      </c>
      <c r="B2650" t="s">
        <v>4874</v>
      </c>
      <c r="C2650" t="s">
        <v>541</v>
      </c>
      <c r="D2650" t="s">
        <v>173</v>
      </c>
      <c r="E2650" s="1">
        <v>45908</v>
      </c>
      <c r="F2650" t="s">
        <v>4326</v>
      </c>
      <c r="G2650" t="s">
        <v>2757</v>
      </c>
      <c r="H2650" t="s">
        <v>548</v>
      </c>
      <c r="I2650" t="s">
        <v>204</v>
      </c>
      <c r="J2650" s="1">
        <v>46387</v>
      </c>
      <c r="K2650" t="s">
        <v>720</v>
      </c>
      <c r="L2650">
        <v>1</v>
      </c>
      <c r="M2650">
        <v>2300</v>
      </c>
      <c r="N2650" t="s">
        <v>710</v>
      </c>
      <c r="O2650" t="s">
        <v>1038</v>
      </c>
      <c r="P2650" t="s">
        <v>4791</v>
      </c>
      <c r="Q2650" t="s">
        <v>4858</v>
      </c>
      <c r="R2650" t="s">
        <v>4773</v>
      </c>
    </row>
    <row r="2651" spans="1:18" x14ac:dyDescent="0.3">
      <c r="A2651">
        <v>646208</v>
      </c>
      <c r="B2651" t="s">
        <v>4874</v>
      </c>
      <c r="C2651" t="s">
        <v>491</v>
      </c>
      <c r="D2651" t="s">
        <v>33</v>
      </c>
      <c r="E2651" s="1">
        <v>45908</v>
      </c>
      <c r="F2651" t="s">
        <v>4389</v>
      </c>
      <c r="G2651" t="s">
        <v>2743</v>
      </c>
      <c r="H2651" t="s">
        <v>490</v>
      </c>
      <c r="I2651" t="s">
        <v>204</v>
      </c>
      <c r="J2651" s="1">
        <v>54878</v>
      </c>
      <c r="K2651" t="s">
        <v>762</v>
      </c>
      <c r="L2651">
        <v>166.2</v>
      </c>
      <c r="M2651">
        <v>166.2</v>
      </c>
      <c r="N2651" t="s">
        <v>710</v>
      </c>
      <c r="O2651" t="s">
        <v>4845</v>
      </c>
      <c r="P2651" t="s">
        <v>4776</v>
      </c>
      <c r="Q2651" t="s">
        <v>4845</v>
      </c>
      <c r="R2651" t="s">
        <v>4771</v>
      </c>
    </row>
    <row r="2652" spans="1:18" x14ac:dyDescent="0.3">
      <c r="A2652">
        <v>305208</v>
      </c>
      <c r="B2652" t="s">
        <v>4874</v>
      </c>
      <c r="C2652" t="s">
        <v>491</v>
      </c>
      <c r="D2652" t="s">
        <v>33</v>
      </c>
      <c r="E2652" s="1">
        <v>45908</v>
      </c>
      <c r="F2652" t="s">
        <v>4407</v>
      </c>
      <c r="G2652" t="s">
        <v>2743</v>
      </c>
      <c r="H2652" t="s">
        <v>490</v>
      </c>
      <c r="I2652" t="s">
        <v>204</v>
      </c>
      <c r="J2652" s="1">
        <v>54878</v>
      </c>
      <c r="K2652" t="s">
        <v>762</v>
      </c>
      <c r="L2652">
        <v>350.66</v>
      </c>
      <c r="M2652">
        <v>350.66</v>
      </c>
      <c r="N2652" t="s">
        <v>710</v>
      </c>
      <c r="O2652" t="s">
        <v>4845</v>
      </c>
      <c r="P2652" t="s">
        <v>4776</v>
      </c>
      <c r="Q2652" t="s">
        <v>4845</v>
      </c>
      <c r="R2652" t="s">
        <v>4771</v>
      </c>
    </row>
    <row r="2653" spans="1:18" x14ac:dyDescent="0.3">
      <c r="A2653">
        <v>3275</v>
      </c>
      <c r="B2653" t="s">
        <v>4874</v>
      </c>
      <c r="C2653" t="s">
        <v>572</v>
      </c>
      <c r="D2653" t="s">
        <v>43</v>
      </c>
      <c r="E2653" s="1">
        <v>45908</v>
      </c>
      <c r="F2653" t="s">
        <v>4321</v>
      </c>
      <c r="G2653" t="s">
        <v>2704</v>
      </c>
      <c r="H2653" t="s">
        <v>571</v>
      </c>
      <c r="I2653" t="s">
        <v>204</v>
      </c>
      <c r="J2653" s="1">
        <v>46387</v>
      </c>
      <c r="K2653" t="s">
        <v>720</v>
      </c>
      <c r="L2653">
        <v>1</v>
      </c>
      <c r="M2653">
        <v>1168</v>
      </c>
      <c r="N2653" t="s">
        <v>814</v>
      </c>
      <c r="O2653" t="s">
        <v>1038</v>
      </c>
      <c r="P2653" t="s">
        <v>4782</v>
      </c>
      <c r="Q2653" t="s">
        <v>4858</v>
      </c>
      <c r="R2653" t="s">
        <v>4771</v>
      </c>
    </row>
    <row r="2654" spans="1:18" x14ac:dyDescent="0.3">
      <c r="A2654">
        <v>3275</v>
      </c>
      <c r="B2654" t="s">
        <v>4874</v>
      </c>
      <c r="C2654" t="s">
        <v>572</v>
      </c>
      <c r="D2654" t="s">
        <v>43</v>
      </c>
      <c r="E2654" s="1">
        <v>45908</v>
      </c>
      <c r="F2654" t="s">
        <v>4321</v>
      </c>
      <c r="G2654" t="s">
        <v>2704</v>
      </c>
      <c r="H2654" t="s">
        <v>571</v>
      </c>
      <c r="I2654" t="s">
        <v>204</v>
      </c>
      <c r="J2654" s="1">
        <v>46387</v>
      </c>
      <c r="K2654" t="s">
        <v>720</v>
      </c>
      <c r="L2654">
        <v>1</v>
      </c>
      <c r="M2654">
        <v>985</v>
      </c>
      <c r="N2654" t="s">
        <v>814</v>
      </c>
      <c r="O2654" t="s">
        <v>1038</v>
      </c>
      <c r="P2654" t="s">
        <v>4782</v>
      </c>
      <c r="Q2654" t="s">
        <v>4858</v>
      </c>
      <c r="R2654" t="s">
        <v>4771</v>
      </c>
    </row>
    <row r="2655" spans="1:18" x14ac:dyDescent="0.3">
      <c r="A2655">
        <v>386979</v>
      </c>
      <c r="B2655" t="s">
        <v>4874</v>
      </c>
      <c r="C2655" t="s">
        <v>250</v>
      </c>
      <c r="D2655" t="s">
        <v>55</v>
      </c>
      <c r="E2655" s="1">
        <v>45908</v>
      </c>
      <c r="F2655" t="s">
        <v>4391</v>
      </c>
      <c r="G2655" t="s">
        <v>2770</v>
      </c>
      <c r="H2655" t="s">
        <v>249</v>
      </c>
      <c r="I2655" t="s">
        <v>204</v>
      </c>
      <c r="J2655" s="1">
        <v>54878</v>
      </c>
      <c r="K2655" t="s">
        <v>720</v>
      </c>
      <c r="L2655">
        <v>1</v>
      </c>
      <c r="M2655">
        <v>643.59</v>
      </c>
      <c r="N2655" t="s">
        <v>719</v>
      </c>
      <c r="O2655" t="s">
        <v>1038</v>
      </c>
      <c r="P2655" t="s">
        <v>4778</v>
      </c>
      <c r="Q2655" t="s">
        <v>4858</v>
      </c>
      <c r="R2655" t="s">
        <v>4771</v>
      </c>
    </row>
    <row r="2656" spans="1:18" x14ac:dyDescent="0.3">
      <c r="A2656">
        <v>10709</v>
      </c>
      <c r="B2656" t="s">
        <v>4874</v>
      </c>
      <c r="C2656" t="s">
        <v>546</v>
      </c>
      <c r="D2656" t="s">
        <v>75</v>
      </c>
      <c r="E2656" s="1">
        <v>45908</v>
      </c>
      <c r="F2656" t="s">
        <v>4355</v>
      </c>
      <c r="G2656" t="s">
        <v>2684</v>
      </c>
      <c r="H2656" t="s">
        <v>581</v>
      </c>
      <c r="I2656" t="s">
        <v>204</v>
      </c>
      <c r="J2656" s="1">
        <v>46233</v>
      </c>
      <c r="K2656" t="s">
        <v>720</v>
      </c>
      <c r="L2656">
        <v>1</v>
      </c>
      <c r="M2656">
        <v>3090.55</v>
      </c>
      <c r="N2656" t="s">
        <v>814</v>
      </c>
      <c r="O2656" t="s">
        <v>1038</v>
      </c>
      <c r="P2656" t="s">
        <v>4779</v>
      </c>
      <c r="Q2656" t="s">
        <v>4858</v>
      </c>
      <c r="R2656" t="s">
        <v>4773</v>
      </c>
    </row>
    <row r="2657" spans="1:18" x14ac:dyDescent="0.3">
      <c r="A2657">
        <v>1253</v>
      </c>
      <c r="B2657" t="s">
        <v>4874</v>
      </c>
      <c r="C2657" t="s">
        <v>305</v>
      </c>
      <c r="D2657" t="s">
        <v>59</v>
      </c>
      <c r="E2657" s="1">
        <v>45908</v>
      </c>
      <c r="F2657" t="s">
        <v>4359</v>
      </c>
      <c r="G2657" t="s">
        <v>2669</v>
      </c>
      <c r="H2657" t="s">
        <v>304</v>
      </c>
      <c r="I2657" t="s">
        <v>204</v>
      </c>
      <c r="J2657" s="1">
        <v>46481</v>
      </c>
      <c r="K2657" t="s">
        <v>720</v>
      </c>
      <c r="L2657">
        <v>1</v>
      </c>
      <c r="M2657">
        <v>7441.98</v>
      </c>
      <c r="N2657" t="s">
        <v>809</v>
      </c>
      <c r="O2657" t="s">
        <v>1038</v>
      </c>
      <c r="P2657" t="s">
        <v>4783</v>
      </c>
      <c r="Q2657" t="s">
        <v>4858</v>
      </c>
      <c r="R2657" t="s">
        <v>4771</v>
      </c>
    </row>
    <row r="2658" spans="1:18" x14ac:dyDescent="0.3">
      <c r="A2658">
        <v>190024</v>
      </c>
      <c r="B2658" t="s">
        <v>4874</v>
      </c>
      <c r="C2658" t="s">
        <v>376</v>
      </c>
      <c r="D2658" t="s">
        <v>35</v>
      </c>
      <c r="E2658" s="1">
        <v>45908</v>
      </c>
      <c r="F2658" t="s">
        <v>4324</v>
      </c>
      <c r="G2658" t="s">
        <v>2701</v>
      </c>
      <c r="H2658" t="s">
        <v>442</v>
      </c>
      <c r="I2658" t="s">
        <v>209</v>
      </c>
      <c r="J2658" s="1">
        <v>54878</v>
      </c>
      <c r="K2658" t="s">
        <v>762</v>
      </c>
      <c r="L2658">
        <v>4160</v>
      </c>
      <c r="M2658">
        <v>4160</v>
      </c>
      <c r="N2658" t="s">
        <v>710</v>
      </c>
      <c r="Q2658" t="s">
        <v>4852</v>
      </c>
      <c r="R2658" t="s">
        <v>4771</v>
      </c>
    </row>
    <row r="2659" spans="1:18" x14ac:dyDescent="0.3">
      <c r="A2659">
        <v>7340</v>
      </c>
      <c r="B2659" t="s">
        <v>4874</v>
      </c>
      <c r="C2659" t="s">
        <v>594</v>
      </c>
      <c r="D2659" t="s">
        <v>27</v>
      </c>
      <c r="E2659" s="1">
        <v>45908</v>
      </c>
      <c r="F2659" t="s">
        <v>4323</v>
      </c>
      <c r="G2659" t="s">
        <v>2773</v>
      </c>
      <c r="H2659" t="s">
        <v>593</v>
      </c>
      <c r="I2659" t="s">
        <v>204</v>
      </c>
      <c r="J2659" s="1">
        <v>46204</v>
      </c>
      <c r="K2659" t="s">
        <v>762</v>
      </c>
      <c r="L2659">
        <v>407407.6</v>
      </c>
      <c r="M2659">
        <v>407407.6</v>
      </c>
      <c r="N2659" t="s">
        <v>814</v>
      </c>
      <c r="O2659" t="s">
        <v>1037</v>
      </c>
      <c r="P2659" t="s">
        <v>4794</v>
      </c>
      <c r="Q2659" t="s">
        <v>4852</v>
      </c>
      <c r="R2659" t="s">
        <v>4772</v>
      </c>
    </row>
    <row r="2660" spans="1:18" x14ac:dyDescent="0.3">
      <c r="A2660">
        <v>20263</v>
      </c>
      <c r="B2660" t="s">
        <v>4874</v>
      </c>
      <c r="C2660" t="s">
        <v>539</v>
      </c>
      <c r="D2660" t="s">
        <v>189</v>
      </c>
      <c r="E2660" s="1">
        <v>45908</v>
      </c>
      <c r="F2660" t="s">
        <v>4327</v>
      </c>
      <c r="G2660" t="s">
        <v>2763</v>
      </c>
      <c r="H2660" t="s">
        <v>573</v>
      </c>
      <c r="I2660" t="s">
        <v>209</v>
      </c>
      <c r="J2660" s="1">
        <v>45808</v>
      </c>
      <c r="K2660" t="s">
        <v>762</v>
      </c>
      <c r="L2660">
        <v>5732.31</v>
      </c>
      <c r="M2660">
        <v>5732.31</v>
      </c>
      <c r="N2660" t="s">
        <v>890</v>
      </c>
      <c r="Q2660" t="s">
        <v>807</v>
      </c>
    </row>
    <row r="2661" spans="1:18" x14ac:dyDescent="0.3">
      <c r="A2661">
        <v>12</v>
      </c>
      <c r="B2661" t="s">
        <v>4874</v>
      </c>
      <c r="C2661" t="s">
        <v>626</v>
      </c>
      <c r="D2661" t="s">
        <v>184</v>
      </c>
      <c r="E2661" s="1">
        <v>45908</v>
      </c>
      <c r="F2661" t="s">
        <v>4414</v>
      </c>
      <c r="G2661" t="s">
        <v>2792</v>
      </c>
      <c r="H2661" t="s">
        <v>625</v>
      </c>
      <c r="I2661" t="s">
        <v>204</v>
      </c>
      <c r="J2661" s="1">
        <v>46440</v>
      </c>
      <c r="K2661" t="s">
        <v>720</v>
      </c>
      <c r="L2661">
        <v>233</v>
      </c>
      <c r="M2661">
        <v>22135</v>
      </c>
      <c r="N2661" t="s">
        <v>710</v>
      </c>
      <c r="O2661" t="s">
        <v>1039</v>
      </c>
      <c r="P2661" t="s">
        <v>4777</v>
      </c>
      <c r="Q2661" t="s">
        <v>4858</v>
      </c>
      <c r="R2661" t="s">
        <v>4773</v>
      </c>
    </row>
    <row r="2662" spans="1:18" x14ac:dyDescent="0.3">
      <c r="A2662">
        <v>110835</v>
      </c>
      <c r="B2662" t="s">
        <v>4874</v>
      </c>
      <c r="C2662" t="s">
        <v>379</v>
      </c>
      <c r="D2662" t="s">
        <v>131</v>
      </c>
      <c r="E2662" s="1">
        <v>45908</v>
      </c>
      <c r="F2662" t="s">
        <v>4315</v>
      </c>
      <c r="G2662" t="s">
        <v>2784</v>
      </c>
      <c r="H2662" t="s">
        <v>378</v>
      </c>
      <c r="I2662" t="s">
        <v>204</v>
      </c>
      <c r="J2662" s="1">
        <v>54878</v>
      </c>
      <c r="K2662" t="s">
        <v>762</v>
      </c>
      <c r="L2662">
        <v>68.510000000000005</v>
      </c>
      <c r="M2662">
        <v>68.510000000000005</v>
      </c>
      <c r="N2662" t="s">
        <v>710</v>
      </c>
      <c r="O2662" t="s">
        <v>4833</v>
      </c>
      <c r="P2662" t="s">
        <v>4776</v>
      </c>
      <c r="Q2662" t="s">
        <v>4852</v>
      </c>
      <c r="R2662" t="s">
        <v>4773</v>
      </c>
    </row>
    <row r="2663" spans="1:18" x14ac:dyDescent="0.3">
      <c r="A2663">
        <v>21157</v>
      </c>
      <c r="B2663" t="s">
        <v>4874</v>
      </c>
      <c r="C2663" t="s">
        <v>243</v>
      </c>
      <c r="D2663" t="s">
        <v>61</v>
      </c>
      <c r="E2663" s="1">
        <v>45908</v>
      </c>
      <c r="F2663" t="s">
        <v>4304</v>
      </c>
      <c r="G2663" t="s">
        <v>2674</v>
      </c>
      <c r="H2663" t="s">
        <v>271</v>
      </c>
      <c r="I2663" t="s">
        <v>204</v>
      </c>
      <c r="J2663" s="1">
        <v>46424</v>
      </c>
      <c r="K2663" t="s">
        <v>720</v>
      </c>
      <c r="L2663">
        <v>1</v>
      </c>
      <c r="M2663">
        <v>19782.59</v>
      </c>
      <c r="N2663" t="s">
        <v>710</v>
      </c>
      <c r="O2663" t="s">
        <v>4834</v>
      </c>
      <c r="P2663" t="s">
        <v>4776</v>
      </c>
      <c r="Q2663" t="s">
        <v>4858</v>
      </c>
      <c r="R2663" t="s">
        <v>4771</v>
      </c>
    </row>
    <row r="2664" spans="1:18" x14ac:dyDescent="0.3">
      <c r="A2664">
        <v>21158</v>
      </c>
      <c r="B2664" t="s">
        <v>4874</v>
      </c>
      <c r="C2664" t="s">
        <v>243</v>
      </c>
      <c r="D2664" t="s">
        <v>61</v>
      </c>
      <c r="E2664" s="1">
        <v>45908</v>
      </c>
      <c r="F2664" t="s">
        <v>4304</v>
      </c>
      <c r="G2664" t="s">
        <v>2670</v>
      </c>
      <c r="H2664" t="s">
        <v>271</v>
      </c>
      <c r="I2664" t="s">
        <v>204</v>
      </c>
      <c r="J2664" s="1">
        <v>46424</v>
      </c>
      <c r="K2664" t="s">
        <v>720</v>
      </c>
      <c r="L2664">
        <v>1</v>
      </c>
      <c r="M2664">
        <v>4848.7299999999996</v>
      </c>
      <c r="N2664" t="s">
        <v>710</v>
      </c>
      <c r="O2664" t="s">
        <v>4834</v>
      </c>
      <c r="P2664" t="s">
        <v>4776</v>
      </c>
      <c r="Q2664" t="s">
        <v>4858</v>
      </c>
      <c r="R2664" t="s">
        <v>4771</v>
      </c>
    </row>
    <row r="2665" spans="1:18" x14ac:dyDescent="0.3">
      <c r="A2665">
        <v>189111</v>
      </c>
      <c r="B2665" t="s">
        <v>4874</v>
      </c>
      <c r="C2665" t="s">
        <v>376</v>
      </c>
      <c r="D2665" t="s">
        <v>35</v>
      </c>
      <c r="E2665" s="1">
        <v>45908</v>
      </c>
      <c r="F2665" t="s">
        <v>4324</v>
      </c>
      <c r="G2665" t="s">
        <v>2701</v>
      </c>
      <c r="H2665" t="s">
        <v>442</v>
      </c>
      <c r="I2665" t="s">
        <v>209</v>
      </c>
      <c r="J2665" s="1">
        <v>54878</v>
      </c>
      <c r="K2665" t="s">
        <v>762</v>
      </c>
      <c r="L2665">
        <v>1066</v>
      </c>
      <c r="M2665">
        <v>1066</v>
      </c>
      <c r="N2665" t="s">
        <v>710</v>
      </c>
      <c r="Q2665" t="s">
        <v>4852</v>
      </c>
      <c r="R2665" t="s">
        <v>4771</v>
      </c>
    </row>
    <row r="2666" spans="1:18" x14ac:dyDescent="0.3">
      <c r="A2666">
        <v>621230</v>
      </c>
      <c r="B2666" t="s">
        <v>4874</v>
      </c>
      <c r="C2666" t="s">
        <v>433</v>
      </c>
      <c r="D2666" t="s">
        <v>168</v>
      </c>
      <c r="E2666" s="1">
        <v>45908</v>
      </c>
      <c r="F2666" t="s">
        <v>4319</v>
      </c>
      <c r="G2666" t="s">
        <v>2744</v>
      </c>
      <c r="H2666" t="s">
        <v>432</v>
      </c>
      <c r="I2666" t="s">
        <v>204</v>
      </c>
      <c r="J2666" s="1">
        <v>46473</v>
      </c>
      <c r="K2666" t="s">
        <v>762</v>
      </c>
      <c r="L2666">
        <v>4462</v>
      </c>
      <c r="M2666">
        <v>4462.05</v>
      </c>
      <c r="N2666" t="s">
        <v>710</v>
      </c>
      <c r="O2666" t="s">
        <v>4833</v>
      </c>
      <c r="P2666" t="s">
        <v>4802</v>
      </c>
      <c r="Q2666" t="s">
        <v>4852</v>
      </c>
      <c r="R2666" t="s">
        <v>4771</v>
      </c>
    </row>
    <row r="2667" spans="1:18" x14ac:dyDescent="0.3">
      <c r="A2667">
        <v>42155</v>
      </c>
      <c r="B2667" t="s">
        <v>1034</v>
      </c>
      <c r="C2667" t="s">
        <v>327</v>
      </c>
      <c r="D2667" t="s">
        <v>159</v>
      </c>
      <c r="E2667" s="1">
        <v>45908</v>
      </c>
      <c r="F2667" t="s">
        <v>4295</v>
      </c>
      <c r="G2667" t="s">
        <v>2740</v>
      </c>
      <c r="H2667" t="s">
        <v>357</v>
      </c>
      <c r="I2667" t="s">
        <v>204</v>
      </c>
      <c r="J2667" s="1">
        <v>46476</v>
      </c>
      <c r="K2667" t="s">
        <v>711</v>
      </c>
      <c r="L2667">
        <v>2150</v>
      </c>
      <c r="M2667">
        <v>2150</v>
      </c>
      <c r="N2667" t="s">
        <v>890</v>
      </c>
      <c r="O2667" t="s">
        <v>4834</v>
      </c>
      <c r="P2667" t="s">
        <v>4776</v>
      </c>
      <c r="Q2667" t="s">
        <v>4901</v>
      </c>
      <c r="R2667" t="s">
        <v>4773</v>
      </c>
    </row>
    <row r="2668" spans="1:18" x14ac:dyDescent="0.3">
      <c r="A2668">
        <v>42154</v>
      </c>
      <c r="B2668" t="s">
        <v>1034</v>
      </c>
      <c r="C2668" t="s">
        <v>327</v>
      </c>
      <c r="D2668" t="s">
        <v>159</v>
      </c>
      <c r="E2668" s="1">
        <v>45908</v>
      </c>
      <c r="F2668" t="s">
        <v>4296</v>
      </c>
      <c r="G2668" t="s">
        <v>2741</v>
      </c>
      <c r="H2668" t="s">
        <v>357</v>
      </c>
      <c r="I2668" t="s">
        <v>204</v>
      </c>
      <c r="J2668" s="1">
        <v>46476</v>
      </c>
      <c r="K2668" t="s">
        <v>711</v>
      </c>
      <c r="L2668">
        <v>1102.3</v>
      </c>
      <c r="M2668">
        <v>1102.3</v>
      </c>
      <c r="N2668" t="s">
        <v>890</v>
      </c>
      <c r="O2668" t="s">
        <v>4834</v>
      </c>
      <c r="P2668" t="s">
        <v>4776</v>
      </c>
      <c r="Q2668" t="s">
        <v>4901</v>
      </c>
      <c r="R2668" t="s">
        <v>4773</v>
      </c>
    </row>
    <row r="2669" spans="1:18" x14ac:dyDescent="0.3">
      <c r="A2669">
        <v>16624</v>
      </c>
      <c r="B2669" t="s">
        <v>1034</v>
      </c>
      <c r="C2669" t="s">
        <v>632</v>
      </c>
      <c r="D2669" t="s">
        <v>41</v>
      </c>
      <c r="E2669" s="1">
        <v>45908</v>
      </c>
      <c r="F2669" t="s">
        <v>4352</v>
      </c>
      <c r="G2669" t="s">
        <v>2047</v>
      </c>
      <c r="H2669" t="s">
        <v>631</v>
      </c>
      <c r="I2669" t="s">
        <v>204</v>
      </c>
      <c r="J2669" s="1">
        <v>50860</v>
      </c>
      <c r="K2669" t="s">
        <v>717</v>
      </c>
      <c r="L2669">
        <v>1</v>
      </c>
      <c r="M2669">
        <v>6240</v>
      </c>
      <c r="N2669" t="s">
        <v>710</v>
      </c>
      <c r="O2669" t="s">
        <v>4833</v>
      </c>
      <c r="P2669" t="s">
        <v>4776</v>
      </c>
      <c r="Q2669" t="s">
        <v>4852</v>
      </c>
      <c r="R2669" t="s">
        <v>4771</v>
      </c>
    </row>
    <row r="2670" spans="1:18" x14ac:dyDescent="0.3">
      <c r="A2670">
        <v>10098</v>
      </c>
      <c r="B2670" t="s">
        <v>1034</v>
      </c>
      <c r="C2670" t="s">
        <v>624</v>
      </c>
      <c r="D2670" t="s">
        <v>68</v>
      </c>
      <c r="E2670" s="1">
        <v>45908</v>
      </c>
      <c r="F2670" t="s">
        <v>4367</v>
      </c>
      <c r="G2670" t="s">
        <v>1146</v>
      </c>
      <c r="H2670" t="s">
        <v>623</v>
      </c>
      <c r="I2670" t="s">
        <v>204</v>
      </c>
      <c r="J2670" s="1">
        <v>46017</v>
      </c>
      <c r="K2670" t="s">
        <v>839</v>
      </c>
      <c r="L2670">
        <v>1600</v>
      </c>
      <c r="M2670">
        <v>1600</v>
      </c>
      <c r="N2670" t="s">
        <v>710</v>
      </c>
      <c r="O2670" t="s">
        <v>1041</v>
      </c>
      <c r="P2670" t="s">
        <v>4776</v>
      </c>
      <c r="Q2670" t="s">
        <v>4852</v>
      </c>
      <c r="R2670" t="s">
        <v>4771</v>
      </c>
    </row>
    <row r="2671" spans="1:18" x14ac:dyDescent="0.3">
      <c r="A2671">
        <v>21142</v>
      </c>
      <c r="B2671" t="s">
        <v>1034</v>
      </c>
      <c r="C2671" t="s">
        <v>243</v>
      </c>
      <c r="D2671" t="s">
        <v>61</v>
      </c>
      <c r="E2671" s="1">
        <v>45908</v>
      </c>
      <c r="F2671" t="s">
        <v>4304</v>
      </c>
      <c r="G2671" t="s">
        <v>2646</v>
      </c>
      <c r="H2671" t="s">
        <v>246</v>
      </c>
      <c r="I2671" t="s">
        <v>204</v>
      </c>
      <c r="J2671" s="1">
        <v>46203</v>
      </c>
      <c r="K2671" t="s">
        <v>711</v>
      </c>
      <c r="L2671">
        <v>8239</v>
      </c>
      <c r="M2671">
        <v>8239</v>
      </c>
      <c r="N2671" t="s">
        <v>710</v>
      </c>
      <c r="O2671" t="s">
        <v>4834</v>
      </c>
      <c r="P2671" t="s">
        <v>4776</v>
      </c>
      <c r="Q2671" t="s">
        <v>4901</v>
      </c>
      <c r="R2671" t="s">
        <v>4771</v>
      </c>
    </row>
    <row r="2672" spans="1:18" x14ac:dyDescent="0.3">
      <c r="A2672">
        <v>194247</v>
      </c>
      <c r="B2672" t="s">
        <v>1034</v>
      </c>
      <c r="C2672" t="s">
        <v>376</v>
      </c>
      <c r="D2672" t="s">
        <v>35</v>
      </c>
      <c r="E2672" s="1">
        <v>45908</v>
      </c>
      <c r="F2672" t="s">
        <v>4302</v>
      </c>
      <c r="G2672" t="s">
        <v>2700</v>
      </c>
      <c r="H2672" t="s">
        <v>377</v>
      </c>
      <c r="I2672" t="s">
        <v>209</v>
      </c>
      <c r="J2672" s="1">
        <v>54878</v>
      </c>
      <c r="K2672" t="s">
        <v>717</v>
      </c>
      <c r="L2672">
        <v>42810.400000000001</v>
      </c>
      <c r="M2672">
        <v>42810.400000000001</v>
      </c>
      <c r="N2672" t="s">
        <v>710</v>
      </c>
      <c r="Q2672" t="s">
        <v>4852</v>
      </c>
      <c r="R2672" t="s">
        <v>4771</v>
      </c>
    </row>
    <row r="2673" spans="1:18" x14ac:dyDescent="0.3">
      <c r="A2673">
        <v>488</v>
      </c>
      <c r="B2673" t="s">
        <v>1034</v>
      </c>
      <c r="C2673" t="s">
        <v>638</v>
      </c>
      <c r="D2673" t="s">
        <v>134</v>
      </c>
      <c r="E2673" s="1">
        <v>45908</v>
      </c>
      <c r="F2673" t="s">
        <v>4296</v>
      </c>
      <c r="G2673" t="s">
        <v>2709</v>
      </c>
      <c r="H2673" t="s">
        <v>637</v>
      </c>
      <c r="I2673" t="s">
        <v>204</v>
      </c>
      <c r="J2673" s="1">
        <v>46537</v>
      </c>
      <c r="K2673" t="s">
        <v>711</v>
      </c>
      <c r="L2673">
        <v>1941</v>
      </c>
      <c r="M2673">
        <v>1941</v>
      </c>
      <c r="N2673" t="s">
        <v>710</v>
      </c>
      <c r="O2673" t="s">
        <v>1036</v>
      </c>
      <c r="P2673" t="s">
        <v>4776</v>
      </c>
      <c r="Q2673" t="s">
        <v>4901</v>
      </c>
    </row>
    <row r="2674" spans="1:18" x14ac:dyDescent="0.3">
      <c r="A2674">
        <v>11864</v>
      </c>
      <c r="B2674" t="s">
        <v>4874</v>
      </c>
      <c r="C2674" t="s">
        <v>237</v>
      </c>
      <c r="D2674" t="s">
        <v>4</v>
      </c>
      <c r="E2674" s="1">
        <v>45908</v>
      </c>
      <c r="F2674" t="s">
        <v>4368</v>
      </c>
      <c r="G2674" t="s">
        <v>2776</v>
      </c>
      <c r="H2674" t="s">
        <v>236</v>
      </c>
      <c r="I2674" t="s">
        <v>204</v>
      </c>
      <c r="J2674" s="1">
        <v>54878</v>
      </c>
      <c r="K2674" t="s">
        <v>720</v>
      </c>
      <c r="L2674">
        <v>1</v>
      </c>
      <c r="M2674">
        <v>5271</v>
      </c>
      <c r="N2674" t="s">
        <v>710</v>
      </c>
      <c r="O2674" t="s">
        <v>1038</v>
      </c>
      <c r="P2674" t="s">
        <v>4776</v>
      </c>
      <c r="Q2674" t="s">
        <v>4858</v>
      </c>
      <c r="R2674" t="s">
        <v>4771</v>
      </c>
    </row>
    <row r="2675" spans="1:18" x14ac:dyDescent="0.3">
      <c r="A2675">
        <v>20251430</v>
      </c>
      <c r="B2675" t="s">
        <v>1034</v>
      </c>
      <c r="C2675" t="s">
        <v>550</v>
      </c>
      <c r="D2675" t="s">
        <v>189</v>
      </c>
      <c r="E2675" s="1">
        <v>45908</v>
      </c>
      <c r="F2675" t="s">
        <v>4338</v>
      </c>
      <c r="G2675" t="s">
        <v>2764</v>
      </c>
      <c r="H2675" t="s">
        <v>582</v>
      </c>
      <c r="I2675" t="s">
        <v>204</v>
      </c>
      <c r="J2675" s="1">
        <v>46599</v>
      </c>
      <c r="K2675" t="s">
        <v>717</v>
      </c>
      <c r="L2675">
        <v>27301.11</v>
      </c>
      <c r="M2675">
        <v>27301.11</v>
      </c>
      <c r="N2675" t="s">
        <v>710</v>
      </c>
      <c r="O2675" t="s">
        <v>4904</v>
      </c>
      <c r="P2675" t="s">
        <v>4792</v>
      </c>
      <c r="Q2675" t="s">
        <v>4904</v>
      </c>
      <c r="R2675" t="s">
        <v>4772</v>
      </c>
    </row>
    <row r="2676" spans="1:18" x14ac:dyDescent="0.3">
      <c r="A2676">
        <v>2025293</v>
      </c>
      <c r="B2676" t="s">
        <v>1034</v>
      </c>
      <c r="C2676" t="s">
        <v>552</v>
      </c>
      <c r="D2676" t="s">
        <v>190</v>
      </c>
      <c r="E2676" s="1">
        <v>45908</v>
      </c>
      <c r="F2676" t="s">
        <v>4339</v>
      </c>
      <c r="G2676" t="s">
        <v>2777</v>
      </c>
      <c r="H2676" t="s">
        <v>583</v>
      </c>
      <c r="I2676" t="s">
        <v>204</v>
      </c>
      <c r="J2676" s="1">
        <v>46441</v>
      </c>
      <c r="K2676" t="s">
        <v>717</v>
      </c>
      <c r="L2676">
        <v>64252.04</v>
      </c>
      <c r="M2676">
        <v>64252.04</v>
      </c>
      <c r="N2676" t="s">
        <v>710</v>
      </c>
      <c r="O2676" t="s">
        <v>4904</v>
      </c>
      <c r="P2676" t="s">
        <v>4792</v>
      </c>
      <c r="Q2676" t="s">
        <v>4904</v>
      </c>
      <c r="R2676" t="s">
        <v>4772</v>
      </c>
    </row>
    <row r="2677" spans="1:18" x14ac:dyDescent="0.3">
      <c r="A2677">
        <v>7349</v>
      </c>
      <c r="B2677" t="s">
        <v>1034</v>
      </c>
      <c r="C2677" t="s">
        <v>594</v>
      </c>
      <c r="D2677" t="s">
        <v>27</v>
      </c>
      <c r="E2677" s="1">
        <v>45908</v>
      </c>
      <c r="F2677" t="s">
        <v>4323</v>
      </c>
      <c r="G2677" t="s">
        <v>2772</v>
      </c>
      <c r="H2677" t="s">
        <v>595</v>
      </c>
      <c r="I2677" t="s">
        <v>204</v>
      </c>
      <c r="J2677" s="1">
        <v>46204</v>
      </c>
      <c r="K2677" t="s">
        <v>717</v>
      </c>
      <c r="L2677">
        <v>71621.740000000005</v>
      </c>
      <c r="M2677">
        <v>71621.740000000005</v>
      </c>
      <c r="N2677" t="s">
        <v>814</v>
      </c>
      <c r="O2677" t="s">
        <v>1037</v>
      </c>
      <c r="P2677" t="s">
        <v>4794</v>
      </c>
      <c r="Q2677" t="s">
        <v>4852</v>
      </c>
      <c r="R2677" t="s">
        <v>4772</v>
      </c>
    </row>
    <row r="2678" spans="1:18" x14ac:dyDescent="0.3">
      <c r="A2678">
        <v>42165</v>
      </c>
      <c r="B2678" t="s">
        <v>1034</v>
      </c>
      <c r="C2678" t="s">
        <v>327</v>
      </c>
      <c r="D2678" t="s">
        <v>159</v>
      </c>
      <c r="E2678" s="1">
        <v>45908</v>
      </c>
      <c r="F2678" t="s">
        <v>4295</v>
      </c>
      <c r="G2678" t="s">
        <v>2779</v>
      </c>
      <c r="H2678" t="s">
        <v>357</v>
      </c>
      <c r="I2678" t="s">
        <v>204</v>
      </c>
      <c r="J2678" s="1">
        <v>46476</v>
      </c>
      <c r="K2678" t="s">
        <v>711</v>
      </c>
      <c r="L2678">
        <v>2263.8000000000002</v>
      </c>
      <c r="M2678">
        <v>2263.8000000000002</v>
      </c>
      <c r="N2678" t="s">
        <v>890</v>
      </c>
      <c r="O2678" t="s">
        <v>4834</v>
      </c>
      <c r="P2678" t="s">
        <v>4776</v>
      </c>
      <c r="Q2678" t="s">
        <v>4901</v>
      </c>
      <c r="R2678" t="s">
        <v>4773</v>
      </c>
    </row>
    <row r="2679" spans="1:18" x14ac:dyDescent="0.3">
      <c r="A2679">
        <v>42166</v>
      </c>
      <c r="B2679" t="s">
        <v>1034</v>
      </c>
      <c r="C2679" t="s">
        <v>327</v>
      </c>
      <c r="D2679" t="s">
        <v>159</v>
      </c>
      <c r="E2679" s="1">
        <v>45908</v>
      </c>
      <c r="F2679" t="s">
        <v>4295</v>
      </c>
      <c r="G2679" t="s">
        <v>2778</v>
      </c>
      <c r="H2679" t="s">
        <v>357</v>
      </c>
      <c r="I2679" t="s">
        <v>204</v>
      </c>
      <c r="J2679" s="1">
        <v>46476</v>
      </c>
      <c r="K2679" t="s">
        <v>711</v>
      </c>
      <c r="L2679">
        <v>2150</v>
      </c>
      <c r="M2679">
        <v>2150</v>
      </c>
      <c r="N2679" t="s">
        <v>890</v>
      </c>
      <c r="O2679" t="s">
        <v>4834</v>
      </c>
      <c r="P2679" t="s">
        <v>4776</v>
      </c>
      <c r="Q2679" t="s">
        <v>4901</v>
      </c>
      <c r="R2679" t="s">
        <v>4773</v>
      </c>
    </row>
    <row r="2680" spans="1:18" x14ac:dyDescent="0.3">
      <c r="A2680">
        <v>42167</v>
      </c>
      <c r="B2680" t="s">
        <v>1034</v>
      </c>
      <c r="C2680" t="s">
        <v>327</v>
      </c>
      <c r="D2680" t="s">
        <v>159</v>
      </c>
      <c r="E2680" s="1">
        <v>45908</v>
      </c>
      <c r="F2680" t="s">
        <v>4295</v>
      </c>
      <c r="G2680" t="s">
        <v>2781</v>
      </c>
      <c r="H2680" t="s">
        <v>357</v>
      </c>
      <c r="I2680" t="s">
        <v>204</v>
      </c>
      <c r="J2680" s="1">
        <v>46476</v>
      </c>
      <c r="K2680" t="s">
        <v>711</v>
      </c>
      <c r="L2680">
        <v>1431.68</v>
      </c>
      <c r="M2680">
        <v>1431.68</v>
      </c>
      <c r="N2680" t="s">
        <v>890</v>
      </c>
      <c r="O2680" t="s">
        <v>4834</v>
      </c>
      <c r="P2680" t="s">
        <v>4776</v>
      </c>
      <c r="Q2680" t="s">
        <v>4901</v>
      </c>
      <c r="R2680" t="s">
        <v>4773</v>
      </c>
    </row>
    <row r="2681" spans="1:18" x14ac:dyDescent="0.3">
      <c r="A2681">
        <v>42168</v>
      </c>
      <c r="B2681" t="s">
        <v>1034</v>
      </c>
      <c r="C2681" t="s">
        <v>327</v>
      </c>
      <c r="D2681" t="s">
        <v>159</v>
      </c>
      <c r="E2681" s="1">
        <v>45908</v>
      </c>
      <c r="F2681" t="s">
        <v>4295</v>
      </c>
      <c r="G2681" t="s">
        <v>2780</v>
      </c>
      <c r="H2681" t="s">
        <v>357</v>
      </c>
      <c r="I2681" t="s">
        <v>204</v>
      </c>
      <c r="J2681" s="1">
        <v>46476</v>
      </c>
      <c r="K2681" t="s">
        <v>711</v>
      </c>
      <c r="L2681">
        <v>2150</v>
      </c>
      <c r="M2681">
        <v>2150</v>
      </c>
      <c r="N2681" t="s">
        <v>890</v>
      </c>
      <c r="O2681" t="s">
        <v>4834</v>
      </c>
      <c r="P2681" t="s">
        <v>4776</v>
      </c>
      <c r="Q2681" t="s">
        <v>4901</v>
      </c>
      <c r="R2681" t="s">
        <v>4773</v>
      </c>
    </row>
    <row r="2682" spans="1:18" x14ac:dyDescent="0.3">
      <c r="A2682">
        <v>7358</v>
      </c>
      <c r="B2682" t="s">
        <v>4875</v>
      </c>
      <c r="C2682" t="s">
        <v>594</v>
      </c>
      <c r="D2682" t="s">
        <v>27</v>
      </c>
      <c r="E2682" s="1">
        <v>45908</v>
      </c>
      <c r="F2682" t="s">
        <v>4323</v>
      </c>
      <c r="G2682" t="s">
        <v>2774</v>
      </c>
      <c r="H2682" t="s">
        <v>596</v>
      </c>
      <c r="I2682" t="s">
        <v>204</v>
      </c>
      <c r="J2682" s="1">
        <v>46204</v>
      </c>
      <c r="K2682" t="s">
        <v>768</v>
      </c>
      <c r="L2682">
        <v>14840.71</v>
      </c>
      <c r="M2682">
        <v>14840.71</v>
      </c>
      <c r="N2682" t="s">
        <v>814</v>
      </c>
      <c r="O2682" t="s">
        <v>1037</v>
      </c>
      <c r="P2682" t="s">
        <v>4794</v>
      </c>
      <c r="Q2682" t="s">
        <v>4852</v>
      </c>
      <c r="R2682" t="s">
        <v>4772</v>
      </c>
    </row>
    <row r="2683" spans="1:18" x14ac:dyDescent="0.3">
      <c r="A2683">
        <v>20251429</v>
      </c>
      <c r="B2683" t="s">
        <v>4875</v>
      </c>
      <c r="C2683" t="s">
        <v>550</v>
      </c>
      <c r="D2683" t="s">
        <v>189</v>
      </c>
      <c r="E2683" s="1">
        <v>45908</v>
      </c>
      <c r="F2683" t="s">
        <v>4338</v>
      </c>
      <c r="G2683" t="s">
        <v>2771</v>
      </c>
      <c r="H2683" t="s">
        <v>569</v>
      </c>
      <c r="I2683" t="s">
        <v>204</v>
      </c>
      <c r="J2683" s="1">
        <v>46599</v>
      </c>
      <c r="K2683" t="s">
        <v>768</v>
      </c>
      <c r="L2683">
        <v>23437.4</v>
      </c>
      <c r="M2683">
        <v>23437.4</v>
      </c>
      <c r="N2683" t="s">
        <v>710</v>
      </c>
      <c r="O2683" t="s">
        <v>4904</v>
      </c>
      <c r="P2683" t="s">
        <v>4792</v>
      </c>
      <c r="Q2683" t="s">
        <v>4904</v>
      </c>
      <c r="R2683" t="s">
        <v>4772</v>
      </c>
    </row>
    <row r="2684" spans="1:18" x14ac:dyDescent="0.3">
      <c r="A2684">
        <v>52625</v>
      </c>
      <c r="B2684" t="s">
        <v>4875</v>
      </c>
      <c r="C2684" t="s">
        <v>208</v>
      </c>
      <c r="D2684" t="s">
        <v>164</v>
      </c>
      <c r="E2684" s="1">
        <v>45908</v>
      </c>
      <c r="F2684" t="s">
        <v>4297</v>
      </c>
      <c r="G2684" t="s">
        <v>2687</v>
      </c>
      <c r="H2684" t="s">
        <v>605</v>
      </c>
      <c r="I2684" t="s">
        <v>204</v>
      </c>
      <c r="J2684" s="1">
        <v>46256</v>
      </c>
      <c r="K2684" t="s">
        <v>748</v>
      </c>
      <c r="L2684">
        <v>1</v>
      </c>
      <c r="M2684">
        <v>120</v>
      </c>
      <c r="N2684" t="s">
        <v>710</v>
      </c>
      <c r="O2684" t="s">
        <v>1040</v>
      </c>
      <c r="P2684" t="s">
        <v>4795</v>
      </c>
      <c r="Q2684" t="s">
        <v>4856</v>
      </c>
    </row>
    <row r="2685" spans="1:18" x14ac:dyDescent="0.3">
      <c r="A2685">
        <v>83</v>
      </c>
      <c r="B2685" t="s">
        <v>1034</v>
      </c>
      <c r="C2685" t="s">
        <v>641</v>
      </c>
      <c r="D2685" t="s">
        <v>26</v>
      </c>
      <c r="E2685" s="1">
        <v>45908</v>
      </c>
      <c r="F2685" t="s">
        <v>4370</v>
      </c>
      <c r="G2685" t="s">
        <v>2767</v>
      </c>
      <c r="H2685" t="s">
        <v>640</v>
      </c>
      <c r="I2685" t="s">
        <v>204</v>
      </c>
      <c r="J2685" s="1">
        <v>46142</v>
      </c>
      <c r="K2685" t="s">
        <v>717</v>
      </c>
      <c r="L2685">
        <v>35985.230000000003</v>
      </c>
      <c r="M2685">
        <v>35985.230000000003</v>
      </c>
      <c r="N2685" t="s">
        <v>710</v>
      </c>
      <c r="O2685" t="s">
        <v>1042</v>
      </c>
      <c r="P2685" t="s">
        <v>1006</v>
      </c>
      <c r="Q2685" t="s">
        <v>4852</v>
      </c>
    </row>
    <row r="2686" spans="1:18" x14ac:dyDescent="0.3">
      <c r="A2686">
        <v>3273</v>
      </c>
      <c r="B2686" t="s">
        <v>4874</v>
      </c>
      <c r="C2686" t="s">
        <v>572</v>
      </c>
      <c r="D2686" t="s">
        <v>43</v>
      </c>
      <c r="E2686" s="1">
        <v>45904</v>
      </c>
      <c r="F2686" t="s">
        <v>4321</v>
      </c>
      <c r="G2686" t="s">
        <v>2645</v>
      </c>
      <c r="H2686" t="s">
        <v>571</v>
      </c>
      <c r="I2686" t="s">
        <v>204</v>
      </c>
      <c r="J2686" s="1">
        <v>46387</v>
      </c>
      <c r="K2686" t="s">
        <v>720</v>
      </c>
      <c r="L2686">
        <v>1</v>
      </c>
      <c r="M2686">
        <v>5417</v>
      </c>
      <c r="N2686" t="s">
        <v>814</v>
      </c>
      <c r="O2686" t="s">
        <v>1038</v>
      </c>
      <c r="P2686" t="s">
        <v>4782</v>
      </c>
      <c r="Q2686" t="s">
        <v>4858</v>
      </c>
      <c r="R2686" t="s">
        <v>4771</v>
      </c>
    </row>
    <row r="2687" spans="1:18" x14ac:dyDescent="0.3">
      <c r="A2687">
        <v>34588</v>
      </c>
      <c r="B2687" t="s">
        <v>4874</v>
      </c>
      <c r="C2687" t="s">
        <v>296</v>
      </c>
      <c r="D2687" t="s">
        <v>93</v>
      </c>
      <c r="E2687" s="1">
        <v>45904</v>
      </c>
      <c r="F2687" t="s">
        <v>4362</v>
      </c>
      <c r="G2687" t="s">
        <v>2749</v>
      </c>
      <c r="H2687" t="s">
        <v>295</v>
      </c>
      <c r="I2687" t="s">
        <v>209</v>
      </c>
      <c r="J2687" s="1">
        <v>54878</v>
      </c>
      <c r="K2687" t="s">
        <v>720</v>
      </c>
      <c r="L2687">
        <v>50</v>
      </c>
      <c r="M2687">
        <v>50</v>
      </c>
      <c r="N2687" t="s">
        <v>710</v>
      </c>
      <c r="Q2687" t="s">
        <v>4845</v>
      </c>
      <c r="R2687" t="s">
        <v>4772</v>
      </c>
    </row>
    <row r="2688" spans="1:18" x14ac:dyDescent="0.3">
      <c r="A2688">
        <v>70471</v>
      </c>
      <c r="B2688" t="s">
        <v>4874</v>
      </c>
      <c r="C2688" t="s">
        <v>296</v>
      </c>
      <c r="D2688" t="s">
        <v>93</v>
      </c>
      <c r="E2688" s="1">
        <v>45904</v>
      </c>
      <c r="F2688" t="s">
        <v>4362</v>
      </c>
      <c r="G2688" t="s">
        <v>2747</v>
      </c>
      <c r="H2688" t="s">
        <v>295</v>
      </c>
      <c r="I2688" t="s">
        <v>209</v>
      </c>
      <c r="J2688" s="1">
        <v>54878</v>
      </c>
      <c r="K2688" t="s">
        <v>720</v>
      </c>
      <c r="L2688">
        <v>1365.75</v>
      </c>
      <c r="M2688">
        <v>1365.75</v>
      </c>
      <c r="N2688" t="s">
        <v>710</v>
      </c>
      <c r="Q2688" t="s">
        <v>4845</v>
      </c>
      <c r="R2688" t="s">
        <v>4772</v>
      </c>
    </row>
    <row r="2689" spans="1:18" x14ac:dyDescent="0.3">
      <c r="A2689">
        <v>590</v>
      </c>
      <c r="B2689" t="s">
        <v>4874</v>
      </c>
      <c r="C2689" t="s">
        <v>259</v>
      </c>
      <c r="D2689" t="s">
        <v>122</v>
      </c>
      <c r="E2689" s="1">
        <v>45904</v>
      </c>
      <c r="F2689" t="s">
        <v>4390</v>
      </c>
      <c r="G2689" t="s">
        <v>2579</v>
      </c>
      <c r="H2689" t="s">
        <v>258</v>
      </c>
      <c r="I2689" t="s">
        <v>204</v>
      </c>
      <c r="J2689" s="1">
        <v>46337</v>
      </c>
      <c r="K2689" t="s">
        <v>720</v>
      </c>
      <c r="L2689">
        <v>1</v>
      </c>
      <c r="M2689">
        <v>38412.089999999997</v>
      </c>
      <c r="N2689" t="s">
        <v>710</v>
      </c>
      <c r="O2689" t="s">
        <v>1038</v>
      </c>
      <c r="P2689" t="s">
        <v>4777</v>
      </c>
      <c r="Q2689" t="s">
        <v>4858</v>
      </c>
      <c r="R2689" t="s">
        <v>4771</v>
      </c>
    </row>
    <row r="2690" spans="1:18" x14ac:dyDescent="0.3">
      <c r="A2690">
        <v>2892</v>
      </c>
      <c r="B2690" t="s">
        <v>4874</v>
      </c>
      <c r="C2690" t="s">
        <v>372</v>
      </c>
      <c r="D2690" t="s">
        <v>105</v>
      </c>
      <c r="E2690" s="1">
        <v>45904</v>
      </c>
      <c r="F2690" t="s">
        <v>4408</v>
      </c>
      <c r="G2690" t="s">
        <v>2758</v>
      </c>
      <c r="H2690" t="s">
        <v>371</v>
      </c>
      <c r="I2690" t="s">
        <v>209</v>
      </c>
      <c r="J2690" s="1">
        <v>45904</v>
      </c>
      <c r="K2690" t="s">
        <v>720</v>
      </c>
      <c r="L2690">
        <v>14700</v>
      </c>
      <c r="M2690">
        <v>14700</v>
      </c>
      <c r="N2690" t="s">
        <v>719</v>
      </c>
      <c r="O2690" t="s">
        <v>1038</v>
      </c>
      <c r="P2690" t="s">
        <v>4777</v>
      </c>
      <c r="Q2690" t="s">
        <v>4858</v>
      </c>
      <c r="R2690" t="s">
        <v>4773</v>
      </c>
    </row>
    <row r="2691" spans="1:18" x14ac:dyDescent="0.3">
      <c r="A2691">
        <v>3273</v>
      </c>
      <c r="B2691" t="s">
        <v>4874</v>
      </c>
      <c r="C2691" t="s">
        <v>572</v>
      </c>
      <c r="D2691" t="s">
        <v>43</v>
      </c>
      <c r="E2691" s="1">
        <v>45904</v>
      </c>
      <c r="F2691" t="s">
        <v>4321</v>
      </c>
      <c r="G2691" t="s">
        <v>2645</v>
      </c>
      <c r="H2691" t="s">
        <v>571</v>
      </c>
      <c r="I2691" t="s">
        <v>204</v>
      </c>
      <c r="J2691" s="1">
        <v>46387</v>
      </c>
      <c r="K2691" t="s">
        <v>720</v>
      </c>
      <c r="L2691">
        <v>1</v>
      </c>
      <c r="M2691">
        <v>450</v>
      </c>
      <c r="N2691" t="s">
        <v>814</v>
      </c>
      <c r="O2691" t="s">
        <v>1038</v>
      </c>
      <c r="P2691" t="s">
        <v>4782</v>
      </c>
      <c r="Q2691" t="s">
        <v>4858</v>
      </c>
      <c r="R2691" t="s">
        <v>4771</v>
      </c>
    </row>
    <row r="2692" spans="1:18" x14ac:dyDescent="0.3">
      <c r="A2692">
        <v>3273</v>
      </c>
      <c r="B2692" t="s">
        <v>4874</v>
      </c>
      <c r="C2692" t="s">
        <v>572</v>
      </c>
      <c r="D2692" t="s">
        <v>43</v>
      </c>
      <c r="E2692" s="1">
        <v>45904</v>
      </c>
      <c r="F2692" t="s">
        <v>4321</v>
      </c>
      <c r="G2692" t="s">
        <v>2645</v>
      </c>
      <c r="H2692" t="s">
        <v>571</v>
      </c>
      <c r="I2692" t="s">
        <v>204</v>
      </c>
      <c r="J2692" s="1">
        <v>46387</v>
      </c>
      <c r="K2692" t="s">
        <v>720</v>
      </c>
      <c r="L2692">
        <v>1</v>
      </c>
      <c r="M2692">
        <v>4038</v>
      </c>
      <c r="N2692" t="s">
        <v>814</v>
      </c>
      <c r="O2692" t="s">
        <v>1038</v>
      </c>
      <c r="P2692" t="s">
        <v>4782</v>
      </c>
      <c r="Q2692" t="s">
        <v>4858</v>
      </c>
      <c r="R2692" t="s">
        <v>4771</v>
      </c>
    </row>
    <row r="2693" spans="1:18" x14ac:dyDescent="0.3">
      <c r="A2693">
        <v>3273</v>
      </c>
      <c r="B2693" t="s">
        <v>4874</v>
      </c>
      <c r="C2693" t="s">
        <v>572</v>
      </c>
      <c r="D2693" t="s">
        <v>43</v>
      </c>
      <c r="E2693" s="1">
        <v>45904</v>
      </c>
      <c r="F2693" t="s">
        <v>4321</v>
      </c>
      <c r="G2693" t="s">
        <v>2645</v>
      </c>
      <c r="H2693" t="s">
        <v>571</v>
      </c>
      <c r="I2693" t="s">
        <v>204</v>
      </c>
      <c r="J2693" s="1">
        <v>46387</v>
      </c>
      <c r="K2693" t="s">
        <v>720</v>
      </c>
      <c r="L2693">
        <v>1</v>
      </c>
      <c r="M2693">
        <v>12877</v>
      </c>
      <c r="N2693" t="s">
        <v>814</v>
      </c>
      <c r="O2693" t="s">
        <v>1038</v>
      </c>
      <c r="P2693" t="s">
        <v>4782</v>
      </c>
      <c r="Q2693" t="s">
        <v>4858</v>
      </c>
      <c r="R2693" t="s">
        <v>4771</v>
      </c>
    </row>
    <row r="2694" spans="1:18" x14ac:dyDescent="0.3">
      <c r="A2694">
        <v>34863</v>
      </c>
      <c r="B2694" t="s">
        <v>4875</v>
      </c>
      <c r="C2694" t="s">
        <v>314</v>
      </c>
      <c r="D2694" t="s">
        <v>39</v>
      </c>
      <c r="E2694" s="1">
        <v>45904</v>
      </c>
      <c r="F2694" t="s">
        <v>4347</v>
      </c>
      <c r="G2694" t="s">
        <v>2762</v>
      </c>
      <c r="H2694" t="s">
        <v>341</v>
      </c>
      <c r="I2694" t="s">
        <v>204</v>
      </c>
      <c r="J2694" s="1">
        <v>46266</v>
      </c>
      <c r="K2694" t="s">
        <v>748</v>
      </c>
      <c r="L2694">
        <v>1100</v>
      </c>
      <c r="M2694">
        <v>1100</v>
      </c>
      <c r="N2694" t="s">
        <v>710</v>
      </c>
      <c r="O2694" t="s">
        <v>4834</v>
      </c>
      <c r="P2694" t="s">
        <v>4776</v>
      </c>
      <c r="Q2694" t="s">
        <v>4856</v>
      </c>
      <c r="R2694" t="s">
        <v>4773</v>
      </c>
    </row>
    <row r="2695" spans="1:18" x14ac:dyDescent="0.3">
      <c r="A2695">
        <v>52907</v>
      </c>
      <c r="B2695" t="s">
        <v>1034</v>
      </c>
      <c r="C2695" t="s">
        <v>790</v>
      </c>
      <c r="D2695" t="s">
        <v>19</v>
      </c>
      <c r="E2695" s="1">
        <v>45904</v>
      </c>
      <c r="F2695" t="s">
        <v>4348</v>
      </c>
      <c r="G2695" t="s">
        <v>2716</v>
      </c>
      <c r="H2695" t="s">
        <v>287</v>
      </c>
      <c r="I2695" t="s">
        <v>209</v>
      </c>
      <c r="J2695" s="1">
        <v>54878</v>
      </c>
      <c r="K2695" t="s">
        <v>711</v>
      </c>
      <c r="L2695">
        <v>1</v>
      </c>
      <c r="M2695">
        <v>2950</v>
      </c>
      <c r="N2695" t="s">
        <v>710</v>
      </c>
      <c r="O2695" t="s">
        <v>1037</v>
      </c>
      <c r="P2695" t="s">
        <v>4781</v>
      </c>
      <c r="Q2695" t="s">
        <v>4852</v>
      </c>
      <c r="R2695" t="s">
        <v>4771</v>
      </c>
    </row>
    <row r="2696" spans="1:18" x14ac:dyDescent="0.3">
      <c r="A2696">
        <v>2524</v>
      </c>
      <c r="B2696" t="s">
        <v>1034</v>
      </c>
      <c r="C2696" t="s">
        <v>278</v>
      </c>
      <c r="D2696" t="s">
        <v>17</v>
      </c>
      <c r="E2696" s="1">
        <v>45904</v>
      </c>
      <c r="F2696" t="s">
        <v>4340</v>
      </c>
      <c r="G2696" t="s">
        <v>2761</v>
      </c>
      <c r="H2696" t="s">
        <v>510</v>
      </c>
      <c r="I2696" t="s">
        <v>204</v>
      </c>
      <c r="J2696" s="1">
        <v>46599</v>
      </c>
      <c r="K2696" t="s">
        <v>711</v>
      </c>
      <c r="L2696">
        <v>1</v>
      </c>
      <c r="M2696">
        <v>1500</v>
      </c>
      <c r="N2696" t="s">
        <v>710</v>
      </c>
      <c r="O2696" t="s">
        <v>1036</v>
      </c>
      <c r="P2696" t="s">
        <v>4776</v>
      </c>
      <c r="Q2696" t="s">
        <v>4901</v>
      </c>
      <c r="R2696" t="s">
        <v>4771</v>
      </c>
    </row>
    <row r="2697" spans="1:18" x14ac:dyDescent="0.3">
      <c r="A2697">
        <v>17938</v>
      </c>
      <c r="B2697" t="s">
        <v>4875</v>
      </c>
      <c r="C2697" t="s">
        <v>355</v>
      </c>
      <c r="D2697" t="s">
        <v>143</v>
      </c>
      <c r="E2697" s="1">
        <v>45904</v>
      </c>
      <c r="F2697" t="s">
        <v>4318</v>
      </c>
      <c r="G2697" t="s">
        <v>2725</v>
      </c>
      <c r="H2697" t="s">
        <v>354</v>
      </c>
      <c r="I2697" t="s">
        <v>204</v>
      </c>
      <c r="J2697" s="1">
        <v>54878</v>
      </c>
      <c r="K2697" t="s">
        <v>748</v>
      </c>
      <c r="L2697">
        <v>1488.44</v>
      </c>
      <c r="M2697">
        <v>1488.44</v>
      </c>
      <c r="N2697" t="s">
        <v>710</v>
      </c>
      <c r="O2697" t="s">
        <v>4834</v>
      </c>
      <c r="P2697" t="s">
        <v>4776</v>
      </c>
      <c r="Q2697" t="s">
        <v>4856</v>
      </c>
      <c r="R2697" t="s">
        <v>4771</v>
      </c>
    </row>
    <row r="2698" spans="1:18" x14ac:dyDescent="0.3">
      <c r="A2698">
        <v>591780</v>
      </c>
      <c r="B2698" t="s">
        <v>4875</v>
      </c>
      <c r="C2698" t="s">
        <v>248</v>
      </c>
      <c r="D2698" t="s">
        <v>13</v>
      </c>
      <c r="E2698" s="1">
        <v>45904</v>
      </c>
      <c r="F2698" t="s">
        <v>4430</v>
      </c>
      <c r="G2698" t="s">
        <v>2683</v>
      </c>
      <c r="H2698" t="s">
        <v>351</v>
      </c>
      <c r="I2698" t="s">
        <v>204</v>
      </c>
      <c r="J2698" s="1">
        <v>54878</v>
      </c>
      <c r="K2698" t="s">
        <v>748</v>
      </c>
      <c r="L2698">
        <v>1450.04</v>
      </c>
      <c r="M2698">
        <v>1450.04</v>
      </c>
      <c r="N2698" t="s">
        <v>710</v>
      </c>
      <c r="O2698" t="s">
        <v>1040</v>
      </c>
      <c r="P2698" t="s">
        <v>4779</v>
      </c>
      <c r="Q2698" t="s">
        <v>4856</v>
      </c>
      <c r="R2698" t="s">
        <v>4773</v>
      </c>
    </row>
    <row r="2699" spans="1:18" x14ac:dyDescent="0.3">
      <c r="A2699">
        <v>13425</v>
      </c>
      <c r="B2699" t="s">
        <v>4874</v>
      </c>
      <c r="C2699" t="s">
        <v>594</v>
      </c>
      <c r="D2699" t="s">
        <v>27</v>
      </c>
      <c r="E2699" s="1">
        <v>45903</v>
      </c>
      <c r="F2699" t="s">
        <v>4323</v>
      </c>
      <c r="G2699" t="s">
        <v>2731</v>
      </c>
      <c r="H2699" t="s">
        <v>593</v>
      </c>
      <c r="I2699" t="s">
        <v>204</v>
      </c>
      <c r="J2699" s="1">
        <v>46204</v>
      </c>
      <c r="K2699" t="s">
        <v>762</v>
      </c>
      <c r="L2699">
        <v>469574.51</v>
      </c>
      <c r="M2699">
        <v>469574.51</v>
      </c>
      <c r="N2699" t="s">
        <v>814</v>
      </c>
      <c r="O2699" t="s">
        <v>1037</v>
      </c>
      <c r="P2699" t="s">
        <v>4794</v>
      </c>
      <c r="Q2699" t="s">
        <v>4852</v>
      </c>
      <c r="R2699" t="s">
        <v>4772</v>
      </c>
    </row>
    <row r="2700" spans="1:18" x14ac:dyDescent="0.3">
      <c r="A2700">
        <v>7011</v>
      </c>
      <c r="B2700" t="s">
        <v>1034</v>
      </c>
      <c r="C2700" t="s">
        <v>230</v>
      </c>
      <c r="D2700" t="s">
        <v>85</v>
      </c>
      <c r="E2700" s="1">
        <v>45903</v>
      </c>
      <c r="F2700" t="s">
        <v>4348</v>
      </c>
      <c r="G2700" t="s">
        <v>2753</v>
      </c>
      <c r="H2700" t="s">
        <v>570</v>
      </c>
      <c r="I2700" t="s">
        <v>204</v>
      </c>
      <c r="J2700" s="1">
        <v>46418</v>
      </c>
      <c r="K2700" t="s">
        <v>717</v>
      </c>
      <c r="L2700">
        <v>1</v>
      </c>
      <c r="M2700">
        <v>508195.8</v>
      </c>
      <c r="N2700" t="s">
        <v>719</v>
      </c>
      <c r="O2700" t="s">
        <v>1033</v>
      </c>
      <c r="P2700" t="s">
        <v>4781</v>
      </c>
      <c r="Q2700" t="s">
        <v>4852</v>
      </c>
      <c r="R2700" t="s">
        <v>4771</v>
      </c>
    </row>
    <row r="2701" spans="1:18" x14ac:dyDescent="0.3">
      <c r="A2701">
        <v>131181</v>
      </c>
      <c r="B2701" t="s">
        <v>1034</v>
      </c>
      <c r="C2701" t="s">
        <v>522</v>
      </c>
      <c r="D2701" t="s">
        <v>50</v>
      </c>
      <c r="E2701" s="1">
        <v>45903</v>
      </c>
      <c r="F2701" t="s">
        <v>4352</v>
      </c>
      <c r="G2701" t="s">
        <v>2723</v>
      </c>
      <c r="H2701" t="s">
        <v>521</v>
      </c>
      <c r="I2701" t="s">
        <v>204</v>
      </c>
      <c r="J2701" s="1">
        <v>46387</v>
      </c>
      <c r="K2701" t="s">
        <v>717</v>
      </c>
      <c r="L2701">
        <v>547.27</v>
      </c>
      <c r="M2701">
        <v>547.27</v>
      </c>
      <c r="N2701" t="s">
        <v>884</v>
      </c>
      <c r="O2701" t="s">
        <v>1037</v>
      </c>
      <c r="P2701" t="s">
        <v>4776</v>
      </c>
      <c r="Q2701" t="s">
        <v>4852</v>
      </c>
      <c r="R2701" t="s">
        <v>4773</v>
      </c>
    </row>
    <row r="2702" spans="1:18" x14ac:dyDescent="0.3">
      <c r="A2702">
        <v>105852</v>
      </c>
      <c r="B2702" t="s">
        <v>1034</v>
      </c>
      <c r="C2702" t="s">
        <v>495</v>
      </c>
      <c r="D2702" t="s">
        <v>44</v>
      </c>
      <c r="E2702" s="1">
        <v>45903</v>
      </c>
      <c r="F2702" t="s">
        <v>4303</v>
      </c>
      <c r="G2702" t="s">
        <v>2727</v>
      </c>
      <c r="H2702" t="s">
        <v>494</v>
      </c>
      <c r="I2702" t="s">
        <v>204</v>
      </c>
      <c r="J2702" s="1">
        <v>54878</v>
      </c>
      <c r="K2702" t="s">
        <v>717</v>
      </c>
      <c r="L2702">
        <v>1639.45</v>
      </c>
      <c r="M2702">
        <v>1639.45</v>
      </c>
      <c r="N2702" t="s">
        <v>710</v>
      </c>
      <c r="O2702" t="s">
        <v>4833</v>
      </c>
      <c r="P2702" t="s">
        <v>4776</v>
      </c>
      <c r="Q2702" t="s">
        <v>4852</v>
      </c>
      <c r="R2702" t="s">
        <v>4773</v>
      </c>
    </row>
    <row r="2703" spans="1:18" x14ac:dyDescent="0.3">
      <c r="A2703">
        <v>34846</v>
      </c>
      <c r="B2703" t="s">
        <v>1034</v>
      </c>
      <c r="C2703" t="s">
        <v>314</v>
      </c>
      <c r="D2703" t="s">
        <v>39</v>
      </c>
      <c r="E2703" s="1">
        <v>45903</v>
      </c>
      <c r="F2703" t="s">
        <v>4347</v>
      </c>
      <c r="G2703" t="s">
        <v>2750</v>
      </c>
      <c r="H2703" t="s">
        <v>313</v>
      </c>
      <c r="I2703" t="s">
        <v>204</v>
      </c>
      <c r="J2703" s="1">
        <v>46237</v>
      </c>
      <c r="K2703" t="s">
        <v>711</v>
      </c>
      <c r="L2703">
        <v>1150</v>
      </c>
      <c r="M2703">
        <v>1150</v>
      </c>
      <c r="N2703" t="s">
        <v>710</v>
      </c>
      <c r="O2703" t="s">
        <v>4834</v>
      </c>
      <c r="P2703" t="s">
        <v>4779</v>
      </c>
      <c r="Q2703" t="s">
        <v>4901</v>
      </c>
      <c r="R2703" t="s">
        <v>4773</v>
      </c>
    </row>
    <row r="2704" spans="1:18" x14ac:dyDescent="0.3">
      <c r="A2704">
        <v>6993</v>
      </c>
      <c r="B2704" t="s">
        <v>1035</v>
      </c>
      <c r="C2704" t="s">
        <v>230</v>
      </c>
      <c r="D2704" t="s">
        <v>85</v>
      </c>
      <c r="E2704" s="1">
        <v>45903</v>
      </c>
      <c r="F2704" t="s">
        <v>4348</v>
      </c>
      <c r="G2704" t="s">
        <v>2765</v>
      </c>
      <c r="H2704" t="s">
        <v>229</v>
      </c>
      <c r="I2704" t="s">
        <v>204</v>
      </c>
      <c r="J2704" s="1">
        <v>46203</v>
      </c>
      <c r="K2704" t="s">
        <v>744</v>
      </c>
      <c r="L2704">
        <v>7594.67</v>
      </c>
      <c r="M2704">
        <v>7594.67</v>
      </c>
      <c r="N2704" t="s">
        <v>710</v>
      </c>
      <c r="O2704" t="s">
        <v>1033</v>
      </c>
      <c r="P2704" t="s">
        <v>4781</v>
      </c>
      <c r="Q2704" t="s">
        <v>4852</v>
      </c>
      <c r="R2704" t="s">
        <v>4771</v>
      </c>
    </row>
    <row r="2705" spans="1:18" x14ac:dyDescent="0.3">
      <c r="A2705">
        <v>372527</v>
      </c>
      <c r="B2705" t="s">
        <v>1034</v>
      </c>
      <c r="C2705" t="s">
        <v>435</v>
      </c>
      <c r="D2705" t="s">
        <v>30</v>
      </c>
      <c r="E2705" s="1">
        <v>45903</v>
      </c>
      <c r="F2705" t="s">
        <v>4351</v>
      </c>
      <c r="G2705" t="s">
        <v>2760</v>
      </c>
      <c r="H2705" t="s">
        <v>434</v>
      </c>
      <c r="I2705" t="s">
        <v>204</v>
      </c>
      <c r="J2705" s="1">
        <v>46752</v>
      </c>
      <c r="K2705" t="s">
        <v>785</v>
      </c>
      <c r="L2705">
        <v>1</v>
      </c>
      <c r="M2705">
        <v>187655.02</v>
      </c>
      <c r="N2705" t="s">
        <v>998</v>
      </c>
      <c r="O2705" t="s">
        <v>1038</v>
      </c>
      <c r="P2705" t="s">
        <v>4787</v>
      </c>
      <c r="Q2705" t="s">
        <v>4858</v>
      </c>
      <c r="R2705" t="s">
        <v>4771</v>
      </c>
    </row>
    <row r="2706" spans="1:18" x14ac:dyDescent="0.3">
      <c r="A2706">
        <v>3939206</v>
      </c>
      <c r="B2706" t="s">
        <v>1034</v>
      </c>
      <c r="C2706" t="s">
        <v>417</v>
      </c>
      <c r="D2706" t="s">
        <v>185</v>
      </c>
      <c r="E2706" s="1">
        <v>45903</v>
      </c>
      <c r="F2706" t="s">
        <v>4335</v>
      </c>
      <c r="G2706" t="s">
        <v>2692</v>
      </c>
      <c r="H2706" t="s">
        <v>416</v>
      </c>
      <c r="I2706" t="s">
        <v>204</v>
      </c>
      <c r="J2706" s="1">
        <v>54878</v>
      </c>
      <c r="K2706" t="s">
        <v>717</v>
      </c>
      <c r="L2706">
        <v>1281.01</v>
      </c>
      <c r="M2706">
        <v>1281.01</v>
      </c>
      <c r="N2706" t="s">
        <v>710</v>
      </c>
      <c r="O2706" t="s">
        <v>1037</v>
      </c>
      <c r="P2706" t="s">
        <v>4780</v>
      </c>
      <c r="Q2706" t="s">
        <v>4852</v>
      </c>
      <c r="R2706" t="s">
        <v>4771</v>
      </c>
    </row>
    <row r="2707" spans="1:18" x14ac:dyDescent="0.3">
      <c r="A2707">
        <v>13719</v>
      </c>
      <c r="B2707" t="s">
        <v>1034</v>
      </c>
      <c r="C2707" t="s">
        <v>598</v>
      </c>
      <c r="D2707" t="s">
        <v>128</v>
      </c>
      <c r="E2707" s="1">
        <v>45903</v>
      </c>
      <c r="F2707" t="s">
        <v>4336</v>
      </c>
      <c r="G2707" t="s">
        <v>2733</v>
      </c>
      <c r="H2707" t="s">
        <v>597</v>
      </c>
      <c r="I2707" t="s">
        <v>204</v>
      </c>
      <c r="J2707" s="1">
        <v>45839</v>
      </c>
      <c r="K2707" t="s">
        <v>717</v>
      </c>
      <c r="L2707">
        <v>4619.53</v>
      </c>
      <c r="M2707">
        <v>4619.53</v>
      </c>
      <c r="N2707" t="s">
        <v>710</v>
      </c>
      <c r="O2707" t="s">
        <v>1037</v>
      </c>
      <c r="P2707" t="s">
        <v>4794</v>
      </c>
      <c r="Q2707" t="s">
        <v>4852</v>
      </c>
      <c r="R2707" t="s">
        <v>4772</v>
      </c>
    </row>
    <row r="2708" spans="1:18" x14ac:dyDescent="0.3">
      <c r="A2708">
        <v>23</v>
      </c>
      <c r="B2708" t="s">
        <v>4875</v>
      </c>
      <c r="C2708" t="s">
        <v>319</v>
      </c>
      <c r="D2708" t="s">
        <v>36</v>
      </c>
      <c r="E2708" s="1">
        <v>45903</v>
      </c>
      <c r="F2708" t="s">
        <v>4434</v>
      </c>
      <c r="G2708" t="s">
        <v>2653</v>
      </c>
      <c r="H2708" t="s">
        <v>336</v>
      </c>
      <c r="I2708" t="s">
        <v>204</v>
      </c>
      <c r="J2708" s="1">
        <v>46075</v>
      </c>
      <c r="K2708" t="s">
        <v>748</v>
      </c>
      <c r="L2708">
        <v>45786.7</v>
      </c>
      <c r="M2708">
        <v>45786.7</v>
      </c>
      <c r="N2708" t="s">
        <v>710</v>
      </c>
      <c r="O2708" t="s">
        <v>1040</v>
      </c>
      <c r="P2708" t="s">
        <v>4784</v>
      </c>
      <c r="Q2708" t="s">
        <v>4856</v>
      </c>
      <c r="R2708" t="s">
        <v>4771</v>
      </c>
    </row>
    <row r="2709" spans="1:18" x14ac:dyDescent="0.3">
      <c r="A2709">
        <v>58</v>
      </c>
      <c r="B2709" t="s">
        <v>4875</v>
      </c>
      <c r="C2709" t="s">
        <v>319</v>
      </c>
      <c r="D2709" t="s">
        <v>36</v>
      </c>
      <c r="E2709" s="1">
        <v>45903</v>
      </c>
      <c r="F2709" t="s">
        <v>4434</v>
      </c>
      <c r="G2709" t="s">
        <v>2702</v>
      </c>
      <c r="H2709" t="s">
        <v>336</v>
      </c>
      <c r="I2709" t="s">
        <v>204</v>
      </c>
      <c r="J2709" s="1">
        <v>46075</v>
      </c>
      <c r="K2709" t="s">
        <v>748</v>
      </c>
      <c r="L2709">
        <v>21433.21</v>
      </c>
      <c r="M2709">
        <v>21433.21</v>
      </c>
      <c r="N2709" t="s">
        <v>710</v>
      </c>
      <c r="O2709" t="s">
        <v>1040</v>
      </c>
      <c r="P2709" t="s">
        <v>4784</v>
      </c>
      <c r="Q2709" t="s">
        <v>4856</v>
      </c>
      <c r="R2709" t="s">
        <v>4771</v>
      </c>
    </row>
    <row r="2710" spans="1:18" x14ac:dyDescent="0.3">
      <c r="A2710">
        <v>42129</v>
      </c>
      <c r="B2710" t="s">
        <v>4875</v>
      </c>
      <c r="C2710" t="s">
        <v>327</v>
      </c>
      <c r="D2710" t="s">
        <v>159</v>
      </c>
      <c r="E2710" s="1">
        <v>45903</v>
      </c>
      <c r="F2710" t="s">
        <v>4295</v>
      </c>
      <c r="G2710" t="s">
        <v>2675</v>
      </c>
      <c r="H2710" t="s">
        <v>326</v>
      </c>
      <c r="I2710" t="s">
        <v>204</v>
      </c>
      <c r="J2710" s="1">
        <v>54878</v>
      </c>
      <c r="K2710" t="s">
        <v>748</v>
      </c>
      <c r="L2710">
        <v>2150</v>
      </c>
      <c r="M2710">
        <v>2150</v>
      </c>
      <c r="N2710" t="s">
        <v>719</v>
      </c>
      <c r="O2710" t="s">
        <v>4834</v>
      </c>
      <c r="P2710" t="s">
        <v>4776</v>
      </c>
      <c r="Q2710" t="s">
        <v>4856</v>
      </c>
      <c r="R2710" t="s">
        <v>4773</v>
      </c>
    </row>
    <row r="2711" spans="1:18" x14ac:dyDescent="0.3">
      <c r="A2711">
        <v>46</v>
      </c>
      <c r="B2711" t="s">
        <v>4876</v>
      </c>
      <c r="C2711" t="s">
        <v>476</v>
      </c>
      <c r="D2711" t="s">
        <v>195</v>
      </c>
      <c r="E2711" s="1">
        <v>45903</v>
      </c>
      <c r="F2711" t="s">
        <v>4401</v>
      </c>
      <c r="G2711" t="s">
        <v>2718</v>
      </c>
      <c r="H2711" t="s">
        <v>475</v>
      </c>
      <c r="I2711" t="s">
        <v>204</v>
      </c>
      <c r="J2711" s="1">
        <v>54878</v>
      </c>
      <c r="K2711" t="s">
        <v>839</v>
      </c>
      <c r="L2711">
        <v>39330</v>
      </c>
      <c r="M2711">
        <v>39330</v>
      </c>
      <c r="N2711" t="s">
        <v>710</v>
      </c>
      <c r="O2711" t="s">
        <v>1042</v>
      </c>
      <c r="P2711" t="s">
        <v>1006</v>
      </c>
      <c r="Q2711" t="s">
        <v>4852</v>
      </c>
      <c r="R2711" t="s">
        <v>4771</v>
      </c>
    </row>
    <row r="2712" spans="1:18" x14ac:dyDescent="0.3">
      <c r="A2712">
        <v>1524</v>
      </c>
      <c r="B2712" t="s">
        <v>1034</v>
      </c>
      <c r="C2712" t="s">
        <v>449</v>
      </c>
      <c r="D2712" t="s">
        <v>20</v>
      </c>
      <c r="E2712" s="1">
        <v>45903</v>
      </c>
      <c r="F2712" t="s">
        <v>4331</v>
      </c>
      <c r="G2712" t="s">
        <v>2737</v>
      </c>
      <c r="H2712" t="s">
        <v>448</v>
      </c>
      <c r="I2712" t="s">
        <v>204</v>
      </c>
      <c r="J2712" s="1">
        <v>46219</v>
      </c>
      <c r="K2712" t="s">
        <v>717</v>
      </c>
      <c r="L2712">
        <v>8338.2800000000007</v>
      </c>
      <c r="M2712">
        <v>8338.2800000000007</v>
      </c>
      <c r="N2712" t="s">
        <v>710</v>
      </c>
      <c r="O2712" t="s">
        <v>4902</v>
      </c>
      <c r="P2712" t="s">
        <v>4776</v>
      </c>
      <c r="Q2712" t="s">
        <v>4852</v>
      </c>
      <c r="R2712" t="s">
        <v>4771</v>
      </c>
    </row>
    <row r="2713" spans="1:18" x14ac:dyDescent="0.3">
      <c r="A2713">
        <v>13434</v>
      </c>
      <c r="B2713" t="s">
        <v>1034</v>
      </c>
      <c r="C2713" t="s">
        <v>594</v>
      </c>
      <c r="D2713" t="s">
        <v>27</v>
      </c>
      <c r="E2713" s="1">
        <v>45903</v>
      </c>
      <c r="F2713" t="s">
        <v>4323</v>
      </c>
      <c r="G2713" t="s">
        <v>2730</v>
      </c>
      <c r="H2713" t="s">
        <v>595</v>
      </c>
      <c r="I2713" t="s">
        <v>204</v>
      </c>
      <c r="J2713" s="1">
        <v>46204</v>
      </c>
      <c r="K2713" t="s">
        <v>717</v>
      </c>
      <c r="L2713">
        <v>83324.679999999993</v>
      </c>
      <c r="M2713">
        <v>83324.679999999993</v>
      </c>
      <c r="N2713" t="s">
        <v>814</v>
      </c>
      <c r="O2713" t="s">
        <v>1037</v>
      </c>
      <c r="P2713" t="s">
        <v>4794</v>
      </c>
      <c r="Q2713" t="s">
        <v>4852</v>
      </c>
      <c r="R2713" t="s">
        <v>4772</v>
      </c>
    </row>
    <row r="2714" spans="1:18" x14ac:dyDescent="0.3">
      <c r="A2714">
        <v>1946651</v>
      </c>
      <c r="B2714" t="s">
        <v>1034</v>
      </c>
      <c r="C2714" t="s">
        <v>417</v>
      </c>
      <c r="D2714" t="s">
        <v>185</v>
      </c>
      <c r="E2714" s="1">
        <v>45903</v>
      </c>
      <c r="F2714" t="s">
        <v>4346</v>
      </c>
      <c r="G2714" t="s">
        <v>2692</v>
      </c>
      <c r="H2714" t="s">
        <v>416</v>
      </c>
      <c r="I2714" t="s">
        <v>204</v>
      </c>
      <c r="J2714" s="1">
        <v>54878</v>
      </c>
      <c r="K2714" t="s">
        <v>717</v>
      </c>
      <c r="L2714">
        <v>5054.72</v>
      </c>
      <c r="M2714">
        <v>5054.72</v>
      </c>
      <c r="N2714" t="s">
        <v>710</v>
      </c>
      <c r="O2714" t="s">
        <v>1037</v>
      </c>
      <c r="P2714" t="s">
        <v>4780</v>
      </c>
      <c r="Q2714" t="s">
        <v>4852</v>
      </c>
      <c r="R2714" t="s">
        <v>4771</v>
      </c>
    </row>
    <row r="2715" spans="1:18" x14ac:dyDescent="0.3">
      <c r="A2715">
        <v>7000</v>
      </c>
      <c r="B2715" t="s">
        <v>1035</v>
      </c>
      <c r="C2715" t="s">
        <v>230</v>
      </c>
      <c r="D2715" t="s">
        <v>85</v>
      </c>
      <c r="E2715" s="1">
        <v>45903</v>
      </c>
      <c r="F2715" t="s">
        <v>4348</v>
      </c>
      <c r="G2715" t="s">
        <v>2677</v>
      </c>
      <c r="H2715" t="s">
        <v>229</v>
      </c>
      <c r="I2715" t="s">
        <v>204</v>
      </c>
      <c r="J2715" s="1">
        <v>46203</v>
      </c>
      <c r="K2715" t="s">
        <v>744</v>
      </c>
      <c r="L2715">
        <v>335.28</v>
      </c>
      <c r="M2715">
        <v>335.28</v>
      </c>
      <c r="N2715" t="s">
        <v>710</v>
      </c>
      <c r="O2715" t="s">
        <v>1033</v>
      </c>
      <c r="P2715" t="s">
        <v>4781</v>
      </c>
      <c r="Q2715" t="s">
        <v>4852</v>
      </c>
      <c r="R2715" t="s">
        <v>4771</v>
      </c>
    </row>
    <row r="2716" spans="1:18" x14ac:dyDescent="0.3">
      <c r="A2716">
        <v>7001</v>
      </c>
      <c r="B2716" t="s">
        <v>1035</v>
      </c>
      <c r="C2716" t="s">
        <v>230</v>
      </c>
      <c r="D2716" t="s">
        <v>85</v>
      </c>
      <c r="E2716" s="1">
        <v>45903</v>
      </c>
      <c r="F2716" t="s">
        <v>4348</v>
      </c>
      <c r="G2716" t="s">
        <v>2765</v>
      </c>
      <c r="H2716" t="s">
        <v>229</v>
      </c>
      <c r="I2716" t="s">
        <v>204</v>
      </c>
      <c r="J2716" s="1">
        <v>46203</v>
      </c>
      <c r="K2716" t="s">
        <v>744</v>
      </c>
      <c r="L2716">
        <v>48517.85</v>
      </c>
      <c r="M2716">
        <v>48517.85</v>
      </c>
      <c r="N2716" t="s">
        <v>710</v>
      </c>
      <c r="O2716" t="s">
        <v>1033</v>
      </c>
      <c r="P2716" t="s">
        <v>4781</v>
      </c>
      <c r="Q2716" t="s">
        <v>4852</v>
      </c>
      <c r="R2716" t="s">
        <v>4771</v>
      </c>
    </row>
    <row r="2717" spans="1:18" x14ac:dyDescent="0.3">
      <c r="A2717">
        <v>7002</v>
      </c>
      <c r="B2717" t="s">
        <v>1035</v>
      </c>
      <c r="C2717" t="s">
        <v>230</v>
      </c>
      <c r="D2717" t="s">
        <v>85</v>
      </c>
      <c r="E2717" s="1">
        <v>45903</v>
      </c>
      <c r="F2717" t="s">
        <v>4348</v>
      </c>
      <c r="G2717" t="s">
        <v>2765</v>
      </c>
      <c r="H2717" t="s">
        <v>229</v>
      </c>
      <c r="I2717" t="s">
        <v>204</v>
      </c>
      <c r="J2717" s="1">
        <v>46203</v>
      </c>
      <c r="K2717" t="s">
        <v>744</v>
      </c>
      <c r="L2717">
        <v>18802.560000000001</v>
      </c>
      <c r="M2717">
        <v>18802.560000000001</v>
      </c>
      <c r="N2717" t="s">
        <v>710</v>
      </c>
      <c r="O2717" t="s">
        <v>1033</v>
      </c>
      <c r="P2717" t="s">
        <v>4781</v>
      </c>
      <c r="Q2717" t="s">
        <v>4852</v>
      </c>
      <c r="R2717" t="s">
        <v>4771</v>
      </c>
    </row>
    <row r="2718" spans="1:18" x14ac:dyDescent="0.3">
      <c r="A2718">
        <v>3772</v>
      </c>
      <c r="B2718" t="s">
        <v>4874</v>
      </c>
      <c r="C2718" t="s">
        <v>225</v>
      </c>
      <c r="D2718" t="s">
        <v>166</v>
      </c>
      <c r="E2718" s="1">
        <v>45903</v>
      </c>
      <c r="F2718" t="s">
        <v>4383</v>
      </c>
      <c r="G2718" t="s">
        <v>2728</v>
      </c>
      <c r="H2718" t="s">
        <v>224</v>
      </c>
      <c r="I2718" t="s">
        <v>204</v>
      </c>
      <c r="J2718" s="1">
        <v>54878</v>
      </c>
      <c r="K2718" t="s">
        <v>720</v>
      </c>
      <c r="L2718">
        <v>476.36</v>
      </c>
      <c r="M2718">
        <v>476.36</v>
      </c>
      <c r="N2718" t="s">
        <v>710</v>
      </c>
      <c r="O2718" t="s">
        <v>4849</v>
      </c>
      <c r="P2718" t="s">
        <v>4776</v>
      </c>
      <c r="Q2718" t="s">
        <v>4855</v>
      </c>
      <c r="R2718" t="s">
        <v>4773</v>
      </c>
    </row>
    <row r="2719" spans="1:18" x14ac:dyDescent="0.3">
      <c r="A2719">
        <v>3337</v>
      </c>
      <c r="B2719" t="s">
        <v>4874</v>
      </c>
      <c r="C2719" t="s">
        <v>612</v>
      </c>
      <c r="D2719" t="s">
        <v>102</v>
      </c>
      <c r="E2719" s="1">
        <v>45903</v>
      </c>
      <c r="F2719" t="s">
        <v>4300</v>
      </c>
      <c r="G2719" t="s">
        <v>2729</v>
      </c>
      <c r="H2719" t="s">
        <v>611</v>
      </c>
      <c r="I2719" t="s">
        <v>209</v>
      </c>
      <c r="J2719" s="1">
        <v>45961</v>
      </c>
      <c r="K2719" t="s">
        <v>720</v>
      </c>
      <c r="L2719">
        <v>20748</v>
      </c>
      <c r="M2719">
        <v>20748</v>
      </c>
      <c r="N2719" t="s">
        <v>710</v>
      </c>
      <c r="O2719" t="s">
        <v>1037</v>
      </c>
      <c r="P2719" t="s">
        <v>4777</v>
      </c>
      <c r="Q2719" t="s">
        <v>4852</v>
      </c>
      <c r="R2719" t="s">
        <v>4773</v>
      </c>
    </row>
    <row r="2720" spans="1:18" x14ac:dyDescent="0.3">
      <c r="A2720">
        <v>13711</v>
      </c>
      <c r="B2720" t="s">
        <v>4874</v>
      </c>
      <c r="C2720" t="s">
        <v>598</v>
      </c>
      <c r="D2720" t="s">
        <v>128</v>
      </c>
      <c r="E2720" s="1">
        <v>45903</v>
      </c>
      <c r="F2720" t="s">
        <v>4336</v>
      </c>
      <c r="G2720" t="s">
        <v>2734</v>
      </c>
      <c r="H2720" t="s">
        <v>599</v>
      </c>
      <c r="I2720" t="s">
        <v>204</v>
      </c>
      <c r="J2720" s="1">
        <v>45869</v>
      </c>
      <c r="K2720" t="s">
        <v>762</v>
      </c>
      <c r="L2720">
        <v>3661.91</v>
      </c>
      <c r="M2720">
        <v>3661.91</v>
      </c>
      <c r="N2720" t="s">
        <v>710</v>
      </c>
      <c r="O2720" t="s">
        <v>1037</v>
      </c>
      <c r="P2720" t="s">
        <v>4794</v>
      </c>
      <c r="Q2720" t="s">
        <v>4852</v>
      </c>
      <c r="R2720" t="s">
        <v>4772</v>
      </c>
    </row>
    <row r="2721" spans="1:18" x14ac:dyDescent="0.3">
      <c r="A2721">
        <v>3939067</v>
      </c>
      <c r="B2721" t="s">
        <v>4874</v>
      </c>
      <c r="C2721" t="s">
        <v>417</v>
      </c>
      <c r="D2721" t="s">
        <v>185</v>
      </c>
      <c r="E2721" s="1">
        <v>45903</v>
      </c>
      <c r="F2721" t="s">
        <v>4335</v>
      </c>
      <c r="G2721" t="s">
        <v>2691</v>
      </c>
      <c r="H2721" t="s">
        <v>461</v>
      </c>
      <c r="I2721" t="s">
        <v>204</v>
      </c>
      <c r="J2721" s="1">
        <v>54878</v>
      </c>
      <c r="K2721" t="s">
        <v>762</v>
      </c>
      <c r="L2721">
        <v>4235.6099999999997</v>
      </c>
      <c r="M2721">
        <v>4235.6099999999997</v>
      </c>
      <c r="N2721" t="s">
        <v>710</v>
      </c>
      <c r="O2721" t="s">
        <v>1037</v>
      </c>
      <c r="P2721" t="s">
        <v>4780</v>
      </c>
      <c r="Q2721" t="s">
        <v>4852</v>
      </c>
      <c r="R2721" t="s">
        <v>4771</v>
      </c>
    </row>
    <row r="2722" spans="1:18" x14ac:dyDescent="0.3">
      <c r="A2722">
        <v>1946512</v>
      </c>
      <c r="B2722" t="s">
        <v>4874</v>
      </c>
      <c r="C2722" t="s">
        <v>417</v>
      </c>
      <c r="D2722" t="s">
        <v>185</v>
      </c>
      <c r="E2722" s="1">
        <v>45903</v>
      </c>
      <c r="F2722" t="s">
        <v>4346</v>
      </c>
      <c r="G2722" t="s">
        <v>2691</v>
      </c>
      <c r="H2722" t="s">
        <v>461</v>
      </c>
      <c r="I2722" t="s">
        <v>204</v>
      </c>
      <c r="J2722" s="1">
        <v>54878</v>
      </c>
      <c r="K2722" t="s">
        <v>762</v>
      </c>
      <c r="L2722">
        <v>26700.52</v>
      </c>
      <c r="M2722">
        <v>26700.52</v>
      </c>
      <c r="N2722" t="s">
        <v>710</v>
      </c>
      <c r="O2722" t="s">
        <v>1037</v>
      </c>
      <c r="P2722" t="s">
        <v>4780</v>
      </c>
      <c r="Q2722" t="s">
        <v>4852</v>
      </c>
      <c r="R2722" t="s">
        <v>4771</v>
      </c>
    </row>
    <row r="2723" spans="1:18" x14ac:dyDescent="0.3">
      <c r="A2723">
        <v>7185</v>
      </c>
      <c r="B2723" t="s">
        <v>4874</v>
      </c>
      <c r="C2723" t="s">
        <v>484</v>
      </c>
      <c r="D2723" t="s">
        <v>140</v>
      </c>
      <c r="E2723" s="1">
        <v>45903</v>
      </c>
      <c r="F2723" t="s">
        <v>4345</v>
      </c>
      <c r="G2723" t="s">
        <v>2714</v>
      </c>
      <c r="H2723" t="s">
        <v>483</v>
      </c>
      <c r="I2723" t="s">
        <v>204</v>
      </c>
      <c r="J2723" s="1">
        <v>46508</v>
      </c>
      <c r="K2723" t="s">
        <v>762</v>
      </c>
      <c r="L2723">
        <v>49120</v>
      </c>
      <c r="M2723">
        <v>49120</v>
      </c>
      <c r="N2723" t="s">
        <v>710</v>
      </c>
      <c r="O2723" t="s">
        <v>4833</v>
      </c>
      <c r="P2723" t="s">
        <v>4776</v>
      </c>
      <c r="Q2723" t="s">
        <v>4852</v>
      </c>
      <c r="R2723" t="s">
        <v>4773</v>
      </c>
    </row>
    <row r="2724" spans="1:18" x14ac:dyDescent="0.3">
      <c r="A2724">
        <v>373011</v>
      </c>
      <c r="B2724" t="s">
        <v>4874</v>
      </c>
      <c r="C2724" t="s">
        <v>435</v>
      </c>
      <c r="D2724" t="s">
        <v>30</v>
      </c>
      <c r="E2724" s="1">
        <v>45903</v>
      </c>
      <c r="F2724" t="s">
        <v>4351</v>
      </c>
      <c r="G2724" t="s">
        <v>2756</v>
      </c>
      <c r="H2724" t="s">
        <v>434</v>
      </c>
      <c r="I2724" t="s">
        <v>204</v>
      </c>
      <c r="J2724" s="1">
        <v>46752</v>
      </c>
      <c r="K2724" t="s">
        <v>785</v>
      </c>
      <c r="L2724">
        <v>1</v>
      </c>
      <c r="M2724">
        <v>151686.97</v>
      </c>
      <c r="N2724" t="s">
        <v>998</v>
      </c>
      <c r="O2724" t="s">
        <v>1038</v>
      </c>
      <c r="P2724" t="s">
        <v>4787</v>
      </c>
      <c r="Q2724" t="s">
        <v>4858</v>
      </c>
      <c r="R2724" t="s">
        <v>4771</v>
      </c>
    </row>
    <row r="2725" spans="1:18" x14ac:dyDescent="0.3">
      <c r="A2725">
        <v>2693</v>
      </c>
      <c r="B2725" t="s">
        <v>4875</v>
      </c>
      <c r="C2725" t="s">
        <v>541</v>
      </c>
      <c r="D2725" t="s">
        <v>173</v>
      </c>
      <c r="E2725" s="1">
        <v>45903</v>
      </c>
      <c r="F2725" t="s">
        <v>4326</v>
      </c>
      <c r="G2725" t="s">
        <v>2685</v>
      </c>
      <c r="H2725" t="s">
        <v>542</v>
      </c>
      <c r="I2725" t="s">
        <v>204</v>
      </c>
      <c r="J2725" s="1">
        <v>46537</v>
      </c>
      <c r="K2725" t="s">
        <v>748</v>
      </c>
      <c r="L2725">
        <v>1</v>
      </c>
      <c r="M2725">
        <v>2337.9499999999998</v>
      </c>
      <c r="N2725" t="s">
        <v>814</v>
      </c>
      <c r="O2725" t="s">
        <v>1040</v>
      </c>
      <c r="P2725" t="s">
        <v>4791</v>
      </c>
      <c r="Q2725" t="s">
        <v>4856</v>
      </c>
      <c r="R2725" t="s">
        <v>4773</v>
      </c>
    </row>
    <row r="2726" spans="1:18" x14ac:dyDescent="0.3">
      <c r="A2726">
        <v>5554</v>
      </c>
      <c r="B2726" t="s">
        <v>4874</v>
      </c>
      <c r="C2726" t="s">
        <v>401</v>
      </c>
      <c r="D2726" t="s">
        <v>187</v>
      </c>
      <c r="E2726" s="1">
        <v>45903</v>
      </c>
      <c r="F2726" t="s">
        <v>4345</v>
      </c>
      <c r="G2726" t="s">
        <v>2745</v>
      </c>
      <c r="H2726" t="s">
        <v>400</v>
      </c>
      <c r="I2726" t="s">
        <v>204</v>
      </c>
      <c r="J2726" s="1">
        <v>54878</v>
      </c>
      <c r="K2726" t="s">
        <v>762</v>
      </c>
      <c r="L2726">
        <v>390</v>
      </c>
      <c r="M2726">
        <v>390</v>
      </c>
      <c r="N2726" t="s">
        <v>710</v>
      </c>
      <c r="O2726" t="s">
        <v>4833</v>
      </c>
      <c r="P2726" t="s">
        <v>4776</v>
      </c>
      <c r="Q2726" t="s">
        <v>4852</v>
      </c>
      <c r="R2726" t="s">
        <v>4773</v>
      </c>
    </row>
    <row r="2727" spans="1:18" x14ac:dyDescent="0.3">
      <c r="A2727">
        <v>7030</v>
      </c>
      <c r="B2727" t="s">
        <v>4874</v>
      </c>
      <c r="C2727" t="s">
        <v>230</v>
      </c>
      <c r="D2727" t="s">
        <v>85</v>
      </c>
      <c r="E2727" s="1">
        <v>45903</v>
      </c>
      <c r="F2727" t="s">
        <v>4348</v>
      </c>
      <c r="G2727" t="s">
        <v>2755</v>
      </c>
      <c r="H2727" t="s">
        <v>299</v>
      </c>
      <c r="I2727" t="s">
        <v>204</v>
      </c>
      <c r="J2727" s="1">
        <v>46536</v>
      </c>
      <c r="K2727" t="s">
        <v>762</v>
      </c>
      <c r="L2727">
        <v>12092.8</v>
      </c>
      <c r="M2727">
        <v>12092.8</v>
      </c>
      <c r="N2727" t="s">
        <v>710</v>
      </c>
      <c r="O2727" t="s">
        <v>1033</v>
      </c>
      <c r="P2727" t="s">
        <v>4781</v>
      </c>
      <c r="Q2727" t="s">
        <v>4852</v>
      </c>
      <c r="R2727" t="s">
        <v>4771</v>
      </c>
    </row>
    <row r="2728" spans="1:18" x14ac:dyDescent="0.3">
      <c r="A2728">
        <v>13727</v>
      </c>
      <c r="B2728" t="s">
        <v>4875</v>
      </c>
      <c r="C2728" t="s">
        <v>598</v>
      </c>
      <c r="D2728" t="s">
        <v>128</v>
      </c>
      <c r="E2728" s="1">
        <v>45903</v>
      </c>
      <c r="F2728" t="s">
        <v>4336</v>
      </c>
      <c r="G2728" t="s">
        <v>2736</v>
      </c>
      <c r="H2728" t="s">
        <v>600</v>
      </c>
      <c r="I2728" t="s">
        <v>204</v>
      </c>
      <c r="J2728" s="1">
        <v>45869</v>
      </c>
      <c r="K2728" t="s">
        <v>768</v>
      </c>
      <c r="L2728">
        <v>915.35</v>
      </c>
      <c r="M2728">
        <v>915.35</v>
      </c>
      <c r="N2728" t="s">
        <v>710</v>
      </c>
      <c r="O2728" t="s">
        <v>1037</v>
      </c>
      <c r="P2728" t="s">
        <v>4794</v>
      </c>
      <c r="Q2728" t="s">
        <v>4852</v>
      </c>
      <c r="R2728" t="s">
        <v>4772</v>
      </c>
    </row>
    <row r="2729" spans="1:18" x14ac:dyDescent="0.3">
      <c r="A2729">
        <v>372613</v>
      </c>
      <c r="B2729" t="s">
        <v>4875</v>
      </c>
      <c r="C2729" t="s">
        <v>435</v>
      </c>
      <c r="D2729" t="s">
        <v>30</v>
      </c>
      <c r="E2729" s="1">
        <v>45903</v>
      </c>
      <c r="F2729" t="s">
        <v>4351</v>
      </c>
      <c r="G2729" t="s">
        <v>2759</v>
      </c>
      <c r="H2729" t="s">
        <v>434</v>
      </c>
      <c r="I2729" t="s">
        <v>204</v>
      </c>
      <c r="J2729" s="1">
        <v>46752</v>
      </c>
      <c r="K2729" t="s">
        <v>785</v>
      </c>
      <c r="L2729">
        <v>1</v>
      </c>
      <c r="M2729">
        <v>71452.75</v>
      </c>
      <c r="N2729" t="s">
        <v>998</v>
      </c>
      <c r="O2729" t="s">
        <v>1038</v>
      </c>
      <c r="P2729" t="s">
        <v>4787</v>
      </c>
      <c r="Q2729" t="s">
        <v>4858</v>
      </c>
      <c r="R2729" t="s">
        <v>4771</v>
      </c>
    </row>
    <row r="2730" spans="1:18" x14ac:dyDescent="0.3">
      <c r="A2730">
        <v>236586</v>
      </c>
      <c r="B2730" t="s">
        <v>4875</v>
      </c>
      <c r="C2730" t="s">
        <v>493</v>
      </c>
      <c r="D2730" t="s">
        <v>197</v>
      </c>
      <c r="E2730" s="1">
        <v>45903</v>
      </c>
      <c r="F2730" t="s">
        <v>4306</v>
      </c>
      <c r="G2730" t="s">
        <v>2748</v>
      </c>
      <c r="H2730" t="s">
        <v>492</v>
      </c>
      <c r="I2730" t="s">
        <v>204</v>
      </c>
      <c r="J2730" s="1">
        <v>54878</v>
      </c>
      <c r="K2730" t="s">
        <v>768</v>
      </c>
      <c r="L2730">
        <v>650</v>
      </c>
      <c r="M2730">
        <v>650</v>
      </c>
      <c r="N2730" t="s">
        <v>710</v>
      </c>
      <c r="O2730" t="s">
        <v>4833</v>
      </c>
      <c r="P2730" t="s">
        <v>4786</v>
      </c>
      <c r="Q2730" t="s">
        <v>4852</v>
      </c>
      <c r="R2730" t="s">
        <v>4773</v>
      </c>
    </row>
    <row r="2731" spans="1:18" x14ac:dyDescent="0.3">
      <c r="A2731">
        <v>236587</v>
      </c>
      <c r="B2731" t="s">
        <v>4875</v>
      </c>
      <c r="C2731" t="s">
        <v>493</v>
      </c>
      <c r="D2731" t="s">
        <v>197</v>
      </c>
      <c r="E2731" s="1">
        <v>45903</v>
      </c>
      <c r="F2731" t="s">
        <v>4306</v>
      </c>
      <c r="G2731" t="s">
        <v>2748</v>
      </c>
      <c r="H2731" t="s">
        <v>492</v>
      </c>
      <c r="I2731" t="s">
        <v>204</v>
      </c>
      <c r="J2731" s="1">
        <v>54878</v>
      </c>
      <c r="K2731" t="s">
        <v>768</v>
      </c>
      <c r="L2731">
        <v>799</v>
      </c>
      <c r="M2731">
        <v>799</v>
      </c>
      <c r="N2731" t="s">
        <v>710</v>
      </c>
      <c r="O2731" t="s">
        <v>4833</v>
      </c>
      <c r="P2731" t="s">
        <v>4786</v>
      </c>
      <c r="Q2731" t="s">
        <v>4852</v>
      </c>
      <c r="R2731" t="s">
        <v>4773</v>
      </c>
    </row>
    <row r="2732" spans="1:18" x14ac:dyDescent="0.3">
      <c r="A2732">
        <v>7045</v>
      </c>
      <c r="B2732" t="s">
        <v>1035</v>
      </c>
      <c r="C2732" t="s">
        <v>230</v>
      </c>
      <c r="D2732" t="s">
        <v>85</v>
      </c>
      <c r="E2732" s="1">
        <v>45903</v>
      </c>
      <c r="F2732" t="s">
        <v>4348</v>
      </c>
      <c r="G2732" t="s">
        <v>2677</v>
      </c>
      <c r="H2732" t="s">
        <v>229</v>
      </c>
      <c r="I2732" t="s">
        <v>204</v>
      </c>
      <c r="J2732" s="1">
        <v>46203</v>
      </c>
      <c r="K2732" t="s">
        <v>744</v>
      </c>
      <c r="L2732">
        <v>1543.56</v>
      </c>
      <c r="M2732">
        <v>1543.56</v>
      </c>
      <c r="N2732" t="s">
        <v>710</v>
      </c>
      <c r="O2732" t="s">
        <v>1033</v>
      </c>
      <c r="P2732" t="s">
        <v>4781</v>
      </c>
      <c r="Q2732" t="s">
        <v>4852</v>
      </c>
      <c r="R2732" t="s">
        <v>4771</v>
      </c>
    </row>
    <row r="2733" spans="1:18" x14ac:dyDescent="0.3">
      <c r="A2733">
        <v>7038</v>
      </c>
      <c r="B2733" t="s">
        <v>1035</v>
      </c>
      <c r="C2733" t="s">
        <v>230</v>
      </c>
      <c r="D2733" t="s">
        <v>85</v>
      </c>
      <c r="E2733" s="1">
        <v>45903</v>
      </c>
      <c r="F2733" t="s">
        <v>4348</v>
      </c>
      <c r="G2733" t="s">
        <v>2677</v>
      </c>
      <c r="H2733" t="s">
        <v>229</v>
      </c>
      <c r="I2733" t="s">
        <v>204</v>
      </c>
      <c r="J2733" s="1">
        <v>46203</v>
      </c>
      <c r="K2733" t="s">
        <v>744</v>
      </c>
      <c r="L2733">
        <v>8340.84</v>
      </c>
      <c r="M2733">
        <v>8340.84</v>
      </c>
      <c r="N2733" t="s">
        <v>710</v>
      </c>
      <c r="O2733" t="s">
        <v>1033</v>
      </c>
      <c r="P2733" t="s">
        <v>4781</v>
      </c>
      <c r="Q2733" t="s">
        <v>4852</v>
      </c>
      <c r="R2733" t="s">
        <v>4771</v>
      </c>
    </row>
    <row r="2734" spans="1:18" x14ac:dyDescent="0.3">
      <c r="A2734">
        <v>7007</v>
      </c>
      <c r="B2734" t="s">
        <v>4874</v>
      </c>
      <c r="C2734" t="s">
        <v>230</v>
      </c>
      <c r="D2734" t="s">
        <v>85</v>
      </c>
      <c r="E2734" s="1">
        <v>45903</v>
      </c>
      <c r="F2734" t="s">
        <v>4348</v>
      </c>
      <c r="G2734" t="s">
        <v>2754</v>
      </c>
      <c r="H2734" t="s">
        <v>299</v>
      </c>
      <c r="I2734" t="s">
        <v>204</v>
      </c>
      <c r="J2734" s="1">
        <v>46536</v>
      </c>
      <c r="K2734" t="s">
        <v>762</v>
      </c>
      <c r="L2734">
        <v>198518.11</v>
      </c>
      <c r="M2734">
        <v>198518.11</v>
      </c>
      <c r="N2734" t="s">
        <v>710</v>
      </c>
      <c r="O2734" t="s">
        <v>1033</v>
      </c>
      <c r="P2734" t="s">
        <v>4781</v>
      </c>
      <c r="Q2734" t="s">
        <v>4852</v>
      </c>
      <c r="R2734" t="s">
        <v>4771</v>
      </c>
    </row>
    <row r="2735" spans="1:18" x14ac:dyDescent="0.3">
      <c r="A2735">
        <v>42130</v>
      </c>
      <c r="B2735" t="s">
        <v>4875</v>
      </c>
      <c r="C2735" t="s">
        <v>327</v>
      </c>
      <c r="D2735" t="s">
        <v>159</v>
      </c>
      <c r="E2735" s="1">
        <v>45903</v>
      </c>
      <c r="F2735" t="s">
        <v>4295</v>
      </c>
      <c r="G2735" t="s">
        <v>2671</v>
      </c>
      <c r="H2735" t="s">
        <v>326</v>
      </c>
      <c r="I2735" t="s">
        <v>204</v>
      </c>
      <c r="J2735" s="1">
        <v>54878</v>
      </c>
      <c r="K2735" t="s">
        <v>748</v>
      </c>
      <c r="L2735">
        <v>3717.36</v>
      </c>
      <c r="M2735">
        <v>3717.36</v>
      </c>
      <c r="N2735" t="s">
        <v>719</v>
      </c>
      <c r="O2735" t="s">
        <v>4834</v>
      </c>
      <c r="P2735" t="s">
        <v>4776</v>
      </c>
      <c r="Q2735" t="s">
        <v>4856</v>
      </c>
      <c r="R2735" t="s">
        <v>4773</v>
      </c>
    </row>
    <row r="2736" spans="1:18" x14ac:dyDescent="0.3">
      <c r="A2736">
        <v>13443</v>
      </c>
      <c r="B2736" t="s">
        <v>4875</v>
      </c>
      <c r="C2736" t="s">
        <v>594</v>
      </c>
      <c r="D2736" t="s">
        <v>27</v>
      </c>
      <c r="E2736" s="1">
        <v>45903</v>
      </c>
      <c r="F2736" t="s">
        <v>4323</v>
      </c>
      <c r="G2736" t="s">
        <v>2732</v>
      </c>
      <c r="H2736" t="s">
        <v>596</v>
      </c>
      <c r="I2736" t="s">
        <v>204</v>
      </c>
      <c r="J2736" s="1">
        <v>46204</v>
      </c>
      <c r="K2736" t="s">
        <v>768</v>
      </c>
      <c r="L2736">
        <v>17065.810000000001</v>
      </c>
      <c r="M2736">
        <v>17065.810000000001</v>
      </c>
      <c r="N2736" t="s">
        <v>814</v>
      </c>
      <c r="O2736" t="s">
        <v>1037</v>
      </c>
      <c r="P2736" t="s">
        <v>4794</v>
      </c>
      <c r="Q2736" t="s">
        <v>4852</v>
      </c>
      <c r="R2736" t="s">
        <v>4772</v>
      </c>
    </row>
    <row r="2737" spans="1:18" x14ac:dyDescent="0.3">
      <c r="A2737">
        <v>2025155</v>
      </c>
      <c r="B2737" t="s">
        <v>4875</v>
      </c>
      <c r="C2737" t="s">
        <v>322</v>
      </c>
      <c r="D2737" t="s">
        <v>158</v>
      </c>
      <c r="E2737" s="1">
        <v>45902</v>
      </c>
      <c r="F2737" t="s">
        <v>4431</v>
      </c>
      <c r="G2737" t="s">
        <v>2647</v>
      </c>
      <c r="H2737" t="s">
        <v>321</v>
      </c>
      <c r="I2737" t="s">
        <v>204</v>
      </c>
      <c r="J2737" s="1">
        <v>46310</v>
      </c>
      <c r="K2737" t="s">
        <v>748</v>
      </c>
      <c r="L2737">
        <v>12609</v>
      </c>
      <c r="M2737">
        <v>12609</v>
      </c>
      <c r="N2737" t="s">
        <v>710</v>
      </c>
      <c r="O2737" t="s">
        <v>1040</v>
      </c>
      <c r="P2737" t="s">
        <v>4782</v>
      </c>
      <c r="Q2737" t="s">
        <v>4856</v>
      </c>
      <c r="R2737" t="s">
        <v>4773</v>
      </c>
    </row>
    <row r="2738" spans="1:18" x14ac:dyDescent="0.3">
      <c r="A2738">
        <v>724392</v>
      </c>
      <c r="B2738" t="s">
        <v>4874</v>
      </c>
      <c r="C2738" t="s">
        <v>409</v>
      </c>
      <c r="D2738" t="s">
        <v>28</v>
      </c>
      <c r="E2738" s="1">
        <v>45902</v>
      </c>
      <c r="F2738" t="s">
        <v>4388</v>
      </c>
      <c r="G2738" t="s">
        <v>2720</v>
      </c>
      <c r="H2738" t="s">
        <v>408</v>
      </c>
      <c r="I2738" t="s">
        <v>204</v>
      </c>
      <c r="J2738" s="1">
        <v>54878</v>
      </c>
      <c r="K2738" t="s">
        <v>762</v>
      </c>
      <c r="L2738">
        <v>35229</v>
      </c>
      <c r="M2738">
        <v>35229.230000000003</v>
      </c>
      <c r="N2738" t="s">
        <v>710</v>
      </c>
      <c r="O2738" t="s">
        <v>4833</v>
      </c>
      <c r="P2738" t="s">
        <v>4776</v>
      </c>
      <c r="Q2738" t="s">
        <v>4852</v>
      </c>
      <c r="R2738" t="s">
        <v>4773</v>
      </c>
    </row>
    <row r="2739" spans="1:18" x14ac:dyDescent="0.3">
      <c r="A2739">
        <v>205950</v>
      </c>
      <c r="B2739" t="s">
        <v>4874</v>
      </c>
      <c r="C2739" t="s">
        <v>407</v>
      </c>
      <c r="D2739" t="s">
        <v>170</v>
      </c>
      <c r="E2739" s="1">
        <v>45902</v>
      </c>
      <c r="F2739" t="s">
        <v>4388</v>
      </c>
      <c r="G2739" t="s">
        <v>2712</v>
      </c>
      <c r="H2739" t="s">
        <v>406</v>
      </c>
      <c r="I2739" t="s">
        <v>204</v>
      </c>
      <c r="J2739" s="1">
        <v>46387</v>
      </c>
      <c r="K2739" t="s">
        <v>762</v>
      </c>
      <c r="L2739">
        <v>37326</v>
      </c>
      <c r="M2739">
        <v>37325.769999999997</v>
      </c>
      <c r="N2739" t="s">
        <v>710</v>
      </c>
      <c r="O2739" t="s">
        <v>4833</v>
      </c>
      <c r="P2739" t="s">
        <v>4776</v>
      </c>
      <c r="Q2739" t="s">
        <v>4852</v>
      </c>
      <c r="R2739" t="s">
        <v>4771</v>
      </c>
    </row>
    <row r="2740" spans="1:18" x14ac:dyDescent="0.3">
      <c r="A2740">
        <v>161381</v>
      </c>
      <c r="B2740" t="s">
        <v>4875</v>
      </c>
      <c r="C2740" t="s">
        <v>301</v>
      </c>
      <c r="D2740" t="s">
        <v>23</v>
      </c>
      <c r="E2740" s="1">
        <v>45902</v>
      </c>
      <c r="F2740" t="s">
        <v>4321</v>
      </c>
      <c r="G2740" t="s">
        <v>2680</v>
      </c>
      <c r="H2740" t="s">
        <v>342</v>
      </c>
      <c r="I2740" t="s">
        <v>204</v>
      </c>
      <c r="J2740" s="1">
        <v>46285</v>
      </c>
      <c r="K2740" t="s">
        <v>748</v>
      </c>
      <c r="L2740">
        <v>5127.5200000000004</v>
      </c>
      <c r="M2740">
        <v>5127.51</v>
      </c>
      <c r="N2740" t="s">
        <v>710</v>
      </c>
      <c r="O2740" t="s">
        <v>1040</v>
      </c>
      <c r="P2740" t="s">
        <v>4782</v>
      </c>
      <c r="Q2740" t="s">
        <v>4856</v>
      </c>
      <c r="R2740" t="s">
        <v>4773</v>
      </c>
    </row>
    <row r="2741" spans="1:18" x14ac:dyDescent="0.3">
      <c r="A2741">
        <v>7177</v>
      </c>
      <c r="B2741" t="s">
        <v>4874</v>
      </c>
      <c r="C2741" t="s">
        <v>387</v>
      </c>
      <c r="D2741" t="s">
        <v>42</v>
      </c>
      <c r="E2741" s="1">
        <v>45902</v>
      </c>
      <c r="F2741" t="s">
        <v>4345</v>
      </c>
      <c r="G2741" t="s">
        <v>2713</v>
      </c>
      <c r="H2741" t="s">
        <v>386</v>
      </c>
      <c r="I2741" t="s">
        <v>204</v>
      </c>
      <c r="J2741" s="1">
        <v>54878</v>
      </c>
      <c r="K2741" t="s">
        <v>762</v>
      </c>
      <c r="L2741">
        <v>1870</v>
      </c>
      <c r="M2741">
        <v>1870</v>
      </c>
      <c r="N2741" t="s">
        <v>719</v>
      </c>
      <c r="O2741" t="s">
        <v>4833</v>
      </c>
      <c r="P2741" t="s">
        <v>4776</v>
      </c>
      <c r="Q2741" t="s">
        <v>4852</v>
      </c>
      <c r="R2741" t="s">
        <v>4773</v>
      </c>
    </row>
    <row r="2742" spans="1:18" x14ac:dyDescent="0.3">
      <c r="A2742">
        <v>11312415</v>
      </c>
      <c r="B2742" t="s">
        <v>1034</v>
      </c>
      <c r="C2742" t="s">
        <v>452</v>
      </c>
      <c r="D2742" t="s">
        <v>171</v>
      </c>
      <c r="E2742" s="1">
        <v>45902</v>
      </c>
      <c r="F2742" t="s">
        <v>4319</v>
      </c>
      <c r="G2742" t="s">
        <v>2699</v>
      </c>
      <c r="H2742" t="s">
        <v>450</v>
      </c>
      <c r="I2742" t="s">
        <v>209</v>
      </c>
      <c r="J2742" s="1">
        <v>54878</v>
      </c>
      <c r="K2742" t="s">
        <v>717</v>
      </c>
      <c r="L2742">
        <v>1510</v>
      </c>
      <c r="M2742">
        <v>1509.78</v>
      </c>
      <c r="N2742" t="s">
        <v>710</v>
      </c>
      <c r="Q2742" t="s">
        <v>4852</v>
      </c>
      <c r="R2742" t="s">
        <v>4771</v>
      </c>
    </row>
    <row r="2743" spans="1:18" x14ac:dyDescent="0.3">
      <c r="A2743">
        <v>11312301</v>
      </c>
      <c r="B2743" t="s">
        <v>1034</v>
      </c>
      <c r="C2743" t="s">
        <v>452</v>
      </c>
      <c r="D2743" t="s">
        <v>171</v>
      </c>
      <c r="E2743" s="1">
        <v>45902</v>
      </c>
      <c r="F2743" t="s">
        <v>4319</v>
      </c>
      <c r="G2743" t="s">
        <v>2699</v>
      </c>
      <c r="H2743" t="s">
        <v>450</v>
      </c>
      <c r="I2743" t="s">
        <v>209</v>
      </c>
      <c r="J2743" s="1">
        <v>54878</v>
      </c>
      <c r="K2743" t="s">
        <v>717</v>
      </c>
      <c r="L2743">
        <v>1616</v>
      </c>
      <c r="M2743">
        <v>1616.02</v>
      </c>
      <c r="N2743" t="s">
        <v>710</v>
      </c>
      <c r="Q2743" t="s">
        <v>4852</v>
      </c>
      <c r="R2743" t="s">
        <v>4771</v>
      </c>
    </row>
    <row r="2744" spans="1:18" x14ac:dyDescent="0.3">
      <c r="A2744">
        <v>11312354</v>
      </c>
      <c r="B2744" t="s">
        <v>1034</v>
      </c>
      <c r="C2744" t="s">
        <v>452</v>
      </c>
      <c r="D2744" t="s">
        <v>171</v>
      </c>
      <c r="E2744" s="1">
        <v>45902</v>
      </c>
      <c r="F2744" t="s">
        <v>4319</v>
      </c>
      <c r="G2744" t="s">
        <v>2699</v>
      </c>
      <c r="H2744" t="s">
        <v>450</v>
      </c>
      <c r="I2744" t="s">
        <v>209</v>
      </c>
      <c r="J2744" s="1">
        <v>54878</v>
      </c>
      <c r="K2744" t="s">
        <v>717</v>
      </c>
      <c r="L2744">
        <v>2618</v>
      </c>
      <c r="M2744">
        <v>2618.17</v>
      </c>
      <c r="N2744" t="s">
        <v>710</v>
      </c>
      <c r="Q2744" t="s">
        <v>4852</v>
      </c>
      <c r="R2744" t="s">
        <v>4771</v>
      </c>
    </row>
    <row r="2745" spans="1:18" x14ac:dyDescent="0.3">
      <c r="A2745">
        <v>1708</v>
      </c>
      <c r="B2745" t="s">
        <v>1034</v>
      </c>
      <c r="C2745" t="s">
        <v>312</v>
      </c>
      <c r="D2745" t="s">
        <v>73</v>
      </c>
      <c r="E2745" s="1">
        <v>45902</v>
      </c>
      <c r="F2745" t="s">
        <v>4300</v>
      </c>
      <c r="G2745" t="s">
        <v>2708</v>
      </c>
      <c r="H2745" t="s">
        <v>311</v>
      </c>
      <c r="I2745" t="s">
        <v>204</v>
      </c>
      <c r="J2745" s="1">
        <v>54878</v>
      </c>
      <c r="K2745" t="s">
        <v>711</v>
      </c>
      <c r="L2745">
        <v>2255</v>
      </c>
      <c r="M2745">
        <v>2255</v>
      </c>
      <c r="N2745" t="s">
        <v>719</v>
      </c>
      <c r="O2745" t="s">
        <v>4834</v>
      </c>
      <c r="P2745" t="s">
        <v>1006</v>
      </c>
      <c r="Q2745" t="s">
        <v>4901</v>
      </c>
      <c r="R2745" t="s">
        <v>4773</v>
      </c>
    </row>
    <row r="2746" spans="1:18" x14ac:dyDescent="0.3">
      <c r="A2746">
        <v>2694</v>
      </c>
      <c r="B2746" t="s">
        <v>1034</v>
      </c>
      <c r="C2746" t="s">
        <v>541</v>
      </c>
      <c r="D2746" t="s">
        <v>173</v>
      </c>
      <c r="E2746" s="1">
        <v>45902</v>
      </c>
      <c r="F2746" t="s">
        <v>4326</v>
      </c>
      <c r="G2746" t="s">
        <v>2711</v>
      </c>
      <c r="H2746" t="s">
        <v>540</v>
      </c>
      <c r="I2746" t="s">
        <v>204</v>
      </c>
      <c r="J2746" s="1">
        <v>46386</v>
      </c>
      <c r="K2746" t="s">
        <v>711</v>
      </c>
      <c r="L2746">
        <v>1</v>
      </c>
      <c r="M2746">
        <v>2337.9499999999998</v>
      </c>
      <c r="N2746" t="s">
        <v>890</v>
      </c>
      <c r="O2746" t="s">
        <v>1036</v>
      </c>
      <c r="P2746" t="s">
        <v>4791</v>
      </c>
      <c r="Q2746" t="s">
        <v>4901</v>
      </c>
      <c r="R2746" t="s">
        <v>4773</v>
      </c>
    </row>
    <row r="2747" spans="1:18" x14ac:dyDescent="0.3">
      <c r="A2747">
        <v>38614</v>
      </c>
      <c r="B2747" t="s">
        <v>4874</v>
      </c>
      <c r="C2747" t="s">
        <v>447</v>
      </c>
      <c r="D2747" t="s">
        <v>57</v>
      </c>
      <c r="E2747" s="1">
        <v>45902</v>
      </c>
      <c r="F2747" t="s">
        <v>4383</v>
      </c>
      <c r="G2747" t="s">
        <v>2719</v>
      </c>
      <c r="H2747" t="s">
        <v>446</v>
      </c>
      <c r="I2747" t="s">
        <v>204</v>
      </c>
      <c r="J2747" s="1">
        <v>46203</v>
      </c>
      <c r="K2747" t="s">
        <v>762</v>
      </c>
      <c r="L2747">
        <v>793.23</v>
      </c>
      <c r="M2747">
        <v>793.23</v>
      </c>
      <c r="N2747" t="s">
        <v>710</v>
      </c>
      <c r="O2747" t="s">
        <v>1038</v>
      </c>
      <c r="P2747" t="s">
        <v>4776</v>
      </c>
      <c r="Q2747" t="s">
        <v>4858</v>
      </c>
      <c r="R2747" t="s">
        <v>4774</v>
      </c>
    </row>
    <row r="2748" spans="1:18" x14ac:dyDescent="0.3">
      <c r="A2748">
        <v>17052</v>
      </c>
      <c r="B2748" t="s">
        <v>1034</v>
      </c>
      <c r="C2748" t="s">
        <v>359</v>
      </c>
      <c r="D2748" t="s">
        <v>53</v>
      </c>
      <c r="E2748" s="1">
        <v>45902</v>
      </c>
      <c r="F2748" t="s">
        <v>4305</v>
      </c>
      <c r="G2748" t="s">
        <v>2710</v>
      </c>
      <c r="H2748" t="s">
        <v>358</v>
      </c>
      <c r="I2748" t="s">
        <v>204</v>
      </c>
      <c r="J2748" s="1">
        <v>54878</v>
      </c>
      <c r="K2748" t="s">
        <v>711</v>
      </c>
      <c r="L2748">
        <v>625.37</v>
      </c>
      <c r="M2748">
        <v>625.37</v>
      </c>
      <c r="N2748" t="s">
        <v>710</v>
      </c>
      <c r="O2748" t="s">
        <v>1036</v>
      </c>
      <c r="P2748" t="s">
        <v>4776</v>
      </c>
      <c r="Q2748" t="s">
        <v>4901</v>
      </c>
      <c r="R2748" t="s">
        <v>4773</v>
      </c>
    </row>
    <row r="2749" spans="1:18" x14ac:dyDescent="0.3">
      <c r="A2749">
        <v>77</v>
      </c>
      <c r="B2749" t="s">
        <v>1034</v>
      </c>
      <c r="C2749" t="s">
        <v>658</v>
      </c>
      <c r="D2749" t="s">
        <v>192</v>
      </c>
      <c r="E2749" s="1">
        <v>45902</v>
      </c>
      <c r="F2749" t="s">
        <v>4377</v>
      </c>
      <c r="G2749" t="s">
        <v>2696</v>
      </c>
      <c r="H2749" t="s">
        <v>657</v>
      </c>
      <c r="I2749" t="s">
        <v>204</v>
      </c>
      <c r="J2749" s="1">
        <v>46218</v>
      </c>
      <c r="K2749" t="s">
        <v>711</v>
      </c>
      <c r="L2749">
        <v>1</v>
      </c>
      <c r="M2749">
        <v>2150</v>
      </c>
      <c r="N2749" t="s">
        <v>710</v>
      </c>
      <c r="O2749" t="s">
        <v>4834</v>
      </c>
      <c r="P2749" t="s">
        <v>4776</v>
      </c>
      <c r="Q2749" t="s">
        <v>4901</v>
      </c>
      <c r="R2749" t="s">
        <v>807</v>
      </c>
    </row>
    <row r="2750" spans="1:18" x14ac:dyDescent="0.3">
      <c r="A2750">
        <v>6538</v>
      </c>
      <c r="B2750" t="s">
        <v>1034</v>
      </c>
      <c r="C2750" t="s">
        <v>319</v>
      </c>
      <c r="D2750" t="s">
        <v>36</v>
      </c>
      <c r="E2750" s="1">
        <v>45902</v>
      </c>
      <c r="F2750" t="s">
        <v>4298</v>
      </c>
      <c r="G2750" t="s">
        <v>2717</v>
      </c>
      <c r="H2750" t="s">
        <v>318</v>
      </c>
      <c r="I2750" t="s">
        <v>204</v>
      </c>
      <c r="J2750" s="1">
        <v>46214</v>
      </c>
      <c r="K2750" t="s">
        <v>711</v>
      </c>
      <c r="L2750">
        <v>1536</v>
      </c>
      <c r="M2750">
        <v>1535.53</v>
      </c>
      <c r="N2750" t="s">
        <v>710</v>
      </c>
      <c r="O2750" t="s">
        <v>1036</v>
      </c>
      <c r="P2750" t="s">
        <v>4784</v>
      </c>
      <c r="Q2750" t="s">
        <v>4901</v>
      </c>
      <c r="R2750" t="s">
        <v>4771</v>
      </c>
    </row>
    <row r="2751" spans="1:18" x14ac:dyDescent="0.3">
      <c r="A2751">
        <v>49</v>
      </c>
      <c r="B2751" t="s">
        <v>4875</v>
      </c>
      <c r="C2751" t="s">
        <v>561</v>
      </c>
      <c r="D2751" t="s">
        <v>121</v>
      </c>
      <c r="E2751" s="1">
        <v>45902</v>
      </c>
      <c r="F2751" t="s">
        <v>4390</v>
      </c>
      <c r="G2751" t="s">
        <v>2679</v>
      </c>
      <c r="H2751" t="s">
        <v>560</v>
      </c>
      <c r="I2751" t="s">
        <v>204</v>
      </c>
      <c r="J2751" s="1">
        <v>46732</v>
      </c>
      <c r="K2751" t="s">
        <v>748</v>
      </c>
      <c r="L2751">
        <v>11920</v>
      </c>
      <c r="M2751">
        <v>11920</v>
      </c>
      <c r="N2751" t="s">
        <v>818</v>
      </c>
      <c r="O2751" t="s">
        <v>1040</v>
      </c>
      <c r="P2751" t="s">
        <v>4777</v>
      </c>
      <c r="Q2751" t="s">
        <v>4856</v>
      </c>
      <c r="R2751" t="s">
        <v>4771</v>
      </c>
    </row>
    <row r="2752" spans="1:18" x14ac:dyDescent="0.3">
      <c r="A2752">
        <v>268</v>
      </c>
      <c r="B2752" t="s">
        <v>1034</v>
      </c>
      <c r="C2752" t="s">
        <v>325</v>
      </c>
      <c r="D2752" t="s">
        <v>193</v>
      </c>
      <c r="E2752" s="1">
        <v>45902</v>
      </c>
      <c r="F2752" t="s">
        <v>4297</v>
      </c>
      <c r="G2752" t="s">
        <v>2706</v>
      </c>
      <c r="H2752" t="s">
        <v>324</v>
      </c>
      <c r="I2752" t="s">
        <v>204</v>
      </c>
      <c r="J2752" s="1">
        <v>54878</v>
      </c>
      <c r="K2752" t="s">
        <v>711</v>
      </c>
      <c r="L2752">
        <v>3900</v>
      </c>
      <c r="M2752">
        <v>3900</v>
      </c>
      <c r="N2752" t="s">
        <v>710</v>
      </c>
      <c r="O2752" t="s">
        <v>4844</v>
      </c>
      <c r="P2752" t="s">
        <v>4779</v>
      </c>
      <c r="Q2752" t="s">
        <v>4901</v>
      </c>
      <c r="R2752" t="s">
        <v>4773</v>
      </c>
    </row>
    <row r="2753" spans="1:18" x14ac:dyDescent="0.3">
      <c r="A2753">
        <v>91</v>
      </c>
      <c r="B2753" t="s">
        <v>1034</v>
      </c>
      <c r="C2753" t="s">
        <v>319</v>
      </c>
      <c r="D2753" t="s">
        <v>36</v>
      </c>
      <c r="E2753" s="1">
        <v>45901</v>
      </c>
      <c r="F2753" t="s">
        <v>4298</v>
      </c>
      <c r="G2753" t="s">
        <v>2698</v>
      </c>
      <c r="H2753" t="s">
        <v>318</v>
      </c>
      <c r="I2753" t="s">
        <v>204</v>
      </c>
      <c r="J2753" s="1">
        <v>46214</v>
      </c>
      <c r="K2753" t="s">
        <v>711</v>
      </c>
      <c r="L2753">
        <v>1038</v>
      </c>
      <c r="M2753">
        <v>1038.02</v>
      </c>
      <c r="N2753" t="s">
        <v>710</v>
      </c>
      <c r="O2753" t="s">
        <v>1036</v>
      </c>
      <c r="P2753" t="s">
        <v>4784</v>
      </c>
      <c r="Q2753" t="s">
        <v>4901</v>
      </c>
      <c r="R2753" t="s">
        <v>4771</v>
      </c>
    </row>
    <row r="2754" spans="1:18" x14ac:dyDescent="0.3">
      <c r="A2754">
        <v>1723</v>
      </c>
      <c r="B2754" t="s">
        <v>4875</v>
      </c>
      <c r="C2754" t="s">
        <v>312</v>
      </c>
      <c r="D2754" t="s">
        <v>73</v>
      </c>
      <c r="E2754" s="1">
        <v>45901</v>
      </c>
      <c r="F2754" t="s">
        <v>4300</v>
      </c>
      <c r="G2754" t="s">
        <v>2682</v>
      </c>
      <c r="H2754" t="s">
        <v>365</v>
      </c>
      <c r="I2754" t="s">
        <v>204</v>
      </c>
      <c r="J2754" s="1">
        <v>46418</v>
      </c>
      <c r="K2754" t="s">
        <v>748</v>
      </c>
      <c r="L2754">
        <v>2255</v>
      </c>
      <c r="M2754">
        <v>2255</v>
      </c>
      <c r="N2754" t="s">
        <v>710</v>
      </c>
      <c r="O2754" t="s">
        <v>4834</v>
      </c>
      <c r="P2754" t="s">
        <v>1006</v>
      </c>
      <c r="Q2754" t="s">
        <v>4856</v>
      </c>
      <c r="R2754" t="s">
        <v>4773</v>
      </c>
    </row>
    <row r="2755" spans="1:18" x14ac:dyDescent="0.3">
      <c r="A2755">
        <v>1781</v>
      </c>
      <c r="B2755" t="s">
        <v>4874</v>
      </c>
      <c r="C2755" t="s">
        <v>252</v>
      </c>
      <c r="D2755" t="s">
        <v>183</v>
      </c>
      <c r="E2755" s="1">
        <v>45901</v>
      </c>
      <c r="F2755" t="s">
        <v>4404</v>
      </c>
      <c r="G2755" t="s">
        <v>1270</v>
      </c>
      <c r="H2755" t="s">
        <v>251</v>
      </c>
      <c r="I2755" t="s">
        <v>204</v>
      </c>
      <c r="J2755" s="1">
        <v>46418</v>
      </c>
      <c r="K2755" t="s">
        <v>762</v>
      </c>
      <c r="L2755">
        <v>18900</v>
      </c>
      <c r="M2755">
        <v>18900</v>
      </c>
      <c r="N2755" t="s">
        <v>719</v>
      </c>
      <c r="O2755" t="s">
        <v>4904</v>
      </c>
      <c r="P2755" t="s">
        <v>4792</v>
      </c>
      <c r="Q2755" t="s">
        <v>4904</v>
      </c>
      <c r="R2755" t="s">
        <v>4773</v>
      </c>
    </row>
    <row r="2756" spans="1:18" x14ac:dyDescent="0.3">
      <c r="A2756">
        <v>3858</v>
      </c>
      <c r="B2756" t="s">
        <v>4875</v>
      </c>
      <c r="C2756" t="s">
        <v>535</v>
      </c>
      <c r="D2756" t="s">
        <v>148</v>
      </c>
      <c r="E2756" s="1">
        <v>45901</v>
      </c>
      <c r="F2756" t="s">
        <v>4297</v>
      </c>
      <c r="G2756" t="s">
        <v>2681</v>
      </c>
      <c r="H2756" t="s">
        <v>654</v>
      </c>
      <c r="I2756" t="s">
        <v>204</v>
      </c>
      <c r="J2756" s="1">
        <v>46227</v>
      </c>
      <c r="K2756" t="s">
        <v>748</v>
      </c>
      <c r="L2756">
        <v>1</v>
      </c>
      <c r="M2756">
        <v>5500</v>
      </c>
      <c r="N2756" t="s">
        <v>954</v>
      </c>
      <c r="O2756" t="s">
        <v>1040</v>
      </c>
      <c r="P2756" t="s">
        <v>4779</v>
      </c>
      <c r="Q2756" t="s">
        <v>4856</v>
      </c>
      <c r="R2756" t="s">
        <v>807</v>
      </c>
    </row>
    <row r="2757" spans="1:18" x14ac:dyDescent="0.3">
      <c r="A2757">
        <v>492230</v>
      </c>
      <c r="B2757" t="s">
        <v>4874</v>
      </c>
      <c r="C2757" t="s">
        <v>433</v>
      </c>
      <c r="D2757" t="s">
        <v>168</v>
      </c>
      <c r="E2757" s="1">
        <v>45897</v>
      </c>
      <c r="F2757" t="s">
        <v>4319</v>
      </c>
      <c r="G2757" t="s">
        <v>2689</v>
      </c>
      <c r="H2757" t="s">
        <v>432</v>
      </c>
      <c r="I2757" t="s">
        <v>204</v>
      </c>
      <c r="J2757" s="1">
        <v>46473</v>
      </c>
      <c r="K2757" t="s">
        <v>762</v>
      </c>
      <c r="L2757">
        <v>1364</v>
      </c>
      <c r="M2757">
        <v>1363.94</v>
      </c>
      <c r="N2757" t="s">
        <v>710</v>
      </c>
      <c r="O2757" t="s">
        <v>4833</v>
      </c>
      <c r="P2757" t="s">
        <v>4802</v>
      </c>
      <c r="Q2757" t="s">
        <v>4852</v>
      </c>
      <c r="R2757" t="s">
        <v>4771</v>
      </c>
    </row>
    <row r="2758" spans="1:18" x14ac:dyDescent="0.3">
      <c r="A2758">
        <v>20251248</v>
      </c>
      <c r="B2758" t="s">
        <v>1034</v>
      </c>
      <c r="C2758" t="s">
        <v>364</v>
      </c>
      <c r="D2758" t="s">
        <v>72</v>
      </c>
      <c r="E2758" s="1">
        <v>45897</v>
      </c>
      <c r="F2758" t="s">
        <v>4295</v>
      </c>
      <c r="G2758" t="s">
        <v>2530</v>
      </c>
      <c r="H2758" t="s">
        <v>363</v>
      </c>
      <c r="I2758" t="s">
        <v>209</v>
      </c>
      <c r="J2758" s="1">
        <v>46092</v>
      </c>
      <c r="K2758" t="s">
        <v>711</v>
      </c>
      <c r="L2758">
        <v>9735</v>
      </c>
      <c r="M2758">
        <v>9735</v>
      </c>
      <c r="N2758" t="s">
        <v>710</v>
      </c>
      <c r="O2758" t="s">
        <v>4834</v>
      </c>
      <c r="P2758" t="s">
        <v>4776</v>
      </c>
      <c r="Q2758" t="s">
        <v>4901</v>
      </c>
      <c r="R2758" t="s">
        <v>4773</v>
      </c>
    </row>
    <row r="2759" spans="1:18" x14ac:dyDescent="0.3">
      <c r="A2759">
        <v>75</v>
      </c>
      <c r="B2759" t="s">
        <v>1034</v>
      </c>
      <c r="C2759" t="s">
        <v>658</v>
      </c>
      <c r="D2759" t="s">
        <v>192</v>
      </c>
      <c r="E2759" s="1">
        <v>45897</v>
      </c>
      <c r="F2759" t="s">
        <v>4377</v>
      </c>
      <c r="G2759" t="s">
        <v>2695</v>
      </c>
      <c r="H2759" t="s">
        <v>657</v>
      </c>
      <c r="I2759" t="s">
        <v>204</v>
      </c>
      <c r="J2759" s="1">
        <v>46218</v>
      </c>
      <c r="K2759" t="s">
        <v>711</v>
      </c>
      <c r="L2759">
        <v>1</v>
      </c>
      <c r="M2759">
        <v>2150</v>
      </c>
      <c r="N2759" t="s">
        <v>710</v>
      </c>
      <c r="O2759" t="s">
        <v>4834</v>
      </c>
      <c r="P2759" t="s">
        <v>4776</v>
      </c>
      <c r="Q2759" t="s">
        <v>4901</v>
      </c>
      <c r="R2759" t="s">
        <v>807</v>
      </c>
    </row>
    <row r="2760" spans="1:18" x14ac:dyDescent="0.3">
      <c r="A2760">
        <v>73</v>
      </c>
      <c r="B2760" t="s">
        <v>1034</v>
      </c>
      <c r="C2760" t="s">
        <v>658</v>
      </c>
      <c r="D2760" t="s">
        <v>192</v>
      </c>
      <c r="E2760" s="1">
        <v>45897</v>
      </c>
      <c r="F2760" t="s">
        <v>4377</v>
      </c>
      <c r="G2760" t="s">
        <v>2693</v>
      </c>
      <c r="H2760" t="s">
        <v>657</v>
      </c>
      <c r="I2760" t="s">
        <v>204</v>
      </c>
      <c r="J2760" s="1">
        <v>46218</v>
      </c>
      <c r="K2760" t="s">
        <v>711</v>
      </c>
      <c r="L2760">
        <v>1</v>
      </c>
      <c r="M2760">
        <v>2150</v>
      </c>
      <c r="N2760" t="s">
        <v>710</v>
      </c>
      <c r="O2760" t="s">
        <v>4834</v>
      </c>
      <c r="P2760" t="s">
        <v>4776</v>
      </c>
      <c r="Q2760" t="s">
        <v>4901</v>
      </c>
      <c r="R2760" t="s">
        <v>807</v>
      </c>
    </row>
    <row r="2761" spans="1:18" x14ac:dyDescent="0.3">
      <c r="A2761">
        <v>5414441</v>
      </c>
      <c r="B2761" t="s">
        <v>1034</v>
      </c>
      <c r="C2761" t="s">
        <v>463</v>
      </c>
      <c r="D2761" t="s">
        <v>147</v>
      </c>
      <c r="E2761" s="1">
        <v>45897</v>
      </c>
      <c r="F2761" t="s">
        <v>4334</v>
      </c>
      <c r="G2761" t="s">
        <v>2697</v>
      </c>
      <c r="H2761" t="s">
        <v>462</v>
      </c>
      <c r="I2761" t="s">
        <v>204</v>
      </c>
      <c r="J2761" s="1">
        <v>46752</v>
      </c>
      <c r="K2761" t="s">
        <v>717</v>
      </c>
      <c r="L2761">
        <v>1783.01</v>
      </c>
      <c r="M2761">
        <v>1783.01</v>
      </c>
      <c r="N2761" t="s">
        <v>719</v>
      </c>
      <c r="O2761" t="s">
        <v>1033</v>
      </c>
      <c r="P2761" t="s">
        <v>4776</v>
      </c>
      <c r="Q2761" t="s">
        <v>4852</v>
      </c>
      <c r="R2761" t="s">
        <v>4771</v>
      </c>
    </row>
    <row r="2762" spans="1:18" x14ac:dyDescent="0.3">
      <c r="A2762">
        <v>2179</v>
      </c>
      <c r="B2762" t="s">
        <v>1034</v>
      </c>
      <c r="C2762" t="s">
        <v>616</v>
      </c>
      <c r="D2762" t="s">
        <v>152</v>
      </c>
      <c r="E2762" s="1">
        <v>45897</v>
      </c>
      <c r="F2762" t="s">
        <v>4338</v>
      </c>
      <c r="G2762" t="s">
        <v>2308</v>
      </c>
      <c r="H2762" t="s">
        <v>621</v>
      </c>
      <c r="I2762" t="s">
        <v>204</v>
      </c>
      <c r="J2762" s="1">
        <v>46349</v>
      </c>
      <c r="K2762" t="s">
        <v>711</v>
      </c>
      <c r="L2762">
        <v>67259.55</v>
      </c>
      <c r="M2762">
        <v>67259.55</v>
      </c>
      <c r="N2762" t="s">
        <v>710</v>
      </c>
      <c r="O2762" t="s">
        <v>4904</v>
      </c>
      <c r="P2762" t="s">
        <v>4796</v>
      </c>
      <c r="Q2762" t="s">
        <v>4901</v>
      </c>
      <c r="R2762" t="s">
        <v>4772</v>
      </c>
    </row>
    <row r="2763" spans="1:18" x14ac:dyDescent="0.3">
      <c r="A2763">
        <v>74</v>
      </c>
      <c r="B2763" t="s">
        <v>1034</v>
      </c>
      <c r="C2763" t="s">
        <v>658</v>
      </c>
      <c r="D2763" t="s">
        <v>192</v>
      </c>
      <c r="E2763" s="1">
        <v>45897</v>
      </c>
      <c r="F2763" t="s">
        <v>4377</v>
      </c>
      <c r="G2763" t="s">
        <v>2694</v>
      </c>
      <c r="H2763" t="s">
        <v>657</v>
      </c>
      <c r="I2763" t="s">
        <v>204</v>
      </c>
      <c r="J2763" s="1">
        <v>46218</v>
      </c>
      <c r="K2763" t="s">
        <v>711</v>
      </c>
      <c r="L2763">
        <v>1</v>
      </c>
      <c r="M2763">
        <v>2150</v>
      </c>
      <c r="N2763" t="s">
        <v>710</v>
      </c>
      <c r="O2763" t="s">
        <v>4834</v>
      </c>
      <c r="P2763" t="s">
        <v>4776</v>
      </c>
      <c r="Q2763" t="s">
        <v>4901</v>
      </c>
      <c r="R2763" t="s">
        <v>807</v>
      </c>
    </row>
    <row r="2764" spans="1:18" x14ac:dyDescent="0.3">
      <c r="A2764">
        <v>590961</v>
      </c>
      <c r="B2764" t="s">
        <v>1034</v>
      </c>
      <c r="C2764" t="s">
        <v>248</v>
      </c>
      <c r="D2764" t="s">
        <v>13</v>
      </c>
      <c r="E2764" s="1">
        <v>45897</v>
      </c>
      <c r="F2764" t="s">
        <v>4297</v>
      </c>
      <c r="G2764" t="s">
        <v>2535</v>
      </c>
      <c r="H2764" t="s">
        <v>315</v>
      </c>
      <c r="I2764" t="s">
        <v>204</v>
      </c>
      <c r="J2764" s="1">
        <v>46073</v>
      </c>
      <c r="K2764" t="s">
        <v>711</v>
      </c>
      <c r="L2764">
        <v>5391.91</v>
      </c>
      <c r="M2764">
        <v>5391.91</v>
      </c>
      <c r="N2764" t="s">
        <v>710</v>
      </c>
      <c r="O2764" t="s">
        <v>1036</v>
      </c>
      <c r="P2764" t="s">
        <v>4779</v>
      </c>
      <c r="Q2764" t="s">
        <v>4901</v>
      </c>
      <c r="R2764" t="s">
        <v>4773</v>
      </c>
    </row>
    <row r="2765" spans="1:18" x14ac:dyDescent="0.3">
      <c r="A2765">
        <v>6521</v>
      </c>
      <c r="B2765" t="s">
        <v>1034</v>
      </c>
      <c r="C2765" t="s">
        <v>319</v>
      </c>
      <c r="D2765" t="s">
        <v>36</v>
      </c>
      <c r="E2765" s="1">
        <v>45896</v>
      </c>
      <c r="F2765" t="s">
        <v>4298</v>
      </c>
      <c r="G2765" t="s">
        <v>2690</v>
      </c>
      <c r="H2765" t="s">
        <v>318</v>
      </c>
      <c r="I2765" t="s">
        <v>204</v>
      </c>
      <c r="J2765" s="1">
        <v>46214</v>
      </c>
      <c r="K2765" t="s">
        <v>711</v>
      </c>
      <c r="L2765">
        <v>1505</v>
      </c>
      <c r="M2765">
        <v>1504.9</v>
      </c>
      <c r="N2765" t="s">
        <v>710</v>
      </c>
      <c r="O2765" t="s">
        <v>1036</v>
      </c>
      <c r="P2765" t="s">
        <v>4784</v>
      </c>
      <c r="Q2765" t="s">
        <v>4901</v>
      </c>
      <c r="R2765" t="s">
        <v>4771</v>
      </c>
    </row>
    <row r="2766" spans="1:18" x14ac:dyDescent="0.3">
      <c r="A2766">
        <v>577957</v>
      </c>
      <c r="B2766" t="s">
        <v>4874</v>
      </c>
      <c r="C2766" t="s">
        <v>239</v>
      </c>
      <c r="D2766" t="s">
        <v>199</v>
      </c>
      <c r="E2766" s="1">
        <v>45896</v>
      </c>
      <c r="F2766" t="s">
        <v>4325</v>
      </c>
      <c r="G2766" t="s">
        <v>2668</v>
      </c>
      <c r="H2766" t="s">
        <v>268</v>
      </c>
      <c r="I2766" t="s">
        <v>204</v>
      </c>
      <c r="J2766" s="1">
        <v>46172</v>
      </c>
      <c r="K2766" t="s">
        <v>720</v>
      </c>
      <c r="L2766">
        <v>1</v>
      </c>
      <c r="M2766">
        <v>109.9</v>
      </c>
      <c r="N2766" t="s">
        <v>710</v>
      </c>
      <c r="O2766" t="s">
        <v>1038</v>
      </c>
      <c r="P2766" t="s">
        <v>4779</v>
      </c>
      <c r="Q2766" t="s">
        <v>4858</v>
      </c>
      <c r="R2766" t="s">
        <v>4771</v>
      </c>
    </row>
    <row r="2767" spans="1:18" x14ac:dyDescent="0.3">
      <c r="A2767">
        <v>6220722</v>
      </c>
      <c r="B2767" t="s">
        <v>4874</v>
      </c>
      <c r="C2767" t="s">
        <v>653</v>
      </c>
      <c r="D2767" t="s">
        <v>14</v>
      </c>
      <c r="E2767" s="1">
        <v>45896</v>
      </c>
      <c r="F2767" t="s">
        <v>4336</v>
      </c>
      <c r="G2767" t="s">
        <v>2644</v>
      </c>
      <c r="H2767" t="s">
        <v>652</v>
      </c>
      <c r="I2767" t="s">
        <v>204</v>
      </c>
      <c r="J2767" s="1">
        <v>46583</v>
      </c>
      <c r="K2767" t="s">
        <v>762</v>
      </c>
      <c r="L2767">
        <v>1</v>
      </c>
      <c r="M2767">
        <v>51975.66</v>
      </c>
      <c r="N2767" t="s">
        <v>710</v>
      </c>
      <c r="O2767" t="s">
        <v>1037</v>
      </c>
      <c r="P2767" t="s">
        <v>4794</v>
      </c>
      <c r="Q2767" t="s">
        <v>4852</v>
      </c>
      <c r="R2767" t="s">
        <v>807</v>
      </c>
    </row>
    <row r="2768" spans="1:18" x14ac:dyDescent="0.3">
      <c r="A2768">
        <v>36716</v>
      </c>
      <c r="B2768" t="s">
        <v>4875</v>
      </c>
      <c r="C2768" t="s">
        <v>530</v>
      </c>
      <c r="D2768" t="s">
        <v>24</v>
      </c>
      <c r="E2768" s="1">
        <v>45896</v>
      </c>
      <c r="F2768" t="s">
        <v>4297</v>
      </c>
      <c r="G2768" t="s">
        <v>2667</v>
      </c>
      <c r="H2768" t="s">
        <v>529</v>
      </c>
      <c r="I2768" t="s">
        <v>204</v>
      </c>
      <c r="J2768" s="1">
        <v>46477</v>
      </c>
      <c r="K2768" t="s">
        <v>748</v>
      </c>
      <c r="L2768">
        <v>1</v>
      </c>
      <c r="M2768">
        <v>7443.87</v>
      </c>
      <c r="N2768" t="s">
        <v>710</v>
      </c>
      <c r="O2768" t="s">
        <v>1040</v>
      </c>
      <c r="P2768" t="s">
        <v>4779</v>
      </c>
      <c r="Q2768" t="s">
        <v>4856</v>
      </c>
      <c r="R2768" t="s">
        <v>4773</v>
      </c>
    </row>
    <row r="2769" spans="1:18" x14ac:dyDescent="0.3">
      <c r="A2769">
        <v>59853</v>
      </c>
      <c r="B2769" t="s">
        <v>4874</v>
      </c>
      <c r="C2769" t="s">
        <v>437</v>
      </c>
      <c r="D2769" t="s">
        <v>150</v>
      </c>
      <c r="E2769" s="1">
        <v>45895</v>
      </c>
      <c r="F2769" t="s">
        <v>4395</v>
      </c>
      <c r="G2769" t="s">
        <v>2688</v>
      </c>
      <c r="H2769" t="s">
        <v>436</v>
      </c>
      <c r="I2769" t="s">
        <v>204</v>
      </c>
      <c r="J2769" s="1">
        <v>54878</v>
      </c>
      <c r="K2769" t="s">
        <v>762</v>
      </c>
      <c r="L2769">
        <v>840</v>
      </c>
      <c r="M2769">
        <v>840</v>
      </c>
      <c r="N2769" t="s">
        <v>719</v>
      </c>
      <c r="O2769" t="s">
        <v>1037</v>
      </c>
      <c r="P2769" t="s">
        <v>4788</v>
      </c>
      <c r="Q2769" t="s">
        <v>4852</v>
      </c>
      <c r="R2769" t="s">
        <v>4771</v>
      </c>
    </row>
    <row r="2770" spans="1:18" x14ac:dyDescent="0.3">
      <c r="A2770">
        <v>8884</v>
      </c>
      <c r="B2770" t="s">
        <v>1034</v>
      </c>
      <c r="C2770" t="s">
        <v>267</v>
      </c>
      <c r="D2770" t="s">
        <v>186</v>
      </c>
      <c r="E2770" s="1">
        <v>45895</v>
      </c>
      <c r="F2770" t="s">
        <v>4350</v>
      </c>
      <c r="G2770" t="s">
        <v>2662</v>
      </c>
      <c r="H2770" t="s">
        <v>266</v>
      </c>
      <c r="I2770" t="s">
        <v>204</v>
      </c>
      <c r="J2770" s="1">
        <v>46259</v>
      </c>
      <c r="K2770" t="s">
        <v>717</v>
      </c>
      <c r="L2770">
        <v>24000</v>
      </c>
      <c r="M2770">
        <v>24000</v>
      </c>
      <c r="N2770" t="s">
        <v>710</v>
      </c>
      <c r="O2770" t="s">
        <v>1037</v>
      </c>
      <c r="P2770" t="s">
        <v>4780</v>
      </c>
      <c r="Q2770" t="s">
        <v>4852</v>
      </c>
      <c r="R2770" t="s">
        <v>4772</v>
      </c>
    </row>
    <row r="2771" spans="1:18" x14ac:dyDescent="0.3">
      <c r="A2771">
        <v>8880</v>
      </c>
      <c r="B2771" t="s">
        <v>1034</v>
      </c>
      <c r="C2771" t="s">
        <v>267</v>
      </c>
      <c r="D2771" t="s">
        <v>186</v>
      </c>
      <c r="E2771" s="1">
        <v>45895</v>
      </c>
      <c r="F2771" t="s">
        <v>4350</v>
      </c>
      <c r="G2771" t="s">
        <v>2662</v>
      </c>
      <c r="H2771" t="s">
        <v>266</v>
      </c>
      <c r="I2771" t="s">
        <v>204</v>
      </c>
      <c r="J2771" s="1">
        <v>46259</v>
      </c>
      <c r="K2771" t="s">
        <v>717</v>
      </c>
      <c r="L2771">
        <v>8837.98</v>
      </c>
      <c r="M2771">
        <v>8837.98</v>
      </c>
      <c r="N2771" t="s">
        <v>710</v>
      </c>
      <c r="O2771" t="s">
        <v>1037</v>
      </c>
      <c r="P2771" t="s">
        <v>4780</v>
      </c>
      <c r="Q2771" t="s">
        <v>4852</v>
      </c>
      <c r="R2771" t="s">
        <v>4772</v>
      </c>
    </row>
    <row r="2772" spans="1:18" x14ac:dyDescent="0.3">
      <c r="A2772">
        <v>3773</v>
      </c>
      <c r="B2772" t="s">
        <v>1034</v>
      </c>
      <c r="C2772" t="s">
        <v>267</v>
      </c>
      <c r="D2772" t="s">
        <v>186</v>
      </c>
      <c r="E2772" s="1">
        <v>45895</v>
      </c>
      <c r="F2772" t="s">
        <v>4349</v>
      </c>
      <c r="G2772" t="s">
        <v>2662</v>
      </c>
      <c r="H2772" t="s">
        <v>266</v>
      </c>
      <c r="I2772" t="s">
        <v>204</v>
      </c>
      <c r="J2772" s="1">
        <v>46259</v>
      </c>
      <c r="K2772" t="s">
        <v>717</v>
      </c>
      <c r="L2772">
        <v>45342.68</v>
      </c>
      <c r="M2772">
        <v>45342.68</v>
      </c>
      <c r="N2772" t="s">
        <v>710</v>
      </c>
      <c r="O2772" t="s">
        <v>1037</v>
      </c>
      <c r="P2772" t="s">
        <v>4780</v>
      </c>
      <c r="Q2772" t="s">
        <v>4852</v>
      </c>
      <c r="R2772" t="s">
        <v>4772</v>
      </c>
    </row>
    <row r="2773" spans="1:18" x14ac:dyDescent="0.3">
      <c r="A2773">
        <v>8885</v>
      </c>
      <c r="B2773" t="s">
        <v>1034</v>
      </c>
      <c r="C2773" t="s">
        <v>267</v>
      </c>
      <c r="D2773" t="s">
        <v>186</v>
      </c>
      <c r="E2773" s="1">
        <v>45895</v>
      </c>
      <c r="F2773" t="s">
        <v>4350</v>
      </c>
      <c r="G2773" t="s">
        <v>2662</v>
      </c>
      <c r="H2773" t="s">
        <v>266</v>
      </c>
      <c r="I2773" t="s">
        <v>204</v>
      </c>
      <c r="J2773" s="1">
        <v>46259</v>
      </c>
      <c r="K2773" t="s">
        <v>717</v>
      </c>
      <c r="L2773">
        <v>23425.439999999999</v>
      </c>
      <c r="M2773">
        <v>23425.439999999999</v>
      </c>
      <c r="N2773" t="s">
        <v>710</v>
      </c>
      <c r="O2773" t="s">
        <v>1037</v>
      </c>
      <c r="P2773" t="s">
        <v>4780</v>
      </c>
      <c r="Q2773" t="s">
        <v>4852</v>
      </c>
      <c r="R2773" t="s">
        <v>4772</v>
      </c>
    </row>
    <row r="2774" spans="1:18" x14ac:dyDescent="0.3">
      <c r="A2774">
        <v>8883</v>
      </c>
      <c r="B2774" t="s">
        <v>1034</v>
      </c>
      <c r="C2774" t="s">
        <v>267</v>
      </c>
      <c r="D2774" t="s">
        <v>186</v>
      </c>
      <c r="E2774" s="1">
        <v>45895</v>
      </c>
      <c r="F2774" t="s">
        <v>4350</v>
      </c>
      <c r="G2774" t="s">
        <v>2662</v>
      </c>
      <c r="H2774" t="s">
        <v>266</v>
      </c>
      <c r="I2774" t="s">
        <v>204</v>
      </c>
      <c r="J2774" s="1">
        <v>46259</v>
      </c>
      <c r="K2774" t="s">
        <v>717</v>
      </c>
      <c r="L2774">
        <v>16935.36</v>
      </c>
      <c r="M2774">
        <v>16935.36</v>
      </c>
      <c r="N2774" t="s">
        <v>710</v>
      </c>
      <c r="O2774" t="s">
        <v>1037</v>
      </c>
      <c r="P2774" t="s">
        <v>4780</v>
      </c>
      <c r="Q2774" t="s">
        <v>4852</v>
      </c>
      <c r="R2774" t="s">
        <v>4772</v>
      </c>
    </row>
    <row r="2775" spans="1:18" x14ac:dyDescent="0.3">
      <c r="A2775">
        <v>8882</v>
      </c>
      <c r="B2775" t="s">
        <v>1034</v>
      </c>
      <c r="C2775" t="s">
        <v>267</v>
      </c>
      <c r="D2775" t="s">
        <v>186</v>
      </c>
      <c r="E2775" s="1">
        <v>45895</v>
      </c>
      <c r="F2775" t="s">
        <v>4350</v>
      </c>
      <c r="G2775" t="s">
        <v>2662</v>
      </c>
      <c r="H2775" t="s">
        <v>266</v>
      </c>
      <c r="I2775" t="s">
        <v>204</v>
      </c>
      <c r="J2775" s="1">
        <v>46259</v>
      </c>
      <c r="K2775" t="s">
        <v>717</v>
      </c>
      <c r="L2775">
        <v>59107.5</v>
      </c>
      <c r="M2775">
        <v>59107.5</v>
      </c>
      <c r="N2775" t="s">
        <v>710</v>
      </c>
      <c r="O2775" t="s">
        <v>1037</v>
      </c>
      <c r="P2775" t="s">
        <v>4780</v>
      </c>
      <c r="Q2775" t="s">
        <v>4852</v>
      </c>
      <c r="R2775" t="s">
        <v>4772</v>
      </c>
    </row>
    <row r="2776" spans="1:18" x14ac:dyDescent="0.3">
      <c r="A2776">
        <v>97298</v>
      </c>
      <c r="B2776" t="s">
        <v>1034</v>
      </c>
      <c r="C2776" t="s">
        <v>452</v>
      </c>
      <c r="D2776" t="s">
        <v>171</v>
      </c>
      <c r="E2776" s="1">
        <v>45895</v>
      </c>
      <c r="F2776" t="s">
        <v>4319</v>
      </c>
      <c r="G2776" t="s">
        <v>2659</v>
      </c>
      <c r="H2776" t="s">
        <v>512</v>
      </c>
      <c r="I2776" t="s">
        <v>209</v>
      </c>
      <c r="J2776" s="1">
        <v>45138</v>
      </c>
      <c r="K2776" t="s">
        <v>762</v>
      </c>
      <c r="L2776">
        <v>236</v>
      </c>
      <c r="M2776">
        <v>235.21</v>
      </c>
      <c r="N2776" t="s">
        <v>710</v>
      </c>
      <c r="O2776" t="s">
        <v>4833</v>
      </c>
      <c r="P2776" t="s">
        <v>4802</v>
      </c>
      <c r="Q2776" t="s">
        <v>4852</v>
      </c>
      <c r="R2776" t="s">
        <v>4771</v>
      </c>
    </row>
    <row r="2777" spans="1:18" x14ac:dyDescent="0.3">
      <c r="A2777">
        <v>8725</v>
      </c>
      <c r="B2777" t="s">
        <v>1034</v>
      </c>
      <c r="C2777" t="s">
        <v>270</v>
      </c>
      <c r="D2777" t="s">
        <v>82</v>
      </c>
      <c r="E2777" s="1">
        <v>45895</v>
      </c>
      <c r="F2777" t="s">
        <v>4296</v>
      </c>
      <c r="G2777" t="s">
        <v>1913</v>
      </c>
      <c r="H2777" t="s">
        <v>362</v>
      </c>
      <c r="I2777" t="s">
        <v>209</v>
      </c>
      <c r="J2777" s="1">
        <v>54878</v>
      </c>
      <c r="K2777" t="s">
        <v>711</v>
      </c>
      <c r="L2777">
        <v>1882</v>
      </c>
      <c r="M2777">
        <v>1882</v>
      </c>
      <c r="N2777" t="s">
        <v>710</v>
      </c>
    </row>
    <row r="2778" spans="1:18" x14ac:dyDescent="0.3">
      <c r="A2778">
        <v>123</v>
      </c>
      <c r="B2778" t="s">
        <v>1034</v>
      </c>
      <c r="C2778" t="s">
        <v>643</v>
      </c>
      <c r="D2778" t="s">
        <v>52</v>
      </c>
      <c r="E2778" s="1">
        <v>45895</v>
      </c>
      <c r="F2778" t="s">
        <v>4318</v>
      </c>
      <c r="G2778" t="s">
        <v>2663</v>
      </c>
      <c r="H2778" t="s">
        <v>642</v>
      </c>
      <c r="I2778" t="s">
        <v>204</v>
      </c>
      <c r="J2778" s="1">
        <v>46548</v>
      </c>
      <c r="K2778" t="s">
        <v>711</v>
      </c>
      <c r="L2778">
        <v>1</v>
      </c>
      <c r="M2778">
        <v>2300</v>
      </c>
      <c r="N2778" t="s">
        <v>710</v>
      </c>
      <c r="O2778" t="s">
        <v>4834</v>
      </c>
      <c r="P2778" t="s">
        <v>4776</v>
      </c>
      <c r="Q2778" t="s">
        <v>4901</v>
      </c>
    </row>
    <row r="2779" spans="1:18" x14ac:dyDescent="0.3">
      <c r="A2779">
        <v>8881</v>
      </c>
      <c r="B2779" t="s">
        <v>1034</v>
      </c>
      <c r="C2779" t="s">
        <v>267</v>
      </c>
      <c r="D2779" t="s">
        <v>186</v>
      </c>
      <c r="E2779" s="1">
        <v>45895</v>
      </c>
      <c r="F2779" t="s">
        <v>4350</v>
      </c>
      <c r="G2779" t="s">
        <v>2662</v>
      </c>
      <c r="H2779" t="s">
        <v>266</v>
      </c>
      <c r="I2779" t="s">
        <v>204</v>
      </c>
      <c r="J2779" s="1">
        <v>46259</v>
      </c>
      <c r="K2779" t="s">
        <v>717</v>
      </c>
      <c r="L2779">
        <v>20006</v>
      </c>
      <c r="M2779">
        <v>20006</v>
      </c>
      <c r="N2779" t="s">
        <v>710</v>
      </c>
      <c r="O2779" t="s">
        <v>1037</v>
      </c>
      <c r="P2779" t="s">
        <v>4780</v>
      </c>
      <c r="Q2779" t="s">
        <v>4852</v>
      </c>
      <c r="R2779" t="s">
        <v>4772</v>
      </c>
    </row>
    <row r="2780" spans="1:18" x14ac:dyDescent="0.3">
      <c r="A2780">
        <v>139429</v>
      </c>
      <c r="B2780" t="s">
        <v>4874</v>
      </c>
      <c r="C2780" t="s">
        <v>415</v>
      </c>
      <c r="D2780" t="s">
        <v>60</v>
      </c>
      <c r="E2780" s="1">
        <v>45894</v>
      </c>
      <c r="F2780" t="s">
        <v>4333</v>
      </c>
      <c r="G2780" t="s">
        <v>2665</v>
      </c>
      <c r="H2780" t="s">
        <v>457</v>
      </c>
      <c r="I2780" t="s">
        <v>204</v>
      </c>
      <c r="J2780" s="1">
        <v>46387</v>
      </c>
      <c r="K2780" t="s">
        <v>762</v>
      </c>
      <c r="L2780">
        <v>3761.13</v>
      </c>
      <c r="M2780">
        <v>3761.13</v>
      </c>
      <c r="N2780" t="s">
        <v>814</v>
      </c>
      <c r="O2780" t="s">
        <v>1037</v>
      </c>
      <c r="P2780" t="s">
        <v>4807</v>
      </c>
      <c r="Q2780" t="s">
        <v>4852</v>
      </c>
      <c r="R2780" t="s">
        <v>4771</v>
      </c>
    </row>
    <row r="2781" spans="1:18" x14ac:dyDescent="0.3">
      <c r="A2781">
        <v>189796</v>
      </c>
      <c r="B2781" t="s">
        <v>4874</v>
      </c>
      <c r="C2781" t="s">
        <v>391</v>
      </c>
      <c r="D2781" t="s">
        <v>104</v>
      </c>
      <c r="E2781" s="1">
        <v>45894</v>
      </c>
      <c r="F2781" t="s">
        <v>4354</v>
      </c>
      <c r="G2781" t="s">
        <v>2661</v>
      </c>
      <c r="H2781" t="s">
        <v>390</v>
      </c>
      <c r="I2781" t="s">
        <v>204</v>
      </c>
      <c r="J2781" s="1">
        <v>54878</v>
      </c>
      <c r="K2781" t="s">
        <v>762</v>
      </c>
      <c r="L2781">
        <v>211.58</v>
      </c>
      <c r="M2781">
        <v>211.58</v>
      </c>
      <c r="N2781" t="s">
        <v>710</v>
      </c>
      <c r="O2781" t="s">
        <v>4833</v>
      </c>
      <c r="P2781" t="s">
        <v>4776</v>
      </c>
      <c r="Q2781" t="s">
        <v>4852</v>
      </c>
      <c r="R2781" t="s">
        <v>4773</v>
      </c>
    </row>
    <row r="2782" spans="1:18" x14ac:dyDescent="0.3">
      <c r="A2782">
        <v>42094</v>
      </c>
      <c r="B2782" t="s">
        <v>1034</v>
      </c>
      <c r="C2782" t="s">
        <v>327</v>
      </c>
      <c r="D2782" t="s">
        <v>159</v>
      </c>
      <c r="E2782" s="1">
        <v>45894</v>
      </c>
      <c r="F2782" t="s">
        <v>4295</v>
      </c>
      <c r="G2782" t="s">
        <v>2672</v>
      </c>
      <c r="H2782" t="s">
        <v>357</v>
      </c>
      <c r="I2782" t="s">
        <v>204</v>
      </c>
      <c r="J2782" s="1">
        <v>46476</v>
      </c>
      <c r="K2782" t="s">
        <v>711</v>
      </c>
      <c r="L2782">
        <v>2150</v>
      </c>
      <c r="M2782">
        <v>2150</v>
      </c>
      <c r="N2782" t="s">
        <v>890</v>
      </c>
      <c r="O2782" t="s">
        <v>4834</v>
      </c>
      <c r="P2782" t="s">
        <v>4776</v>
      </c>
      <c r="Q2782" t="s">
        <v>4901</v>
      </c>
      <c r="R2782" t="s">
        <v>4773</v>
      </c>
    </row>
    <row r="2783" spans="1:18" x14ac:dyDescent="0.3">
      <c r="A2783">
        <v>139424</v>
      </c>
      <c r="B2783" t="s">
        <v>1034</v>
      </c>
      <c r="C2783" t="s">
        <v>415</v>
      </c>
      <c r="D2783" t="s">
        <v>60</v>
      </c>
      <c r="E2783" s="1">
        <v>45894</v>
      </c>
      <c r="F2783" t="s">
        <v>4333</v>
      </c>
      <c r="G2783" t="s">
        <v>2664</v>
      </c>
      <c r="H2783" t="s">
        <v>431</v>
      </c>
      <c r="I2783" t="s">
        <v>204</v>
      </c>
      <c r="J2783" s="1">
        <v>46386</v>
      </c>
      <c r="K2783" t="s">
        <v>717</v>
      </c>
      <c r="L2783">
        <v>15366.95</v>
      </c>
      <c r="M2783">
        <v>15366.95</v>
      </c>
      <c r="N2783" t="s">
        <v>814</v>
      </c>
      <c r="O2783" t="s">
        <v>1037</v>
      </c>
      <c r="P2783" t="s">
        <v>4807</v>
      </c>
      <c r="Q2783" t="s">
        <v>4852</v>
      </c>
      <c r="R2783" t="s">
        <v>4771</v>
      </c>
    </row>
    <row r="2784" spans="1:18" x14ac:dyDescent="0.3">
      <c r="A2784">
        <v>5803</v>
      </c>
      <c r="B2784" t="s">
        <v>1034</v>
      </c>
      <c r="C2784" t="s">
        <v>208</v>
      </c>
      <c r="D2784" t="s">
        <v>164</v>
      </c>
      <c r="E2784" s="1">
        <v>45894</v>
      </c>
      <c r="F2784" t="s">
        <v>4344</v>
      </c>
      <c r="G2784" t="s">
        <v>2639</v>
      </c>
      <c r="H2784" t="s">
        <v>604</v>
      </c>
      <c r="I2784" t="s">
        <v>204</v>
      </c>
      <c r="J2784" s="1">
        <v>46256</v>
      </c>
      <c r="K2784" t="s">
        <v>711</v>
      </c>
      <c r="L2784">
        <v>1</v>
      </c>
      <c r="M2784">
        <v>220</v>
      </c>
      <c r="N2784" t="s">
        <v>710</v>
      </c>
      <c r="O2784" t="s">
        <v>1036</v>
      </c>
      <c r="P2784" t="s">
        <v>4784</v>
      </c>
      <c r="Q2784" t="s">
        <v>4901</v>
      </c>
    </row>
    <row r="2785" spans="1:18" x14ac:dyDescent="0.3">
      <c r="A2785">
        <v>85127</v>
      </c>
      <c r="B2785" t="s">
        <v>1034</v>
      </c>
      <c r="C2785" t="s">
        <v>319</v>
      </c>
      <c r="D2785" t="s">
        <v>36</v>
      </c>
      <c r="E2785" s="1">
        <v>45894</v>
      </c>
      <c r="F2785" t="s">
        <v>4298</v>
      </c>
      <c r="G2785" t="s">
        <v>2676</v>
      </c>
      <c r="H2785" t="s">
        <v>318</v>
      </c>
      <c r="I2785" t="s">
        <v>204</v>
      </c>
      <c r="J2785" s="1">
        <v>46214</v>
      </c>
      <c r="K2785" t="s">
        <v>711</v>
      </c>
      <c r="L2785">
        <v>1289</v>
      </c>
      <c r="M2785">
        <v>1288.96</v>
      </c>
      <c r="N2785" t="s">
        <v>710</v>
      </c>
      <c r="O2785" t="s">
        <v>1036</v>
      </c>
      <c r="P2785" t="s">
        <v>4784</v>
      </c>
      <c r="Q2785" t="s">
        <v>4901</v>
      </c>
      <c r="R2785" t="s">
        <v>4771</v>
      </c>
    </row>
    <row r="2786" spans="1:18" x14ac:dyDescent="0.3">
      <c r="A2786">
        <v>2</v>
      </c>
      <c r="B2786" t="s">
        <v>1034</v>
      </c>
      <c r="C2786" t="s">
        <v>636</v>
      </c>
      <c r="D2786" t="s">
        <v>51</v>
      </c>
      <c r="E2786" s="1">
        <v>45894</v>
      </c>
      <c r="F2786" t="s">
        <v>4297</v>
      </c>
      <c r="G2786" t="s">
        <v>2293</v>
      </c>
      <c r="H2786" t="s">
        <v>635</v>
      </c>
      <c r="I2786" t="s">
        <v>204</v>
      </c>
      <c r="J2786" s="1">
        <v>46193</v>
      </c>
      <c r="K2786" t="s">
        <v>711</v>
      </c>
      <c r="L2786">
        <v>1</v>
      </c>
      <c r="M2786">
        <v>7933</v>
      </c>
      <c r="N2786" t="s">
        <v>710</v>
      </c>
      <c r="O2786" t="s">
        <v>4844</v>
      </c>
      <c r="P2786" t="s">
        <v>4779</v>
      </c>
      <c r="Q2786" t="s">
        <v>4845</v>
      </c>
      <c r="R2786" t="s">
        <v>4771</v>
      </c>
    </row>
    <row r="2787" spans="1:18" x14ac:dyDescent="0.3">
      <c r="A2787">
        <v>42093</v>
      </c>
      <c r="B2787" t="s">
        <v>1034</v>
      </c>
      <c r="C2787" t="s">
        <v>327</v>
      </c>
      <c r="D2787" t="s">
        <v>159</v>
      </c>
      <c r="E2787" s="1">
        <v>45894</v>
      </c>
      <c r="F2787" t="s">
        <v>4296</v>
      </c>
      <c r="G2787" t="s">
        <v>2673</v>
      </c>
      <c r="H2787" t="s">
        <v>357</v>
      </c>
      <c r="I2787" t="s">
        <v>204</v>
      </c>
      <c r="J2787" s="1">
        <v>46476</v>
      </c>
      <c r="K2787" t="s">
        <v>711</v>
      </c>
      <c r="L2787">
        <v>1204.23</v>
      </c>
      <c r="M2787">
        <v>1204.23</v>
      </c>
      <c r="N2787" t="s">
        <v>890</v>
      </c>
      <c r="O2787" t="s">
        <v>4834</v>
      </c>
      <c r="P2787" t="s">
        <v>4776</v>
      </c>
      <c r="Q2787" t="s">
        <v>4901</v>
      </c>
      <c r="R2787" t="s">
        <v>4773</v>
      </c>
    </row>
    <row r="2788" spans="1:18" x14ac:dyDescent="0.3">
      <c r="A2788">
        <v>5803</v>
      </c>
      <c r="B2788" t="s">
        <v>1034</v>
      </c>
      <c r="C2788" t="s">
        <v>208</v>
      </c>
      <c r="D2788" t="s">
        <v>164</v>
      </c>
      <c r="E2788" s="1">
        <v>45894</v>
      </c>
      <c r="F2788" t="s">
        <v>4342</v>
      </c>
      <c r="G2788" t="s">
        <v>2639</v>
      </c>
      <c r="H2788" t="s">
        <v>604</v>
      </c>
      <c r="I2788" t="s">
        <v>204</v>
      </c>
      <c r="J2788" s="1">
        <v>46256</v>
      </c>
      <c r="K2788" t="s">
        <v>711</v>
      </c>
      <c r="L2788">
        <v>2</v>
      </c>
      <c r="M2788">
        <v>680</v>
      </c>
      <c r="N2788" t="s">
        <v>710</v>
      </c>
      <c r="O2788" t="s">
        <v>1036</v>
      </c>
      <c r="P2788" t="s">
        <v>4784</v>
      </c>
      <c r="Q2788" t="s">
        <v>4901</v>
      </c>
    </row>
    <row r="2789" spans="1:18" x14ac:dyDescent="0.3">
      <c r="A2789">
        <v>278520</v>
      </c>
      <c r="B2789" t="s">
        <v>4874</v>
      </c>
      <c r="C2789" t="s">
        <v>391</v>
      </c>
      <c r="D2789" t="s">
        <v>104</v>
      </c>
      <c r="E2789" s="1">
        <v>45894</v>
      </c>
      <c r="F2789" t="s">
        <v>4315</v>
      </c>
      <c r="G2789" t="s">
        <v>2661</v>
      </c>
      <c r="H2789" t="s">
        <v>390</v>
      </c>
      <c r="I2789" t="s">
        <v>204</v>
      </c>
      <c r="J2789" s="1">
        <v>54878</v>
      </c>
      <c r="K2789" t="s">
        <v>762</v>
      </c>
      <c r="L2789">
        <v>82.81</v>
      </c>
      <c r="M2789">
        <v>82.81</v>
      </c>
      <c r="N2789" t="s">
        <v>710</v>
      </c>
      <c r="O2789" t="s">
        <v>4833</v>
      </c>
      <c r="P2789" t="s">
        <v>4776</v>
      </c>
      <c r="Q2789" t="s">
        <v>4852</v>
      </c>
      <c r="R2789" t="s">
        <v>4773</v>
      </c>
    </row>
    <row r="2790" spans="1:18" x14ac:dyDescent="0.3">
      <c r="A2790">
        <v>5803</v>
      </c>
      <c r="B2790" t="s">
        <v>1034</v>
      </c>
      <c r="C2790" t="s">
        <v>208</v>
      </c>
      <c r="D2790" t="s">
        <v>164</v>
      </c>
      <c r="E2790" s="1">
        <v>45894</v>
      </c>
      <c r="F2790" t="s">
        <v>4341</v>
      </c>
      <c r="G2790" t="s">
        <v>2639</v>
      </c>
      <c r="H2790" t="s">
        <v>604</v>
      </c>
      <c r="I2790" t="s">
        <v>204</v>
      </c>
      <c r="J2790" s="1">
        <v>46256</v>
      </c>
      <c r="K2790" t="s">
        <v>711</v>
      </c>
      <c r="L2790">
        <v>1</v>
      </c>
      <c r="M2790">
        <v>760</v>
      </c>
      <c r="N2790" t="s">
        <v>710</v>
      </c>
      <c r="O2790" t="s">
        <v>1036</v>
      </c>
      <c r="P2790" t="s">
        <v>4784</v>
      </c>
      <c r="Q2790" t="s">
        <v>4901</v>
      </c>
    </row>
    <row r="2791" spans="1:18" x14ac:dyDescent="0.3">
      <c r="A2791">
        <v>139430</v>
      </c>
      <c r="B2791" t="s">
        <v>4875</v>
      </c>
      <c r="C2791" t="s">
        <v>415</v>
      </c>
      <c r="D2791" t="s">
        <v>60</v>
      </c>
      <c r="E2791" s="1">
        <v>45894</v>
      </c>
      <c r="F2791" t="s">
        <v>4333</v>
      </c>
      <c r="G2791" t="s">
        <v>2666</v>
      </c>
      <c r="H2791" t="s">
        <v>414</v>
      </c>
      <c r="I2791" t="s">
        <v>204</v>
      </c>
      <c r="J2791" s="1">
        <v>46386</v>
      </c>
      <c r="K2791" t="s">
        <v>768</v>
      </c>
      <c r="L2791">
        <v>2700.84</v>
      </c>
      <c r="M2791">
        <v>2700.84</v>
      </c>
      <c r="N2791" t="s">
        <v>814</v>
      </c>
      <c r="O2791" t="s">
        <v>1037</v>
      </c>
      <c r="P2791" t="s">
        <v>4807</v>
      </c>
      <c r="Q2791" t="s">
        <v>4852</v>
      </c>
      <c r="R2791" t="s">
        <v>4771</v>
      </c>
    </row>
    <row r="2792" spans="1:18" x14ac:dyDescent="0.3">
      <c r="A2792">
        <v>6981</v>
      </c>
      <c r="B2792" t="s">
        <v>1035</v>
      </c>
      <c r="C2792" t="s">
        <v>230</v>
      </c>
      <c r="D2792" t="s">
        <v>85</v>
      </c>
      <c r="E2792" s="1">
        <v>45891</v>
      </c>
      <c r="F2792" t="s">
        <v>4436</v>
      </c>
      <c r="G2792" t="s">
        <v>2629</v>
      </c>
      <c r="H2792" t="s">
        <v>229</v>
      </c>
      <c r="I2792" t="s">
        <v>204</v>
      </c>
      <c r="J2792" s="1">
        <v>46203</v>
      </c>
      <c r="K2792" t="s">
        <v>744</v>
      </c>
      <c r="L2792">
        <v>1072.1199999999999</v>
      </c>
      <c r="M2792">
        <v>1072.1199999999999</v>
      </c>
      <c r="N2792" t="s">
        <v>710</v>
      </c>
      <c r="O2792" t="s">
        <v>1033</v>
      </c>
      <c r="P2792" t="s">
        <v>4781</v>
      </c>
      <c r="Q2792" t="s">
        <v>4852</v>
      </c>
      <c r="R2792" t="s">
        <v>4771</v>
      </c>
    </row>
    <row r="2793" spans="1:18" x14ac:dyDescent="0.3">
      <c r="A2793">
        <v>6499</v>
      </c>
      <c r="B2793" t="s">
        <v>1034</v>
      </c>
      <c r="C2793" t="s">
        <v>319</v>
      </c>
      <c r="D2793" t="s">
        <v>36</v>
      </c>
      <c r="E2793" s="1">
        <v>45891</v>
      </c>
      <c r="F2793" t="s">
        <v>4298</v>
      </c>
      <c r="G2793" t="s">
        <v>2657</v>
      </c>
      <c r="H2793" t="s">
        <v>318</v>
      </c>
      <c r="I2793" t="s">
        <v>204</v>
      </c>
      <c r="J2793" s="1">
        <v>46214</v>
      </c>
      <c r="K2793" t="s">
        <v>711</v>
      </c>
      <c r="L2793">
        <v>1935</v>
      </c>
      <c r="M2793">
        <v>1934.87</v>
      </c>
      <c r="N2793" t="s">
        <v>710</v>
      </c>
      <c r="O2793" t="s">
        <v>1036</v>
      </c>
      <c r="P2793" t="s">
        <v>4784</v>
      </c>
      <c r="Q2793" t="s">
        <v>4901</v>
      </c>
      <c r="R2793" t="s">
        <v>4771</v>
      </c>
    </row>
    <row r="2794" spans="1:18" x14ac:dyDescent="0.3">
      <c r="A2794">
        <v>6072</v>
      </c>
      <c r="B2794" t="s">
        <v>1034</v>
      </c>
      <c r="C2794" t="s">
        <v>208</v>
      </c>
      <c r="D2794" t="s">
        <v>164</v>
      </c>
      <c r="E2794" s="1">
        <v>45891</v>
      </c>
      <c r="F2794" t="s">
        <v>4297</v>
      </c>
      <c r="G2794" t="s">
        <v>2617</v>
      </c>
      <c r="H2794" t="s">
        <v>604</v>
      </c>
      <c r="I2794" t="s">
        <v>204</v>
      </c>
      <c r="J2794" s="1">
        <v>46256</v>
      </c>
      <c r="K2794" t="s">
        <v>711</v>
      </c>
      <c r="L2794">
        <v>2</v>
      </c>
      <c r="M2794">
        <v>120</v>
      </c>
      <c r="N2794" t="s">
        <v>710</v>
      </c>
      <c r="O2794" t="s">
        <v>1036</v>
      </c>
      <c r="P2794" t="s">
        <v>4784</v>
      </c>
      <c r="Q2794" t="s">
        <v>4901</v>
      </c>
    </row>
    <row r="2795" spans="1:18" x14ac:dyDescent="0.3">
      <c r="A2795">
        <v>11731</v>
      </c>
      <c r="B2795" t="s">
        <v>4874</v>
      </c>
      <c r="C2795" t="s">
        <v>237</v>
      </c>
      <c r="D2795" t="s">
        <v>4</v>
      </c>
      <c r="E2795" s="1">
        <v>45891</v>
      </c>
      <c r="F2795" t="s">
        <v>4368</v>
      </c>
      <c r="G2795" t="s">
        <v>2558</v>
      </c>
      <c r="H2795" t="s">
        <v>236</v>
      </c>
      <c r="I2795" t="s">
        <v>204</v>
      </c>
      <c r="J2795" s="1">
        <v>54878</v>
      </c>
      <c r="K2795" t="s">
        <v>720</v>
      </c>
      <c r="L2795">
        <v>1</v>
      </c>
      <c r="M2795">
        <v>5271</v>
      </c>
      <c r="N2795" t="s">
        <v>710</v>
      </c>
      <c r="O2795" t="s">
        <v>1038</v>
      </c>
      <c r="P2795" t="s">
        <v>4776</v>
      </c>
      <c r="Q2795" t="s">
        <v>4858</v>
      </c>
      <c r="R2795" t="s">
        <v>4771</v>
      </c>
    </row>
    <row r="2796" spans="1:18" x14ac:dyDescent="0.3">
      <c r="A2796">
        <v>6072</v>
      </c>
      <c r="B2796" t="s">
        <v>1034</v>
      </c>
      <c r="C2796" t="s">
        <v>208</v>
      </c>
      <c r="D2796" t="s">
        <v>164</v>
      </c>
      <c r="E2796" s="1">
        <v>45891</v>
      </c>
      <c r="F2796" t="s">
        <v>4297</v>
      </c>
      <c r="G2796" t="s">
        <v>2617</v>
      </c>
      <c r="H2796" t="s">
        <v>604</v>
      </c>
      <c r="I2796" t="s">
        <v>204</v>
      </c>
      <c r="J2796" s="1">
        <v>46256</v>
      </c>
      <c r="K2796" t="s">
        <v>711</v>
      </c>
      <c r="L2796">
        <v>3</v>
      </c>
      <c r="M2796">
        <v>180</v>
      </c>
      <c r="N2796" t="s">
        <v>710</v>
      </c>
      <c r="O2796" t="s">
        <v>1036</v>
      </c>
      <c r="P2796" t="s">
        <v>4784</v>
      </c>
      <c r="Q2796" t="s">
        <v>4901</v>
      </c>
    </row>
    <row r="2797" spans="1:18" x14ac:dyDescent="0.3">
      <c r="A2797">
        <v>6072</v>
      </c>
      <c r="B2797" t="s">
        <v>1034</v>
      </c>
      <c r="C2797" t="s">
        <v>208</v>
      </c>
      <c r="D2797" t="s">
        <v>164</v>
      </c>
      <c r="E2797" s="1">
        <v>45891</v>
      </c>
      <c r="F2797" t="s">
        <v>4297</v>
      </c>
      <c r="G2797" t="s">
        <v>2617</v>
      </c>
      <c r="H2797" t="s">
        <v>604</v>
      </c>
      <c r="I2797" t="s">
        <v>204</v>
      </c>
      <c r="J2797" s="1">
        <v>46256</v>
      </c>
      <c r="K2797" t="s">
        <v>711</v>
      </c>
      <c r="L2797">
        <v>1</v>
      </c>
      <c r="M2797">
        <v>60</v>
      </c>
      <c r="N2797" t="s">
        <v>710</v>
      </c>
      <c r="O2797" t="s">
        <v>1036</v>
      </c>
      <c r="P2797" t="s">
        <v>4784</v>
      </c>
      <c r="Q2797" t="s">
        <v>4901</v>
      </c>
    </row>
    <row r="2798" spans="1:18" x14ac:dyDescent="0.3">
      <c r="A2798">
        <v>6072</v>
      </c>
      <c r="B2798" t="s">
        <v>1034</v>
      </c>
      <c r="C2798" t="s">
        <v>208</v>
      </c>
      <c r="D2798" t="s">
        <v>164</v>
      </c>
      <c r="E2798" s="1">
        <v>45891</v>
      </c>
      <c r="F2798" t="s">
        <v>4297</v>
      </c>
      <c r="G2798" t="s">
        <v>2617</v>
      </c>
      <c r="H2798" t="s">
        <v>604</v>
      </c>
      <c r="I2798" t="s">
        <v>204</v>
      </c>
      <c r="J2798" s="1">
        <v>46256</v>
      </c>
      <c r="K2798" t="s">
        <v>711</v>
      </c>
      <c r="L2798">
        <v>2</v>
      </c>
      <c r="M2798">
        <v>120</v>
      </c>
      <c r="N2798" t="s">
        <v>710</v>
      </c>
      <c r="O2798" t="s">
        <v>1036</v>
      </c>
      <c r="P2798" t="s">
        <v>4784</v>
      </c>
      <c r="Q2798" t="s">
        <v>4901</v>
      </c>
    </row>
    <row r="2799" spans="1:18" x14ac:dyDescent="0.3">
      <c r="A2799">
        <v>6975</v>
      </c>
      <c r="B2799" t="s">
        <v>1035</v>
      </c>
      <c r="C2799" t="s">
        <v>230</v>
      </c>
      <c r="D2799" t="s">
        <v>85</v>
      </c>
      <c r="E2799" s="1">
        <v>45891</v>
      </c>
      <c r="F2799" t="s">
        <v>4436</v>
      </c>
      <c r="G2799" t="s">
        <v>2629</v>
      </c>
      <c r="H2799" t="s">
        <v>229</v>
      </c>
      <c r="I2799" t="s">
        <v>204</v>
      </c>
      <c r="J2799" s="1">
        <v>46203</v>
      </c>
      <c r="K2799" t="s">
        <v>744</v>
      </c>
      <c r="L2799">
        <v>5793.36</v>
      </c>
      <c r="M2799">
        <v>5793.36</v>
      </c>
      <c r="N2799" t="s">
        <v>710</v>
      </c>
      <c r="O2799" t="s">
        <v>1033</v>
      </c>
      <c r="P2799" t="s">
        <v>4781</v>
      </c>
      <c r="Q2799" t="s">
        <v>4852</v>
      </c>
      <c r="R2799" t="s">
        <v>4771</v>
      </c>
    </row>
    <row r="2800" spans="1:18" x14ac:dyDescent="0.3">
      <c r="A2800">
        <v>6072</v>
      </c>
      <c r="B2800" t="s">
        <v>1034</v>
      </c>
      <c r="C2800" t="s">
        <v>208</v>
      </c>
      <c r="D2800" t="s">
        <v>164</v>
      </c>
      <c r="E2800" s="1">
        <v>45891</v>
      </c>
      <c r="F2800" t="s">
        <v>4297</v>
      </c>
      <c r="G2800" t="s">
        <v>2617</v>
      </c>
      <c r="H2800" t="s">
        <v>604</v>
      </c>
      <c r="I2800" t="s">
        <v>204</v>
      </c>
      <c r="J2800" s="1">
        <v>46256</v>
      </c>
      <c r="K2800" t="s">
        <v>711</v>
      </c>
      <c r="L2800">
        <v>4</v>
      </c>
      <c r="M2800">
        <v>240</v>
      </c>
      <c r="N2800" t="s">
        <v>710</v>
      </c>
      <c r="O2800" t="s">
        <v>1036</v>
      </c>
      <c r="P2800" t="s">
        <v>4784</v>
      </c>
      <c r="Q2800" t="s">
        <v>4901</v>
      </c>
    </row>
    <row r="2801" spans="1:18" x14ac:dyDescent="0.3">
      <c r="A2801">
        <v>42078</v>
      </c>
      <c r="B2801" t="s">
        <v>1034</v>
      </c>
      <c r="C2801" t="s">
        <v>327</v>
      </c>
      <c r="D2801" t="s">
        <v>159</v>
      </c>
      <c r="E2801" s="1">
        <v>45891</v>
      </c>
      <c r="F2801" t="s">
        <v>4295</v>
      </c>
      <c r="G2801" t="s">
        <v>2642</v>
      </c>
      <c r="H2801" t="s">
        <v>357</v>
      </c>
      <c r="I2801" t="s">
        <v>204</v>
      </c>
      <c r="J2801" s="1">
        <v>46476</v>
      </c>
      <c r="K2801" t="s">
        <v>711</v>
      </c>
      <c r="L2801">
        <v>2150</v>
      </c>
      <c r="M2801">
        <v>2150</v>
      </c>
      <c r="N2801" t="s">
        <v>890</v>
      </c>
      <c r="O2801" t="s">
        <v>4834</v>
      </c>
      <c r="P2801" t="s">
        <v>4776</v>
      </c>
      <c r="Q2801" t="s">
        <v>4901</v>
      </c>
      <c r="R2801" t="s">
        <v>4773</v>
      </c>
    </row>
    <row r="2802" spans="1:18" x14ac:dyDescent="0.3">
      <c r="A2802">
        <v>42077</v>
      </c>
      <c r="B2802" t="s">
        <v>1034</v>
      </c>
      <c r="C2802" t="s">
        <v>327</v>
      </c>
      <c r="D2802" t="s">
        <v>159</v>
      </c>
      <c r="E2802" s="1">
        <v>45891</v>
      </c>
      <c r="F2802" t="s">
        <v>4295</v>
      </c>
      <c r="G2802" t="s">
        <v>2643</v>
      </c>
      <c r="H2802" t="s">
        <v>357</v>
      </c>
      <c r="I2802" t="s">
        <v>204</v>
      </c>
      <c r="J2802" s="1">
        <v>46476</v>
      </c>
      <c r="K2802" t="s">
        <v>711</v>
      </c>
      <c r="L2802">
        <v>945</v>
      </c>
      <c r="M2802">
        <v>945</v>
      </c>
      <c r="N2802" t="s">
        <v>890</v>
      </c>
      <c r="O2802" t="s">
        <v>4834</v>
      </c>
      <c r="P2802" t="s">
        <v>4776</v>
      </c>
      <c r="Q2802" t="s">
        <v>4901</v>
      </c>
      <c r="R2802" t="s">
        <v>4773</v>
      </c>
    </row>
    <row r="2803" spans="1:18" x14ac:dyDescent="0.3">
      <c r="A2803">
        <v>315</v>
      </c>
      <c r="B2803" t="s">
        <v>1034</v>
      </c>
      <c r="C2803" t="s">
        <v>479</v>
      </c>
      <c r="D2803" t="s">
        <v>99</v>
      </c>
      <c r="E2803" s="1">
        <v>45890</v>
      </c>
      <c r="F2803" t="s">
        <v>4329</v>
      </c>
      <c r="G2803" t="s">
        <v>2660</v>
      </c>
      <c r="H2803" t="s">
        <v>478</v>
      </c>
      <c r="I2803" t="s">
        <v>204</v>
      </c>
      <c r="J2803" s="1">
        <v>46239</v>
      </c>
      <c r="K2803" t="s">
        <v>717</v>
      </c>
      <c r="L2803">
        <v>95</v>
      </c>
      <c r="M2803">
        <v>1072.55</v>
      </c>
      <c r="N2803" t="s">
        <v>710</v>
      </c>
      <c r="O2803" t="s">
        <v>1037</v>
      </c>
      <c r="P2803" t="s">
        <v>4790</v>
      </c>
      <c r="Q2803" t="s">
        <v>4852</v>
      </c>
      <c r="R2803" t="s">
        <v>4772</v>
      </c>
    </row>
    <row r="2804" spans="1:18" x14ac:dyDescent="0.3">
      <c r="A2804">
        <v>315</v>
      </c>
      <c r="B2804" t="s">
        <v>1034</v>
      </c>
      <c r="C2804" t="s">
        <v>479</v>
      </c>
      <c r="D2804" t="s">
        <v>99</v>
      </c>
      <c r="E2804" s="1">
        <v>45890</v>
      </c>
      <c r="F2804" t="s">
        <v>4372</v>
      </c>
      <c r="G2804" t="s">
        <v>2660</v>
      </c>
      <c r="H2804" t="s">
        <v>478</v>
      </c>
      <c r="I2804" t="s">
        <v>204</v>
      </c>
      <c r="J2804" s="1">
        <v>46239</v>
      </c>
      <c r="K2804" t="s">
        <v>717</v>
      </c>
      <c r="L2804">
        <v>352</v>
      </c>
      <c r="M2804">
        <v>2999.04</v>
      </c>
      <c r="N2804" t="s">
        <v>710</v>
      </c>
      <c r="O2804" t="s">
        <v>1037</v>
      </c>
      <c r="P2804" t="s">
        <v>4790</v>
      </c>
      <c r="Q2804" t="s">
        <v>4852</v>
      </c>
      <c r="R2804" t="s">
        <v>4772</v>
      </c>
    </row>
    <row r="2805" spans="1:18" x14ac:dyDescent="0.3">
      <c r="A2805">
        <v>315</v>
      </c>
      <c r="B2805" t="s">
        <v>1034</v>
      </c>
      <c r="C2805" t="s">
        <v>479</v>
      </c>
      <c r="D2805" t="s">
        <v>99</v>
      </c>
      <c r="E2805" s="1">
        <v>45890</v>
      </c>
      <c r="F2805" t="s">
        <v>4308</v>
      </c>
      <c r="G2805" t="s">
        <v>2660</v>
      </c>
      <c r="H2805" t="s">
        <v>478</v>
      </c>
      <c r="I2805" t="s">
        <v>204</v>
      </c>
      <c r="J2805" s="1">
        <v>46239</v>
      </c>
      <c r="K2805" t="s">
        <v>717</v>
      </c>
      <c r="L2805">
        <v>2984</v>
      </c>
      <c r="M2805">
        <v>11816.64</v>
      </c>
      <c r="N2805" t="s">
        <v>710</v>
      </c>
      <c r="O2805" t="s">
        <v>1037</v>
      </c>
      <c r="P2805" t="s">
        <v>4790</v>
      </c>
      <c r="Q2805" t="s">
        <v>4852</v>
      </c>
      <c r="R2805" t="s">
        <v>4772</v>
      </c>
    </row>
    <row r="2806" spans="1:18" x14ac:dyDescent="0.3">
      <c r="A2806">
        <v>315</v>
      </c>
      <c r="B2806" t="s">
        <v>1034</v>
      </c>
      <c r="C2806" t="s">
        <v>479</v>
      </c>
      <c r="D2806" t="s">
        <v>99</v>
      </c>
      <c r="E2806" s="1">
        <v>45890</v>
      </c>
      <c r="F2806" t="s">
        <v>4312</v>
      </c>
      <c r="G2806" t="s">
        <v>2660</v>
      </c>
      <c r="H2806" t="s">
        <v>478</v>
      </c>
      <c r="I2806" t="s">
        <v>204</v>
      </c>
      <c r="J2806" s="1">
        <v>46239</v>
      </c>
      <c r="K2806" t="s">
        <v>717</v>
      </c>
      <c r="L2806">
        <v>106</v>
      </c>
      <c r="M2806">
        <v>503.5</v>
      </c>
      <c r="N2806" t="s">
        <v>710</v>
      </c>
      <c r="O2806" t="s">
        <v>1037</v>
      </c>
      <c r="P2806" t="s">
        <v>4790</v>
      </c>
      <c r="Q2806" t="s">
        <v>4852</v>
      </c>
      <c r="R2806" t="s">
        <v>4772</v>
      </c>
    </row>
    <row r="2807" spans="1:18" x14ac:dyDescent="0.3">
      <c r="A2807">
        <v>3243</v>
      </c>
      <c r="B2807" t="s">
        <v>1034</v>
      </c>
      <c r="C2807" t="s">
        <v>329</v>
      </c>
      <c r="D2807" t="s">
        <v>125</v>
      </c>
      <c r="E2807" s="1">
        <v>45890</v>
      </c>
      <c r="F2807" t="s">
        <v>4320</v>
      </c>
      <c r="G2807" t="s">
        <v>2658</v>
      </c>
      <c r="H2807" t="s">
        <v>328</v>
      </c>
      <c r="I2807" t="s">
        <v>204</v>
      </c>
      <c r="J2807" s="1">
        <v>54878</v>
      </c>
      <c r="K2807" t="s">
        <v>711</v>
      </c>
      <c r="L2807">
        <v>430</v>
      </c>
      <c r="M2807">
        <v>429.84</v>
      </c>
      <c r="N2807" t="s">
        <v>710</v>
      </c>
      <c r="O2807" t="s">
        <v>4834</v>
      </c>
      <c r="P2807" t="s">
        <v>4784</v>
      </c>
      <c r="Q2807" t="s">
        <v>4901</v>
      </c>
      <c r="R2807" t="s">
        <v>4771</v>
      </c>
    </row>
    <row r="2808" spans="1:18" x14ac:dyDescent="0.3">
      <c r="A2808">
        <v>315</v>
      </c>
      <c r="B2808" t="s">
        <v>1034</v>
      </c>
      <c r="C2808" t="s">
        <v>479</v>
      </c>
      <c r="D2808" t="s">
        <v>99</v>
      </c>
      <c r="E2808" s="1">
        <v>45890</v>
      </c>
      <c r="F2808" t="s">
        <v>4310</v>
      </c>
      <c r="G2808" t="s">
        <v>2660</v>
      </c>
      <c r="H2808" t="s">
        <v>478</v>
      </c>
      <c r="I2808" t="s">
        <v>204</v>
      </c>
      <c r="J2808" s="1">
        <v>46239</v>
      </c>
      <c r="K2808" t="s">
        <v>717</v>
      </c>
      <c r="L2808">
        <v>153</v>
      </c>
      <c r="M2808">
        <v>543.15</v>
      </c>
      <c r="N2808" t="s">
        <v>710</v>
      </c>
      <c r="O2808" t="s">
        <v>1037</v>
      </c>
      <c r="P2808" t="s">
        <v>4790</v>
      </c>
      <c r="Q2808" t="s">
        <v>4852</v>
      </c>
      <c r="R2808" t="s">
        <v>4772</v>
      </c>
    </row>
    <row r="2809" spans="1:18" x14ac:dyDescent="0.3">
      <c r="A2809">
        <v>315</v>
      </c>
      <c r="B2809" t="s">
        <v>1034</v>
      </c>
      <c r="C2809" t="s">
        <v>479</v>
      </c>
      <c r="D2809" t="s">
        <v>99</v>
      </c>
      <c r="E2809" s="1">
        <v>45890</v>
      </c>
      <c r="F2809" t="s">
        <v>4330</v>
      </c>
      <c r="G2809" t="s">
        <v>2660</v>
      </c>
      <c r="H2809" t="s">
        <v>478</v>
      </c>
      <c r="I2809" t="s">
        <v>204</v>
      </c>
      <c r="J2809" s="1">
        <v>46239</v>
      </c>
      <c r="K2809" t="s">
        <v>717</v>
      </c>
      <c r="L2809">
        <v>75</v>
      </c>
      <c r="M2809">
        <v>605.25</v>
      </c>
      <c r="N2809" t="s">
        <v>710</v>
      </c>
      <c r="O2809" t="s">
        <v>1037</v>
      </c>
      <c r="P2809" t="s">
        <v>4790</v>
      </c>
      <c r="Q2809" t="s">
        <v>4852</v>
      </c>
      <c r="R2809" t="s">
        <v>4772</v>
      </c>
    </row>
    <row r="2810" spans="1:18" x14ac:dyDescent="0.3">
      <c r="A2810">
        <v>315</v>
      </c>
      <c r="B2810" t="s">
        <v>1034</v>
      </c>
      <c r="C2810" t="s">
        <v>479</v>
      </c>
      <c r="D2810" t="s">
        <v>99</v>
      </c>
      <c r="E2810" s="1">
        <v>45890</v>
      </c>
      <c r="F2810" t="s">
        <v>4307</v>
      </c>
      <c r="G2810" t="s">
        <v>2660</v>
      </c>
      <c r="H2810" t="s">
        <v>478</v>
      </c>
      <c r="I2810" t="s">
        <v>204</v>
      </c>
      <c r="J2810" s="1">
        <v>46239</v>
      </c>
      <c r="K2810" t="s">
        <v>717</v>
      </c>
      <c r="L2810">
        <v>4130</v>
      </c>
      <c r="M2810">
        <v>50427.3</v>
      </c>
      <c r="N2810" t="s">
        <v>710</v>
      </c>
      <c r="O2810" t="s">
        <v>1037</v>
      </c>
      <c r="P2810" t="s">
        <v>4790</v>
      </c>
      <c r="Q2810" t="s">
        <v>4852</v>
      </c>
      <c r="R2810" t="s">
        <v>4772</v>
      </c>
    </row>
    <row r="2811" spans="1:18" x14ac:dyDescent="0.3">
      <c r="A2811">
        <v>21113</v>
      </c>
      <c r="B2811" t="s">
        <v>4875</v>
      </c>
      <c r="C2811" t="s">
        <v>243</v>
      </c>
      <c r="D2811" t="s">
        <v>61</v>
      </c>
      <c r="E2811" s="1">
        <v>45890</v>
      </c>
      <c r="F2811" t="s">
        <v>4304</v>
      </c>
      <c r="G2811" t="s">
        <v>2560</v>
      </c>
      <c r="H2811" t="s">
        <v>242</v>
      </c>
      <c r="I2811" t="s">
        <v>204</v>
      </c>
      <c r="J2811" s="1">
        <v>54878</v>
      </c>
      <c r="K2811" t="s">
        <v>748</v>
      </c>
      <c r="L2811">
        <v>952.6</v>
      </c>
      <c r="M2811">
        <v>952.6</v>
      </c>
      <c r="N2811" t="s">
        <v>710</v>
      </c>
      <c r="O2811" t="s">
        <v>4834</v>
      </c>
      <c r="P2811" t="s">
        <v>4776</v>
      </c>
      <c r="Q2811" t="s">
        <v>4856</v>
      </c>
      <c r="R2811" t="s">
        <v>4771</v>
      </c>
    </row>
    <row r="2812" spans="1:18" x14ac:dyDescent="0.3">
      <c r="A2812">
        <v>989318</v>
      </c>
      <c r="B2812" t="s">
        <v>4875</v>
      </c>
      <c r="C2812" t="s">
        <v>338</v>
      </c>
      <c r="D2812" t="s">
        <v>31</v>
      </c>
      <c r="E2812" s="1">
        <v>45890</v>
      </c>
      <c r="F2812" t="s">
        <v>4299</v>
      </c>
      <c r="G2812" t="s">
        <v>2614</v>
      </c>
      <c r="H2812" t="s">
        <v>353</v>
      </c>
      <c r="I2812" t="s">
        <v>204</v>
      </c>
      <c r="J2812" s="1">
        <v>54878</v>
      </c>
      <c r="K2812" t="s">
        <v>748</v>
      </c>
      <c r="L2812">
        <v>5826</v>
      </c>
      <c r="M2812">
        <v>5826</v>
      </c>
      <c r="N2812" t="s">
        <v>710</v>
      </c>
      <c r="O2812" t="s">
        <v>1040</v>
      </c>
      <c r="P2812" t="s">
        <v>4785</v>
      </c>
      <c r="Q2812" t="s">
        <v>4856</v>
      </c>
      <c r="R2812" t="s">
        <v>4773</v>
      </c>
    </row>
    <row r="2813" spans="1:18" x14ac:dyDescent="0.3">
      <c r="A2813">
        <v>3875</v>
      </c>
      <c r="B2813" t="s">
        <v>1034</v>
      </c>
      <c r="C2813" t="s">
        <v>535</v>
      </c>
      <c r="D2813" t="s">
        <v>148</v>
      </c>
      <c r="E2813" s="1">
        <v>45889</v>
      </c>
      <c r="F2813" t="s">
        <v>4355</v>
      </c>
      <c r="G2813" t="s">
        <v>2165</v>
      </c>
      <c r="H2813" t="s">
        <v>534</v>
      </c>
      <c r="I2813" t="s">
        <v>209</v>
      </c>
      <c r="J2813" s="1">
        <v>46295</v>
      </c>
      <c r="K2813" t="s">
        <v>711</v>
      </c>
      <c r="L2813">
        <v>1</v>
      </c>
      <c r="M2813">
        <v>3200</v>
      </c>
      <c r="N2813" t="s">
        <v>890</v>
      </c>
      <c r="O2813" t="s">
        <v>1036</v>
      </c>
      <c r="P2813" t="s">
        <v>4779</v>
      </c>
      <c r="Q2813" t="s">
        <v>4856</v>
      </c>
      <c r="R2813" t="s">
        <v>807</v>
      </c>
    </row>
    <row r="2814" spans="1:18" x14ac:dyDescent="0.3">
      <c r="A2814">
        <v>525401</v>
      </c>
      <c r="B2814" t="s">
        <v>4874</v>
      </c>
      <c r="C2814" t="s">
        <v>333</v>
      </c>
      <c r="D2814" t="s">
        <v>29</v>
      </c>
      <c r="E2814" s="1">
        <v>45889</v>
      </c>
      <c r="F2814" t="s">
        <v>4317</v>
      </c>
      <c r="G2814" t="s">
        <v>2654</v>
      </c>
      <c r="H2814" t="s">
        <v>460</v>
      </c>
      <c r="I2814" t="s">
        <v>204</v>
      </c>
      <c r="J2814" s="1">
        <v>54878</v>
      </c>
      <c r="K2814" t="s">
        <v>785</v>
      </c>
      <c r="L2814">
        <v>1</v>
      </c>
      <c r="M2814">
        <v>137.02000000000001</v>
      </c>
      <c r="N2814" t="s">
        <v>710</v>
      </c>
      <c r="O2814" t="s">
        <v>1038</v>
      </c>
      <c r="P2814" t="s">
        <v>4776</v>
      </c>
      <c r="Q2814" t="s">
        <v>4858</v>
      </c>
      <c r="R2814" t="s">
        <v>4771</v>
      </c>
    </row>
    <row r="2815" spans="1:18" x14ac:dyDescent="0.3">
      <c r="A2815">
        <v>2872</v>
      </c>
      <c r="B2815" t="s">
        <v>4874</v>
      </c>
      <c r="C2815" t="s">
        <v>372</v>
      </c>
      <c r="D2815" t="s">
        <v>105</v>
      </c>
      <c r="E2815" s="1">
        <v>45889</v>
      </c>
      <c r="F2815" t="s">
        <v>4408</v>
      </c>
      <c r="G2815" t="s">
        <v>2652</v>
      </c>
      <c r="H2815" t="s">
        <v>371</v>
      </c>
      <c r="I2815" t="s">
        <v>209</v>
      </c>
      <c r="J2815" s="1">
        <v>45904</v>
      </c>
      <c r="K2815" t="s">
        <v>720</v>
      </c>
      <c r="L2815">
        <v>14116</v>
      </c>
      <c r="M2815">
        <v>14116</v>
      </c>
      <c r="N2815" t="s">
        <v>719</v>
      </c>
      <c r="O2815" t="s">
        <v>1038</v>
      </c>
      <c r="P2815" t="s">
        <v>4777</v>
      </c>
      <c r="Q2815" t="s">
        <v>4858</v>
      </c>
      <c r="R2815" t="s">
        <v>4773</v>
      </c>
    </row>
    <row r="2816" spans="1:18" x14ac:dyDescent="0.3">
      <c r="A2816">
        <v>2972</v>
      </c>
      <c r="B2816" t="s">
        <v>4874</v>
      </c>
      <c r="C2816" t="s">
        <v>533</v>
      </c>
      <c r="D2816" t="s">
        <v>103</v>
      </c>
      <c r="E2816" s="1">
        <v>45889</v>
      </c>
      <c r="F2816" t="s">
        <v>4416</v>
      </c>
      <c r="G2816" t="s">
        <v>2603</v>
      </c>
      <c r="H2816" t="s">
        <v>532</v>
      </c>
      <c r="I2816" t="s">
        <v>204</v>
      </c>
      <c r="J2816" s="1">
        <v>46568</v>
      </c>
      <c r="K2816" t="s">
        <v>892</v>
      </c>
      <c r="L2816">
        <v>12367.55</v>
      </c>
      <c r="M2816">
        <v>12367.55</v>
      </c>
      <c r="N2816" t="s">
        <v>710</v>
      </c>
      <c r="O2816" t="s">
        <v>4811</v>
      </c>
      <c r="P2816" t="s">
        <v>4776</v>
      </c>
      <c r="Q2816" t="s">
        <v>4859</v>
      </c>
      <c r="R2816" t="s">
        <v>4771</v>
      </c>
    </row>
    <row r="2817" spans="1:18" x14ac:dyDescent="0.3">
      <c r="A2817">
        <v>520640</v>
      </c>
      <c r="B2817" t="s">
        <v>4875</v>
      </c>
      <c r="C2817" t="s">
        <v>333</v>
      </c>
      <c r="D2817" t="s">
        <v>29</v>
      </c>
      <c r="E2817" s="1">
        <v>45889</v>
      </c>
      <c r="F2817" t="s">
        <v>4317</v>
      </c>
      <c r="G2817" t="s">
        <v>2655</v>
      </c>
      <c r="H2817" t="s">
        <v>335</v>
      </c>
      <c r="I2817" t="s">
        <v>204</v>
      </c>
      <c r="J2817" s="1">
        <v>54878</v>
      </c>
      <c r="K2817" t="s">
        <v>748</v>
      </c>
      <c r="L2817">
        <v>102</v>
      </c>
      <c r="M2817">
        <v>102.25</v>
      </c>
      <c r="N2817" t="s">
        <v>710</v>
      </c>
      <c r="O2817" t="s">
        <v>1040</v>
      </c>
      <c r="P2817" t="s">
        <v>4776</v>
      </c>
      <c r="Q2817" t="s">
        <v>4856</v>
      </c>
      <c r="R2817" t="s">
        <v>4771</v>
      </c>
    </row>
    <row r="2818" spans="1:18" x14ac:dyDescent="0.3">
      <c r="A2818">
        <v>20069</v>
      </c>
      <c r="B2818" t="s">
        <v>4874</v>
      </c>
      <c r="C2818" t="s">
        <v>539</v>
      </c>
      <c r="D2818" t="s">
        <v>189</v>
      </c>
      <c r="E2818" s="1">
        <v>45889</v>
      </c>
      <c r="F2818" t="s">
        <v>4327</v>
      </c>
      <c r="G2818" t="s">
        <v>2649</v>
      </c>
      <c r="H2818" t="s">
        <v>573</v>
      </c>
      <c r="I2818" t="s">
        <v>209</v>
      </c>
      <c r="J2818" s="1">
        <v>45808</v>
      </c>
      <c r="K2818" t="s">
        <v>762</v>
      </c>
      <c r="L2818">
        <v>5732.31</v>
      </c>
      <c r="M2818">
        <v>5732.31</v>
      </c>
      <c r="N2818" t="s">
        <v>890</v>
      </c>
      <c r="Q2818" t="s">
        <v>807</v>
      </c>
    </row>
    <row r="2819" spans="1:18" x14ac:dyDescent="0.3">
      <c r="A2819">
        <v>8748</v>
      </c>
      <c r="B2819" t="s">
        <v>1034</v>
      </c>
      <c r="C2819" t="s">
        <v>270</v>
      </c>
      <c r="D2819" t="s">
        <v>82</v>
      </c>
      <c r="E2819" s="1">
        <v>45889</v>
      </c>
      <c r="F2819" t="s">
        <v>4296</v>
      </c>
      <c r="G2819" t="s">
        <v>2138</v>
      </c>
      <c r="H2819" t="s">
        <v>362</v>
      </c>
      <c r="I2819" t="s">
        <v>209</v>
      </c>
      <c r="J2819" s="1">
        <v>54878</v>
      </c>
      <c r="K2819" t="s">
        <v>711</v>
      </c>
      <c r="L2819">
        <v>1882</v>
      </c>
      <c r="M2819">
        <v>1882</v>
      </c>
      <c r="N2819" t="s">
        <v>710</v>
      </c>
    </row>
    <row r="2820" spans="1:18" x14ac:dyDescent="0.3">
      <c r="A2820">
        <v>42044</v>
      </c>
      <c r="B2820" t="s">
        <v>1034</v>
      </c>
      <c r="C2820" t="s">
        <v>327</v>
      </c>
      <c r="D2820" t="s">
        <v>159</v>
      </c>
      <c r="E2820" s="1">
        <v>45889</v>
      </c>
      <c r="F2820" t="s">
        <v>4296</v>
      </c>
      <c r="G2820" t="s">
        <v>2625</v>
      </c>
      <c r="H2820" t="s">
        <v>357</v>
      </c>
      <c r="I2820" t="s">
        <v>204</v>
      </c>
      <c r="J2820" s="1">
        <v>46476</v>
      </c>
      <c r="K2820" t="s">
        <v>711</v>
      </c>
      <c r="L2820">
        <v>1257.08</v>
      </c>
      <c r="M2820">
        <v>1257.08</v>
      </c>
      <c r="N2820" t="s">
        <v>890</v>
      </c>
      <c r="O2820" t="s">
        <v>4834</v>
      </c>
      <c r="P2820" t="s">
        <v>4776</v>
      </c>
      <c r="Q2820" t="s">
        <v>4901</v>
      </c>
      <c r="R2820" t="s">
        <v>4773</v>
      </c>
    </row>
    <row r="2821" spans="1:18" x14ac:dyDescent="0.3">
      <c r="A2821">
        <v>42045</v>
      </c>
      <c r="B2821" t="s">
        <v>1034</v>
      </c>
      <c r="C2821" t="s">
        <v>327</v>
      </c>
      <c r="D2821" t="s">
        <v>159</v>
      </c>
      <c r="E2821" s="1">
        <v>45889</v>
      </c>
      <c r="F2821" t="s">
        <v>4295</v>
      </c>
      <c r="G2821" t="s">
        <v>2624</v>
      </c>
      <c r="H2821" t="s">
        <v>357</v>
      </c>
      <c r="I2821" t="s">
        <v>204</v>
      </c>
      <c r="J2821" s="1">
        <v>46476</v>
      </c>
      <c r="K2821" t="s">
        <v>711</v>
      </c>
      <c r="L2821">
        <v>2150</v>
      </c>
      <c r="M2821">
        <v>2150</v>
      </c>
      <c r="N2821" t="s">
        <v>890</v>
      </c>
      <c r="O2821" t="s">
        <v>4834</v>
      </c>
      <c r="P2821" t="s">
        <v>4776</v>
      </c>
      <c r="Q2821" t="s">
        <v>4901</v>
      </c>
      <c r="R2821" t="s">
        <v>4773</v>
      </c>
    </row>
    <row r="2822" spans="1:18" x14ac:dyDescent="0.3">
      <c r="A2822">
        <v>831525</v>
      </c>
      <c r="B2822" t="s">
        <v>1034</v>
      </c>
      <c r="C2822" t="s">
        <v>276</v>
      </c>
      <c r="D2822" t="s">
        <v>5</v>
      </c>
      <c r="E2822" s="1">
        <v>45889</v>
      </c>
      <c r="F2822" t="s">
        <v>4315</v>
      </c>
      <c r="G2822" t="s">
        <v>2651</v>
      </c>
      <c r="H2822" t="s">
        <v>275</v>
      </c>
      <c r="I2822" t="s">
        <v>204</v>
      </c>
      <c r="J2822" s="1">
        <v>46904</v>
      </c>
      <c r="K2822" t="s">
        <v>717</v>
      </c>
      <c r="L2822">
        <v>37808.76</v>
      </c>
      <c r="M2822">
        <v>37808.76</v>
      </c>
      <c r="N2822" t="s">
        <v>710</v>
      </c>
      <c r="O2822" t="s">
        <v>1037</v>
      </c>
      <c r="P2822" t="s">
        <v>4776</v>
      </c>
      <c r="Q2822" t="s">
        <v>4852</v>
      </c>
      <c r="R2822" t="s">
        <v>4773</v>
      </c>
    </row>
    <row r="2823" spans="1:18" x14ac:dyDescent="0.3">
      <c r="A2823">
        <v>517314</v>
      </c>
      <c r="B2823" t="s">
        <v>1034</v>
      </c>
      <c r="C2823" t="s">
        <v>333</v>
      </c>
      <c r="D2823" t="s">
        <v>29</v>
      </c>
      <c r="E2823" s="1">
        <v>45889</v>
      </c>
      <c r="F2823" t="s">
        <v>4317</v>
      </c>
      <c r="G2823" t="s">
        <v>2656</v>
      </c>
      <c r="H2823" t="s">
        <v>332</v>
      </c>
      <c r="I2823" t="s">
        <v>204</v>
      </c>
      <c r="J2823" s="1">
        <v>54878</v>
      </c>
      <c r="K2823" t="s">
        <v>711</v>
      </c>
      <c r="L2823">
        <v>135</v>
      </c>
      <c r="M2823">
        <v>135.1</v>
      </c>
      <c r="N2823" t="s">
        <v>710</v>
      </c>
      <c r="O2823" t="s">
        <v>1036</v>
      </c>
      <c r="P2823" t="s">
        <v>4776</v>
      </c>
      <c r="Q2823" t="s">
        <v>4901</v>
      </c>
      <c r="R2823" t="s">
        <v>4771</v>
      </c>
    </row>
    <row r="2824" spans="1:18" x14ac:dyDescent="0.3">
      <c r="A2824">
        <v>78355</v>
      </c>
      <c r="B2824" t="s">
        <v>4874</v>
      </c>
      <c r="C2824" t="s">
        <v>634</v>
      </c>
      <c r="D2824" t="s">
        <v>99</v>
      </c>
      <c r="E2824" s="1">
        <v>45888</v>
      </c>
      <c r="F2824" t="s">
        <v>4394</v>
      </c>
      <c r="G2824" t="s">
        <v>2635</v>
      </c>
      <c r="H2824" t="s">
        <v>633</v>
      </c>
      <c r="I2824" t="s">
        <v>204</v>
      </c>
      <c r="J2824" s="1">
        <v>46204</v>
      </c>
      <c r="K2824" t="s">
        <v>762</v>
      </c>
      <c r="L2824">
        <v>2278</v>
      </c>
      <c r="M2824">
        <v>2278</v>
      </c>
      <c r="N2824" t="s">
        <v>719</v>
      </c>
      <c r="O2824" t="s">
        <v>1037</v>
      </c>
      <c r="P2824" t="s">
        <v>4790</v>
      </c>
      <c r="Q2824" t="s">
        <v>4852</v>
      </c>
    </row>
    <row r="2825" spans="1:18" x14ac:dyDescent="0.3">
      <c r="A2825">
        <v>78355</v>
      </c>
      <c r="B2825" t="s">
        <v>4874</v>
      </c>
      <c r="C2825" t="s">
        <v>634</v>
      </c>
      <c r="D2825" t="s">
        <v>99</v>
      </c>
      <c r="E2825" s="1">
        <v>45888</v>
      </c>
      <c r="F2825" t="s">
        <v>4308</v>
      </c>
      <c r="G2825" t="s">
        <v>2635</v>
      </c>
      <c r="H2825" t="s">
        <v>633</v>
      </c>
      <c r="I2825" t="s">
        <v>204</v>
      </c>
      <c r="J2825" s="1">
        <v>46204</v>
      </c>
      <c r="K2825" t="s">
        <v>762</v>
      </c>
      <c r="L2825">
        <v>109</v>
      </c>
      <c r="M2825">
        <v>530.83000000000004</v>
      </c>
      <c r="N2825" t="s">
        <v>719</v>
      </c>
      <c r="O2825" t="s">
        <v>1037</v>
      </c>
      <c r="P2825" t="s">
        <v>4790</v>
      </c>
      <c r="Q2825" t="s">
        <v>4852</v>
      </c>
    </row>
    <row r="2826" spans="1:18" x14ac:dyDescent="0.3">
      <c r="A2826">
        <v>78355</v>
      </c>
      <c r="B2826" t="s">
        <v>4874</v>
      </c>
      <c r="C2826" t="s">
        <v>634</v>
      </c>
      <c r="D2826" t="s">
        <v>99</v>
      </c>
      <c r="E2826" s="1">
        <v>45888</v>
      </c>
      <c r="F2826" t="s">
        <v>4403</v>
      </c>
      <c r="G2826" t="s">
        <v>2635</v>
      </c>
      <c r="H2826" t="s">
        <v>633</v>
      </c>
      <c r="I2826" t="s">
        <v>204</v>
      </c>
      <c r="J2826" s="1">
        <v>46204</v>
      </c>
      <c r="K2826" t="s">
        <v>762</v>
      </c>
      <c r="L2826">
        <v>1</v>
      </c>
      <c r="M2826">
        <v>15.3</v>
      </c>
      <c r="N2826" t="s">
        <v>719</v>
      </c>
      <c r="O2826" t="s">
        <v>1037</v>
      </c>
      <c r="P2826" t="s">
        <v>4790</v>
      </c>
      <c r="Q2826" t="s">
        <v>4852</v>
      </c>
    </row>
    <row r="2827" spans="1:18" x14ac:dyDescent="0.3">
      <c r="A2827">
        <v>78355</v>
      </c>
      <c r="B2827" t="s">
        <v>4874</v>
      </c>
      <c r="C2827" t="s">
        <v>634</v>
      </c>
      <c r="D2827" t="s">
        <v>99</v>
      </c>
      <c r="E2827" s="1">
        <v>45888</v>
      </c>
      <c r="F2827" t="s">
        <v>4329</v>
      </c>
      <c r="G2827" t="s">
        <v>2635</v>
      </c>
      <c r="H2827" t="s">
        <v>633</v>
      </c>
      <c r="I2827" t="s">
        <v>204</v>
      </c>
      <c r="J2827" s="1">
        <v>46204</v>
      </c>
      <c r="K2827" t="s">
        <v>762</v>
      </c>
      <c r="L2827">
        <v>38</v>
      </c>
      <c r="M2827">
        <v>505.02</v>
      </c>
      <c r="N2827" t="s">
        <v>719</v>
      </c>
      <c r="O2827" t="s">
        <v>1037</v>
      </c>
      <c r="P2827" t="s">
        <v>4790</v>
      </c>
      <c r="Q2827" t="s">
        <v>4852</v>
      </c>
    </row>
    <row r="2828" spans="1:18" x14ac:dyDescent="0.3">
      <c r="A2828">
        <v>78355</v>
      </c>
      <c r="B2828" t="s">
        <v>4874</v>
      </c>
      <c r="C2828" t="s">
        <v>634</v>
      </c>
      <c r="D2828" t="s">
        <v>99</v>
      </c>
      <c r="E2828" s="1">
        <v>45888</v>
      </c>
      <c r="F2828" t="s">
        <v>4400</v>
      </c>
      <c r="G2828" t="s">
        <v>2635</v>
      </c>
      <c r="H2828" t="s">
        <v>633</v>
      </c>
      <c r="I2828" t="s">
        <v>204</v>
      </c>
      <c r="J2828" s="1">
        <v>46204</v>
      </c>
      <c r="K2828" t="s">
        <v>762</v>
      </c>
      <c r="L2828">
        <v>21</v>
      </c>
      <c r="M2828">
        <v>123.06</v>
      </c>
      <c r="N2828" t="s">
        <v>719</v>
      </c>
      <c r="O2828" t="s">
        <v>1037</v>
      </c>
      <c r="P2828" t="s">
        <v>4790</v>
      </c>
      <c r="Q2828" t="s">
        <v>4852</v>
      </c>
    </row>
    <row r="2829" spans="1:18" x14ac:dyDescent="0.3">
      <c r="A2829">
        <v>78355</v>
      </c>
      <c r="B2829" t="s">
        <v>4874</v>
      </c>
      <c r="C2829" t="s">
        <v>634</v>
      </c>
      <c r="D2829" t="s">
        <v>99</v>
      </c>
      <c r="E2829" s="1">
        <v>45888</v>
      </c>
      <c r="F2829" t="s">
        <v>4398</v>
      </c>
      <c r="G2829" t="s">
        <v>2635</v>
      </c>
      <c r="H2829" t="s">
        <v>633</v>
      </c>
      <c r="I2829" t="s">
        <v>204</v>
      </c>
      <c r="J2829" s="1">
        <v>46204</v>
      </c>
      <c r="K2829" t="s">
        <v>762</v>
      </c>
      <c r="L2829">
        <v>100</v>
      </c>
      <c r="M2829">
        <v>10</v>
      </c>
      <c r="N2829" t="s">
        <v>719</v>
      </c>
      <c r="O2829" t="s">
        <v>1037</v>
      </c>
      <c r="P2829" t="s">
        <v>4790</v>
      </c>
      <c r="Q2829" t="s">
        <v>4852</v>
      </c>
    </row>
    <row r="2830" spans="1:18" x14ac:dyDescent="0.3">
      <c r="A2830">
        <v>9860</v>
      </c>
      <c r="B2830" t="s">
        <v>1034</v>
      </c>
      <c r="C2830" t="s">
        <v>624</v>
      </c>
      <c r="D2830" t="s">
        <v>68</v>
      </c>
      <c r="E2830" s="1">
        <v>45888</v>
      </c>
      <c r="F2830" t="s">
        <v>4367</v>
      </c>
      <c r="G2830" t="s">
        <v>1146</v>
      </c>
      <c r="H2830" t="s">
        <v>623</v>
      </c>
      <c r="I2830" t="s">
        <v>204</v>
      </c>
      <c r="J2830" s="1">
        <v>46017</v>
      </c>
      <c r="K2830" t="s">
        <v>839</v>
      </c>
      <c r="L2830">
        <v>1600</v>
      </c>
      <c r="M2830">
        <v>1600</v>
      </c>
      <c r="N2830" t="s">
        <v>710</v>
      </c>
      <c r="O2830" t="s">
        <v>1041</v>
      </c>
      <c r="P2830" t="s">
        <v>4776</v>
      </c>
      <c r="Q2830" t="s">
        <v>4852</v>
      </c>
      <c r="R2830" t="s">
        <v>4771</v>
      </c>
    </row>
    <row r="2831" spans="1:18" x14ac:dyDescent="0.3">
      <c r="A2831">
        <v>78355</v>
      </c>
      <c r="B2831" t="s">
        <v>4874</v>
      </c>
      <c r="C2831" t="s">
        <v>634</v>
      </c>
      <c r="D2831" t="s">
        <v>99</v>
      </c>
      <c r="E2831" s="1">
        <v>45888</v>
      </c>
      <c r="F2831" t="s">
        <v>4397</v>
      </c>
      <c r="G2831" t="s">
        <v>2635</v>
      </c>
      <c r="H2831" t="s">
        <v>633</v>
      </c>
      <c r="I2831" t="s">
        <v>204</v>
      </c>
      <c r="J2831" s="1">
        <v>46204</v>
      </c>
      <c r="K2831" t="s">
        <v>762</v>
      </c>
      <c r="L2831">
        <v>100</v>
      </c>
      <c r="M2831">
        <v>10</v>
      </c>
      <c r="N2831" t="s">
        <v>719</v>
      </c>
      <c r="O2831" t="s">
        <v>1037</v>
      </c>
      <c r="P2831" t="s">
        <v>4790</v>
      </c>
      <c r="Q2831" t="s">
        <v>4852</v>
      </c>
    </row>
    <row r="2832" spans="1:18" x14ac:dyDescent="0.3">
      <c r="A2832">
        <v>78355</v>
      </c>
      <c r="B2832" t="s">
        <v>4874</v>
      </c>
      <c r="C2832" t="s">
        <v>634</v>
      </c>
      <c r="D2832" t="s">
        <v>99</v>
      </c>
      <c r="E2832" s="1">
        <v>45888</v>
      </c>
      <c r="F2832" t="s">
        <v>4307</v>
      </c>
      <c r="G2832" t="s">
        <v>2635</v>
      </c>
      <c r="H2832" t="s">
        <v>633</v>
      </c>
      <c r="I2832" t="s">
        <v>204</v>
      </c>
      <c r="J2832" s="1">
        <v>46204</v>
      </c>
      <c r="K2832" t="s">
        <v>762</v>
      </c>
      <c r="L2832">
        <v>2278</v>
      </c>
      <c r="M2832">
        <v>35514.019999999997</v>
      </c>
      <c r="N2832" t="s">
        <v>719</v>
      </c>
      <c r="O2832" t="s">
        <v>1037</v>
      </c>
      <c r="P2832" t="s">
        <v>4790</v>
      </c>
      <c r="Q2832" t="s">
        <v>4852</v>
      </c>
    </row>
    <row r="2833" spans="1:18" x14ac:dyDescent="0.3">
      <c r="A2833">
        <v>2177</v>
      </c>
      <c r="B2833" t="s">
        <v>4875</v>
      </c>
      <c r="C2833" t="s">
        <v>616</v>
      </c>
      <c r="D2833" t="s">
        <v>152</v>
      </c>
      <c r="E2833" s="1">
        <v>45888</v>
      </c>
      <c r="F2833" t="s">
        <v>4338</v>
      </c>
      <c r="G2833" t="s">
        <v>2471</v>
      </c>
      <c r="H2833" t="s">
        <v>622</v>
      </c>
      <c r="I2833" t="s">
        <v>204</v>
      </c>
      <c r="J2833" s="1">
        <v>46351</v>
      </c>
      <c r="K2833" t="s">
        <v>748</v>
      </c>
      <c r="L2833">
        <v>1</v>
      </c>
      <c r="M2833">
        <v>28600.99</v>
      </c>
      <c r="N2833" t="s">
        <v>710</v>
      </c>
      <c r="O2833" t="s">
        <v>4904</v>
      </c>
      <c r="P2833" t="s">
        <v>4796</v>
      </c>
      <c r="Q2833" t="s">
        <v>4856</v>
      </c>
      <c r="R2833" t="s">
        <v>4772</v>
      </c>
    </row>
    <row r="2834" spans="1:18" x14ac:dyDescent="0.3">
      <c r="A2834">
        <v>78355</v>
      </c>
      <c r="B2834" t="s">
        <v>4874</v>
      </c>
      <c r="C2834" t="s">
        <v>634</v>
      </c>
      <c r="D2834" t="s">
        <v>99</v>
      </c>
      <c r="E2834" s="1">
        <v>45888</v>
      </c>
      <c r="F2834" t="s">
        <v>4310</v>
      </c>
      <c r="G2834" t="s">
        <v>2635</v>
      </c>
      <c r="H2834" t="s">
        <v>633</v>
      </c>
      <c r="I2834" t="s">
        <v>204</v>
      </c>
      <c r="J2834" s="1">
        <v>46204</v>
      </c>
      <c r="K2834" t="s">
        <v>762</v>
      </c>
      <c r="L2834">
        <v>102</v>
      </c>
      <c r="M2834">
        <v>373.32</v>
      </c>
      <c r="N2834" t="s">
        <v>719</v>
      </c>
      <c r="O2834" t="s">
        <v>1037</v>
      </c>
      <c r="P2834" t="s">
        <v>4790</v>
      </c>
      <c r="Q2834" t="s">
        <v>4852</v>
      </c>
    </row>
    <row r="2835" spans="1:18" x14ac:dyDescent="0.3">
      <c r="A2835">
        <v>69542</v>
      </c>
      <c r="B2835" t="s">
        <v>4874</v>
      </c>
      <c r="C2835" t="s">
        <v>296</v>
      </c>
      <c r="D2835" t="s">
        <v>93</v>
      </c>
      <c r="E2835" s="1">
        <v>45888</v>
      </c>
      <c r="F2835" t="s">
        <v>4362</v>
      </c>
      <c r="G2835" t="s">
        <v>2398</v>
      </c>
      <c r="H2835" t="s">
        <v>295</v>
      </c>
      <c r="I2835" t="s">
        <v>209</v>
      </c>
      <c r="J2835" s="1">
        <v>54878</v>
      </c>
      <c r="K2835" t="s">
        <v>720</v>
      </c>
      <c r="L2835">
        <v>1365.75</v>
      </c>
      <c r="M2835">
        <v>1365.75</v>
      </c>
      <c r="N2835" t="s">
        <v>710</v>
      </c>
      <c r="Q2835" t="s">
        <v>4845</v>
      </c>
      <c r="R2835" t="s">
        <v>4772</v>
      </c>
    </row>
    <row r="2836" spans="1:18" x14ac:dyDescent="0.3">
      <c r="A2836">
        <v>85135</v>
      </c>
      <c r="B2836" t="s">
        <v>4875</v>
      </c>
      <c r="C2836" t="s">
        <v>319</v>
      </c>
      <c r="D2836" t="s">
        <v>36</v>
      </c>
      <c r="E2836" s="1">
        <v>45888</v>
      </c>
      <c r="F2836" t="s">
        <v>4434</v>
      </c>
      <c r="G2836" t="s">
        <v>2554</v>
      </c>
      <c r="H2836" t="s">
        <v>336</v>
      </c>
      <c r="I2836" t="s">
        <v>204</v>
      </c>
      <c r="J2836" s="1">
        <v>46075</v>
      </c>
      <c r="K2836" t="s">
        <v>748</v>
      </c>
      <c r="L2836">
        <v>41271.11</v>
      </c>
      <c r="M2836">
        <v>41271.11</v>
      </c>
      <c r="N2836" t="s">
        <v>710</v>
      </c>
      <c r="O2836" t="s">
        <v>1040</v>
      </c>
      <c r="P2836" t="s">
        <v>4784</v>
      </c>
      <c r="Q2836" t="s">
        <v>4856</v>
      </c>
      <c r="R2836" t="s">
        <v>4771</v>
      </c>
    </row>
    <row r="2837" spans="1:18" x14ac:dyDescent="0.3">
      <c r="A2837">
        <v>112401</v>
      </c>
      <c r="B2837" t="s">
        <v>4874</v>
      </c>
      <c r="C2837" t="s">
        <v>227</v>
      </c>
      <c r="D2837" t="s">
        <v>191</v>
      </c>
      <c r="E2837" s="1">
        <v>45888</v>
      </c>
      <c r="F2837" t="s">
        <v>4387</v>
      </c>
      <c r="G2837" t="s">
        <v>2648</v>
      </c>
      <c r="H2837" t="s">
        <v>577</v>
      </c>
      <c r="I2837" t="s">
        <v>204</v>
      </c>
      <c r="J2837" s="1">
        <v>46493</v>
      </c>
      <c r="K2837" t="s">
        <v>762</v>
      </c>
      <c r="L2837">
        <v>62472.5</v>
      </c>
      <c r="M2837">
        <v>62472.5</v>
      </c>
      <c r="N2837" t="s">
        <v>809</v>
      </c>
      <c r="O2837" t="s">
        <v>4904</v>
      </c>
      <c r="P2837" t="s">
        <v>4792</v>
      </c>
      <c r="Q2837" t="s">
        <v>4904</v>
      </c>
      <c r="R2837" t="s">
        <v>4772</v>
      </c>
    </row>
    <row r="2838" spans="1:18" x14ac:dyDescent="0.3">
      <c r="A2838">
        <v>173313</v>
      </c>
      <c r="B2838" t="s">
        <v>1034</v>
      </c>
      <c r="C2838" t="s">
        <v>488</v>
      </c>
      <c r="D2838" t="s">
        <v>178</v>
      </c>
      <c r="E2838" s="1">
        <v>45887</v>
      </c>
      <c r="F2838" t="s">
        <v>4345</v>
      </c>
      <c r="G2838" t="s">
        <v>2615</v>
      </c>
      <c r="H2838" t="s">
        <v>487</v>
      </c>
      <c r="I2838" t="s">
        <v>204</v>
      </c>
      <c r="J2838" s="1">
        <v>54878</v>
      </c>
      <c r="K2838" t="s">
        <v>717</v>
      </c>
      <c r="L2838">
        <v>26679.31</v>
      </c>
      <c r="M2838">
        <v>26679.31</v>
      </c>
      <c r="N2838" t="s">
        <v>710</v>
      </c>
      <c r="O2838" t="s">
        <v>4833</v>
      </c>
      <c r="P2838" t="s">
        <v>4776</v>
      </c>
      <c r="Q2838" t="s">
        <v>4852</v>
      </c>
      <c r="R2838" t="s">
        <v>4773</v>
      </c>
    </row>
    <row r="2839" spans="1:18" x14ac:dyDescent="0.3">
      <c r="A2839">
        <v>597511</v>
      </c>
      <c r="B2839" t="s">
        <v>1034</v>
      </c>
      <c r="C2839" t="s">
        <v>433</v>
      </c>
      <c r="D2839" t="s">
        <v>168</v>
      </c>
      <c r="E2839" s="1">
        <v>45887</v>
      </c>
      <c r="F2839" t="s">
        <v>4319</v>
      </c>
      <c r="G2839" t="s">
        <v>2620</v>
      </c>
      <c r="H2839" t="s">
        <v>432</v>
      </c>
      <c r="I2839" t="s">
        <v>204</v>
      </c>
      <c r="J2839" s="1">
        <v>46473</v>
      </c>
      <c r="K2839" t="s">
        <v>762</v>
      </c>
      <c r="L2839">
        <v>313</v>
      </c>
      <c r="M2839">
        <v>312.32</v>
      </c>
      <c r="N2839" t="s">
        <v>710</v>
      </c>
      <c r="O2839" t="s">
        <v>4833</v>
      </c>
      <c r="P2839" t="s">
        <v>4802</v>
      </c>
      <c r="Q2839" t="s">
        <v>4852</v>
      </c>
      <c r="R2839" t="s">
        <v>4771</v>
      </c>
    </row>
    <row r="2840" spans="1:18" x14ac:dyDescent="0.3">
      <c r="A2840">
        <v>4882</v>
      </c>
      <c r="B2840" t="s">
        <v>1034</v>
      </c>
      <c r="C2840" t="s">
        <v>319</v>
      </c>
      <c r="D2840" t="s">
        <v>36</v>
      </c>
      <c r="E2840" s="1">
        <v>45887</v>
      </c>
      <c r="F2840" t="s">
        <v>4298</v>
      </c>
      <c r="G2840" t="s">
        <v>2640</v>
      </c>
      <c r="H2840" t="s">
        <v>318</v>
      </c>
      <c r="I2840" t="s">
        <v>204</v>
      </c>
      <c r="J2840" s="1">
        <v>46214</v>
      </c>
      <c r="K2840" t="s">
        <v>711</v>
      </c>
      <c r="L2840">
        <v>2150</v>
      </c>
      <c r="M2840">
        <v>2149.86</v>
      </c>
      <c r="N2840" t="s">
        <v>710</v>
      </c>
      <c r="O2840" t="s">
        <v>1036</v>
      </c>
      <c r="P2840" t="s">
        <v>4784</v>
      </c>
      <c r="Q2840" t="s">
        <v>4901</v>
      </c>
      <c r="R2840" t="s">
        <v>4771</v>
      </c>
    </row>
    <row r="2841" spans="1:18" x14ac:dyDescent="0.3">
      <c r="A2841">
        <v>758130</v>
      </c>
      <c r="B2841" t="s">
        <v>1034</v>
      </c>
      <c r="C2841" t="s">
        <v>376</v>
      </c>
      <c r="D2841" t="s">
        <v>35</v>
      </c>
      <c r="E2841" s="1">
        <v>45887</v>
      </c>
      <c r="F2841" t="s">
        <v>4324</v>
      </c>
      <c r="G2841" t="s">
        <v>2633</v>
      </c>
      <c r="H2841" t="s">
        <v>375</v>
      </c>
      <c r="I2841" t="s">
        <v>209</v>
      </c>
      <c r="J2841" s="1">
        <v>54878</v>
      </c>
      <c r="K2841" t="s">
        <v>717</v>
      </c>
      <c r="L2841">
        <v>144879.98000000001</v>
      </c>
      <c r="M2841">
        <v>144879.98000000001</v>
      </c>
      <c r="N2841" t="s">
        <v>710</v>
      </c>
      <c r="O2841" t="s">
        <v>1037</v>
      </c>
      <c r="P2841" t="s">
        <v>4807</v>
      </c>
      <c r="Q2841" t="s">
        <v>4852</v>
      </c>
      <c r="R2841" t="s">
        <v>4771</v>
      </c>
    </row>
    <row r="2842" spans="1:18" x14ac:dyDescent="0.3">
      <c r="A2842">
        <v>85366</v>
      </c>
      <c r="B2842" t="s">
        <v>1034</v>
      </c>
      <c r="C2842" t="s">
        <v>319</v>
      </c>
      <c r="D2842" t="s">
        <v>36</v>
      </c>
      <c r="E2842" s="1">
        <v>45887</v>
      </c>
      <c r="F2842" t="s">
        <v>4298</v>
      </c>
      <c r="G2842" t="s">
        <v>2616</v>
      </c>
      <c r="H2842" t="s">
        <v>318</v>
      </c>
      <c r="I2842" t="s">
        <v>204</v>
      </c>
      <c r="J2842" s="1">
        <v>46214</v>
      </c>
      <c r="K2842" t="s">
        <v>711</v>
      </c>
      <c r="L2842">
        <v>1082</v>
      </c>
      <c r="M2842">
        <v>1081.8399999999999</v>
      </c>
      <c r="N2842" t="s">
        <v>710</v>
      </c>
      <c r="O2842" t="s">
        <v>1036</v>
      </c>
      <c r="P2842" t="s">
        <v>4784</v>
      </c>
      <c r="Q2842" t="s">
        <v>4901</v>
      </c>
      <c r="R2842" t="s">
        <v>4771</v>
      </c>
    </row>
    <row r="2843" spans="1:18" x14ac:dyDescent="0.3">
      <c r="A2843">
        <v>25</v>
      </c>
      <c r="B2843" t="s">
        <v>1034</v>
      </c>
      <c r="C2843" t="s">
        <v>319</v>
      </c>
      <c r="D2843" t="s">
        <v>36</v>
      </c>
      <c r="E2843" s="1">
        <v>45887</v>
      </c>
      <c r="F2843" t="s">
        <v>4298</v>
      </c>
      <c r="G2843" t="s">
        <v>2623</v>
      </c>
      <c r="H2843" t="s">
        <v>318</v>
      </c>
      <c r="I2843" t="s">
        <v>204</v>
      </c>
      <c r="J2843" s="1">
        <v>46214</v>
      </c>
      <c r="K2843" t="s">
        <v>711</v>
      </c>
      <c r="L2843">
        <v>872</v>
      </c>
      <c r="M2843">
        <v>871.51</v>
      </c>
      <c r="N2843" t="s">
        <v>710</v>
      </c>
      <c r="O2843" t="s">
        <v>1036</v>
      </c>
      <c r="P2843" t="s">
        <v>4784</v>
      </c>
      <c r="Q2843" t="s">
        <v>4901</v>
      </c>
      <c r="R2843" t="s">
        <v>4771</v>
      </c>
    </row>
    <row r="2844" spans="1:18" x14ac:dyDescent="0.3">
      <c r="A2844">
        <v>117</v>
      </c>
      <c r="B2844" t="s">
        <v>1034</v>
      </c>
      <c r="C2844" t="s">
        <v>618</v>
      </c>
      <c r="D2844" t="s">
        <v>112</v>
      </c>
      <c r="E2844" s="1">
        <v>45887</v>
      </c>
      <c r="F2844" t="s">
        <v>4361</v>
      </c>
      <c r="G2844" t="s">
        <v>2561</v>
      </c>
      <c r="H2844" t="s">
        <v>617</v>
      </c>
      <c r="I2844" t="s">
        <v>204</v>
      </c>
      <c r="J2844" s="1">
        <v>46347</v>
      </c>
      <c r="K2844" t="s">
        <v>711</v>
      </c>
      <c r="L2844">
        <v>1</v>
      </c>
      <c r="M2844">
        <v>2128</v>
      </c>
      <c r="N2844" t="s">
        <v>818</v>
      </c>
      <c r="O2844" t="s">
        <v>1036</v>
      </c>
      <c r="P2844" t="s">
        <v>4776</v>
      </c>
      <c r="Q2844" t="s">
        <v>4901</v>
      </c>
      <c r="R2844" t="s">
        <v>4771</v>
      </c>
    </row>
    <row r="2845" spans="1:18" x14ac:dyDescent="0.3">
      <c r="A2845">
        <v>4877</v>
      </c>
      <c r="B2845" t="s">
        <v>4875</v>
      </c>
      <c r="C2845" t="s">
        <v>319</v>
      </c>
      <c r="D2845" t="s">
        <v>36</v>
      </c>
      <c r="E2845" s="1">
        <v>45887</v>
      </c>
      <c r="F2845" t="s">
        <v>4298</v>
      </c>
      <c r="G2845" t="s">
        <v>2618</v>
      </c>
      <c r="H2845" t="s">
        <v>336</v>
      </c>
      <c r="I2845" t="s">
        <v>204</v>
      </c>
      <c r="J2845" s="1">
        <v>46075</v>
      </c>
      <c r="K2845" t="s">
        <v>748</v>
      </c>
      <c r="L2845">
        <v>5</v>
      </c>
      <c r="M2845">
        <v>1028.3499999999999</v>
      </c>
      <c r="N2845" t="s">
        <v>710</v>
      </c>
      <c r="O2845" t="s">
        <v>1040</v>
      </c>
      <c r="P2845" t="s">
        <v>4784</v>
      </c>
      <c r="Q2845" t="s">
        <v>4856</v>
      </c>
      <c r="R2845" t="s">
        <v>4771</v>
      </c>
    </row>
    <row r="2846" spans="1:18" x14ac:dyDescent="0.3">
      <c r="A2846">
        <v>31130</v>
      </c>
      <c r="B2846" t="s">
        <v>4874</v>
      </c>
      <c r="C2846" t="s">
        <v>261</v>
      </c>
      <c r="D2846" t="s">
        <v>167</v>
      </c>
      <c r="E2846" s="1">
        <v>45887</v>
      </c>
      <c r="F2846" t="s">
        <v>4402</v>
      </c>
      <c r="G2846" t="s">
        <v>2104</v>
      </c>
      <c r="H2846" t="s">
        <v>290</v>
      </c>
      <c r="I2846" t="s">
        <v>204</v>
      </c>
      <c r="J2846" s="1">
        <v>46264</v>
      </c>
      <c r="K2846" t="s">
        <v>720</v>
      </c>
      <c r="L2846">
        <v>10734.03</v>
      </c>
      <c r="M2846">
        <v>10734.03</v>
      </c>
      <c r="N2846" t="s">
        <v>710</v>
      </c>
      <c r="O2846" t="s">
        <v>4849</v>
      </c>
      <c r="P2846" t="s">
        <v>4804</v>
      </c>
      <c r="Q2846" t="s">
        <v>4855</v>
      </c>
      <c r="R2846" t="s">
        <v>4773</v>
      </c>
    </row>
    <row r="2847" spans="1:18" x14ac:dyDescent="0.3">
      <c r="A2847">
        <v>757605</v>
      </c>
      <c r="B2847" t="s">
        <v>4874</v>
      </c>
      <c r="C2847" t="s">
        <v>376</v>
      </c>
      <c r="D2847" t="s">
        <v>35</v>
      </c>
      <c r="E2847" s="1">
        <v>45887</v>
      </c>
      <c r="F2847" t="s">
        <v>4324</v>
      </c>
      <c r="G2847" t="s">
        <v>2634</v>
      </c>
      <c r="H2847" t="s">
        <v>442</v>
      </c>
      <c r="I2847" t="s">
        <v>209</v>
      </c>
      <c r="J2847" s="1">
        <v>54878</v>
      </c>
      <c r="K2847" t="s">
        <v>762</v>
      </c>
      <c r="L2847">
        <v>101195.66</v>
      </c>
      <c r="M2847">
        <v>101195.66</v>
      </c>
      <c r="N2847" t="s">
        <v>710</v>
      </c>
      <c r="Q2847" t="s">
        <v>4852</v>
      </c>
      <c r="R2847" t="s">
        <v>4771</v>
      </c>
    </row>
    <row r="2848" spans="1:18" x14ac:dyDescent="0.3">
      <c r="A2848">
        <v>597011</v>
      </c>
      <c r="B2848" t="s">
        <v>4874</v>
      </c>
      <c r="C2848" t="s">
        <v>433</v>
      </c>
      <c r="D2848" t="s">
        <v>168</v>
      </c>
      <c r="E2848" s="1">
        <v>45887</v>
      </c>
      <c r="F2848" t="s">
        <v>4319</v>
      </c>
      <c r="G2848" t="s">
        <v>2621</v>
      </c>
      <c r="H2848" t="s">
        <v>432</v>
      </c>
      <c r="I2848" t="s">
        <v>204</v>
      </c>
      <c r="J2848" s="1">
        <v>46473</v>
      </c>
      <c r="K2848" t="s">
        <v>762</v>
      </c>
      <c r="L2848">
        <v>180</v>
      </c>
      <c r="M2848">
        <v>179.9</v>
      </c>
      <c r="N2848" t="s">
        <v>710</v>
      </c>
      <c r="O2848" t="s">
        <v>4833</v>
      </c>
      <c r="P2848" t="s">
        <v>4802</v>
      </c>
      <c r="Q2848" t="s">
        <v>4852</v>
      </c>
      <c r="R2848" t="s">
        <v>4771</v>
      </c>
    </row>
    <row r="2849" spans="1:18" x14ac:dyDescent="0.3">
      <c r="A2849">
        <v>2568718</v>
      </c>
      <c r="B2849" t="s">
        <v>4874</v>
      </c>
      <c r="C2849" t="s">
        <v>403</v>
      </c>
      <c r="D2849" t="s">
        <v>106</v>
      </c>
      <c r="E2849" s="1">
        <v>45887</v>
      </c>
      <c r="F2849" t="s">
        <v>4362</v>
      </c>
      <c r="G2849" t="s">
        <v>2636</v>
      </c>
      <c r="H2849" t="s">
        <v>402</v>
      </c>
      <c r="I2849" t="s">
        <v>204</v>
      </c>
      <c r="J2849" s="1">
        <v>46386</v>
      </c>
      <c r="K2849" t="s">
        <v>762</v>
      </c>
      <c r="L2849">
        <v>20939.45</v>
      </c>
      <c r="M2849">
        <v>20939.45</v>
      </c>
      <c r="N2849" t="s">
        <v>710</v>
      </c>
      <c r="O2849" t="s">
        <v>1037</v>
      </c>
      <c r="P2849" t="s">
        <v>4779</v>
      </c>
      <c r="Q2849" t="s">
        <v>4852</v>
      </c>
      <c r="R2849" t="s">
        <v>4772</v>
      </c>
    </row>
    <row r="2850" spans="1:18" x14ac:dyDescent="0.3">
      <c r="A2850">
        <v>2496370</v>
      </c>
      <c r="B2850" t="s">
        <v>4874</v>
      </c>
      <c r="C2850" t="s">
        <v>403</v>
      </c>
      <c r="D2850" t="s">
        <v>106</v>
      </c>
      <c r="E2850" s="1">
        <v>45887</v>
      </c>
      <c r="F2850" t="s">
        <v>4362</v>
      </c>
      <c r="G2850" t="s">
        <v>2637</v>
      </c>
      <c r="H2850" t="s">
        <v>402</v>
      </c>
      <c r="I2850" t="s">
        <v>204</v>
      </c>
      <c r="J2850" s="1">
        <v>46386</v>
      </c>
      <c r="K2850" t="s">
        <v>762</v>
      </c>
      <c r="L2850">
        <v>20939.45</v>
      </c>
      <c r="M2850">
        <v>20939.45</v>
      </c>
      <c r="N2850" t="s">
        <v>710</v>
      </c>
      <c r="O2850" t="s">
        <v>1037</v>
      </c>
      <c r="P2850" t="s">
        <v>4779</v>
      </c>
      <c r="Q2850" t="s">
        <v>4852</v>
      </c>
      <c r="R2850" t="s">
        <v>4772</v>
      </c>
    </row>
    <row r="2851" spans="1:18" x14ac:dyDescent="0.3">
      <c r="A2851">
        <v>640841</v>
      </c>
      <c r="B2851" t="s">
        <v>4874</v>
      </c>
      <c r="C2851" t="s">
        <v>491</v>
      </c>
      <c r="D2851" t="s">
        <v>33</v>
      </c>
      <c r="E2851" s="1">
        <v>45887</v>
      </c>
      <c r="F2851" t="s">
        <v>4389</v>
      </c>
      <c r="G2851" t="s">
        <v>2638</v>
      </c>
      <c r="H2851" t="s">
        <v>490</v>
      </c>
      <c r="I2851" t="s">
        <v>204</v>
      </c>
      <c r="J2851" s="1">
        <v>54878</v>
      </c>
      <c r="K2851" t="s">
        <v>762</v>
      </c>
      <c r="L2851">
        <v>973.82</v>
      </c>
      <c r="M2851">
        <v>973.82</v>
      </c>
      <c r="N2851" t="s">
        <v>710</v>
      </c>
      <c r="O2851" t="s">
        <v>4845</v>
      </c>
      <c r="P2851" t="s">
        <v>4776</v>
      </c>
      <c r="Q2851" t="s">
        <v>4845</v>
      </c>
      <c r="R2851" t="s">
        <v>4771</v>
      </c>
    </row>
    <row r="2852" spans="1:18" x14ac:dyDescent="0.3">
      <c r="A2852">
        <v>301432</v>
      </c>
      <c r="B2852" t="s">
        <v>4874</v>
      </c>
      <c r="C2852" t="s">
        <v>491</v>
      </c>
      <c r="D2852" t="s">
        <v>33</v>
      </c>
      <c r="E2852" s="1">
        <v>45887</v>
      </c>
      <c r="F2852" t="s">
        <v>4407</v>
      </c>
      <c r="G2852" t="s">
        <v>2638</v>
      </c>
      <c r="H2852" t="s">
        <v>490</v>
      </c>
      <c r="I2852" t="s">
        <v>204</v>
      </c>
      <c r="J2852" s="1">
        <v>54878</v>
      </c>
      <c r="K2852" t="s">
        <v>762</v>
      </c>
      <c r="L2852">
        <v>2759.18</v>
      </c>
      <c r="M2852">
        <v>2759.18</v>
      </c>
      <c r="N2852" t="s">
        <v>710</v>
      </c>
      <c r="O2852" t="s">
        <v>4845</v>
      </c>
      <c r="P2852" t="s">
        <v>4776</v>
      </c>
      <c r="Q2852" t="s">
        <v>4845</v>
      </c>
      <c r="R2852" t="s">
        <v>4771</v>
      </c>
    </row>
    <row r="2853" spans="1:18" x14ac:dyDescent="0.3">
      <c r="A2853">
        <v>2903</v>
      </c>
      <c r="B2853" t="s">
        <v>4874</v>
      </c>
      <c r="C2853" t="s">
        <v>469</v>
      </c>
      <c r="D2853" t="s">
        <v>124</v>
      </c>
      <c r="E2853" s="1">
        <v>45887</v>
      </c>
      <c r="F2853" t="s">
        <v>4361</v>
      </c>
      <c r="G2853" t="s">
        <v>2641</v>
      </c>
      <c r="H2853" t="s">
        <v>468</v>
      </c>
      <c r="I2853" t="s">
        <v>204</v>
      </c>
      <c r="J2853" s="1">
        <v>54878</v>
      </c>
      <c r="K2853" t="s">
        <v>762</v>
      </c>
      <c r="L2853">
        <v>1148</v>
      </c>
      <c r="M2853">
        <v>1148</v>
      </c>
      <c r="N2853" t="s">
        <v>719</v>
      </c>
      <c r="O2853" t="s">
        <v>4845</v>
      </c>
      <c r="P2853" t="s">
        <v>4776</v>
      </c>
      <c r="Q2853" t="s">
        <v>4845</v>
      </c>
      <c r="R2853" t="s">
        <v>4771</v>
      </c>
    </row>
    <row r="2854" spans="1:18" x14ac:dyDescent="0.3">
      <c r="A2854">
        <v>757614</v>
      </c>
      <c r="B2854" t="s">
        <v>4875</v>
      </c>
      <c r="C2854" t="s">
        <v>376</v>
      </c>
      <c r="D2854" t="s">
        <v>35</v>
      </c>
      <c r="E2854" s="1">
        <v>45887</v>
      </c>
      <c r="F2854" t="s">
        <v>4324</v>
      </c>
      <c r="G2854" t="s">
        <v>2632</v>
      </c>
      <c r="H2854" t="s">
        <v>486</v>
      </c>
      <c r="I2854" t="s">
        <v>209</v>
      </c>
      <c r="J2854" s="1">
        <v>54878</v>
      </c>
      <c r="K2854" t="s">
        <v>768</v>
      </c>
      <c r="L2854">
        <v>42828.5</v>
      </c>
      <c r="M2854">
        <v>42828.5</v>
      </c>
      <c r="N2854" t="s">
        <v>710</v>
      </c>
      <c r="Q2854" t="s">
        <v>4852</v>
      </c>
      <c r="R2854" t="s">
        <v>4771</v>
      </c>
    </row>
    <row r="2855" spans="1:18" x14ac:dyDescent="0.3">
      <c r="A2855">
        <v>3224</v>
      </c>
      <c r="B2855" t="s">
        <v>1034</v>
      </c>
      <c r="C2855" t="s">
        <v>544</v>
      </c>
      <c r="D2855" t="s">
        <v>144</v>
      </c>
      <c r="E2855" s="1">
        <v>45884</v>
      </c>
      <c r="F2855" t="s">
        <v>4321</v>
      </c>
      <c r="G2855" t="s">
        <v>1063</v>
      </c>
      <c r="H2855" t="s">
        <v>543</v>
      </c>
      <c r="I2855" t="s">
        <v>209</v>
      </c>
      <c r="J2855" s="1">
        <v>45473</v>
      </c>
      <c r="K2855" t="s">
        <v>711</v>
      </c>
      <c r="L2855">
        <v>25152.7</v>
      </c>
      <c r="M2855">
        <v>25152.7</v>
      </c>
      <c r="N2855" t="s">
        <v>710</v>
      </c>
      <c r="Q2855" t="s">
        <v>4852</v>
      </c>
      <c r="R2855" t="s">
        <v>4771</v>
      </c>
    </row>
    <row r="2856" spans="1:18" x14ac:dyDescent="0.3">
      <c r="A2856">
        <v>590114</v>
      </c>
      <c r="B2856" t="s">
        <v>1034</v>
      </c>
      <c r="C2856" t="s">
        <v>248</v>
      </c>
      <c r="D2856" t="s">
        <v>13</v>
      </c>
      <c r="E2856" s="1">
        <v>45884</v>
      </c>
      <c r="F2856" t="s">
        <v>4297</v>
      </c>
      <c r="G2856" t="s">
        <v>2612</v>
      </c>
      <c r="H2856" t="s">
        <v>315</v>
      </c>
      <c r="I2856" t="s">
        <v>204</v>
      </c>
      <c r="J2856" s="1">
        <v>46073</v>
      </c>
      <c r="K2856" t="s">
        <v>711</v>
      </c>
      <c r="L2856">
        <v>3100</v>
      </c>
      <c r="M2856">
        <v>3100</v>
      </c>
      <c r="N2856" t="s">
        <v>710</v>
      </c>
      <c r="O2856" t="s">
        <v>1036</v>
      </c>
      <c r="P2856" t="s">
        <v>4779</v>
      </c>
      <c r="Q2856" t="s">
        <v>4901</v>
      </c>
      <c r="R2856" t="s">
        <v>4773</v>
      </c>
    </row>
    <row r="2857" spans="1:18" x14ac:dyDescent="0.3">
      <c r="A2857">
        <v>559215</v>
      </c>
      <c r="B2857" t="s">
        <v>1035</v>
      </c>
      <c r="C2857" t="s">
        <v>239</v>
      </c>
      <c r="D2857" t="s">
        <v>199</v>
      </c>
      <c r="E2857" s="1">
        <v>45884</v>
      </c>
      <c r="F2857" t="s">
        <v>4325</v>
      </c>
      <c r="G2857" t="s">
        <v>2626</v>
      </c>
      <c r="H2857" t="s">
        <v>238</v>
      </c>
      <c r="I2857" t="s">
        <v>204</v>
      </c>
      <c r="J2857" s="1">
        <v>54878</v>
      </c>
      <c r="K2857" t="s">
        <v>754</v>
      </c>
      <c r="L2857">
        <v>1</v>
      </c>
      <c r="M2857">
        <v>75.08</v>
      </c>
      <c r="N2857" t="s">
        <v>710</v>
      </c>
      <c r="O2857" t="s">
        <v>4903</v>
      </c>
      <c r="P2857" t="s">
        <v>4779</v>
      </c>
      <c r="Q2857" t="s">
        <v>4858</v>
      </c>
      <c r="R2857" t="s">
        <v>4771</v>
      </c>
    </row>
    <row r="2858" spans="1:18" x14ac:dyDescent="0.3">
      <c r="A2858">
        <v>15463</v>
      </c>
      <c r="B2858" t="s">
        <v>4876</v>
      </c>
      <c r="C2858" t="s">
        <v>439</v>
      </c>
      <c r="D2858" t="s">
        <v>156</v>
      </c>
      <c r="E2858" s="1">
        <v>45884</v>
      </c>
      <c r="F2858" t="s">
        <v>4396</v>
      </c>
      <c r="G2858" t="s">
        <v>2601</v>
      </c>
      <c r="H2858" t="s">
        <v>485</v>
      </c>
      <c r="I2858" t="s">
        <v>204</v>
      </c>
      <c r="J2858" s="1">
        <v>54878</v>
      </c>
      <c r="K2858" t="s">
        <v>839</v>
      </c>
      <c r="L2858">
        <v>5230.24</v>
      </c>
      <c r="M2858">
        <v>5230.24</v>
      </c>
      <c r="N2858" t="s">
        <v>710</v>
      </c>
      <c r="O2858" t="s">
        <v>1037</v>
      </c>
      <c r="P2858" t="s">
        <v>4776</v>
      </c>
      <c r="Q2858" t="s">
        <v>4852</v>
      </c>
      <c r="R2858" t="s">
        <v>4771</v>
      </c>
    </row>
    <row r="2859" spans="1:18" x14ac:dyDescent="0.3">
      <c r="A2859">
        <v>78264</v>
      </c>
      <c r="B2859" t="s">
        <v>4874</v>
      </c>
      <c r="C2859" t="s">
        <v>634</v>
      </c>
      <c r="D2859" t="s">
        <v>99</v>
      </c>
      <c r="E2859" s="1">
        <v>45884</v>
      </c>
      <c r="F2859" t="s">
        <v>4403</v>
      </c>
      <c r="G2859" t="s">
        <v>2587</v>
      </c>
      <c r="H2859" t="s">
        <v>633</v>
      </c>
      <c r="I2859" t="s">
        <v>204</v>
      </c>
      <c r="J2859" s="1">
        <v>46204</v>
      </c>
      <c r="K2859" t="s">
        <v>762</v>
      </c>
      <c r="L2859">
        <v>1</v>
      </c>
      <c r="M2859">
        <v>22.95</v>
      </c>
      <c r="N2859" t="s">
        <v>719</v>
      </c>
      <c r="O2859" t="s">
        <v>1037</v>
      </c>
      <c r="P2859" t="s">
        <v>4790</v>
      </c>
      <c r="Q2859" t="s">
        <v>4852</v>
      </c>
    </row>
    <row r="2860" spans="1:18" x14ac:dyDescent="0.3">
      <c r="A2860">
        <v>78264</v>
      </c>
      <c r="B2860" t="s">
        <v>4874</v>
      </c>
      <c r="C2860" t="s">
        <v>634</v>
      </c>
      <c r="D2860" t="s">
        <v>99</v>
      </c>
      <c r="E2860" s="1">
        <v>45884</v>
      </c>
      <c r="F2860" t="s">
        <v>4307</v>
      </c>
      <c r="G2860" t="s">
        <v>2587</v>
      </c>
      <c r="H2860" t="s">
        <v>633</v>
      </c>
      <c r="I2860" t="s">
        <v>204</v>
      </c>
      <c r="J2860" s="1">
        <v>46204</v>
      </c>
      <c r="K2860" t="s">
        <v>762</v>
      </c>
      <c r="L2860">
        <v>2175</v>
      </c>
      <c r="M2860">
        <v>33908.25</v>
      </c>
      <c r="N2860" t="s">
        <v>719</v>
      </c>
      <c r="O2860" t="s">
        <v>1037</v>
      </c>
      <c r="P2860" t="s">
        <v>4790</v>
      </c>
      <c r="Q2860" t="s">
        <v>4852</v>
      </c>
    </row>
    <row r="2861" spans="1:18" x14ac:dyDescent="0.3">
      <c r="A2861">
        <v>563078</v>
      </c>
      <c r="B2861" t="s">
        <v>4874</v>
      </c>
      <c r="C2861" t="s">
        <v>239</v>
      </c>
      <c r="D2861" t="s">
        <v>199</v>
      </c>
      <c r="E2861" s="1">
        <v>45884</v>
      </c>
      <c r="F2861" t="s">
        <v>4325</v>
      </c>
      <c r="G2861" t="s">
        <v>2627</v>
      </c>
      <c r="H2861" t="s">
        <v>268</v>
      </c>
      <c r="I2861" t="s">
        <v>204</v>
      </c>
      <c r="J2861" s="1">
        <v>46172</v>
      </c>
      <c r="K2861" t="s">
        <v>720</v>
      </c>
      <c r="L2861">
        <v>1</v>
      </c>
      <c r="M2861">
        <v>712.5</v>
      </c>
      <c r="N2861" t="s">
        <v>710</v>
      </c>
      <c r="O2861" t="s">
        <v>1038</v>
      </c>
      <c r="P2861" t="s">
        <v>4779</v>
      </c>
      <c r="Q2861" t="s">
        <v>4858</v>
      </c>
      <c r="R2861" t="s">
        <v>4771</v>
      </c>
    </row>
    <row r="2862" spans="1:18" x14ac:dyDescent="0.3">
      <c r="A2862">
        <v>78264</v>
      </c>
      <c r="B2862" t="s">
        <v>4874</v>
      </c>
      <c r="C2862" t="s">
        <v>634</v>
      </c>
      <c r="D2862" t="s">
        <v>99</v>
      </c>
      <c r="E2862" s="1">
        <v>45884</v>
      </c>
      <c r="F2862" t="s">
        <v>4329</v>
      </c>
      <c r="G2862" t="s">
        <v>2587</v>
      </c>
      <c r="H2862" t="s">
        <v>633</v>
      </c>
      <c r="I2862" t="s">
        <v>204</v>
      </c>
      <c r="J2862" s="1">
        <v>46204</v>
      </c>
      <c r="K2862" t="s">
        <v>762</v>
      </c>
      <c r="L2862">
        <v>17</v>
      </c>
      <c r="M2862">
        <v>225.93</v>
      </c>
      <c r="N2862" t="s">
        <v>719</v>
      </c>
      <c r="O2862" t="s">
        <v>1037</v>
      </c>
      <c r="P2862" t="s">
        <v>4790</v>
      </c>
      <c r="Q2862" t="s">
        <v>4852</v>
      </c>
    </row>
    <row r="2863" spans="1:18" x14ac:dyDescent="0.3">
      <c r="A2863">
        <v>78264</v>
      </c>
      <c r="B2863" t="s">
        <v>4874</v>
      </c>
      <c r="C2863" t="s">
        <v>634</v>
      </c>
      <c r="D2863" t="s">
        <v>99</v>
      </c>
      <c r="E2863" s="1">
        <v>45884</v>
      </c>
      <c r="F2863" t="s">
        <v>4400</v>
      </c>
      <c r="G2863" t="s">
        <v>2587</v>
      </c>
      <c r="H2863" t="s">
        <v>633</v>
      </c>
      <c r="I2863" t="s">
        <v>204</v>
      </c>
      <c r="J2863" s="1">
        <v>46204</v>
      </c>
      <c r="K2863" t="s">
        <v>762</v>
      </c>
      <c r="L2863">
        <v>26</v>
      </c>
      <c r="M2863">
        <v>152.36000000000001</v>
      </c>
      <c r="N2863" t="s">
        <v>719</v>
      </c>
      <c r="O2863" t="s">
        <v>1037</v>
      </c>
      <c r="P2863" t="s">
        <v>4790</v>
      </c>
      <c r="Q2863" t="s">
        <v>4852</v>
      </c>
    </row>
    <row r="2864" spans="1:18" x14ac:dyDescent="0.3">
      <c r="A2864">
        <v>78264</v>
      </c>
      <c r="B2864" t="s">
        <v>4874</v>
      </c>
      <c r="C2864" t="s">
        <v>634</v>
      </c>
      <c r="D2864" t="s">
        <v>99</v>
      </c>
      <c r="E2864" s="1">
        <v>45884</v>
      </c>
      <c r="F2864" t="s">
        <v>4310</v>
      </c>
      <c r="G2864" t="s">
        <v>2587</v>
      </c>
      <c r="H2864" t="s">
        <v>633</v>
      </c>
      <c r="I2864" t="s">
        <v>204</v>
      </c>
      <c r="J2864" s="1">
        <v>46204</v>
      </c>
      <c r="K2864" t="s">
        <v>762</v>
      </c>
      <c r="L2864">
        <v>59</v>
      </c>
      <c r="M2864">
        <v>215.94</v>
      </c>
      <c r="N2864" t="s">
        <v>719</v>
      </c>
      <c r="O2864" t="s">
        <v>1037</v>
      </c>
      <c r="P2864" t="s">
        <v>4790</v>
      </c>
      <c r="Q2864" t="s">
        <v>4852</v>
      </c>
    </row>
    <row r="2865" spans="1:18" x14ac:dyDescent="0.3">
      <c r="A2865">
        <v>78264</v>
      </c>
      <c r="B2865" t="s">
        <v>4874</v>
      </c>
      <c r="C2865" t="s">
        <v>634</v>
      </c>
      <c r="D2865" t="s">
        <v>99</v>
      </c>
      <c r="E2865" s="1">
        <v>45884</v>
      </c>
      <c r="F2865" t="s">
        <v>4398</v>
      </c>
      <c r="G2865" t="s">
        <v>2587</v>
      </c>
      <c r="H2865" t="s">
        <v>633</v>
      </c>
      <c r="I2865" t="s">
        <v>204</v>
      </c>
      <c r="J2865" s="1">
        <v>46204</v>
      </c>
      <c r="K2865" t="s">
        <v>762</v>
      </c>
      <c r="L2865">
        <v>100</v>
      </c>
      <c r="M2865">
        <v>10</v>
      </c>
      <c r="N2865" t="s">
        <v>719</v>
      </c>
      <c r="O2865" t="s">
        <v>1037</v>
      </c>
      <c r="P2865" t="s">
        <v>4790</v>
      </c>
      <c r="Q2865" t="s">
        <v>4852</v>
      </c>
    </row>
    <row r="2866" spans="1:18" x14ac:dyDescent="0.3">
      <c r="A2866">
        <v>78264</v>
      </c>
      <c r="B2866" t="s">
        <v>4874</v>
      </c>
      <c r="C2866" t="s">
        <v>634</v>
      </c>
      <c r="D2866" t="s">
        <v>99</v>
      </c>
      <c r="E2866" s="1">
        <v>45884</v>
      </c>
      <c r="F2866" t="s">
        <v>4394</v>
      </c>
      <c r="G2866" t="s">
        <v>2587</v>
      </c>
      <c r="H2866" t="s">
        <v>633</v>
      </c>
      <c r="I2866" t="s">
        <v>204</v>
      </c>
      <c r="J2866" s="1">
        <v>46204</v>
      </c>
      <c r="K2866" t="s">
        <v>762</v>
      </c>
      <c r="L2866">
        <v>2175</v>
      </c>
      <c r="M2866">
        <v>2175</v>
      </c>
      <c r="N2866" t="s">
        <v>719</v>
      </c>
      <c r="O2866" t="s">
        <v>1037</v>
      </c>
      <c r="P2866" t="s">
        <v>4790</v>
      </c>
      <c r="Q2866" t="s">
        <v>4852</v>
      </c>
    </row>
    <row r="2867" spans="1:18" x14ac:dyDescent="0.3">
      <c r="A2867">
        <v>78264</v>
      </c>
      <c r="B2867" t="s">
        <v>4874</v>
      </c>
      <c r="C2867" t="s">
        <v>634</v>
      </c>
      <c r="D2867" t="s">
        <v>99</v>
      </c>
      <c r="E2867" s="1">
        <v>45884</v>
      </c>
      <c r="F2867" t="s">
        <v>4397</v>
      </c>
      <c r="G2867" t="s">
        <v>2587</v>
      </c>
      <c r="H2867" t="s">
        <v>633</v>
      </c>
      <c r="I2867" t="s">
        <v>204</v>
      </c>
      <c r="J2867" s="1">
        <v>46204</v>
      </c>
      <c r="K2867" t="s">
        <v>762</v>
      </c>
      <c r="L2867">
        <v>100</v>
      </c>
      <c r="M2867">
        <v>10</v>
      </c>
      <c r="N2867" t="s">
        <v>719</v>
      </c>
      <c r="O2867" t="s">
        <v>1037</v>
      </c>
      <c r="P2867" t="s">
        <v>4790</v>
      </c>
      <c r="Q2867" t="s">
        <v>4852</v>
      </c>
    </row>
    <row r="2868" spans="1:18" x14ac:dyDescent="0.3">
      <c r="A2868">
        <v>11</v>
      </c>
      <c r="B2868" t="s">
        <v>4874</v>
      </c>
      <c r="C2868" t="s">
        <v>626</v>
      </c>
      <c r="D2868" t="s">
        <v>184</v>
      </c>
      <c r="E2868" s="1">
        <v>45884</v>
      </c>
      <c r="F2868" t="s">
        <v>4414</v>
      </c>
      <c r="G2868" t="s">
        <v>2595</v>
      </c>
      <c r="H2868" t="s">
        <v>625</v>
      </c>
      <c r="I2868" t="s">
        <v>204</v>
      </c>
      <c r="J2868" s="1">
        <v>46440</v>
      </c>
      <c r="K2868" t="s">
        <v>720</v>
      </c>
      <c r="L2868">
        <v>211</v>
      </c>
      <c r="M2868">
        <v>20045</v>
      </c>
      <c r="N2868" t="s">
        <v>710</v>
      </c>
      <c r="O2868" t="s">
        <v>1039</v>
      </c>
      <c r="P2868" t="s">
        <v>4777</v>
      </c>
      <c r="Q2868" t="s">
        <v>4858</v>
      </c>
      <c r="R2868" t="s">
        <v>4773</v>
      </c>
    </row>
    <row r="2869" spans="1:18" x14ac:dyDescent="0.3">
      <c r="A2869">
        <v>15464</v>
      </c>
      <c r="B2869" t="s">
        <v>4874</v>
      </c>
      <c r="C2869" t="s">
        <v>439</v>
      </c>
      <c r="D2869" t="s">
        <v>156</v>
      </c>
      <c r="E2869" s="1">
        <v>45884</v>
      </c>
      <c r="F2869" t="s">
        <v>4396</v>
      </c>
      <c r="G2869" t="s">
        <v>2602</v>
      </c>
      <c r="H2869" t="s">
        <v>438</v>
      </c>
      <c r="I2869" t="s">
        <v>204</v>
      </c>
      <c r="J2869" s="1">
        <v>46265</v>
      </c>
      <c r="K2869" t="s">
        <v>762</v>
      </c>
      <c r="L2869">
        <v>23485.11</v>
      </c>
      <c r="M2869">
        <v>23485.11</v>
      </c>
      <c r="N2869" t="s">
        <v>710</v>
      </c>
      <c r="O2869" t="s">
        <v>1037</v>
      </c>
      <c r="P2869" t="s">
        <v>4789</v>
      </c>
      <c r="Q2869" t="s">
        <v>4852</v>
      </c>
      <c r="R2869" t="s">
        <v>4771</v>
      </c>
    </row>
    <row r="2870" spans="1:18" x14ac:dyDescent="0.3">
      <c r="A2870">
        <v>78264</v>
      </c>
      <c r="B2870" t="s">
        <v>4874</v>
      </c>
      <c r="C2870" t="s">
        <v>634</v>
      </c>
      <c r="D2870" t="s">
        <v>99</v>
      </c>
      <c r="E2870" s="1">
        <v>45884</v>
      </c>
      <c r="F2870" t="s">
        <v>4308</v>
      </c>
      <c r="G2870" t="s">
        <v>2587</v>
      </c>
      <c r="H2870" t="s">
        <v>633</v>
      </c>
      <c r="I2870" t="s">
        <v>204</v>
      </c>
      <c r="J2870" s="1">
        <v>46204</v>
      </c>
      <c r="K2870" t="s">
        <v>762</v>
      </c>
      <c r="L2870">
        <v>102</v>
      </c>
      <c r="M2870">
        <v>496.74</v>
      </c>
      <c r="N2870" t="s">
        <v>719</v>
      </c>
      <c r="O2870" t="s">
        <v>1037</v>
      </c>
      <c r="P2870" t="s">
        <v>4790</v>
      </c>
      <c r="Q2870" t="s">
        <v>4852</v>
      </c>
    </row>
    <row r="2871" spans="1:18" x14ac:dyDescent="0.3">
      <c r="A2871">
        <v>6983</v>
      </c>
      <c r="B2871" t="s">
        <v>1035</v>
      </c>
      <c r="C2871" t="s">
        <v>230</v>
      </c>
      <c r="D2871" t="s">
        <v>85</v>
      </c>
      <c r="E2871" s="1">
        <v>45883</v>
      </c>
      <c r="F2871" t="s">
        <v>4348</v>
      </c>
      <c r="G2871" t="s">
        <v>2631</v>
      </c>
      <c r="H2871" t="s">
        <v>229</v>
      </c>
      <c r="I2871" t="s">
        <v>204</v>
      </c>
      <c r="J2871" s="1">
        <v>46203</v>
      </c>
      <c r="K2871" t="s">
        <v>744</v>
      </c>
      <c r="L2871">
        <v>3874.82</v>
      </c>
      <c r="M2871">
        <v>3874.82</v>
      </c>
      <c r="N2871" t="s">
        <v>710</v>
      </c>
      <c r="O2871" t="s">
        <v>1033</v>
      </c>
      <c r="P2871" t="s">
        <v>4781</v>
      </c>
      <c r="Q2871" t="s">
        <v>4852</v>
      </c>
      <c r="R2871" t="s">
        <v>4771</v>
      </c>
    </row>
    <row r="2872" spans="1:18" x14ac:dyDescent="0.3">
      <c r="A2872">
        <v>6933</v>
      </c>
      <c r="B2872" t="s">
        <v>1035</v>
      </c>
      <c r="C2872" t="s">
        <v>230</v>
      </c>
      <c r="D2872" t="s">
        <v>85</v>
      </c>
      <c r="E2872" s="1">
        <v>45883</v>
      </c>
      <c r="F2872" t="s">
        <v>4348</v>
      </c>
      <c r="G2872" t="s">
        <v>2628</v>
      </c>
      <c r="H2872" t="s">
        <v>229</v>
      </c>
      <c r="I2872" t="s">
        <v>204</v>
      </c>
      <c r="J2872" s="1">
        <v>46203</v>
      </c>
      <c r="K2872" t="s">
        <v>744</v>
      </c>
      <c r="L2872">
        <v>18802.560000000001</v>
      </c>
      <c r="M2872">
        <v>18802.560000000001</v>
      </c>
      <c r="N2872" t="s">
        <v>710</v>
      </c>
      <c r="O2872" t="s">
        <v>1033</v>
      </c>
      <c r="P2872" t="s">
        <v>4781</v>
      </c>
      <c r="Q2872" t="s">
        <v>4852</v>
      </c>
      <c r="R2872" t="s">
        <v>4771</v>
      </c>
    </row>
    <row r="2873" spans="1:18" x14ac:dyDescent="0.3">
      <c r="A2873">
        <v>6991</v>
      </c>
      <c r="B2873" t="s">
        <v>1035</v>
      </c>
      <c r="C2873" t="s">
        <v>230</v>
      </c>
      <c r="D2873" t="s">
        <v>85</v>
      </c>
      <c r="E2873" s="1">
        <v>45883</v>
      </c>
      <c r="F2873" t="s">
        <v>4348</v>
      </c>
      <c r="G2873" t="s">
        <v>2631</v>
      </c>
      <c r="H2873" t="s">
        <v>229</v>
      </c>
      <c r="I2873" t="s">
        <v>204</v>
      </c>
      <c r="J2873" s="1">
        <v>46203</v>
      </c>
      <c r="K2873" t="s">
        <v>744</v>
      </c>
      <c r="L2873">
        <v>239.34</v>
      </c>
      <c r="M2873">
        <v>239.34</v>
      </c>
      <c r="N2873" t="s">
        <v>710</v>
      </c>
      <c r="O2873" t="s">
        <v>1033</v>
      </c>
      <c r="P2873" t="s">
        <v>4781</v>
      </c>
      <c r="Q2873" t="s">
        <v>4852</v>
      </c>
      <c r="R2873" t="s">
        <v>4771</v>
      </c>
    </row>
    <row r="2874" spans="1:18" x14ac:dyDescent="0.3">
      <c r="A2874">
        <v>2960</v>
      </c>
      <c r="B2874" t="s">
        <v>4874</v>
      </c>
      <c r="C2874" t="s">
        <v>533</v>
      </c>
      <c r="D2874" t="s">
        <v>103</v>
      </c>
      <c r="E2874" s="1">
        <v>45883</v>
      </c>
      <c r="F2874" t="s">
        <v>4416</v>
      </c>
      <c r="G2874" t="s">
        <v>2599</v>
      </c>
      <c r="H2874" t="s">
        <v>532</v>
      </c>
      <c r="I2874" t="s">
        <v>204</v>
      </c>
      <c r="J2874" s="1">
        <v>46568</v>
      </c>
      <c r="K2874" t="s">
        <v>892</v>
      </c>
      <c r="L2874">
        <v>12367.55</v>
      </c>
      <c r="M2874">
        <v>12367.55</v>
      </c>
      <c r="N2874" t="s">
        <v>710</v>
      </c>
      <c r="O2874" t="s">
        <v>4811</v>
      </c>
      <c r="P2874" t="s">
        <v>4776</v>
      </c>
      <c r="Q2874" t="s">
        <v>4859</v>
      </c>
      <c r="R2874" t="s">
        <v>4771</v>
      </c>
    </row>
    <row r="2875" spans="1:18" x14ac:dyDescent="0.3">
      <c r="A2875">
        <v>6963</v>
      </c>
      <c r="B2875" t="s">
        <v>1035</v>
      </c>
      <c r="C2875" t="s">
        <v>230</v>
      </c>
      <c r="D2875" t="s">
        <v>85</v>
      </c>
      <c r="E2875" s="1">
        <v>45883</v>
      </c>
      <c r="F2875" t="s">
        <v>4348</v>
      </c>
      <c r="G2875" t="s">
        <v>2628</v>
      </c>
      <c r="H2875" t="s">
        <v>229</v>
      </c>
      <c r="I2875" t="s">
        <v>204</v>
      </c>
      <c r="J2875" s="1">
        <v>46203</v>
      </c>
      <c r="K2875" t="s">
        <v>744</v>
      </c>
      <c r="L2875">
        <v>2547.3200000000002</v>
      </c>
      <c r="M2875">
        <v>2547.3200000000002</v>
      </c>
      <c r="N2875" t="s">
        <v>710</v>
      </c>
      <c r="O2875" t="s">
        <v>1033</v>
      </c>
      <c r="P2875" t="s">
        <v>4781</v>
      </c>
      <c r="Q2875" t="s">
        <v>4852</v>
      </c>
      <c r="R2875" t="s">
        <v>4771</v>
      </c>
    </row>
    <row r="2876" spans="1:18" x14ac:dyDescent="0.3">
      <c r="A2876">
        <v>6962</v>
      </c>
      <c r="B2876" t="s">
        <v>1035</v>
      </c>
      <c r="C2876" t="s">
        <v>230</v>
      </c>
      <c r="D2876" t="s">
        <v>85</v>
      </c>
      <c r="E2876" s="1">
        <v>45883</v>
      </c>
      <c r="F2876" t="s">
        <v>4348</v>
      </c>
      <c r="G2876" t="s">
        <v>2628</v>
      </c>
      <c r="H2876" t="s">
        <v>229</v>
      </c>
      <c r="I2876" t="s">
        <v>204</v>
      </c>
      <c r="J2876" s="1">
        <v>46203</v>
      </c>
      <c r="K2876" t="s">
        <v>744</v>
      </c>
      <c r="L2876">
        <v>6335.46</v>
      </c>
      <c r="M2876">
        <v>6335.46</v>
      </c>
      <c r="N2876" t="s">
        <v>710</v>
      </c>
      <c r="O2876" t="s">
        <v>1033</v>
      </c>
      <c r="P2876" t="s">
        <v>4781</v>
      </c>
      <c r="Q2876" t="s">
        <v>4852</v>
      </c>
      <c r="R2876" t="s">
        <v>4771</v>
      </c>
    </row>
    <row r="2877" spans="1:18" x14ac:dyDescent="0.3">
      <c r="A2877">
        <v>2959</v>
      </c>
      <c r="B2877" t="s">
        <v>4874</v>
      </c>
      <c r="C2877" t="s">
        <v>533</v>
      </c>
      <c r="D2877" t="s">
        <v>103</v>
      </c>
      <c r="E2877" s="1">
        <v>45883</v>
      </c>
      <c r="F2877" t="s">
        <v>4416</v>
      </c>
      <c r="G2877" t="s">
        <v>2598</v>
      </c>
      <c r="H2877" t="s">
        <v>532</v>
      </c>
      <c r="I2877" t="s">
        <v>204</v>
      </c>
      <c r="J2877" s="1">
        <v>46568</v>
      </c>
      <c r="K2877" t="s">
        <v>892</v>
      </c>
      <c r="L2877">
        <v>12367.55</v>
      </c>
      <c r="M2877">
        <v>12367.55</v>
      </c>
      <c r="N2877" t="s">
        <v>710</v>
      </c>
      <c r="O2877" t="s">
        <v>4811</v>
      </c>
      <c r="P2877" t="s">
        <v>4776</v>
      </c>
      <c r="Q2877" t="s">
        <v>4859</v>
      </c>
      <c r="R2877" t="s">
        <v>4771</v>
      </c>
    </row>
    <row r="2878" spans="1:18" x14ac:dyDescent="0.3">
      <c r="A2878">
        <v>51488</v>
      </c>
      <c r="B2878" t="s">
        <v>4875</v>
      </c>
      <c r="C2878" t="s">
        <v>208</v>
      </c>
      <c r="D2878" t="s">
        <v>164</v>
      </c>
      <c r="E2878" s="1">
        <v>45883</v>
      </c>
      <c r="F2878" t="s">
        <v>4297</v>
      </c>
      <c r="G2878" t="s">
        <v>2490</v>
      </c>
      <c r="H2878" t="s">
        <v>605</v>
      </c>
      <c r="I2878" t="s">
        <v>204</v>
      </c>
      <c r="J2878" s="1">
        <v>46256</v>
      </c>
      <c r="K2878" t="s">
        <v>748</v>
      </c>
      <c r="L2878">
        <v>1</v>
      </c>
      <c r="M2878">
        <v>120</v>
      </c>
      <c r="N2878" t="s">
        <v>710</v>
      </c>
      <c r="O2878" t="s">
        <v>1040</v>
      </c>
      <c r="P2878" t="s">
        <v>4795</v>
      </c>
      <c r="Q2878" t="s">
        <v>4856</v>
      </c>
    </row>
    <row r="2879" spans="1:18" x14ac:dyDescent="0.3">
      <c r="A2879">
        <v>597692</v>
      </c>
      <c r="B2879" t="s">
        <v>4874</v>
      </c>
      <c r="C2879" t="s">
        <v>433</v>
      </c>
      <c r="D2879" t="s">
        <v>168</v>
      </c>
      <c r="E2879" s="1">
        <v>45883</v>
      </c>
      <c r="F2879" t="s">
        <v>4319</v>
      </c>
      <c r="G2879" t="s">
        <v>2619</v>
      </c>
      <c r="H2879" t="s">
        <v>432</v>
      </c>
      <c r="I2879" t="s">
        <v>204</v>
      </c>
      <c r="J2879" s="1">
        <v>46473</v>
      </c>
      <c r="K2879" t="s">
        <v>762</v>
      </c>
      <c r="L2879">
        <v>111</v>
      </c>
      <c r="M2879">
        <v>110.79</v>
      </c>
      <c r="N2879" t="s">
        <v>710</v>
      </c>
      <c r="O2879" t="s">
        <v>4833</v>
      </c>
      <c r="P2879" t="s">
        <v>4802</v>
      </c>
      <c r="Q2879" t="s">
        <v>4852</v>
      </c>
      <c r="R2879" t="s">
        <v>4771</v>
      </c>
    </row>
    <row r="2880" spans="1:18" x14ac:dyDescent="0.3">
      <c r="A2880">
        <v>6932</v>
      </c>
      <c r="B2880" t="s">
        <v>1035</v>
      </c>
      <c r="C2880" t="s">
        <v>230</v>
      </c>
      <c r="D2880" t="s">
        <v>85</v>
      </c>
      <c r="E2880" s="1">
        <v>45883</v>
      </c>
      <c r="F2880" t="s">
        <v>4348</v>
      </c>
      <c r="G2880" t="s">
        <v>2628</v>
      </c>
      <c r="H2880" t="s">
        <v>229</v>
      </c>
      <c r="I2880" t="s">
        <v>204</v>
      </c>
      <c r="J2880" s="1">
        <v>46203</v>
      </c>
      <c r="K2880" t="s">
        <v>744</v>
      </c>
      <c r="L2880">
        <v>48517.85</v>
      </c>
      <c r="M2880">
        <v>48517.85</v>
      </c>
      <c r="N2880" t="s">
        <v>710</v>
      </c>
      <c r="O2880" t="s">
        <v>1033</v>
      </c>
      <c r="P2880" t="s">
        <v>4781</v>
      </c>
      <c r="Q2880" t="s">
        <v>4852</v>
      </c>
      <c r="R2880" t="s">
        <v>4771</v>
      </c>
    </row>
    <row r="2881" spans="1:18" x14ac:dyDescent="0.3">
      <c r="A2881">
        <v>161929</v>
      </c>
      <c r="B2881" t="s">
        <v>4874</v>
      </c>
      <c r="C2881" t="s">
        <v>214</v>
      </c>
      <c r="D2881" t="s">
        <v>94</v>
      </c>
      <c r="E2881" s="1">
        <v>45883</v>
      </c>
      <c r="F2881" t="s">
        <v>4295</v>
      </c>
      <c r="G2881" t="s">
        <v>2596</v>
      </c>
      <c r="H2881" t="s">
        <v>213</v>
      </c>
      <c r="I2881" t="s">
        <v>204</v>
      </c>
      <c r="J2881" s="1">
        <v>46309</v>
      </c>
      <c r="K2881" t="s">
        <v>720</v>
      </c>
      <c r="L2881">
        <v>1</v>
      </c>
      <c r="M2881">
        <v>24402.52</v>
      </c>
      <c r="N2881" t="s">
        <v>710</v>
      </c>
      <c r="O2881" t="s">
        <v>4834</v>
      </c>
      <c r="P2881" t="s">
        <v>4776</v>
      </c>
      <c r="Q2881" t="s">
        <v>4858</v>
      </c>
      <c r="R2881" t="s">
        <v>4772</v>
      </c>
    </row>
    <row r="2882" spans="1:18" x14ac:dyDescent="0.3">
      <c r="A2882">
        <v>318</v>
      </c>
      <c r="B2882" t="s">
        <v>4874</v>
      </c>
      <c r="C2882" t="s">
        <v>645</v>
      </c>
      <c r="D2882" t="s">
        <v>76</v>
      </c>
      <c r="E2882" s="1">
        <v>45882</v>
      </c>
      <c r="F2882" t="s">
        <v>4318</v>
      </c>
      <c r="G2882" t="s">
        <v>2580</v>
      </c>
      <c r="H2882" t="s">
        <v>644</v>
      </c>
      <c r="I2882" t="s">
        <v>204</v>
      </c>
      <c r="J2882" s="1">
        <v>46478</v>
      </c>
      <c r="K2882" t="s">
        <v>720</v>
      </c>
      <c r="L2882">
        <v>1</v>
      </c>
      <c r="M2882">
        <v>4027.7</v>
      </c>
      <c r="N2882" t="s">
        <v>710</v>
      </c>
      <c r="O2882" t="s">
        <v>1038</v>
      </c>
      <c r="P2882" t="s">
        <v>4776</v>
      </c>
      <c r="Q2882" t="s">
        <v>4858</v>
      </c>
      <c r="R2882" t="s">
        <v>4773</v>
      </c>
    </row>
    <row r="2883" spans="1:18" x14ac:dyDescent="0.3">
      <c r="A2883">
        <v>159952</v>
      </c>
      <c r="B2883" t="s">
        <v>4874</v>
      </c>
      <c r="C2883" t="s">
        <v>301</v>
      </c>
      <c r="D2883" t="s">
        <v>23</v>
      </c>
      <c r="E2883" s="1">
        <v>45882</v>
      </c>
      <c r="F2883" t="s">
        <v>4321</v>
      </c>
      <c r="G2883" t="s">
        <v>2581</v>
      </c>
      <c r="H2883" t="s">
        <v>300</v>
      </c>
      <c r="I2883" t="s">
        <v>204</v>
      </c>
      <c r="J2883" s="1">
        <v>46418</v>
      </c>
      <c r="K2883" t="s">
        <v>720</v>
      </c>
      <c r="L2883">
        <v>1</v>
      </c>
      <c r="M2883">
        <v>5140.3900000000003</v>
      </c>
      <c r="N2883" t="s">
        <v>710</v>
      </c>
      <c r="O2883" t="s">
        <v>1038</v>
      </c>
      <c r="P2883" t="s">
        <v>4782</v>
      </c>
      <c r="Q2883" t="s">
        <v>4858</v>
      </c>
      <c r="R2883" t="s">
        <v>4773</v>
      </c>
    </row>
    <row r="2884" spans="1:18" x14ac:dyDescent="0.3">
      <c r="A2884">
        <v>1265451</v>
      </c>
      <c r="B2884" t="s">
        <v>4874</v>
      </c>
      <c r="C2884" t="s">
        <v>472</v>
      </c>
      <c r="D2884" t="s">
        <v>48</v>
      </c>
      <c r="E2884" s="1">
        <v>45882</v>
      </c>
      <c r="F2884" t="s">
        <v>4315</v>
      </c>
      <c r="G2884" t="s">
        <v>2604</v>
      </c>
      <c r="H2884" t="s">
        <v>471</v>
      </c>
      <c r="I2884" t="s">
        <v>204</v>
      </c>
      <c r="J2884" s="1">
        <v>46270</v>
      </c>
      <c r="K2884" t="s">
        <v>762</v>
      </c>
      <c r="L2884">
        <v>521.97</v>
      </c>
      <c r="M2884">
        <v>521.97</v>
      </c>
      <c r="N2884" t="s">
        <v>710</v>
      </c>
      <c r="O2884" t="s">
        <v>4845</v>
      </c>
      <c r="P2884" t="s">
        <v>4776</v>
      </c>
      <c r="Q2884" t="s">
        <v>4845</v>
      </c>
      <c r="R2884" t="s">
        <v>4773</v>
      </c>
    </row>
    <row r="2885" spans="1:18" x14ac:dyDescent="0.3">
      <c r="A2885">
        <v>1265453</v>
      </c>
      <c r="B2885" t="s">
        <v>4874</v>
      </c>
      <c r="C2885" t="s">
        <v>472</v>
      </c>
      <c r="D2885" t="s">
        <v>48</v>
      </c>
      <c r="E2885" s="1">
        <v>45882</v>
      </c>
      <c r="F2885" t="s">
        <v>4345</v>
      </c>
      <c r="G2885" t="s">
        <v>2604</v>
      </c>
      <c r="H2885" t="s">
        <v>471</v>
      </c>
      <c r="I2885" t="s">
        <v>204</v>
      </c>
      <c r="J2885" s="1">
        <v>46270</v>
      </c>
      <c r="K2885" t="s">
        <v>762</v>
      </c>
      <c r="L2885">
        <v>52.2</v>
      </c>
      <c r="M2885">
        <v>52.2</v>
      </c>
      <c r="N2885" t="s">
        <v>710</v>
      </c>
      <c r="O2885" t="s">
        <v>4845</v>
      </c>
      <c r="P2885" t="s">
        <v>4776</v>
      </c>
      <c r="Q2885" t="s">
        <v>4845</v>
      </c>
      <c r="R2885" t="s">
        <v>4773</v>
      </c>
    </row>
    <row r="2886" spans="1:18" x14ac:dyDescent="0.3">
      <c r="A2886">
        <v>4248</v>
      </c>
      <c r="B2886" t="s">
        <v>4874</v>
      </c>
      <c r="C2886" t="s">
        <v>444</v>
      </c>
      <c r="D2886" t="s">
        <v>21</v>
      </c>
      <c r="E2886" s="1">
        <v>45882</v>
      </c>
      <c r="F2886" t="s">
        <v>4380</v>
      </c>
      <c r="G2886" t="s">
        <v>2609</v>
      </c>
      <c r="H2886" t="s">
        <v>443</v>
      </c>
      <c r="I2886" t="s">
        <v>209</v>
      </c>
      <c r="J2886" s="1">
        <v>54878</v>
      </c>
      <c r="K2886" t="s">
        <v>762</v>
      </c>
      <c r="L2886">
        <v>1</v>
      </c>
      <c r="M2886">
        <v>160</v>
      </c>
      <c r="N2886" t="s">
        <v>710</v>
      </c>
      <c r="O2886" t="s">
        <v>1037</v>
      </c>
      <c r="P2886" t="s">
        <v>4808</v>
      </c>
      <c r="Q2886" t="s">
        <v>4852</v>
      </c>
      <c r="R2886" t="s">
        <v>4772</v>
      </c>
    </row>
    <row r="2887" spans="1:18" x14ac:dyDescent="0.3">
      <c r="A2887">
        <v>328131</v>
      </c>
      <c r="B2887" t="s">
        <v>1034</v>
      </c>
      <c r="C2887" t="s">
        <v>500</v>
      </c>
      <c r="D2887" t="s">
        <v>16</v>
      </c>
      <c r="E2887" s="1">
        <v>45882</v>
      </c>
      <c r="F2887" t="s">
        <v>4306</v>
      </c>
      <c r="G2887" t="s">
        <v>2608</v>
      </c>
      <c r="H2887" t="s">
        <v>499</v>
      </c>
      <c r="I2887" t="s">
        <v>204</v>
      </c>
      <c r="J2887" s="1">
        <v>54878</v>
      </c>
      <c r="K2887" t="s">
        <v>717</v>
      </c>
      <c r="L2887">
        <v>1633.45</v>
      </c>
      <c r="M2887">
        <v>1633.45</v>
      </c>
      <c r="N2887" t="s">
        <v>710</v>
      </c>
      <c r="O2887" t="s">
        <v>4833</v>
      </c>
      <c r="P2887" t="s">
        <v>4786</v>
      </c>
      <c r="Q2887" t="s">
        <v>4852</v>
      </c>
      <c r="R2887" t="s">
        <v>4773</v>
      </c>
    </row>
    <row r="2888" spans="1:18" x14ac:dyDescent="0.3">
      <c r="A2888">
        <v>3265</v>
      </c>
      <c r="B2888" t="s">
        <v>1034</v>
      </c>
      <c r="C2888" t="s">
        <v>590</v>
      </c>
      <c r="D2888" t="s">
        <v>79</v>
      </c>
      <c r="E2888" s="1">
        <v>45882</v>
      </c>
      <c r="F2888" t="s">
        <v>4365</v>
      </c>
      <c r="G2888" t="s">
        <v>2605</v>
      </c>
      <c r="H2888" t="s">
        <v>589</v>
      </c>
      <c r="I2888" t="s">
        <v>204</v>
      </c>
      <c r="J2888" s="1">
        <v>46387</v>
      </c>
      <c r="K2888" t="s">
        <v>717</v>
      </c>
      <c r="L2888">
        <v>500</v>
      </c>
      <c r="M2888">
        <v>500</v>
      </c>
      <c r="N2888" t="s">
        <v>814</v>
      </c>
      <c r="O2888" t="s">
        <v>4845</v>
      </c>
      <c r="P2888" t="s">
        <v>4793</v>
      </c>
      <c r="Q2888" t="s">
        <v>4845</v>
      </c>
      <c r="R2888" t="s">
        <v>4773</v>
      </c>
    </row>
    <row r="2889" spans="1:18" x14ac:dyDescent="0.3">
      <c r="A2889">
        <v>876</v>
      </c>
      <c r="B2889" t="s">
        <v>1034</v>
      </c>
      <c r="C2889" t="s">
        <v>216</v>
      </c>
      <c r="D2889" t="s">
        <v>141</v>
      </c>
      <c r="E2889" s="1">
        <v>45882</v>
      </c>
      <c r="F2889" t="s">
        <v>4305</v>
      </c>
      <c r="G2889" t="s">
        <v>2600</v>
      </c>
      <c r="H2889" t="s">
        <v>528</v>
      </c>
      <c r="I2889" t="s">
        <v>204</v>
      </c>
      <c r="J2889" s="1">
        <v>55243</v>
      </c>
      <c r="K2889" t="s">
        <v>711</v>
      </c>
      <c r="L2889">
        <v>800</v>
      </c>
      <c r="M2889">
        <v>800</v>
      </c>
      <c r="N2889" t="s">
        <v>710</v>
      </c>
      <c r="O2889" t="s">
        <v>4844</v>
      </c>
      <c r="P2889" t="s">
        <v>4776</v>
      </c>
      <c r="Q2889" t="s">
        <v>4901</v>
      </c>
      <c r="R2889" t="s">
        <v>4771</v>
      </c>
    </row>
    <row r="2890" spans="1:18" x14ac:dyDescent="0.3">
      <c r="A2890">
        <v>989407</v>
      </c>
      <c r="B2890" t="s">
        <v>1034</v>
      </c>
      <c r="C2890" t="s">
        <v>338</v>
      </c>
      <c r="D2890" t="s">
        <v>31</v>
      </c>
      <c r="E2890" s="1">
        <v>45882</v>
      </c>
      <c r="F2890" t="s">
        <v>4299</v>
      </c>
      <c r="G2890" t="s">
        <v>2610</v>
      </c>
      <c r="H2890" t="s">
        <v>337</v>
      </c>
      <c r="I2890" t="s">
        <v>204</v>
      </c>
      <c r="J2890" s="1">
        <v>54878</v>
      </c>
      <c r="K2890" t="s">
        <v>711</v>
      </c>
      <c r="L2890">
        <v>26470</v>
      </c>
      <c r="M2890">
        <v>26470.32</v>
      </c>
      <c r="N2890" t="s">
        <v>710</v>
      </c>
      <c r="O2890" t="s">
        <v>1036</v>
      </c>
      <c r="P2890" t="s">
        <v>4785</v>
      </c>
      <c r="Q2890" t="s">
        <v>4901</v>
      </c>
      <c r="R2890" t="s">
        <v>4773</v>
      </c>
    </row>
    <row r="2891" spans="1:18" x14ac:dyDescent="0.3">
      <c r="A2891">
        <v>328132</v>
      </c>
      <c r="B2891" t="s">
        <v>1034</v>
      </c>
      <c r="C2891" t="s">
        <v>500</v>
      </c>
      <c r="D2891" t="s">
        <v>16</v>
      </c>
      <c r="E2891" s="1">
        <v>45882</v>
      </c>
      <c r="F2891" t="s">
        <v>4306</v>
      </c>
      <c r="G2891" t="s">
        <v>2608</v>
      </c>
      <c r="H2891" t="s">
        <v>499</v>
      </c>
      <c r="I2891" t="s">
        <v>204</v>
      </c>
      <c r="J2891" s="1">
        <v>54878</v>
      </c>
      <c r="K2891" t="s">
        <v>717</v>
      </c>
      <c r="L2891">
        <v>1633.45</v>
      </c>
      <c r="M2891">
        <v>1633.45</v>
      </c>
      <c r="N2891" t="s">
        <v>710</v>
      </c>
      <c r="O2891" t="s">
        <v>4833</v>
      </c>
      <c r="P2891" t="s">
        <v>4786</v>
      </c>
      <c r="Q2891" t="s">
        <v>4852</v>
      </c>
      <c r="R2891" t="s">
        <v>4773</v>
      </c>
    </row>
    <row r="2892" spans="1:18" x14ac:dyDescent="0.3">
      <c r="A2892">
        <v>23568</v>
      </c>
      <c r="B2892" t="s">
        <v>4874</v>
      </c>
      <c r="C2892" t="s">
        <v>592</v>
      </c>
      <c r="D2892" t="s">
        <v>8</v>
      </c>
      <c r="E2892" s="1">
        <v>45882</v>
      </c>
      <c r="F2892" t="s">
        <v>4352</v>
      </c>
      <c r="G2892" t="s">
        <v>2607</v>
      </c>
      <c r="H2892" t="s">
        <v>601</v>
      </c>
      <c r="I2892" t="s">
        <v>209</v>
      </c>
      <c r="J2892" s="1">
        <v>45945</v>
      </c>
      <c r="K2892" t="s">
        <v>762</v>
      </c>
      <c r="L2892">
        <v>1052.8</v>
      </c>
      <c r="M2892">
        <v>1052.8</v>
      </c>
      <c r="N2892" t="s">
        <v>890</v>
      </c>
      <c r="O2892" t="s">
        <v>4833</v>
      </c>
      <c r="P2892" t="s">
        <v>950</v>
      </c>
      <c r="Q2892" t="s">
        <v>4852</v>
      </c>
      <c r="R2892" t="s">
        <v>807</v>
      </c>
    </row>
    <row r="2893" spans="1:18" x14ac:dyDescent="0.3">
      <c r="A2893">
        <v>20255114</v>
      </c>
      <c r="B2893" t="s">
        <v>1034</v>
      </c>
      <c r="C2893" t="s">
        <v>203</v>
      </c>
      <c r="D2893" t="s">
        <v>118</v>
      </c>
      <c r="E2893" s="1">
        <v>45881</v>
      </c>
      <c r="F2893" t="s">
        <v>4353</v>
      </c>
      <c r="G2893" t="s">
        <v>2569</v>
      </c>
      <c r="H2893" t="s">
        <v>202</v>
      </c>
      <c r="I2893" t="s">
        <v>204</v>
      </c>
      <c r="J2893" s="1">
        <v>46387</v>
      </c>
      <c r="K2893" t="s">
        <v>717</v>
      </c>
      <c r="L2893">
        <v>15.32</v>
      </c>
      <c r="M2893">
        <v>15.32</v>
      </c>
      <c r="N2893" t="s">
        <v>710</v>
      </c>
      <c r="O2893" t="s">
        <v>1037</v>
      </c>
      <c r="P2893" t="s">
        <v>4776</v>
      </c>
      <c r="Q2893" t="s">
        <v>4852</v>
      </c>
      <c r="R2893" t="s">
        <v>4772</v>
      </c>
    </row>
    <row r="2894" spans="1:18" x14ac:dyDescent="0.3">
      <c r="A2894">
        <v>313</v>
      </c>
      <c r="B2894" t="s">
        <v>1034</v>
      </c>
      <c r="C2894" t="s">
        <v>479</v>
      </c>
      <c r="D2894" t="s">
        <v>99</v>
      </c>
      <c r="E2894" s="1">
        <v>45881</v>
      </c>
      <c r="F2894" t="s">
        <v>4307</v>
      </c>
      <c r="G2894" t="s">
        <v>2594</v>
      </c>
      <c r="H2894" t="s">
        <v>478</v>
      </c>
      <c r="I2894" t="s">
        <v>204</v>
      </c>
      <c r="J2894" s="1">
        <v>46239</v>
      </c>
      <c r="K2894" t="s">
        <v>717</v>
      </c>
      <c r="L2894">
        <v>4152</v>
      </c>
      <c r="M2894">
        <v>50695.92</v>
      </c>
      <c r="N2894" t="s">
        <v>710</v>
      </c>
      <c r="O2894" t="s">
        <v>1037</v>
      </c>
      <c r="P2894" t="s">
        <v>4790</v>
      </c>
      <c r="Q2894" t="s">
        <v>4852</v>
      </c>
      <c r="R2894" t="s">
        <v>4772</v>
      </c>
    </row>
    <row r="2895" spans="1:18" x14ac:dyDescent="0.3">
      <c r="A2895">
        <v>313</v>
      </c>
      <c r="B2895" t="s">
        <v>1034</v>
      </c>
      <c r="C2895" t="s">
        <v>479</v>
      </c>
      <c r="D2895" t="s">
        <v>99</v>
      </c>
      <c r="E2895" s="1">
        <v>45881</v>
      </c>
      <c r="F2895" t="s">
        <v>4308</v>
      </c>
      <c r="G2895" t="s">
        <v>2594</v>
      </c>
      <c r="H2895" t="s">
        <v>478</v>
      </c>
      <c r="I2895" t="s">
        <v>204</v>
      </c>
      <c r="J2895" s="1">
        <v>46239</v>
      </c>
      <c r="K2895" t="s">
        <v>717</v>
      </c>
      <c r="L2895">
        <v>2948</v>
      </c>
      <c r="M2895">
        <v>11674.08</v>
      </c>
      <c r="N2895" t="s">
        <v>710</v>
      </c>
      <c r="O2895" t="s">
        <v>1037</v>
      </c>
      <c r="P2895" t="s">
        <v>4790</v>
      </c>
      <c r="Q2895" t="s">
        <v>4852</v>
      </c>
      <c r="R2895" t="s">
        <v>4772</v>
      </c>
    </row>
    <row r="2896" spans="1:18" x14ac:dyDescent="0.3">
      <c r="A2896">
        <v>313</v>
      </c>
      <c r="B2896" t="s">
        <v>1034</v>
      </c>
      <c r="C2896" t="s">
        <v>479</v>
      </c>
      <c r="D2896" t="s">
        <v>99</v>
      </c>
      <c r="E2896" s="1">
        <v>45881</v>
      </c>
      <c r="F2896" t="s">
        <v>4372</v>
      </c>
      <c r="G2896" t="s">
        <v>2594</v>
      </c>
      <c r="H2896" t="s">
        <v>478</v>
      </c>
      <c r="I2896" t="s">
        <v>204</v>
      </c>
      <c r="J2896" s="1">
        <v>46239</v>
      </c>
      <c r="K2896" t="s">
        <v>717</v>
      </c>
      <c r="L2896">
        <v>170</v>
      </c>
      <c r="M2896">
        <v>1448.4</v>
      </c>
      <c r="N2896" t="s">
        <v>710</v>
      </c>
      <c r="O2896" t="s">
        <v>1037</v>
      </c>
      <c r="P2896" t="s">
        <v>4790</v>
      </c>
      <c r="Q2896" t="s">
        <v>4852</v>
      </c>
      <c r="R2896" t="s">
        <v>4772</v>
      </c>
    </row>
    <row r="2897" spans="1:18" x14ac:dyDescent="0.3">
      <c r="A2897">
        <v>314</v>
      </c>
      <c r="B2897" t="s">
        <v>4874</v>
      </c>
      <c r="C2897" t="s">
        <v>575</v>
      </c>
      <c r="D2897" t="s">
        <v>174</v>
      </c>
      <c r="E2897" s="1">
        <v>45881</v>
      </c>
      <c r="F2897" t="s">
        <v>4412</v>
      </c>
      <c r="G2897" t="s">
        <v>2557</v>
      </c>
      <c r="H2897" t="s">
        <v>574</v>
      </c>
      <c r="I2897" t="s">
        <v>204</v>
      </c>
      <c r="J2897" s="1">
        <v>46203</v>
      </c>
      <c r="K2897" t="s">
        <v>720</v>
      </c>
      <c r="L2897">
        <v>1</v>
      </c>
      <c r="M2897">
        <v>5320</v>
      </c>
      <c r="N2897" t="s">
        <v>890</v>
      </c>
      <c r="O2897" t="s">
        <v>1039</v>
      </c>
      <c r="P2897" t="s">
        <v>4776</v>
      </c>
      <c r="Q2897" t="s">
        <v>4858</v>
      </c>
      <c r="R2897" t="s">
        <v>4771</v>
      </c>
    </row>
    <row r="2898" spans="1:18" x14ac:dyDescent="0.3">
      <c r="A2898">
        <v>23307</v>
      </c>
      <c r="B2898" t="s">
        <v>4874</v>
      </c>
      <c r="C2898" t="s">
        <v>592</v>
      </c>
      <c r="D2898" t="s">
        <v>8</v>
      </c>
      <c r="E2898" s="1">
        <v>45881</v>
      </c>
      <c r="F2898" t="s">
        <v>4363</v>
      </c>
      <c r="G2898" t="s">
        <v>2606</v>
      </c>
      <c r="H2898" t="s">
        <v>601</v>
      </c>
      <c r="I2898" t="s">
        <v>209</v>
      </c>
      <c r="J2898" s="1">
        <v>45945</v>
      </c>
      <c r="K2898" t="s">
        <v>762</v>
      </c>
      <c r="L2898">
        <v>427.47</v>
      </c>
      <c r="M2898">
        <v>427.47</v>
      </c>
      <c r="N2898" t="s">
        <v>890</v>
      </c>
      <c r="O2898" t="s">
        <v>4833</v>
      </c>
      <c r="P2898" t="s">
        <v>950</v>
      </c>
      <c r="Q2898" t="s">
        <v>4852</v>
      </c>
      <c r="R2898" t="s">
        <v>807</v>
      </c>
    </row>
    <row r="2899" spans="1:18" x14ac:dyDescent="0.3">
      <c r="A2899">
        <v>459918</v>
      </c>
      <c r="B2899" t="s">
        <v>4874</v>
      </c>
      <c r="C2899" t="s">
        <v>389</v>
      </c>
      <c r="D2899" t="s">
        <v>32</v>
      </c>
      <c r="E2899" s="1">
        <v>45881</v>
      </c>
      <c r="F2899" t="s">
        <v>4299</v>
      </c>
      <c r="G2899" t="s">
        <v>2611</v>
      </c>
      <c r="H2899" t="s">
        <v>388</v>
      </c>
      <c r="I2899" t="s">
        <v>204</v>
      </c>
      <c r="J2899" s="1">
        <v>46752</v>
      </c>
      <c r="K2899" t="s">
        <v>785</v>
      </c>
      <c r="L2899">
        <v>1</v>
      </c>
      <c r="M2899">
        <v>52897.66</v>
      </c>
      <c r="N2899" t="s">
        <v>710</v>
      </c>
      <c r="O2899" t="s">
        <v>1038</v>
      </c>
      <c r="P2899" t="s">
        <v>4785</v>
      </c>
      <c r="Q2899" t="s">
        <v>4858</v>
      </c>
      <c r="R2899" t="s">
        <v>4771</v>
      </c>
    </row>
    <row r="2900" spans="1:18" x14ac:dyDescent="0.3">
      <c r="A2900">
        <v>869</v>
      </c>
      <c r="B2900" t="s">
        <v>1034</v>
      </c>
      <c r="C2900" t="s">
        <v>216</v>
      </c>
      <c r="D2900" t="s">
        <v>141</v>
      </c>
      <c r="E2900" s="1">
        <v>45880</v>
      </c>
      <c r="F2900" t="s">
        <v>4305</v>
      </c>
      <c r="G2900" t="s">
        <v>2582</v>
      </c>
      <c r="H2900" t="s">
        <v>528</v>
      </c>
      <c r="I2900" t="s">
        <v>204</v>
      </c>
      <c r="J2900" s="1">
        <v>55243</v>
      </c>
      <c r="K2900" t="s">
        <v>711</v>
      </c>
      <c r="L2900">
        <v>6400</v>
      </c>
      <c r="M2900">
        <v>6400</v>
      </c>
      <c r="N2900" t="s">
        <v>710</v>
      </c>
      <c r="O2900" t="s">
        <v>4844</v>
      </c>
      <c r="P2900" t="s">
        <v>4776</v>
      </c>
      <c r="Q2900" t="s">
        <v>4901</v>
      </c>
      <c r="R2900" t="s">
        <v>4771</v>
      </c>
    </row>
    <row r="2901" spans="1:18" x14ac:dyDescent="0.3">
      <c r="A2901">
        <v>17807</v>
      </c>
      <c r="B2901" t="s">
        <v>4875</v>
      </c>
      <c r="C2901" t="s">
        <v>355</v>
      </c>
      <c r="D2901" t="s">
        <v>143</v>
      </c>
      <c r="E2901" s="1">
        <v>45880</v>
      </c>
      <c r="F2901" t="s">
        <v>4318</v>
      </c>
      <c r="G2901" t="s">
        <v>2559</v>
      </c>
      <c r="H2901" t="s">
        <v>354</v>
      </c>
      <c r="I2901" t="s">
        <v>204</v>
      </c>
      <c r="J2901" s="1">
        <v>54878</v>
      </c>
      <c r="K2901" t="s">
        <v>748</v>
      </c>
      <c r="L2901">
        <v>589.32000000000005</v>
      </c>
      <c r="M2901">
        <v>589.32000000000005</v>
      </c>
      <c r="N2901" t="s">
        <v>710</v>
      </c>
      <c r="O2901" t="s">
        <v>4834</v>
      </c>
      <c r="P2901" t="s">
        <v>4776</v>
      </c>
      <c r="Q2901" t="s">
        <v>4856</v>
      </c>
      <c r="R2901" t="s">
        <v>4771</v>
      </c>
    </row>
    <row r="2902" spans="1:18" x14ac:dyDescent="0.3">
      <c r="A2902">
        <v>10702</v>
      </c>
      <c r="B2902" t="s">
        <v>4874</v>
      </c>
      <c r="C2902" t="s">
        <v>546</v>
      </c>
      <c r="D2902" t="s">
        <v>75</v>
      </c>
      <c r="E2902" s="1">
        <v>45880</v>
      </c>
      <c r="F2902" t="s">
        <v>4355</v>
      </c>
      <c r="G2902" t="s">
        <v>2529</v>
      </c>
      <c r="H2902" t="s">
        <v>581</v>
      </c>
      <c r="I2902" t="s">
        <v>204</v>
      </c>
      <c r="J2902" s="1">
        <v>46233</v>
      </c>
      <c r="K2902" t="s">
        <v>720</v>
      </c>
      <c r="L2902">
        <v>1</v>
      </c>
      <c r="M2902">
        <v>3090.55</v>
      </c>
      <c r="N2902" t="s">
        <v>814</v>
      </c>
      <c r="O2902" t="s">
        <v>1038</v>
      </c>
      <c r="P2902" t="s">
        <v>4779</v>
      </c>
      <c r="Q2902" t="s">
        <v>4858</v>
      </c>
      <c r="R2902" t="s">
        <v>4773</v>
      </c>
    </row>
    <row r="2903" spans="1:18" x14ac:dyDescent="0.3">
      <c r="A2903">
        <v>85222</v>
      </c>
      <c r="B2903" t="s">
        <v>1034</v>
      </c>
      <c r="C2903" t="s">
        <v>319</v>
      </c>
      <c r="D2903" t="s">
        <v>36</v>
      </c>
      <c r="E2903" s="1">
        <v>45880</v>
      </c>
      <c r="F2903" t="s">
        <v>4298</v>
      </c>
      <c r="G2903" t="s">
        <v>2597</v>
      </c>
      <c r="H2903" t="s">
        <v>318</v>
      </c>
      <c r="I2903" t="s">
        <v>204</v>
      </c>
      <c r="J2903" s="1">
        <v>46214</v>
      </c>
      <c r="K2903" t="s">
        <v>711</v>
      </c>
      <c r="L2903">
        <v>1720</v>
      </c>
      <c r="M2903">
        <v>1719.89</v>
      </c>
      <c r="N2903" t="s">
        <v>710</v>
      </c>
      <c r="O2903" t="s">
        <v>1036</v>
      </c>
      <c r="P2903" t="s">
        <v>4784</v>
      </c>
      <c r="Q2903" t="s">
        <v>4901</v>
      </c>
      <c r="R2903" t="s">
        <v>4771</v>
      </c>
    </row>
    <row r="2904" spans="1:18" x14ac:dyDescent="0.3">
      <c r="A2904">
        <v>38316</v>
      </c>
      <c r="B2904" t="s">
        <v>4874</v>
      </c>
      <c r="C2904" t="s">
        <v>447</v>
      </c>
      <c r="D2904" t="s">
        <v>57</v>
      </c>
      <c r="E2904" s="1">
        <v>45880</v>
      </c>
      <c r="F2904" t="s">
        <v>4383</v>
      </c>
      <c r="G2904" t="s">
        <v>2589</v>
      </c>
      <c r="H2904" t="s">
        <v>446</v>
      </c>
      <c r="I2904" t="s">
        <v>204</v>
      </c>
      <c r="J2904" s="1">
        <v>46203</v>
      </c>
      <c r="K2904" t="s">
        <v>762</v>
      </c>
      <c r="L2904">
        <v>793.23</v>
      </c>
      <c r="M2904">
        <v>793.23</v>
      </c>
      <c r="N2904" t="s">
        <v>710</v>
      </c>
      <c r="O2904" t="s">
        <v>1038</v>
      </c>
      <c r="P2904" t="s">
        <v>4776</v>
      </c>
      <c r="Q2904" t="s">
        <v>4858</v>
      </c>
      <c r="R2904" t="s">
        <v>4774</v>
      </c>
    </row>
    <row r="2905" spans="1:18" x14ac:dyDescent="0.3">
      <c r="A2905">
        <v>11285616</v>
      </c>
      <c r="B2905" t="s">
        <v>1034</v>
      </c>
      <c r="C2905" t="s">
        <v>452</v>
      </c>
      <c r="D2905" t="s">
        <v>171</v>
      </c>
      <c r="E2905" s="1">
        <v>45880</v>
      </c>
      <c r="F2905" t="s">
        <v>4319</v>
      </c>
      <c r="G2905" t="s">
        <v>2498</v>
      </c>
      <c r="H2905" t="s">
        <v>450</v>
      </c>
      <c r="I2905" t="s">
        <v>209</v>
      </c>
      <c r="J2905" s="1">
        <v>54878</v>
      </c>
      <c r="K2905" t="s">
        <v>717</v>
      </c>
      <c r="L2905">
        <v>1475</v>
      </c>
      <c r="M2905">
        <v>1474.24</v>
      </c>
      <c r="N2905" t="s">
        <v>710</v>
      </c>
      <c r="Q2905" t="s">
        <v>4852</v>
      </c>
      <c r="R2905" t="s">
        <v>4771</v>
      </c>
    </row>
    <row r="2906" spans="1:18" x14ac:dyDescent="0.3">
      <c r="A2906">
        <v>11285555</v>
      </c>
      <c r="B2906" t="s">
        <v>1034</v>
      </c>
      <c r="C2906" t="s">
        <v>452</v>
      </c>
      <c r="D2906" t="s">
        <v>171</v>
      </c>
      <c r="E2906" s="1">
        <v>45880</v>
      </c>
      <c r="F2906" t="s">
        <v>4319</v>
      </c>
      <c r="G2906" t="s">
        <v>2498</v>
      </c>
      <c r="H2906" t="s">
        <v>450</v>
      </c>
      <c r="I2906" t="s">
        <v>209</v>
      </c>
      <c r="J2906" s="1">
        <v>54878</v>
      </c>
      <c r="K2906" t="s">
        <v>717</v>
      </c>
      <c r="L2906">
        <v>2619</v>
      </c>
      <c r="M2906">
        <v>2618.17</v>
      </c>
      <c r="N2906" t="s">
        <v>710</v>
      </c>
      <c r="Q2906" t="s">
        <v>4852</v>
      </c>
      <c r="R2906" t="s">
        <v>4771</v>
      </c>
    </row>
    <row r="2907" spans="1:18" x14ac:dyDescent="0.3">
      <c r="A2907">
        <v>6930</v>
      </c>
      <c r="B2907" t="s">
        <v>1035</v>
      </c>
      <c r="C2907" t="s">
        <v>230</v>
      </c>
      <c r="D2907" t="s">
        <v>85</v>
      </c>
      <c r="E2907" s="1">
        <v>45880</v>
      </c>
      <c r="F2907" t="s">
        <v>4436</v>
      </c>
      <c r="G2907" t="s">
        <v>2493</v>
      </c>
      <c r="H2907" t="s">
        <v>229</v>
      </c>
      <c r="I2907" t="s">
        <v>204</v>
      </c>
      <c r="J2907" s="1">
        <v>46203</v>
      </c>
      <c r="K2907" t="s">
        <v>744</v>
      </c>
      <c r="L2907">
        <v>714.75</v>
      </c>
      <c r="M2907">
        <v>714.75</v>
      </c>
      <c r="N2907" t="s">
        <v>710</v>
      </c>
      <c r="O2907" t="s">
        <v>1033</v>
      </c>
      <c r="P2907" t="s">
        <v>4781</v>
      </c>
      <c r="Q2907" t="s">
        <v>4852</v>
      </c>
      <c r="R2907" t="s">
        <v>4771</v>
      </c>
    </row>
    <row r="2908" spans="1:18" x14ac:dyDescent="0.3">
      <c r="A2908">
        <v>6903</v>
      </c>
      <c r="B2908" t="s">
        <v>1035</v>
      </c>
      <c r="C2908" t="s">
        <v>230</v>
      </c>
      <c r="D2908" t="s">
        <v>85</v>
      </c>
      <c r="E2908" s="1">
        <v>45880</v>
      </c>
      <c r="F2908" t="s">
        <v>4436</v>
      </c>
      <c r="G2908" t="s">
        <v>2493</v>
      </c>
      <c r="H2908" t="s">
        <v>229</v>
      </c>
      <c r="I2908" t="s">
        <v>204</v>
      </c>
      <c r="J2908" s="1">
        <v>46203</v>
      </c>
      <c r="K2908" t="s">
        <v>744</v>
      </c>
      <c r="L2908">
        <v>5793.36</v>
      </c>
      <c r="M2908">
        <v>5793.36</v>
      </c>
      <c r="N2908" t="s">
        <v>710</v>
      </c>
      <c r="O2908" t="s">
        <v>1033</v>
      </c>
      <c r="P2908" t="s">
        <v>4781</v>
      </c>
      <c r="Q2908" t="s">
        <v>4852</v>
      </c>
      <c r="R2908" t="s">
        <v>4771</v>
      </c>
    </row>
    <row r="2909" spans="1:18" x14ac:dyDescent="0.3">
      <c r="A2909">
        <v>2630</v>
      </c>
      <c r="B2909" t="s">
        <v>4874</v>
      </c>
      <c r="C2909" t="s">
        <v>541</v>
      </c>
      <c r="D2909" t="s">
        <v>173</v>
      </c>
      <c r="E2909" s="1">
        <v>45880</v>
      </c>
      <c r="F2909" t="s">
        <v>4326</v>
      </c>
      <c r="G2909" t="s">
        <v>2531</v>
      </c>
      <c r="H2909" t="s">
        <v>548</v>
      </c>
      <c r="I2909" t="s">
        <v>204</v>
      </c>
      <c r="J2909" s="1">
        <v>46387</v>
      </c>
      <c r="K2909" t="s">
        <v>720</v>
      </c>
      <c r="L2909">
        <v>1</v>
      </c>
      <c r="M2909">
        <v>2300</v>
      </c>
      <c r="N2909" t="s">
        <v>710</v>
      </c>
      <c r="O2909" t="s">
        <v>1038</v>
      </c>
      <c r="P2909" t="s">
        <v>4791</v>
      </c>
      <c r="Q2909" t="s">
        <v>4858</v>
      </c>
      <c r="R2909" t="s">
        <v>4773</v>
      </c>
    </row>
    <row r="2910" spans="1:18" x14ac:dyDescent="0.3">
      <c r="A2910">
        <v>206744</v>
      </c>
      <c r="B2910" t="s">
        <v>4874</v>
      </c>
      <c r="C2910" t="s">
        <v>441</v>
      </c>
      <c r="D2910" t="s">
        <v>38</v>
      </c>
      <c r="E2910" s="1">
        <v>45880</v>
      </c>
      <c r="F2910" t="s">
        <v>4393</v>
      </c>
      <c r="G2910" t="s">
        <v>2568</v>
      </c>
      <c r="H2910" t="s">
        <v>440</v>
      </c>
      <c r="I2910" t="s">
        <v>204</v>
      </c>
      <c r="J2910" s="1">
        <v>46191</v>
      </c>
      <c r="K2910" t="s">
        <v>762</v>
      </c>
      <c r="L2910">
        <v>10035</v>
      </c>
      <c r="M2910">
        <v>10035</v>
      </c>
      <c r="N2910" t="s">
        <v>710</v>
      </c>
      <c r="O2910" t="s">
        <v>4833</v>
      </c>
      <c r="P2910" t="s">
        <v>4786</v>
      </c>
      <c r="Q2910" t="s">
        <v>4852</v>
      </c>
      <c r="R2910" t="s">
        <v>4773</v>
      </c>
    </row>
    <row r="2911" spans="1:18" x14ac:dyDescent="0.3">
      <c r="A2911">
        <v>206909</v>
      </c>
      <c r="B2911" t="s">
        <v>4874</v>
      </c>
      <c r="C2911" t="s">
        <v>441</v>
      </c>
      <c r="D2911" t="s">
        <v>38</v>
      </c>
      <c r="E2911" s="1">
        <v>45880</v>
      </c>
      <c r="F2911" t="s">
        <v>4393</v>
      </c>
      <c r="G2911" t="s">
        <v>2593</v>
      </c>
      <c r="H2911" t="s">
        <v>440</v>
      </c>
      <c r="I2911" t="s">
        <v>204</v>
      </c>
      <c r="J2911" s="1">
        <v>46191</v>
      </c>
      <c r="K2911" t="s">
        <v>762</v>
      </c>
      <c r="L2911">
        <v>2280</v>
      </c>
      <c r="M2911">
        <v>2280</v>
      </c>
      <c r="N2911" t="s">
        <v>710</v>
      </c>
      <c r="O2911" t="s">
        <v>4833</v>
      </c>
      <c r="P2911" t="s">
        <v>4786</v>
      </c>
      <c r="Q2911" t="s">
        <v>4852</v>
      </c>
      <c r="R2911" t="s">
        <v>4773</v>
      </c>
    </row>
    <row r="2912" spans="1:18" x14ac:dyDescent="0.3">
      <c r="A2912">
        <v>11285504</v>
      </c>
      <c r="B2912" t="s">
        <v>1034</v>
      </c>
      <c r="C2912" t="s">
        <v>452</v>
      </c>
      <c r="D2912" t="s">
        <v>171</v>
      </c>
      <c r="E2912" s="1">
        <v>45880</v>
      </c>
      <c r="F2912" t="s">
        <v>4319</v>
      </c>
      <c r="G2912" t="s">
        <v>2498</v>
      </c>
      <c r="H2912" t="s">
        <v>450</v>
      </c>
      <c r="I2912" t="s">
        <v>209</v>
      </c>
      <c r="J2912" s="1">
        <v>54878</v>
      </c>
      <c r="K2912" t="s">
        <v>717</v>
      </c>
      <c r="L2912">
        <v>1617</v>
      </c>
      <c r="M2912">
        <v>1616.02</v>
      </c>
      <c r="N2912" t="s">
        <v>710</v>
      </c>
      <c r="Q2912" t="s">
        <v>4852</v>
      </c>
      <c r="R2912" t="s">
        <v>4771</v>
      </c>
    </row>
    <row r="2913" spans="1:18" x14ac:dyDescent="0.3">
      <c r="A2913">
        <v>50281</v>
      </c>
      <c r="B2913" t="s">
        <v>1034</v>
      </c>
      <c r="C2913" t="s">
        <v>636</v>
      </c>
      <c r="D2913" t="s">
        <v>51</v>
      </c>
      <c r="E2913" s="1">
        <v>45877</v>
      </c>
      <c r="F2913" t="s">
        <v>4297</v>
      </c>
      <c r="G2913" t="s">
        <v>2293</v>
      </c>
      <c r="H2913" t="s">
        <v>635</v>
      </c>
      <c r="I2913" t="s">
        <v>204</v>
      </c>
      <c r="J2913" s="1">
        <v>46193</v>
      </c>
      <c r="K2913" t="s">
        <v>711</v>
      </c>
      <c r="L2913">
        <v>1</v>
      </c>
      <c r="M2913">
        <v>7933</v>
      </c>
      <c r="N2913" t="s">
        <v>710</v>
      </c>
      <c r="O2913" t="s">
        <v>4844</v>
      </c>
      <c r="P2913" t="s">
        <v>4779</v>
      </c>
      <c r="Q2913" t="s">
        <v>4845</v>
      </c>
      <c r="R2913" t="s">
        <v>4771</v>
      </c>
    </row>
    <row r="2914" spans="1:18" x14ac:dyDescent="0.3">
      <c r="A2914">
        <v>2025258</v>
      </c>
      <c r="B2914" t="s">
        <v>1034</v>
      </c>
      <c r="C2914" t="s">
        <v>552</v>
      </c>
      <c r="D2914" t="s">
        <v>190</v>
      </c>
      <c r="E2914" s="1">
        <v>45877</v>
      </c>
      <c r="F2914" t="s">
        <v>4339</v>
      </c>
      <c r="G2914" t="s">
        <v>2575</v>
      </c>
      <c r="H2914" t="s">
        <v>583</v>
      </c>
      <c r="I2914" t="s">
        <v>204</v>
      </c>
      <c r="J2914" s="1">
        <v>46441</v>
      </c>
      <c r="K2914" t="s">
        <v>717</v>
      </c>
      <c r="L2914">
        <v>64252.04</v>
      </c>
      <c r="M2914">
        <v>64252.04</v>
      </c>
      <c r="N2914" t="s">
        <v>710</v>
      </c>
      <c r="O2914" t="s">
        <v>4904</v>
      </c>
      <c r="P2914" t="s">
        <v>4792</v>
      </c>
      <c r="Q2914" t="s">
        <v>4904</v>
      </c>
      <c r="R2914" t="s">
        <v>4772</v>
      </c>
    </row>
    <row r="2915" spans="1:18" x14ac:dyDescent="0.3">
      <c r="A2915">
        <v>20251265</v>
      </c>
      <c r="B2915" t="s">
        <v>1034</v>
      </c>
      <c r="C2915" t="s">
        <v>550</v>
      </c>
      <c r="D2915" t="s">
        <v>189</v>
      </c>
      <c r="E2915" s="1">
        <v>45877</v>
      </c>
      <c r="F2915" t="s">
        <v>4338</v>
      </c>
      <c r="G2915" t="s">
        <v>2573</v>
      </c>
      <c r="H2915" t="s">
        <v>582</v>
      </c>
      <c r="I2915" t="s">
        <v>204</v>
      </c>
      <c r="J2915" s="1">
        <v>46599</v>
      </c>
      <c r="K2915" t="s">
        <v>717</v>
      </c>
      <c r="L2915">
        <v>27301.11</v>
      </c>
      <c r="M2915">
        <v>27301.11</v>
      </c>
      <c r="N2915" t="s">
        <v>710</v>
      </c>
      <c r="O2915" t="s">
        <v>4904</v>
      </c>
      <c r="P2915" t="s">
        <v>4792</v>
      </c>
      <c r="Q2915" t="s">
        <v>4904</v>
      </c>
      <c r="R2915" t="s">
        <v>4772</v>
      </c>
    </row>
    <row r="2916" spans="1:18" x14ac:dyDescent="0.3">
      <c r="A2916">
        <v>20251264</v>
      </c>
      <c r="B2916" t="s">
        <v>4875</v>
      </c>
      <c r="C2916" t="s">
        <v>550</v>
      </c>
      <c r="D2916" t="s">
        <v>189</v>
      </c>
      <c r="E2916" s="1">
        <v>45877</v>
      </c>
      <c r="F2916" t="s">
        <v>4338</v>
      </c>
      <c r="G2916" t="s">
        <v>2571</v>
      </c>
      <c r="H2916" t="s">
        <v>569</v>
      </c>
      <c r="I2916" t="s">
        <v>204</v>
      </c>
      <c r="J2916" s="1">
        <v>46599</v>
      </c>
      <c r="K2916" t="s">
        <v>768</v>
      </c>
      <c r="L2916">
        <v>23437.4</v>
      </c>
      <c r="M2916">
        <v>23437.4</v>
      </c>
      <c r="N2916" t="s">
        <v>710</v>
      </c>
      <c r="O2916" t="s">
        <v>4904</v>
      </c>
      <c r="P2916" t="s">
        <v>4792</v>
      </c>
      <c r="Q2916" t="s">
        <v>4904</v>
      </c>
      <c r="R2916" t="s">
        <v>4772</v>
      </c>
    </row>
    <row r="2917" spans="1:18" x14ac:dyDescent="0.3">
      <c r="A2917">
        <v>2025139</v>
      </c>
      <c r="B2917" t="s">
        <v>4875</v>
      </c>
      <c r="C2917" t="s">
        <v>322</v>
      </c>
      <c r="D2917" t="s">
        <v>158</v>
      </c>
      <c r="E2917" s="1">
        <v>45877</v>
      </c>
      <c r="F2917" t="s">
        <v>4433</v>
      </c>
      <c r="G2917" t="s">
        <v>2506</v>
      </c>
      <c r="H2917" t="s">
        <v>346</v>
      </c>
      <c r="I2917" t="s">
        <v>204</v>
      </c>
      <c r="J2917" s="1">
        <v>46310</v>
      </c>
      <c r="K2917" t="s">
        <v>748</v>
      </c>
      <c r="L2917">
        <v>23176.2</v>
      </c>
      <c r="M2917">
        <v>23176.2</v>
      </c>
      <c r="N2917" t="s">
        <v>710</v>
      </c>
      <c r="O2917" t="s">
        <v>1040</v>
      </c>
      <c r="P2917" t="s">
        <v>4782</v>
      </c>
      <c r="Q2917" t="s">
        <v>4856</v>
      </c>
      <c r="R2917" t="s">
        <v>4773</v>
      </c>
    </row>
    <row r="2918" spans="1:18" x14ac:dyDescent="0.3">
      <c r="A2918">
        <v>2025140</v>
      </c>
      <c r="B2918" t="s">
        <v>4875</v>
      </c>
      <c r="C2918" t="s">
        <v>322</v>
      </c>
      <c r="D2918" t="s">
        <v>158</v>
      </c>
      <c r="E2918" s="1">
        <v>45877</v>
      </c>
      <c r="F2918" t="s">
        <v>4432</v>
      </c>
      <c r="G2918" t="s">
        <v>2508</v>
      </c>
      <c r="H2918" t="s">
        <v>352</v>
      </c>
      <c r="I2918" t="s">
        <v>204</v>
      </c>
      <c r="J2918" s="1">
        <v>46310</v>
      </c>
      <c r="K2918" t="s">
        <v>748</v>
      </c>
      <c r="L2918">
        <v>2358.8200000000002</v>
      </c>
      <c r="M2918">
        <v>2358.8200000000002</v>
      </c>
      <c r="N2918" t="s">
        <v>710</v>
      </c>
      <c r="O2918" t="s">
        <v>1040</v>
      </c>
      <c r="P2918" t="s">
        <v>4782</v>
      </c>
      <c r="Q2918" t="s">
        <v>4856</v>
      </c>
      <c r="R2918" t="s">
        <v>4773</v>
      </c>
    </row>
    <row r="2919" spans="1:18" x14ac:dyDescent="0.3">
      <c r="A2919">
        <v>2025141</v>
      </c>
      <c r="B2919" t="s">
        <v>4875</v>
      </c>
      <c r="C2919" t="s">
        <v>322</v>
      </c>
      <c r="D2919" t="s">
        <v>158</v>
      </c>
      <c r="E2919" s="1">
        <v>45877</v>
      </c>
      <c r="F2919" t="s">
        <v>4431</v>
      </c>
      <c r="G2919" t="s">
        <v>2507</v>
      </c>
      <c r="H2919" t="s">
        <v>321</v>
      </c>
      <c r="I2919" t="s">
        <v>204</v>
      </c>
      <c r="J2919" s="1">
        <v>46310</v>
      </c>
      <c r="K2919" t="s">
        <v>748</v>
      </c>
      <c r="L2919">
        <v>13002.99</v>
      </c>
      <c r="M2919">
        <v>13002.99</v>
      </c>
      <c r="N2919" t="s">
        <v>710</v>
      </c>
      <c r="O2919" t="s">
        <v>1040</v>
      </c>
      <c r="P2919" t="s">
        <v>4782</v>
      </c>
      <c r="Q2919" t="s">
        <v>4856</v>
      </c>
      <c r="R2919" t="s">
        <v>4773</v>
      </c>
    </row>
    <row r="2920" spans="1:18" x14ac:dyDescent="0.3">
      <c r="A2920">
        <v>786261</v>
      </c>
      <c r="B2920" t="s">
        <v>4875</v>
      </c>
      <c r="C2920" t="s">
        <v>609</v>
      </c>
      <c r="D2920" t="s">
        <v>182</v>
      </c>
      <c r="E2920" s="1">
        <v>45877</v>
      </c>
      <c r="F2920" t="s">
        <v>4336</v>
      </c>
      <c r="G2920" t="s">
        <v>2591</v>
      </c>
      <c r="H2920" t="s">
        <v>610</v>
      </c>
      <c r="I2920" t="s">
        <v>204</v>
      </c>
      <c r="J2920" s="1">
        <v>46282</v>
      </c>
      <c r="K2920" t="s">
        <v>768</v>
      </c>
      <c r="L2920">
        <v>1</v>
      </c>
      <c r="M2920">
        <v>44576</v>
      </c>
      <c r="N2920" t="s">
        <v>710</v>
      </c>
      <c r="O2920" t="s">
        <v>1037</v>
      </c>
      <c r="P2920" t="s">
        <v>4794</v>
      </c>
      <c r="Q2920" t="s">
        <v>4852</v>
      </c>
      <c r="R2920" t="s">
        <v>4772</v>
      </c>
    </row>
    <row r="2921" spans="1:18" x14ac:dyDescent="0.3">
      <c r="A2921">
        <v>384587</v>
      </c>
      <c r="B2921" t="s">
        <v>4874</v>
      </c>
      <c r="C2921" t="s">
        <v>250</v>
      </c>
      <c r="D2921" t="s">
        <v>55</v>
      </c>
      <c r="E2921" s="1">
        <v>45877</v>
      </c>
      <c r="F2921" t="s">
        <v>4391</v>
      </c>
      <c r="G2921" t="s">
        <v>2578</v>
      </c>
      <c r="H2921" t="s">
        <v>249</v>
      </c>
      <c r="I2921" t="s">
        <v>204</v>
      </c>
      <c r="J2921" s="1">
        <v>54878</v>
      </c>
      <c r="K2921" t="s">
        <v>720</v>
      </c>
      <c r="L2921">
        <v>1</v>
      </c>
      <c r="M2921">
        <v>643.59</v>
      </c>
      <c r="N2921" t="s">
        <v>719</v>
      </c>
      <c r="O2921" t="s">
        <v>1038</v>
      </c>
      <c r="P2921" t="s">
        <v>4778</v>
      </c>
      <c r="Q2921" t="s">
        <v>4858</v>
      </c>
      <c r="R2921" t="s">
        <v>4771</v>
      </c>
    </row>
    <row r="2922" spans="1:18" x14ac:dyDescent="0.3">
      <c r="A2922">
        <v>51803</v>
      </c>
      <c r="B2922" t="s">
        <v>1034</v>
      </c>
      <c r="C2922" t="s">
        <v>790</v>
      </c>
      <c r="D2922" t="s">
        <v>19</v>
      </c>
      <c r="E2922" s="1">
        <v>45877</v>
      </c>
      <c r="F2922" t="s">
        <v>4348</v>
      </c>
      <c r="G2922" t="s">
        <v>2510</v>
      </c>
      <c r="H2922" t="s">
        <v>287</v>
      </c>
      <c r="I2922" t="s">
        <v>209</v>
      </c>
      <c r="J2922" s="1">
        <v>54878</v>
      </c>
      <c r="K2922" t="s">
        <v>711</v>
      </c>
      <c r="L2922">
        <v>1</v>
      </c>
      <c r="M2922">
        <v>2950</v>
      </c>
      <c r="N2922" t="s">
        <v>710</v>
      </c>
      <c r="O2922" t="s">
        <v>1037</v>
      </c>
      <c r="P2922" t="s">
        <v>4781</v>
      </c>
      <c r="Q2922" t="s">
        <v>4852</v>
      </c>
      <c r="R2922" t="s">
        <v>4771</v>
      </c>
    </row>
    <row r="2923" spans="1:18" x14ac:dyDescent="0.3">
      <c r="A2923">
        <v>428288</v>
      </c>
      <c r="B2923" t="s">
        <v>4874</v>
      </c>
      <c r="C2923" t="s">
        <v>298</v>
      </c>
      <c r="D2923" t="s">
        <v>11</v>
      </c>
      <c r="E2923" s="1">
        <v>45877</v>
      </c>
      <c r="F2923" t="s">
        <v>4297</v>
      </c>
      <c r="G2923" t="s">
        <v>2577</v>
      </c>
      <c r="H2923" t="s">
        <v>297</v>
      </c>
      <c r="I2923" t="s">
        <v>204</v>
      </c>
      <c r="J2923" s="1">
        <v>54878</v>
      </c>
      <c r="K2923" t="s">
        <v>720</v>
      </c>
      <c r="L2923">
        <v>1</v>
      </c>
      <c r="M2923">
        <v>1225.32</v>
      </c>
      <c r="N2923" t="s">
        <v>710</v>
      </c>
      <c r="O2923" t="s">
        <v>1038</v>
      </c>
      <c r="P2923" t="s">
        <v>4779</v>
      </c>
      <c r="Q2923" t="s">
        <v>4858</v>
      </c>
      <c r="R2923" t="s">
        <v>4771</v>
      </c>
    </row>
    <row r="2924" spans="1:18" x14ac:dyDescent="0.3">
      <c r="A2924">
        <v>7</v>
      </c>
      <c r="B2924" t="s">
        <v>4874</v>
      </c>
      <c r="C2924" t="s">
        <v>607</v>
      </c>
      <c r="D2924" t="s">
        <v>81</v>
      </c>
      <c r="E2924" s="1">
        <v>45877</v>
      </c>
      <c r="F2924" t="s">
        <v>4357</v>
      </c>
      <c r="G2924" t="s">
        <v>2528</v>
      </c>
      <c r="H2924" t="s">
        <v>606</v>
      </c>
      <c r="I2924" t="s">
        <v>204</v>
      </c>
      <c r="J2924" s="1">
        <v>46387</v>
      </c>
      <c r="K2924" t="s">
        <v>720</v>
      </c>
      <c r="L2924">
        <v>1</v>
      </c>
      <c r="M2924">
        <v>26776.080000000002</v>
      </c>
      <c r="N2924" t="s">
        <v>710</v>
      </c>
      <c r="O2924" t="s">
        <v>1038</v>
      </c>
      <c r="P2924" t="s">
        <v>4777</v>
      </c>
      <c r="Q2924" t="s">
        <v>4858</v>
      </c>
      <c r="R2924" t="s">
        <v>4773</v>
      </c>
    </row>
    <row r="2925" spans="1:18" x14ac:dyDescent="0.3">
      <c r="A2925">
        <v>590896</v>
      </c>
      <c r="B2925" t="s">
        <v>4874</v>
      </c>
      <c r="C2925" t="s">
        <v>248</v>
      </c>
      <c r="D2925" t="s">
        <v>13</v>
      </c>
      <c r="E2925" s="1">
        <v>45877</v>
      </c>
      <c r="F2925" t="s">
        <v>4297</v>
      </c>
      <c r="G2925" t="s">
        <v>2592</v>
      </c>
      <c r="H2925" t="s">
        <v>247</v>
      </c>
      <c r="I2925" t="s">
        <v>204</v>
      </c>
      <c r="J2925" s="1">
        <v>54878</v>
      </c>
      <c r="K2925" t="s">
        <v>720</v>
      </c>
      <c r="L2925">
        <v>1</v>
      </c>
      <c r="M2925">
        <v>488.4</v>
      </c>
      <c r="N2925" t="s">
        <v>710</v>
      </c>
      <c r="O2925" t="s">
        <v>1038</v>
      </c>
      <c r="P2925" t="s">
        <v>4779</v>
      </c>
      <c r="Q2925" t="s">
        <v>4858</v>
      </c>
      <c r="R2925" t="s">
        <v>4773</v>
      </c>
    </row>
    <row r="2926" spans="1:18" x14ac:dyDescent="0.3">
      <c r="A2926">
        <v>786262</v>
      </c>
      <c r="B2926" t="s">
        <v>1034</v>
      </c>
      <c r="C2926" t="s">
        <v>609</v>
      </c>
      <c r="D2926" t="s">
        <v>182</v>
      </c>
      <c r="E2926" s="1">
        <v>45877</v>
      </c>
      <c r="F2926" t="s">
        <v>4336</v>
      </c>
      <c r="G2926" t="s">
        <v>2590</v>
      </c>
      <c r="H2926" t="s">
        <v>608</v>
      </c>
      <c r="I2926" t="s">
        <v>204</v>
      </c>
      <c r="J2926" s="1">
        <v>46281</v>
      </c>
      <c r="K2926" t="s">
        <v>717</v>
      </c>
      <c r="L2926">
        <v>1</v>
      </c>
      <c r="M2926">
        <v>185512.22</v>
      </c>
      <c r="N2926" t="s">
        <v>719</v>
      </c>
      <c r="O2926" t="s">
        <v>1037</v>
      </c>
      <c r="P2926" t="s">
        <v>4794</v>
      </c>
      <c r="Q2926" t="s">
        <v>4852</v>
      </c>
      <c r="R2926" t="s">
        <v>4772</v>
      </c>
    </row>
    <row r="2927" spans="1:18" x14ac:dyDescent="0.3">
      <c r="A2927">
        <v>788549</v>
      </c>
      <c r="B2927" t="s">
        <v>1034</v>
      </c>
      <c r="C2927" t="s">
        <v>609</v>
      </c>
      <c r="D2927" t="s">
        <v>182</v>
      </c>
      <c r="E2927" s="1">
        <v>45877</v>
      </c>
      <c r="F2927" t="s">
        <v>4336</v>
      </c>
      <c r="G2927" t="s">
        <v>2590</v>
      </c>
      <c r="H2927" t="s">
        <v>608</v>
      </c>
      <c r="I2927" t="s">
        <v>204</v>
      </c>
      <c r="J2927" s="1">
        <v>46281</v>
      </c>
      <c r="K2927" t="s">
        <v>717</v>
      </c>
      <c r="L2927">
        <v>1</v>
      </c>
      <c r="M2927">
        <v>31992.68</v>
      </c>
      <c r="N2927" t="s">
        <v>719</v>
      </c>
      <c r="O2927" t="s">
        <v>1037</v>
      </c>
      <c r="P2927" t="s">
        <v>4794</v>
      </c>
      <c r="Q2927" t="s">
        <v>4852</v>
      </c>
      <c r="R2927" t="s">
        <v>4772</v>
      </c>
    </row>
    <row r="2928" spans="1:18" x14ac:dyDescent="0.3">
      <c r="A2928">
        <v>788548</v>
      </c>
      <c r="B2928" t="s">
        <v>4875</v>
      </c>
      <c r="C2928" t="s">
        <v>609</v>
      </c>
      <c r="D2928" t="s">
        <v>182</v>
      </c>
      <c r="E2928" s="1">
        <v>45877</v>
      </c>
      <c r="F2928" t="s">
        <v>4336</v>
      </c>
      <c r="G2928" t="s">
        <v>2591</v>
      </c>
      <c r="H2928" t="s">
        <v>610</v>
      </c>
      <c r="I2928" t="s">
        <v>204</v>
      </c>
      <c r="J2928" s="1">
        <v>46282</v>
      </c>
      <c r="K2928" t="s">
        <v>768</v>
      </c>
      <c r="L2928">
        <v>1</v>
      </c>
      <c r="M2928">
        <v>6061.74</v>
      </c>
      <c r="N2928" t="s">
        <v>710</v>
      </c>
      <c r="O2928" t="s">
        <v>1037</v>
      </c>
      <c r="P2928" t="s">
        <v>4794</v>
      </c>
      <c r="Q2928" t="s">
        <v>4852</v>
      </c>
      <c r="R2928" t="s">
        <v>4772</v>
      </c>
    </row>
    <row r="2929" spans="1:18" x14ac:dyDescent="0.3">
      <c r="A2929">
        <v>180447375</v>
      </c>
      <c r="B2929" t="s">
        <v>1034</v>
      </c>
      <c r="C2929" t="s">
        <v>585</v>
      </c>
      <c r="D2929" t="s">
        <v>179</v>
      </c>
      <c r="E2929" s="1">
        <v>45876</v>
      </c>
      <c r="F2929" t="s">
        <v>4306</v>
      </c>
      <c r="G2929" t="s">
        <v>2583</v>
      </c>
      <c r="H2929" t="s">
        <v>584</v>
      </c>
      <c r="I2929" t="s">
        <v>204</v>
      </c>
      <c r="J2929" s="1">
        <v>46477</v>
      </c>
      <c r="K2929" t="s">
        <v>717</v>
      </c>
      <c r="L2929">
        <v>1139.9000000000001</v>
      </c>
      <c r="M2929">
        <v>1139.9000000000001</v>
      </c>
      <c r="N2929" t="s">
        <v>719</v>
      </c>
      <c r="O2929" t="s">
        <v>4833</v>
      </c>
      <c r="P2929" t="s">
        <v>4786</v>
      </c>
      <c r="Q2929" t="s">
        <v>4852</v>
      </c>
      <c r="R2929" t="s">
        <v>4771</v>
      </c>
    </row>
    <row r="2930" spans="1:18" x14ac:dyDescent="0.3">
      <c r="A2930">
        <v>41975</v>
      </c>
      <c r="B2930" t="s">
        <v>1034</v>
      </c>
      <c r="C2930" t="s">
        <v>327</v>
      </c>
      <c r="D2930" t="s">
        <v>159</v>
      </c>
      <c r="E2930" s="1">
        <v>45876</v>
      </c>
      <c r="F2930" t="s">
        <v>4295</v>
      </c>
      <c r="G2930" t="s">
        <v>2555</v>
      </c>
      <c r="H2930" t="s">
        <v>357</v>
      </c>
      <c r="I2930" t="s">
        <v>204</v>
      </c>
      <c r="J2930" s="1">
        <v>46476</v>
      </c>
      <c r="K2930" t="s">
        <v>711</v>
      </c>
      <c r="L2930">
        <v>2150</v>
      </c>
      <c r="M2930">
        <v>2150</v>
      </c>
      <c r="N2930" t="s">
        <v>890</v>
      </c>
      <c r="O2930" t="s">
        <v>4834</v>
      </c>
      <c r="P2930" t="s">
        <v>4776</v>
      </c>
      <c r="Q2930" t="s">
        <v>4901</v>
      </c>
      <c r="R2930" t="s">
        <v>4773</v>
      </c>
    </row>
    <row r="2931" spans="1:18" x14ac:dyDescent="0.3">
      <c r="A2931">
        <v>41976</v>
      </c>
      <c r="B2931" t="s">
        <v>1034</v>
      </c>
      <c r="C2931" t="s">
        <v>327</v>
      </c>
      <c r="D2931" t="s">
        <v>159</v>
      </c>
      <c r="E2931" s="1">
        <v>45876</v>
      </c>
      <c r="F2931" t="s">
        <v>4295</v>
      </c>
      <c r="G2931" t="s">
        <v>2556</v>
      </c>
      <c r="H2931" t="s">
        <v>357</v>
      </c>
      <c r="I2931" t="s">
        <v>204</v>
      </c>
      <c r="J2931" s="1">
        <v>46476</v>
      </c>
      <c r="K2931" t="s">
        <v>711</v>
      </c>
      <c r="L2931">
        <v>1219.05</v>
      </c>
      <c r="M2931">
        <v>1219.05</v>
      </c>
      <c r="N2931" t="s">
        <v>890</v>
      </c>
      <c r="O2931" t="s">
        <v>4834</v>
      </c>
      <c r="P2931" t="s">
        <v>4776</v>
      </c>
      <c r="Q2931" t="s">
        <v>4901</v>
      </c>
      <c r="R2931" t="s">
        <v>4773</v>
      </c>
    </row>
    <row r="2932" spans="1:18" x14ac:dyDescent="0.3">
      <c r="A2932">
        <v>114499</v>
      </c>
      <c r="B2932" t="s">
        <v>1034</v>
      </c>
      <c r="C2932" t="s">
        <v>497</v>
      </c>
      <c r="D2932" t="s">
        <v>58</v>
      </c>
      <c r="E2932" s="1">
        <v>45876</v>
      </c>
      <c r="F2932" t="s">
        <v>4354</v>
      </c>
      <c r="G2932" t="s">
        <v>2562</v>
      </c>
      <c r="H2932" t="s">
        <v>496</v>
      </c>
      <c r="I2932" t="s">
        <v>204</v>
      </c>
      <c r="J2932" s="1">
        <v>46265</v>
      </c>
      <c r="K2932" t="s">
        <v>717</v>
      </c>
      <c r="L2932">
        <v>4985.58</v>
      </c>
      <c r="M2932">
        <v>4985.58</v>
      </c>
      <c r="N2932" t="s">
        <v>710</v>
      </c>
      <c r="O2932" t="s">
        <v>4833</v>
      </c>
      <c r="P2932" t="s">
        <v>4776</v>
      </c>
      <c r="Q2932" t="s">
        <v>4852</v>
      </c>
      <c r="R2932" t="s">
        <v>4773</v>
      </c>
    </row>
    <row r="2933" spans="1:18" x14ac:dyDescent="0.3">
      <c r="A2933">
        <v>116626</v>
      </c>
      <c r="B2933" t="s">
        <v>1034</v>
      </c>
      <c r="C2933" t="s">
        <v>376</v>
      </c>
      <c r="D2933" t="s">
        <v>35</v>
      </c>
      <c r="E2933" s="1">
        <v>45876</v>
      </c>
      <c r="F2933" t="s">
        <v>4302</v>
      </c>
      <c r="G2933" t="s">
        <v>2572</v>
      </c>
      <c r="H2933" t="s">
        <v>377</v>
      </c>
      <c r="I2933" t="s">
        <v>209</v>
      </c>
      <c r="J2933" s="1">
        <v>54878</v>
      </c>
      <c r="K2933" t="s">
        <v>717</v>
      </c>
      <c r="L2933">
        <v>41471.199999999997</v>
      </c>
      <c r="M2933">
        <v>41471.199999999997</v>
      </c>
      <c r="N2933" t="s">
        <v>710</v>
      </c>
      <c r="Q2933" t="s">
        <v>4852</v>
      </c>
      <c r="R2933" t="s">
        <v>4771</v>
      </c>
    </row>
    <row r="2934" spans="1:18" x14ac:dyDescent="0.3">
      <c r="A2934">
        <v>46372</v>
      </c>
      <c r="B2934" t="s">
        <v>1034</v>
      </c>
      <c r="C2934" t="s">
        <v>497</v>
      </c>
      <c r="D2934" t="s">
        <v>58</v>
      </c>
      <c r="E2934" s="1">
        <v>45876</v>
      </c>
      <c r="F2934" t="s">
        <v>4316</v>
      </c>
      <c r="G2934" t="s">
        <v>2563</v>
      </c>
      <c r="H2934" t="s">
        <v>498</v>
      </c>
      <c r="I2934" t="s">
        <v>204</v>
      </c>
      <c r="J2934" s="1">
        <v>46265</v>
      </c>
      <c r="K2934" t="s">
        <v>717</v>
      </c>
      <c r="L2934">
        <v>537.17999999999995</v>
      </c>
      <c r="M2934">
        <v>537.17999999999995</v>
      </c>
      <c r="N2934" t="s">
        <v>710</v>
      </c>
      <c r="O2934" t="s">
        <v>4833</v>
      </c>
      <c r="P2934" t="s">
        <v>4776</v>
      </c>
      <c r="Q2934" t="s">
        <v>4852</v>
      </c>
      <c r="R2934" t="s">
        <v>4773</v>
      </c>
    </row>
    <row r="2935" spans="1:18" x14ac:dyDescent="0.3">
      <c r="A2935">
        <v>12271</v>
      </c>
      <c r="B2935" t="s">
        <v>1034</v>
      </c>
      <c r="C2935" t="s">
        <v>598</v>
      </c>
      <c r="D2935" t="s">
        <v>128</v>
      </c>
      <c r="E2935" s="1">
        <v>45876</v>
      </c>
      <c r="F2935" t="s">
        <v>4336</v>
      </c>
      <c r="G2935" t="s">
        <v>2566</v>
      </c>
      <c r="H2935" t="s">
        <v>597</v>
      </c>
      <c r="I2935" t="s">
        <v>204</v>
      </c>
      <c r="J2935" s="1">
        <v>45839</v>
      </c>
      <c r="K2935" t="s">
        <v>717</v>
      </c>
      <c r="L2935">
        <v>5075.9799999999996</v>
      </c>
      <c r="M2935">
        <v>5075.9799999999996</v>
      </c>
      <c r="N2935" t="s">
        <v>710</v>
      </c>
      <c r="O2935" t="s">
        <v>1037</v>
      </c>
      <c r="P2935" t="s">
        <v>4794</v>
      </c>
      <c r="Q2935" t="s">
        <v>4852</v>
      </c>
      <c r="R2935" t="s">
        <v>4772</v>
      </c>
    </row>
    <row r="2936" spans="1:18" x14ac:dyDescent="0.3">
      <c r="A2936">
        <v>100360</v>
      </c>
      <c r="B2936" t="s">
        <v>1034</v>
      </c>
      <c r="C2936" t="s">
        <v>502</v>
      </c>
      <c r="D2936" t="s">
        <v>2</v>
      </c>
      <c r="E2936" s="1">
        <v>45876</v>
      </c>
      <c r="F2936" t="s">
        <v>4303</v>
      </c>
      <c r="G2936" t="s">
        <v>2586</v>
      </c>
      <c r="H2936" t="s">
        <v>501</v>
      </c>
      <c r="I2936" t="s">
        <v>204</v>
      </c>
      <c r="J2936" s="1">
        <v>54878</v>
      </c>
      <c r="K2936" t="s">
        <v>717</v>
      </c>
      <c r="L2936">
        <v>1884.23</v>
      </c>
      <c r="M2936">
        <v>1884.23</v>
      </c>
      <c r="N2936" t="s">
        <v>710</v>
      </c>
      <c r="O2936" t="s">
        <v>4833</v>
      </c>
      <c r="P2936" t="s">
        <v>4776</v>
      </c>
      <c r="Q2936" t="s">
        <v>4852</v>
      </c>
      <c r="R2936" t="s">
        <v>4774</v>
      </c>
    </row>
    <row r="2937" spans="1:18" x14ac:dyDescent="0.3">
      <c r="A2937">
        <v>338</v>
      </c>
      <c r="B2937" t="s">
        <v>1034</v>
      </c>
      <c r="C2937" t="s">
        <v>638</v>
      </c>
      <c r="D2937" t="s">
        <v>134</v>
      </c>
      <c r="E2937" s="1">
        <v>45876</v>
      </c>
      <c r="F2937" t="s">
        <v>4296</v>
      </c>
      <c r="G2937" t="s">
        <v>2527</v>
      </c>
      <c r="H2937" t="s">
        <v>637</v>
      </c>
      <c r="I2937" t="s">
        <v>204</v>
      </c>
      <c r="J2937" s="1">
        <v>46537</v>
      </c>
      <c r="K2937" t="s">
        <v>711</v>
      </c>
      <c r="L2937">
        <v>1941</v>
      </c>
      <c r="M2937">
        <v>1941</v>
      </c>
      <c r="N2937" t="s">
        <v>710</v>
      </c>
      <c r="O2937" t="s">
        <v>1036</v>
      </c>
      <c r="P2937" t="s">
        <v>4776</v>
      </c>
      <c r="Q2937" t="s">
        <v>4901</v>
      </c>
    </row>
    <row r="2938" spans="1:18" x14ac:dyDescent="0.3">
      <c r="A2938">
        <v>12263</v>
      </c>
      <c r="B2938" t="s">
        <v>4874</v>
      </c>
      <c r="C2938" t="s">
        <v>598</v>
      </c>
      <c r="D2938" t="s">
        <v>128</v>
      </c>
      <c r="E2938" s="1">
        <v>45876</v>
      </c>
      <c r="F2938" t="s">
        <v>4336</v>
      </c>
      <c r="G2938" t="s">
        <v>2565</v>
      </c>
      <c r="H2938" t="s">
        <v>599</v>
      </c>
      <c r="I2938" t="s">
        <v>204</v>
      </c>
      <c r="J2938" s="1">
        <v>45869</v>
      </c>
      <c r="K2938" t="s">
        <v>762</v>
      </c>
      <c r="L2938">
        <v>3854.66</v>
      </c>
      <c r="M2938">
        <v>3854.66</v>
      </c>
      <c r="N2938" t="s">
        <v>710</v>
      </c>
      <c r="O2938" t="s">
        <v>1037</v>
      </c>
      <c r="P2938" t="s">
        <v>4794</v>
      </c>
      <c r="Q2938" t="s">
        <v>4852</v>
      </c>
      <c r="R2938" t="s">
        <v>4772</v>
      </c>
    </row>
    <row r="2939" spans="1:18" x14ac:dyDescent="0.3">
      <c r="A2939">
        <v>180447374</v>
      </c>
      <c r="B2939" t="s">
        <v>4875</v>
      </c>
      <c r="C2939" t="s">
        <v>585</v>
      </c>
      <c r="D2939" t="s">
        <v>179</v>
      </c>
      <c r="E2939" s="1">
        <v>45876</v>
      </c>
      <c r="F2939" t="s">
        <v>4306</v>
      </c>
      <c r="G2939" t="s">
        <v>2585</v>
      </c>
      <c r="H2939" t="s">
        <v>586</v>
      </c>
      <c r="I2939" t="s">
        <v>204</v>
      </c>
      <c r="J2939" s="1">
        <v>46477</v>
      </c>
      <c r="K2939" t="s">
        <v>768</v>
      </c>
      <c r="L2939">
        <v>1139.9000000000001</v>
      </c>
      <c r="M2939">
        <v>1139.9000000000001</v>
      </c>
      <c r="N2939" t="s">
        <v>719</v>
      </c>
      <c r="O2939" t="s">
        <v>4833</v>
      </c>
      <c r="P2939" t="s">
        <v>4786</v>
      </c>
      <c r="Q2939" t="s">
        <v>4852</v>
      </c>
      <c r="R2939" t="s">
        <v>4771</v>
      </c>
    </row>
    <row r="2940" spans="1:18" x14ac:dyDescent="0.3">
      <c r="A2940">
        <v>97254</v>
      </c>
      <c r="B2940" t="s">
        <v>4874</v>
      </c>
      <c r="C2940" t="s">
        <v>376</v>
      </c>
      <c r="D2940" t="s">
        <v>35</v>
      </c>
      <c r="E2940" s="1">
        <v>45876</v>
      </c>
      <c r="F2940" t="s">
        <v>4324</v>
      </c>
      <c r="G2940" t="s">
        <v>2570</v>
      </c>
      <c r="H2940" t="s">
        <v>442</v>
      </c>
      <c r="I2940" t="s">
        <v>209</v>
      </c>
      <c r="J2940" s="1">
        <v>54878</v>
      </c>
      <c r="K2940" t="s">
        <v>762</v>
      </c>
      <c r="L2940">
        <v>966.32</v>
      </c>
      <c r="M2940">
        <v>966.32</v>
      </c>
      <c r="N2940" t="s">
        <v>710</v>
      </c>
      <c r="Q2940" t="s">
        <v>4852</v>
      </c>
      <c r="R2940" t="s">
        <v>4771</v>
      </c>
    </row>
    <row r="2941" spans="1:18" x14ac:dyDescent="0.3">
      <c r="A2941">
        <v>72892</v>
      </c>
      <c r="B2941" t="s">
        <v>4874</v>
      </c>
      <c r="C2941" t="s">
        <v>376</v>
      </c>
      <c r="D2941" t="s">
        <v>35</v>
      </c>
      <c r="E2941" s="1">
        <v>45876</v>
      </c>
      <c r="F2941" t="s">
        <v>4324</v>
      </c>
      <c r="G2941" t="s">
        <v>2570</v>
      </c>
      <c r="H2941" t="s">
        <v>442</v>
      </c>
      <c r="I2941" t="s">
        <v>209</v>
      </c>
      <c r="J2941" s="1">
        <v>54878</v>
      </c>
      <c r="K2941" t="s">
        <v>762</v>
      </c>
      <c r="L2941">
        <v>4115</v>
      </c>
      <c r="M2941">
        <v>4115</v>
      </c>
      <c r="N2941" t="s">
        <v>710</v>
      </c>
      <c r="Q2941" t="s">
        <v>4852</v>
      </c>
      <c r="R2941" t="s">
        <v>4771</v>
      </c>
    </row>
    <row r="2942" spans="1:18" x14ac:dyDescent="0.3">
      <c r="A2942">
        <v>110615</v>
      </c>
      <c r="B2942" t="s">
        <v>4874</v>
      </c>
      <c r="C2942" t="s">
        <v>379</v>
      </c>
      <c r="D2942" t="s">
        <v>131</v>
      </c>
      <c r="E2942" s="1">
        <v>45876</v>
      </c>
      <c r="F2942" t="s">
        <v>4315</v>
      </c>
      <c r="G2942" t="s">
        <v>2564</v>
      </c>
      <c r="H2942" t="s">
        <v>378</v>
      </c>
      <c r="I2942" t="s">
        <v>204</v>
      </c>
      <c r="J2942" s="1">
        <v>54878</v>
      </c>
      <c r="K2942" t="s">
        <v>762</v>
      </c>
      <c r="L2942">
        <v>68.510000000000005</v>
      </c>
      <c r="M2942">
        <v>68.510000000000005</v>
      </c>
      <c r="N2942" t="s">
        <v>710</v>
      </c>
      <c r="O2942" t="s">
        <v>4833</v>
      </c>
      <c r="P2942" t="s">
        <v>4776</v>
      </c>
      <c r="Q2942" t="s">
        <v>4852</v>
      </c>
      <c r="R2942" t="s">
        <v>4773</v>
      </c>
    </row>
    <row r="2943" spans="1:18" x14ac:dyDescent="0.3">
      <c r="A2943">
        <v>82554</v>
      </c>
      <c r="B2943" t="s">
        <v>4874</v>
      </c>
      <c r="C2943" t="s">
        <v>422</v>
      </c>
      <c r="D2943" t="s">
        <v>37</v>
      </c>
      <c r="E2943" s="1">
        <v>45876</v>
      </c>
      <c r="F2943" t="s">
        <v>4306</v>
      </c>
      <c r="G2943" t="s">
        <v>2576</v>
      </c>
      <c r="H2943" t="s">
        <v>421</v>
      </c>
      <c r="I2943" t="s">
        <v>204</v>
      </c>
      <c r="J2943" s="1">
        <v>46080</v>
      </c>
      <c r="K2943" t="s">
        <v>762</v>
      </c>
      <c r="L2943">
        <v>800</v>
      </c>
      <c r="M2943">
        <v>800</v>
      </c>
      <c r="N2943" t="s">
        <v>710</v>
      </c>
      <c r="O2943" t="s">
        <v>4833</v>
      </c>
      <c r="P2943" t="s">
        <v>4786</v>
      </c>
      <c r="Q2943" t="s">
        <v>4852</v>
      </c>
      <c r="R2943" t="s">
        <v>4773</v>
      </c>
    </row>
    <row r="2944" spans="1:18" x14ac:dyDescent="0.3">
      <c r="A2944">
        <v>57971</v>
      </c>
      <c r="B2944" t="s">
        <v>4874</v>
      </c>
      <c r="C2944" t="s">
        <v>514</v>
      </c>
      <c r="D2944" t="s">
        <v>47</v>
      </c>
      <c r="E2944" s="1">
        <v>45876</v>
      </c>
      <c r="F2944" t="s">
        <v>4362</v>
      </c>
      <c r="G2944" t="s">
        <v>2588</v>
      </c>
      <c r="H2944" t="s">
        <v>513</v>
      </c>
      <c r="I2944" t="s">
        <v>204</v>
      </c>
      <c r="J2944" s="1">
        <v>46386</v>
      </c>
      <c r="K2944" t="s">
        <v>762</v>
      </c>
      <c r="L2944">
        <v>6603.19</v>
      </c>
      <c r="M2944">
        <v>6603.19</v>
      </c>
      <c r="N2944" t="s">
        <v>710</v>
      </c>
      <c r="O2944" t="s">
        <v>4833</v>
      </c>
      <c r="P2944" t="s">
        <v>4779</v>
      </c>
      <c r="Q2944" t="s">
        <v>4852</v>
      </c>
    </row>
    <row r="2945" spans="1:18" x14ac:dyDescent="0.3">
      <c r="A2945">
        <v>867</v>
      </c>
      <c r="B2945" t="s">
        <v>4874</v>
      </c>
      <c r="C2945" t="s">
        <v>216</v>
      </c>
      <c r="D2945" t="s">
        <v>141</v>
      </c>
      <c r="E2945" s="1">
        <v>45876</v>
      </c>
      <c r="F2945" t="s">
        <v>4305</v>
      </c>
      <c r="G2945" t="s">
        <v>2574</v>
      </c>
      <c r="H2945" t="s">
        <v>215</v>
      </c>
      <c r="I2945" t="s">
        <v>204</v>
      </c>
      <c r="J2945" s="1">
        <v>54878</v>
      </c>
      <c r="K2945" t="s">
        <v>720</v>
      </c>
      <c r="L2945">
        <v>5400</v>
      </c>
      <c r="M2945">
        <v>5400</v>
      </c>
      <c r="N2945" t="s">
        <v>710</v>
      </c>
      <c r="O2945" t="s">
        <v>1038</v>
      </c>
      <c r="P2945" t="s">
        <v>4777</v>
      </c>
      <c r="Q2945" t="s">
        <v>4858</v>
      </c>
      <c r="R2945" t="s">
        <v>4771</v>
      </c>
    </row>
    <row r="2946" spans="1:18" x14ac:dyDescent="0.3">
      <c r="A2946">
        <v>12279</v>
      </c>
      <c r="B2946" t="s">
        <v>4875</v>
      </c>
      <c r="C2946" t="s">
        <v>598</v>
      </c>
      <c r="D2946" t="s">
        <v>128</v>
      </c>
      <c r="E2946" s="1">
        <v>45876</v>
      </c>
      <c r="F2946" t="s">
        <v>4336</v>
      </c>
      <c r="G2946" t="s">
        <v>2567</v>
      </c>
      <c r="H2946" t="s">
        <v>600</v>
      </c>
      <c r="I2946" t="s">
        <v>204</v>
      </c>
      <c r="J2946" s="1">
        <v>45869</v>
      </c>
      <c r="K2946" t="s">
        <v>768</v>
      </c>
      <c r="L2946">
        <v>834.12</v>
      </c>
      <c r="M2946">
        <v>834.12</v>
      </c>
      <c r="N2946" t="s">
        <v>710</v>
      </c>
      <c r="O2946" t="s">
        <v>1037</v>
      </c>
      <c r="P2946" t="s">
        <v>4794</v>
      </c>
      <c r="Q2946" t="s">
        <v>4852</v>
      </c>
      <c r="R2946" t="s">
        <v>4772</v>
      </c>
    </row>
    <row r="2947" spans="1:18" x14ac:dyDescent="0.3">
      <c r="A2947">
        <v>280</v>
      </c>
      <c r="B2947" t="s">
        <v>4875</v>
      </c>
      <c r="C2947" t="s">
        <v>638</v>
      </c>
      <c r="D2947" t="s">
        <v>134</v>
      </c>
      <c r="E2947" s="1">
        <v>45876</v>
      </c>
      <c r="F2947" t="s">
        <v>4296</v>
      </c>
      <c r="G2947" t="s">
        <v>2489</v>
      </c>
      <c r="H2947" t="s">
        <v>639</v>
      </c>
      <c r="I2947" t="s">
        <v>204</v>
      </c>
      <c r="J2947" s="1">
        <v>46537</v>
      </c>
      <c r="K2947" t="s">
        <v>748</v>
      </c>
      <c r="L2947">
        <v>1</v>
      </c>
      <c r="M2947">
        <v>1301</v>
      </c>
      <c r="N2947" t="s">
        <v>710</v>
      </c>
      <c r="O2947" t="s">
        <v>1040</v>
      </c>
      <c r="P2947" t="s">
        <v>4776</v>
      </c>
      <c r="Q2947" t="s">
        <v>4856</v>
      </c>
    </row>
    <row r="2948" spans="1:18" x14ac:dyDescent="0.3">
      <c r="A2948">
        <v>84551</v>
      </c>
      <c r="B2948" t="s">
        <v>4875</v>
      </c>
      <c r="C2948" t="s">
        <v>319</v>
      </c>
      <c r="D2948" t="s">
        <v>36</v>
      </c>
      <c r="E2948" s="1">
        <v>45876</v>
      </c>
      <c r="F2948" t="s">
        <v>4434</v>
      </c>
      <c r="G2948" t="s">
        <v>2452</v>
      </c>
      <c r="H2948" t="s">
        <v>336</v>
      </c>
      <c r="I2948" t="s">
        <v>204</v>
      </c>
      <c r="J2948" s="1">
        <v>46075</v>
      </c>
      <c r="K2948" t="s">
        <v>748</v>
      </c>
      <c r="L2948">
        <v>27600.21</v>
      </c>
      <c r="M2948">
        <v>27600.21</v>
      </c>
      <c r="N2948" t="s">
        <v>710</v>
      </c>
      <c r="O2948" t="s">
        <v>1040</v>
      </c>
      <c r="P2948" t="s">
        <v>4784</v>
      </c>
      <c r="Q2948" t="s">
        <v>4856</v>
      </c>
      <c r="R2948" t="s">
        <v>4771</v>
      </c>
    </row>
    <row r="2949" spans="1:18" x14ac:dyDescent="0.3">
      <c r="A2949">
        <v>312</v>
      </c>
      <c r="B2949" t="s">
        <v>1034</v>
      </c>
      <c r="C2949" t="s">
        <v>479</v>
      </c>
      <c r="D2949" t="s">
        <v>99</v>
      </c>
      <c r="E2949" s="1">
        <v>45875</v>
      </c>
      <c r="F2949" t="s">
        <v>4376</v>
      </c>
      <c r="G2949" t="s">
        <v>2584</v>
      </c>
      <c r="H2949" t="s">
        <v>478</v>
      </c>
      <c r="I2949" t="s">
        <v>204</v>
      </c>
      <c r="J2949" s="1">
        <v>46239</v>
      </c>
      <c r="K2949" t="s">
        <v>717</v>
      </c>
      <c r="L2949">
        <v>13</v>
      </c>
      <c r="M2949">
        <v>155.74</v>
      </c>
      <c r="N2949" t="s">
        <v>710</v>
      </c>
      <c r="O2949" t="s">
        <v>1037</v>
      </c>
      <c r="P2949" t="s">
        <v>4790</v>
      </c>
      <c r="Q2949" t="s">
        <v>4852</v>
      </c>
      <c r="R2949" t="s">
        <v>4772</v>
      </c>
    </row>
    <row r="2950" spans="1:18" x14ac:dyDescent="0.3">
      <c r="A2950">
        <v>312</v>
      </c>
      <c r="B2950" t="s">
        <v>1034</v>
      </c>
      <c r="C2950" t="s">
        <v>479</v>
      </c>
      <c r="D2950" t="s">
        <v>99</v>
      </c>
      <c r="E2950" s="1">
        <v>45875</v>
      </c>
      <c r="F2950" t="s">
        <v>4375</v>
      </c>
      <c r="G2950" t="s">
        <v>2584</v>
      </c>
      <c r="H2950" t="s">
        <v>478</v>
      </c>
      <c r="I2950" t="s">
        <v>204</v>
      </c>
      <c r="J2950" s="1">
        <v>46239</v>
      </c>
      <c r="K2950" t="s">
        <v>717</v>
      </c>
      <c r="L2950">
        <v>39</v>
      </c>
      <c r="M2950">
        <v>467.22</v>
      </c>
      <c r="N2950" t="s">
        <v>710</v>
      </c>
      <c r="O2950" t="s">
        <v>1037</v>
      </c>
      <c r="P2950" t="s">
        <v>4790</v>
      </c>
      <c r="Q2950" t="s">
        <v>4852</v>
      </c>
      <c r="R2950" t="s">
        <v>4772</v>
      </c>
    </row>
    <row r="2951" spans="1:18" x14ac:dyDescent="0.3">
      <c r="A2951">
        <v>312</v>
      </c>
      <c r="B2951" t="s">
        <v>1034</v>
      </c>
      <c r="C2951" t="s">
        <v>479</v>
      </c>
      <c r="D2951" t="s">
        <v>99</v>
      </c>
      <c r="E2951" s="1">
        <v>45875</v>
      </c>
      <c r="F2951" t="s">
        <v>4373</v>
      </c>
      <c r="G2951" t="s">
        <v>2584</v>
      </c>
      <c r="H2951" t="s">
        <v>478</v>
      </c>
      <c r="I2951" t="s">
        <v>204</v>
      </c>
      <c r="J2951" s="1">
        <v>46239</v>
      </c>
      <c r="K2951" t="s">
        <v>717</v>
      </c>
      <c r="L2951">
        <v>18</v>
      </c>
      <c r="M2951">
        <v>277.56</v>
      </c>
      <c r="N2951" t="s">
        <v>710</v>
      </c>
      <c r="O2951" t="s">
        <v>1037</v>
      </c>
      <c r="P2951" t="s">
        <v>4790</v>
      </c>
      <c r="Q2951" t="s">
        <v>4852</v>
      </c>
      <c r="R2951" t="s">
        <v>4772</v>
      </c>
    </row>
    <row r="2952" spans="1:18" x14ac:dyDescent="0.3">
      <c r="A2952">
        <v>769</v>
      </c>
      <c r="B2952" t="s">
        <v>1034</v>
      </c>
      <c r="C2952" t="s">
        <v>603</v>
      </c>
      <c r="D2952" t="s">
        <v>69</v>
      </c>
      <c r="E2952" s="1">
        <v>45875</v>
      </c>
      <c r="F2952" t="s">
        <v>4345</v>
      </c>
      <c r="G2952" t="s">
        <v>1049</v>
      </c>
      <c r="H2952" t="s">
        <v>602</v>
      </c>
      <c r="I2952" t="s">
        <v>209</v>
      </c>
      <c r="J2952" s="1">
        <v>46276</v>
      </c>
      <c r="K2952" t="s">
        <v>720</v>
      </c>
      <c r="L2952">
        <v>1</v>
      </c>
      <c r="M2952">
        <v>2918.6</v>
      </c>
      <c r="N2952" t="s">
        <v>954</v>
      </c>
      <c r="O2952" t="s">
        <v>4834</v>
      </c>
      <c r="P2952" t="s">
        <v>952</v>
      </c>
      <c r="Q2952" t="s">
        <v>4901</v>
      </c>
      <c r="R2952" t="s">
        <v>4771</v>
      </c>
    </row>
    <row r="2953" spans="1:18" x14ac:dyDescent="0.3">
      <c r="A2953">
        <v>312</v>
      </c>
      <c r="B2953" t="s">
        <v>1034</v>
      </c>
      <c r="C2953" t="s">
        <v>479</v>
      </c>
      <c r="D2953" t="s">
        <v>99</v>
      </c>
      <c r="E2953" s="1">
        <v>45875</v>
      </c>
      <c r="F2953" t="s">
        <v>4374</v>
      </c>
      <c r="G2953" t="s">
        <v>2584</v>
      </c>
      <c r="H2953" t="s">
        <v>478</v>
      </c>
      <c r="I2953" t="s">
        <v>204</v>
      </c>
      <c r="J2953" s="1">
        <v>46239</v>
      </c>
      <c r="K2953" t="s">
        <v>717</v>
      </c>
      <c r="L2953">
        <v>16</v>
      </c>
      <c r="M2953">
        <v>360.48</v>
      </c>
      <c r="N2953" t="s">
        <v>710</v>
      </c>
      <c r="O2953" t="s">
        <v>1037</v>
      </c>
      <c r="P2953" t="s">
        <v>4790</v>
      </c>
      <c r="Q2953" t="s">
        <v>4852</v>
      </c>
      <c r="R2953" t="s">
        <v>4772</v>
      </c>
    </row>
    <row r="2954" spans="1:18" x14ac:dyDescent="0.3">
      <c r="A2954">
        <v>42161</v>
      </c>
      <c r="B2954" t="s">
        <v>1034</v>
      </c>
      <c r="C2954" t="s">
        <v>220</v>
      </c>
      <c r="D2954" t="s">
        <v>15</v>
      </c>
      <c r="E2954" s="1">
        <v>45875</v>
      </c>
      <c r="F2954" t="s">
        <v>4304</v>
      </c>
      <c r="G2954" t="s">
        <v>2457</v>
      </c>
      <c r="H2954" t="s">
        <v>219</v>
      </c>
      <c r="I2954" t="s">
        <v>204</v>
      </c>
      <c r="J2954" s="1">
        <v>54878</v>
      </c>
      <c r="K2954" t="s">
        <v>711</v>
      </c>
      <c r="L2954">
        <v>756</v>
      </c>
      <c r="M2954">
        <v>756</v>
      </c>
      <c r="N2954" t="s">
        <v>710</v>
      </c>
      <c r="O2954" t="s">
        <v>4834</v>
      </c>
      <c r="P2954" t="s">
        <v>4776</v>
      </c>
      <c r="Q2954" t="s">
        <v>4901</v>
      </c>
      <c r="R2954" t="s">
        <v>4773</v>
      </c>
    </row>
    <row r="2955" spans="1:18" x14ac:dyDescent="0.3">
      <c r="A2955">
        <v>312</v>
      </c>
      <c r="B2955" t="s">
        <v>1034</v>
      </c>
      <c r="C2955" t="s">
        <v>479</v>
      </c>
      <c r="D2955" t="s">
        <v>99</v>
      </c>
      <c r="E2955" s="1">
        <v>45875</v>
      </c>
      <c r="F2955" t="s">
        <v>4376</v>
      </c>
      <c r="G2955" t="s">
        <v>2584</v>
      </c>
      <c r="H2955" t="s">
        <v>478</v>
      </c>
      <c r="I2955" t="s">
        <v>204</v>
      </c>
      <c r="J2955" s="1">
        <v>46239</v>
      </c>
      <c r="K2955" t="s">
        <v>717</v>
      </c>
      <c r="L2955">
        <v>27</v>
      </c>
      <c r="M2955">
        <v>323.45999999999998</v>
      </c>
      <c r="N2955" t="s">
        <v>710</v>
      </c>
      <c r="O2955" t="s">
        <v>1037</v>
      </c>
      <c r="P2955" t="s">
        <v>4790</v>
      </c>
      <c r="Q2955" t="s">
        <v>4852</v>
      </c>
      <c r="R2955" t="s">
        <v>4772</v>
      </c>
    </row>
    <row r="2956" spans="1:18" x14ac:dyDescent="0.3">
      <c r="A2956">
        <v>41935</v>
      </c>
      <c r="B2956" t="s">
        <v>4875</v>
      </c>
      <c r="C2956" t="s">
        <v>327</v>
      </c>
      <c r="D2956" t="s">
        <v>159</v>
      </c>
      <c r="E2956" s="1">
        <v>45875</v>
      </c>
      <c r="F2956" t="s">
        <v>4295</v>
      </c>
      <c r="G2956" t="s">
        <v>2455</v>
      </c>
      <c r="H2956" t="s">
        <v>326</v>
      </c>
      <c r="I2956" t="s">
        <v>204</v>
      </c>
      <c r="J2956" s="1">
        <v>54878</v>
      </c>
      <c r="K2956" t="s">
        <v>748</v>
      </c>
      <c r="L2956">
        <v>3375.02</v>
      </c>
      <c r="M2956">
        <v>3375.02</v>
      </c>
      <c r="N2956" t="s">
        <v>719</v>
      </c>
      <c r="O2956" t="s">
        <v>4834</v>
      </c>
      <c r="P2956" t="s">
        <v>4776</v>
      </c>
      <c r="Q2956" t="s">
        <v>4856</v>
      </c>
      <c r="R2956" t="s">
        <v>4773</v>
      </c>
    </row>
    <row r="2957" spans="1:18" x14ac:dyDescent="0.3">
      <c r="A2957">
        <v>3238</v>
      </c>
      <c r="B2957" t="s">
        <v>4874</v>
      </c>
      <c r="C2957" t="s">
        <v>572</v>
      </c>
      <c r="D2957" t="s">
        <v>43</v>
      </c>
      <c r="E2957" s="1">
        <v>45875</v>
      </c>
      <c r="F2957" t="s">
        <v>4321</v>
      </c>
      <c r="G2957" t="s">
        <v>2505</v>
      </c>
      <c r="H2957" t="s">
        <v>571</v>
      </c>
      <c r="I2957" t="s">
        <v>204</v>
      </c>
      <c r="J2957" s="1">
        <v>46387</v>
      </c>
      <c r="K2957" t="s">
        <v>720</v>
      </c>
      <c r="L2957">
        <v>1</v>
      </c>
      <c r="M2957">
        <v>30591</v>
      </c>
      <c r="N2957" t="s">
        <v>814</v>
      </c>
      <c r="O2957" t="s">
        <v>1038</v>
      </c>
      <c r="P2957" t="s">
        <v>4782</v>
      </c>
      <c r="Q2957" t="s">
        <v>4858</v>
      </c>
      <c r="R2957" t="s">
        <v>4771</v>
      </c>
    </row>
    <row r="2958" spans="1:18" x14ac:dyDescent="0.3">
      <c r="A2958">
        <v>84862</v>
      </c>
      <c r="B2958" t="s">
        <v>4875</v>
      </c>
      <c r="C2958" t="s">
        <v>319</v>
      </c>
      <c r="D2958" t="s">
        <v>36</v>
      </c>
      <c r="E2958" s="1">
        <v>45875</v>
      </c>
      <c r="F2958" t="s">
        <v>4434</v>
      </c>
      <c r="G2958" t="s">
        <v>2497</v>
      </c>
      <c r="H2958" t="s">
        <v>336</v>
      </c>
      <c r="I2958" t="s">
        <v>204</v>
      </c>
      <c r="J2958" s="1">
        <v>46075</v>
      </c>
      <c r="K2958" t="s">
        <v>748</v>
      </c>
      <c r="L2958">
        <v>16356.06</v>
      </c>
      <c r="M2958">
        <v>16356.06</v>
      </c>
      <c r="N2958" t="s">
        <v>710</v>
      </c>
      <c r="O2958" t="s">
        <v>1040</v>
      </c>
      <c r="P2958" t="s">
        <v>4784</v>
      </c>
      <c r="Q2958" t="s">
        <v>4856</v>
      </c>
      <c r="R2958" t="s">
        <v>4771</v>
      </c>
    </row>
    <row r="2959" spans="1:18" x14ac:dyDescent="0.3">
      <c r="A2959">
        <v>41934</v>
      </c>
      <c r="B2959" t="s">
        <v>4875</v>
      </c>
      <c r="C2959" t="s">
        <v>327</v>
      </c>
      <c r="D2959" t="s">
        <v>159</v>
      </c>
      <c r="E2959" s="1">
        <v>45875</v>
      </c>
      <c r="F2959" t="s">
        <v>4295</v>
      </c>
      <c r="G2959" t="s">
        <v>2456</v>
      </c>
      <c r="H2959" t="s">
        <v>326</v>
      </c>
      <c r="I2959" t="s">
        <v>204</v>
      </c>
      <c r="J2959" s="1">
        <v>54878</v>
      </c>
      <c r="K2959" t="s">
        <v>748</v>
      </c>
      <c r="L2959">
        <v>2150</v>
      </c>
      <c r="M2959">
        <v>2150</v>
      </c>
      <c r="N2959" t="s">
        <v>719</v>
      </c>
      <c r="O2959" t="s">
        <v>4834</v>
      </c>
      <c r="P2959" t="s">
        <v>4776</v>
      </c>
      <c r="Q2959" t="s">
        <v>4856</v>
      </c>
      <c r="R2959" t="s">
        <v>4773</v>
      </c>
    </row>
    <row r="2960" spans="1:18" x14ac:dyDescent="0.3">
      <c r="A2960">
        <v>3737</v>
      </c>
      <c r="B2960" t="s">
        <v>1034</v>
      </c>
      <c r="C2960" t="s">
        <v>535</v>
      </c>
      <c r="D2960" t="s">
        <v>148</v>
      </c>
      <c r="E2960" s="1">
        <v>45875</v>
      </c>
      <c r="F2960" t="s">
        <v>4355</v>
      </c>
      <c r="G2960" t="s">
        <v>2165</v>
      </c>
      <c r="H2960" t="s">
        <v>534</v>
      </c>
      <c r="I2960" t="s">
        <v>209</v>
      </c>
      <c r="J2960" s="1">
        <v>46295</v>
      </c>
      <c r="K2960" t="s">
        <v>711</v>
      </c>
      <c r="L2960">
        <v>1</v>
      </c>
      <c r="M2960">
        <v>3200</v>
      </c>
      <c r="N2960" t="s">
        <v>890</v>
      </c>
      <c r="O2960" t="s">
        <v>1036</v>
      </c>
      <c r="P2960" t="s">
        <v>4779</v>
      </c>
      <c r="Q2960" t="s">
        <v>4856</v>
      </c>
      <c r="R2960" t="s">
        <v>807</v>
      </c>
    </row>
    <row r="2961" spans="1:18" x14ac:dyDescent="0.3">
      <c r="A2961">
        <v>590657</v>
      </c>
      <c r="B2961" t="s">
        <v>4875</v>
      </c>
      <c r="C2961" t="s">
        <v>248</v>
      </c>
      <c r="D2961" t="s">
        <v>13</v>
      </c>
      <c r="E2961" s="1">
        <v>45875</v>
      </c>
      <c r="F2961" t="s">
        <v>4430</v>
      </c>
      <c r="G2961" t="s">
        <v>2487</v>
      </c>
      <c r="H2961" t="s">
        <v>351</v>
      </c>
      <c r="I2961" t="s">
        <v>204</v>
      </c>
      <c r="J2961" s="1">
        <v>54878</v>
      </c>
      <c r="K2961" t="s">
        <v>748</v>
      </c>
      <c r="L2961">
        <v>1450.04</v>
      </c>
      <c r="M2961">
        <v>1450.04</v>
      </c>
      <c r="N2961" t="s">
        <v>710</v>
      </c>
      <c r="O2961" t="s">
        <v>1040</v>
      </c>
      <c r="P2961" t="s">
        <v>4779</v>
      </c>
      <c r="Q2961" t="s">
        <v>4856</v>
      </c>
      <c r="R2961" t="s">
        <v>4773</v>
      </c>
    </row>
    <row r="2962" spans="1:18" x14ac:dyDescent="0.3">
      <c r="A2962">
        <v>7152</v>
      </c>
      <c r="B2962" t="s">
        <v>4874</v>
      </c>
      <c r="C2962" t="s">
        <v>484</v>
      </c>
      <c r="D2962" t="s">
        <v>140</v>
      </c>
      <c r="E2962" s="1">
        <v>45875</v>
      </c>
      <c r="F2962" t="s">
        <v>4345</v>
      </c>
      <c r="G2962" t="s">
        <v>2549</v>
      </c>
      <c r="H2962" t="s">
        <v>483</v>
      </c>
      <c r="I2962" t="s">
        <v>204</v>
      </c>
      <c r="J2962" s="1">
        <v>46508</v>
      </c>
      <c r="K2962" t="s">
        <v>762</v>
      </c>
      <c r="L2962">
        <v>49120</v>
      </c>
      <c r="M2962">
        <v>49120</v>
      </c>
      <c r="N2962" t="s">
        <v>710</v>
      </c>
      <c r="O2962" t="s">
        <v>4833</v>
      </c>
      <c r="P2962" t="s">
        <v>4776</v>
      </c>
      <c r="Q2962" t="s">
        <v>4852</v>
      </c>
      <c r="R2962" t="s">
        <v>4773</v>
      </c>
    </row>
    <row r="2963" spans="1:18" x14ac:dyDescent="0.3">
      <c r="A2963">
        <v>41960</v>
      </c>
      <c r="B2963" t="s">
        <v>1034</v>
      </c>
      <c r="C2963" t="s">
        <v>327</v>
      </c>
      <c r="D2963" t="s">
        <v>159</v>
      </c>
      <c r="E2963" s="1">
        <v>45875</v>
      </c>
      <c r="F2963" t="s">
        <v>4295</v>
      </c>
      <c r="G2963" t="s">
        <v>2522</v>
      </c>
      <c r="H2963" t="s">
        <v>357</v>
      </c>
      <c r="I2963" t="s">
        <v>204</v>
      </c>
      <c r="J2963" s="1">
        <v>46476</v>
      </c>
      <c r="K2963" t="s">
        <v>711</v>
      </c>
      <c r="L2963">
        <v>2150</v>
      </c>
      <c r="M2963">
        <v>2150</v>
      </c>
      <c r="N2963" t="s">
        <v>890</v>
      </c>
      <c r="O2963" t="s">
        <v>4834</v>
      </c>
      <c r="P2963" t="s">
        <v>4776</v>
      </c>
      <c r="Q2963" t="s">
        <v>4901</v>
      </c>
      <c r="R2963" t="s">
        <v>4773</v>
      </c>
    </row>
    <row r="2964" spans="1:18" x14ac:dyDescent="0.3">
      <c r="A2964">
        <v>41959</v>
      </c>
      <c r="B2964" t="s">
        <v>1034</v>
      </c>
      <c r="C2964" t="s">
        <v>327</v>
      </c>
      <c r="D2964" t="s">
        <v>159</v>
      </c>
      <c r="E2964" s="1">
        <v>45875</v>
      </c>
      <c r="F2964" t="s">
        <v>4296</v>
      </c>
      <c r="G2964" t="s">
        <v>2523</v>
      </c>
      <c r="H2964" t="s">
        <v>357</v>
      </c>
      <c r="I2964" t="s">
        <v>204</v>
      </c>
      <c r="J2964" s="1">
        <v>46476</v>
      </c>
      <c r="K2964" t="s">
        <v>711</v>
      </c>
      <c r="L2964">
        <v>1011.7</v>
      </c>
      <c r="M2964">
        <v>1011.7</v>
      </c>
      <c r="N2964" t="s">
        <v>890</v>
      </c>
      <c r="O2964" t="s">
        <v>4834</v>
      </c>
      <c r="P2964" t="s">
        <v>4776</v>
      </c>
      <c r="Q2964" t="s">
        <v>4901</v>
      </c>
      <c r="R2964" t="s">
        <v>4773</v>
      </c>
    </row>
    <row r="2965" spans="1:18" x14ac:dyDescent="0.3">
      <c r="A2965">
        <v>41958</v>
      </c>
      <c r="B2965" t="s">
        <v>1034</v>
      </c>
      <c r="C2965" t="s">
        <v>327</v>
      </c>
      <c r="D2965" t="s">
        <v>159</v>
      </c>
      <c r="E2965" s="1">
        <v>45875</v>
      </c>
      <c r="F2965" t="s">
        <v>4295</v>
      </c>
      <c r="G2965" t="s">
        <v>2520</v>
      </c>
      <c r="H2965" t="s">
        <v>357</v>
      </c>
      <c r="I2965" t="s">
        <v>204</v>
      </c>
      <c r="J2965" s="1">
        <v>46476</v>
      </c>
      <c r="K2965" t="s">
        <v>711</v>
      </c>
      <c r="L2965">
        <v>2150</v>
      </c>
      <c r="M2965">
        <v>2150</v>
      </c>
      <c r="N2965" t="s">
        <v>890</v>
      </c>
      <c r="O2965" t="s">
        <v>4834</v>
      </c>
      <c r="P2965" t="s">
        <v>4776</v>
      </c>
      <c r="Q2965" t="s">
        <v>4901</v>
      </c>
      <c r="R2965" t="s">
        <v>4773</v>
      </c>
    </row>
    <row r="2966" spans="1:18" x14ac:dyDescent="0.3">
      <c r="A2966">
        <v>314794</v>
      </c>
      <c r="B2966" t="s">
        <v>4874</v>
      </c>
      <c r="C2966" t="s">
        <v>459</v>
      </c>
      <c r="D2966" t="s">
        <v>160</v>
      </c>
      <c r="E2966" s="1">
        <v>45875</v>
      </c>
      <c r="F2966" t="s">
        <v>4399</v>
      </c>
      <c r="G2966" t="s">
        <v>2547</v>
      </c>
      <c r="H2966" t="s">
        <v>458</v>
      </c>
      <c r="I2966" t="s">
        <v>209</v>
      </c>
      <c r="J2966" s="1">
        <v>54878</v>
      </c>
      <c r="K2966" t="s">
        <v>762</v>
      </c>
      <c r="L2966">
        <v>36118.76</v>
      </c>
      <c r="M2966">
        <v>36118.76</v>
      </c>
      <c r="N2966" t="s">
        <v>710</v>
      </c>
      <c r="Q2966" t="s">
        <v>4852</v>
      </c>
      <c r="R2966" t="s">
        <v>4772</v>
      </c>
    </row>
    <row r="2967" spans="1:18" x14ac:dyDescent="0.3">
      <c r="A2967">
        <v>2640</v>
      </c>
      <c r="B2967" t="s">
        <v>4874</v>
      </c>
      <c r="C2967" t="s">
        <v>630</v>
      </c>
      <c r="D2967" t="s">
        <v>145</v>
      </c>
      <c r="E2967" s="1">
        <v>45875</v>
      </c>
      <c r="F2967" t="s">
        <v>4417</v>
      </c>
      <c r="G2967" t="s">
        <v>2283</v>
      </c>
      <c r="H2967" t="s">
        <v>629</v>
      </c>
      <c r="I2967" t="s">
        <v>204</v>
      </c>
      <c r="J2967" s="1">
        <v>46264</v>
      </c>
      <c r="K2967" t="s">
        <v>720</v>
      </c>
      <c r="L2967">
        <v>1</v>
      </c>
      <c r="M2967">
        <v>23000</v>
      </c>
      <c r="N2967" t="s">
        <v>710</v>
      </c>
      <c r="O2967" t="s">
        <v>4849</v>
      </c>
      <c r="P2967" t="s">
        <v>4777</v>
      </c>
      <c r="Q2967" t="s">
        <v>4855</v>
      </c>
      <c r="R2967" t="s">
        <v>4771</v>
      </c>
    </row>
    <row r="2968" spans="1:18" x14ac:dyDescent="0.3">
      <c r="A2968">
        <v>183296</v>
      </c>
      <c r="B2968" t="s">
        <v>4874</v>
      </c>
      <c r="C2968" t="s">
        <v>411</v>
      </c>
      <c r="D2968" t="s">
        <v>154</v>
      </c>
      <c r="E2968" s="1">
        <v>45875</v>
      </c>
      <c r="F2968" t="s">
        <v>4345</v>
      </c>
      <c r="G2968" t="s">
        <v>2546</v>
      </c>
      <c r="H2968" t="s">
        <v>410</v>
      </c>
      <c r="I2968" t="s">
        <v>204</v>
      </c>
      <c r="J2968" s="1">
        <v>46344</v>
      </c>
      <c r="K2968" t="s">
        <v>762</v>
      </c>
      <c r="L2968">
        <v>16275.21</v>
      </c>
      <c r="M2968">
        <v>16275.21</v>
      </c>
      <c r="N2968" t="s">
        <v>710</v>
      </c>
      <c r="O2968" t="s">
        <v>4833</v>
      </c>
      <c r="P2968" t="s">
        <v>4776</v>
      </c>
      <c r="Q2968" t="s">
        <v>4852</v>
      </c>
      <c r="R2968" t="s">
        <v>4773</v>
      </c>
    </row>
    <row r="2969" spans="1:18" x14ac:dyDescent="0.3">
      <c r="A2969">
        <v>195739</v>
      </c>
      <c r="B2969" t="s">
        <v>4874</v>
      </c>
      <c r="C2969" t="s">
        <v>467</v>
      </c>
      <c r="D2969" t="s">
        <v>175</v>
      </c>
      <c r="E2969" s="1">
        <v>45875</v>
      </c>
      <c r="F2969" t="s">
        <v>4315</v>
      </c>
      <c r="G2969" t="s">
        <v>2545</v>
      </c>
      <c r="H2969" t="s">
        <v>466</v>
      </c>
      <c r="I2969" t="s">
        <v>204</v>
      </c>
      <c r="J2969" s="1">
        <v>46266</v>
      </c>
      <c r="K2969" t="s">
        <v>762</v>
      </c>
      <c r="L2969">
        <v>10771.59</v>
      </c>
      <c r="M2969">
        <v>10771.59</v>
      </c>
      <c r="N2969" t="s">
        <v>710</v>
      </c>
      <c r="O2969" t="s">
        <v>4845</v>
      </c>
      <c r="P2969" t="s">
        <v>4776</v>
      </c>
      <c r="Q2969" t="s">
        <v>4845</v>
      </c>
      <c r="R2969" t="s">
        <v>4773</v>
      </c>
    </row>
    <row r="2970" spans="1:18" x14ac:dyDescent="0.3">
      <c r="A2970">
        <v>3310</v>
      </c>
      <c r="B2970" t="s">
        <v>4874</v>
      </c>
      <c r="C2970" t="s">
        <v>612</v>
      </c>
      <c r="D2970" t="s">
        <v>102</v>
      </c>
      <c r="E2970" s="1">
        <v>45875</v>
      </c>
      <c r="F2970" t="s">
        <v>4300</v>
      </c>
      <c r="G2970" t="s">
        <v>2539</v>
      </c>
      <c r="H2970" t="s">
        <v>611</v>
      </c>
      <c r="I2970" t="s">
        <v>209</v>
      </c>
      <c r="J2970" s="1">
        <v>45961</v>
      </c>
      <c r="K2970" t="s">
        <v>720</v>
      </c>
      <c r="L2970">
        <v>20748</v>
      </c>
      <c r="M2970">
        <v>20748</v>
      </c>
      <c r="N2970" t="s">
        <v>710</v>
      </c>
      <c r="O2970" t="s">
        <v>1037</v>
      </c>
      <c r="P2970" t="s">
        <v>4777</v>
      </c>
      <c r="Q2970" t="s">
        <v>4852</v>
      </c>
      <c r="R2970" t="s">
        <v>4773</v>
      </c>
    </row>
    <row r="2971" spans="1:18" x14ac:dyDescent="0.3">
      <c r="A2971">
        <v>1803</v>
      </c>
      <c r="B2971" t="s">
        <v>4874</v>
      </c>
      <c r="C2971" t="s">
        <v>647</v>
      </c>
      <c r="D2971" t="s">
        <v>130</v>
      </c>
      <c r="E2971" s="1">
        <v>45875</v>
      </c>
      <c r="F2971" t="s">
        <v>4363</v>
      </c>
      <c r="G2971" t="s">
        <v>2543</v>
      </c>
      <c r="H2971" t="s">
        <v>646</v>
      </c>
      <c r="I2971" t="s">
        <v>204</v>
      </c>
      <c r="J2971" s="1">
        <v>46522</v>
      </c>
      <c r="K2971" t="s">
        <v>762</v>
      </c>
      <c r="L2971">
        <v>13492</v>
      </c>
      <c r="M2971">
        <v>13492</v>
      </c>
      <c r="N2971" t="s">
        <v>890</v>
      </c>
      <c r="O2971" t="s">
        <v>1044</v>
      </c>
      <c r="P2971" t="s">
        <v>4776</v>
      </c>
      <c r="Q2971" t="s">
        <v>4852</v>
      </c>
    </row>
    <row r="2972" spans="1:18" x14ac:dyDescent="0.3">
      <c r="A2972">
        <v>1802</v>
      </c>
      <c r="B2972" t="s">
        <v>4874</v>
      </c>
      <c r="C2972" t="s">
        <v>647</v>
      </c>
      <c r="D2972" t="s">
        <v>130</v>
      </c>
      <c r="E2972" s="1">
        <v>45875</v>
      </c>
      <c r="F2972" t="s">
        <v>4363</v>
      </c>
      <c r="G2972" t="s">
        <v>2543</v>
      </c>
      <c r="H2972" t="s">
        <v>646</v>
      </c>
      <c r="I2972" t="s">
        <v>204</v>
      </c>
      <c r="J2972" s="1">
        <v>46522</v>
      </c>
      <c r="K2972" t="s">
        <v>762</v>
      </c>
      <c r="L2972">
        <v>13492</v>
      </c>
      <c r="M2972">
        <v>13492</v>
      </c>
      <c r="N2972" t="s">
        <v>890</v>
      </c>
      <c r="O2972" t="s">
        <v>1044</v>
      </c>
      <c r="P2972" t="s">
        <v>4776</v>
      </c>
      <c r="Q2972" t="s">
        <v>4852</v>
      </c>
    </row>
    <row r="2973" spans="1:18" x14ac:dyDescent="0.3">
      <c r="A2973">
        <v>1788</v>
      </c>
      <c r="B2973" t="s">
        <v>4874</v>
      </c>
      <c r="C2973" t="s">
        <v>647</v>
      </c>
      <c r="D2973" t="s">
        <v>130</v>
      </c>
      <c r="E2973" s="1">
        <v>45875</v>
      </c>
      <c r="F2973" t="s">
        <v>4363</v>
      </c>
      <c r="G2973" t="s">
        <v>2543</v>
      </c>
      <c r="H2973" t="s">
        <v>646</v>
      </c>
      <c r="I2973" t="s">
        <v>204</v>
      </c>
      <c r="J2973" s="1">
        <v>46522</v>
      </c>
      <c r="K2973" t="s">
        <v>762</v>
      </c>
      <c r="L2973">
        <v>2081.4</v>
      </c>
      <c r="M2973">
        <v>2081.4</v>
      </c>
      <c r="N2973" t="s">
        <v>890</v>
      </c>
      <c r="O2973" t="s">
        <v>1044</v>
      </c>
      <c r="P2973" t="s">
        <v>4776</v>
      </c>
      <c r="Q2973" t="s">
        <v>4852</v>
      </c>
    </row>
    <row r="2974" spans="1:18" x14ac:dyDescent="0.3">
      <c r="A2974">
        <v>378603</v>
      </c>
      <c r="B2974" t="s">
        <v>4874</v>
      </c>
      <c r="C2974" t="s">
        <v>407</v>
      </c>
      <c r="D2974" t="s">
        <v>170</v>
      </c>
      <c r="E2974" s="1">
        <v>45875</v>
      </c>
      <c r="F2974" t="s">
        <v>4388</v>
      </c>
      <c r="G2974" t="s">
        <v>2540</v>
      </c>
      <c r="H2974" t="s">
        <v>406</v>
      </c>
      <c r="I2974" t="s">
        <v>204</v>
      </c>
      <c r="J2974" s="1">
        <v>46387</v>
      </c>
      <c r="K2974" t="s">
        <v>762</v>
      </c>
      <c r="L2974">
        <v>28643</v>
      </c>
      <c r="M2974">
        <v>28643</v>
      </c>
      <c r="N2974" t="s">
        <v>710</v>
      </c>
      <c r="O2974" t="s">
        <v>4833</v>
      </c>
      <c r="P2974" t="s">
        <v>4776</v>
      </c>
      <c r="Q2974" t="s">
        <v>4852</v>
      </c>
      <c r="R2974" t="s">
        <v>4771</v>
      </c>
    </row>
    <row r="2975" spans="1:18" x14ac:dyDescent="0.3">
      <c r="A2975">
        <v>821578</v>
      </c>
      <c r="B2975" t="s">
        <v>4874</v>
      </c>
      <c r="C2975" t="s">
        <v>433</v>
      </c>
      <c r="D2975" t="s">
        <v>168</v>
      </c>
      <c r="E2975" s="1">
        <v>45875</v>
      </c>
      <c r="F2975" t="s">
        <v>4319</v>
      </c>
      <c r="G2975" t="s">
        <v>2542</v>
      </c>
      <c r="H2975" t="s">
        <v>432</v>
      </c>
      <c r="I2975" t="s">
        <v>204</v>
      </c>
      <c r="J2975" s="1">
        <v>46473</v>
      </c>
      <c r="K2975" t="s">
        <v>762</v>
      </c>
      <c r="L2975">
        <v>4413</v>
      </c>
      <c r="M2975">
        <v>4413</v>
      </c>
      <c r="N2975" t="s">
        <v>710</v>
      </c>
      <c r="O2975" t="s">
        <v>4833</v>
      </c>
      <c r="P2975" t="s">
        <v>4802</v>
      </c>
      <c r="Q2975" t="s">
        <v>4852</v>
      </c>
      <c r="R2975" t="s">
        <v>4771</v>
      </c>
    </row>
    <row r="2976" spans="1:18" x14ac:dyDescent="0.3">
      <c r="A2976">
        <v>41957</v>
      </c>
      <c r="B2976" t="s">
        <v>1034</v>
      </c>
      <c r="C2976" t="s">
        <v>327</v>
      </c>
      <c r="D2976" t="s">
        <v>159</v>
      </c>
      <c r="E2976" s="1">
        <v>45875</v>
      </c>
      <c r="F2976" t="s">
        <v>4296</v>
      </c>
      <c r="G2976" t="s">
        <v>2521</v>
      </c>
      <c r="H2976" t="s">
        <v>357</v>
      </c>
      <c r="I2976" t="s">
        <v>204</v>
      </c>
      <c r="J2976" s="1">
        <v>46476</v>
      </c>
      <c r="K2976" t="s">
        <v>711</v>
      </c>
      <c r="L2976">
        <v>966.4</v>
      </c>
      <c r="M2976">
        <v>966.4</v>
      </c>
      <c r="N2976" t="s">
        <v>890</v>
      </c>
      <c r="O2976" t="s">
        <v>4834</v>
      </c>
      <c r="P2976" t="s">
        <v>4776</v>
      </c>
      <c r="Q2976" t="s">
        <v>4901</v>
      </c>
      <c r="R2976" t="s">
        <v>4773</v>
      </c>
    </row>
    <row r="2977" spans="1:18" x14ac:dyDescent="0.3">
      <c r="A2977">
        <v>183979</v>
      </c>
      <c r="B2977" t="s">
        <v>4874</v>
      </c>
      <c r="C2977" t="s">
        <v>411</v>
      </c>
      <c r="D2977" t="s">
        <v>154</v>
      </c>
      <c r="E2977" s="1">
        <v>45874</v>
      </c>
      <c r="F2977" t="s">
        <v>4315</v>
      </c>
      <c r="G2977" t="s">
        <v>2548</v>
      </c>
      <c r="H2977" t="s">
        <v>410</v>
      </c>
      <c r="I2977" t="s">
        <v>204</v>
      </c>
      <c r="J2977" s="1">
        <v>46344</v>
      </c>
      <c r="K2977" t="s">
        <v>762</v>
      </c>
      <c r="L2977">
        <v>2886.72</v>
      </c>
      <c r="M2977">
        <v>2886.72</v>
      </c>
      <c r="N2977" t="s">
        <v>710</v>
      </c>
      <c r="O2977" t="s">
        <v>4833</v>
      </c>
      <c r="P2977" t="s">
        <v>4776</v>
      </c>
      <c r="Q2977" t="s">
        <v>4852</v>
      </c>
      <c r="R2977" t="s">
        <v>4773</v>
      </c>
    </row>
    <row r="2978" spans="1:18" x14ac:dyDescent="0.3">
      <c r="A2978">
        <v>6938</v>
      </c>
      <c r="B2978" t="s">
        <v>4874</v>
      </c>
      <c r="C2978" t="s">
        <v>230</v>
      </c>
      <c r="D2978" t="s">
        <v>85</v>
      </c>
      <c r="E2978" s="1">
        <v>45874</v>
      </c>
      <c r="F2978" t="s">
        <v>4348</v>
      </c>
      <c r="G2978" t="s">
        <v>2533</v>
      </c>
      <c r="H2978" t="s">
        <v>299</v>
      </c>
      <c r="I2978" t="s">
        <v>204</v>
      </c>
      <c r="J2978" s="1">
        <v>46536</v>
      </c>
      <c r="K2978" t="s">
        <v>762</v>
      </c>
      <c r="L2978">
        <v>198518.11</v>
      </c>
      <c r="M2978">
        <v>198518.11</v>
      </c>
      <c r="N2978" t="s">
        <v>710</v>
      </c>
      <c r="O2978" t="s">
        <v>1033</v>
      </c>
      <c r="P2978" t="s">
        <v>4781</v>
      </c>
      <c r="Q2978" t="s">
        <v>4852</v>
      </c>
      <c r="R2978" t="s">
        <v>4771</v>
      </c>
    </row>
    <row r="2979" spans="1:18" x14ac:dyDescent="0.3">
      <c r="A2979">
        <v>329870</v>
      </c>
      <c r="B2979" t="s">
        <v>4874</v>
      </c>
      <c r="C2979" t="s">
        <v>426</v>
      </c>
      <c r="D2979" t="s">
        <v>54</v>
      </c>
      <c r="E2979" s="1">
        <v>45874</v>
      </c>
      <c r="F2979" t="s">
        <v>4409</v>
      </c>
      <c r="G2979" t="s">
        <v>2536</v>
      </c>
      <c r="H2979" t="s">
        <v>425</v>
      </c>
      <c r="I2979" t="s">
        <v>204</v>
      </c>
      <c r="J2979" s="1">
        <v>46752</v>
      </c>
      <c r="K2979" t="s">
        <v>785</v>
      </c>
      <c r="L2979">
        <v>1</v>
      </c>
      <c r="M2979">
        <v>117292.65</v>
      </c>
      <c r="N2979" t="s">
        <v>710</v>
      </c>
      <c r="O2979" t="s">
        <v>1038</v>
      </c>
      <c r="P2979" t="s">
        <v>4787</v>
      </c>
      <c r="Q2979" t="s">
        <v>4858</v>
      </c>
      <c r="R2979" t="s">
        <v>4771</v>
      </c>
    </row>
    <row r="2980" spans="1:18" x14ac:dyDescent="0.3">
      <c r="A2980">
        <v>1249</v>
      </c>
      <c r="B2980" t="s">
        <v>4874</v>
      </c>
      <c r="C2980" t="s">
        <v>305</v>
      </c>
      <c r="D2980" t="s">
        <v>59</v>
      </c>
      <c r="E2980" s="1">
        <v>45874</v>
      </c>
      <c r="F2980" t="s">
        <v>4359</v>
      </c>
      <c r="G2980" t="s">
        <v>2491</v>
      </c>
      <c r="H2980" t="s">
        <v>304</v>
      </c>
      <c r="I2980" t="s">
        <v>204</v>
      </c>
      <c r="J2980" s="1">
        <v>46481</v>
      </c>
      <c r="K2980" t="s">
        <v>720</v>
      </c>
      <c r="L2980">
        <v>1</v>
      </c>
      <c r="M2980">
        <v>754.02</v>
      </c>
      <c r="N2980" t="s">
        <v>809</v>
      </c>
      <c r="O2980" t="s">
        <v>1038</v>
      </c>
      <c r="P2980" t="s">
        <v>4783</v>
      </c>
      <c r="Q2980" t="s">
        <v>4858</v>
      </c>
      <c r="R2980" t="s">
        <v>4771</v>
      </c>
    </row>
    <row r="2981" spans="1:18" x14ac:dyDescent="0.3">
      <c r="A2981">
        <v>366584</v>
      </c>
      <c r="B2981" t="s">
        <v>4874</v>
      </c>
      <c r="C2981" t="s">
        <v>435</v>
      </c>
      <c r="D2981" t="s">
        <v>30</v>
      </c>
      <c r="E2981" s="1">
        <v>45874</v>
      </c>
      <c r="F2981" t="s">
        <v>4351</v>
      </c>
      <c r="G2981" t="s">
        <v>2541</v>
      </c>
      <c r="H2981" t="s">
        <v>434</v>
      </c>
      <c r="I2981" t="s">
        <v>204</v>
      </c>
      <c r="J2981" s="1">
        <v>46752</v>
      </c>
      <c r="K2981" t="s">
        <v>785</v>
      </c>
      <c r="L2981">
        <v>1</v>
      </c>
      <c r="M2981">
        <v>164714.81</v>
      </c>
      <c r="N2981" t="s">
        <v>998</v>
      </c>
      <c r="O2981" t="s">
        <v>1038</v>
      </c>
      <c r="P2981" t="s">
        <v>4787</v>
      </c>
      <c r="Q2981" t="s">
        <v>4858</v>
      </c>
      <c r="R2981" t="s">
        <v>4771</v>
      </c>
    </row>
    <row r="2982" spans="1:18" x14ac:dyDescent="0.3">
      <c r="A2982">
        <v>7149</v>
      </c>
      <c r="B2982" t="s">
        <v>4874</v>
      </c>
      <c r="C2982" t="s">
        <v>387</v>
      </c>
      <c r="D2982" t="s">
        <v>42</v>
      </c>
      <c r="E2982" s="1">
        <v>45874</v>
      </c>
      <c r="F2982" t="s">
        <v>4345</v>
      </c>
      <c r="G2982" t="s">
        <v>2552</v>
      </c>
      <c r="H2982" t="s">
        <v>386</v>
      </c>
      <c r="I2982" t="s">
        <v>204</v>
      </c>
      <c r="J2982" s="1">
        <v>54878</v>
      </c>
      <c r="K2982" t="s">
        <v>762</v>
      </c>
      <c r="L2982">
        <v>1870</v>
      </c>
      <c r="M2982">
        <v>1870</v>
      </c>
      <c r="N2982" t="s">
        <v>719</v>
      </c>
      <c r="O2982" t="s">
        <v>4833</v>
      </c>
      <c r="P2982" t="s">
        <v>4776</v>
      </c>
      <c r="Q2982" t="s">
        <v>4852</v>
      </c>
      <c r="R2982" t="s">
        <v>4773</v>
      </c>
    </row>
    <row r="2983" spans="1:18" x14ac:dyDescent="0.3">
      <c r="A2983">
        <v>2851</v>
      </c>
      <c r="B2983" t="s">
        <v>4874</v>
      </c>
      <c r="C2983" t="s">
        <v>372</v>
      </c>
      <c r="D2983" t="s">
        <v>105</v>
      </c>
      <c r="E2983" s="1">
        <v>45874</v>
      </c>
      <c r="F2983" t="s">
        <v>4408</v>
      </c>
      <c r="G2983" t="s">
        <v>2526</v>
      </c>
      <c r="H2983" t="s">
        <v>371</v>
      </c>
      <c r="I2983" t="s">
        <v>209</v>
      </c>
      <c r="J2983" s="1">
        <v>45904</v>
      </c>
      <c r="K2983" t="s">
        <v>720</v>
      </c>
      <c r="L2983">
        <v>11340</v>
      </c>
      <c r="M2983">
        <v>11340</v>
      </c>
      <c r="N2983" t="s">
        <v>719</v>
      </c>
      <c r="O2983" t="s">
        <v>1038</v>
      </c>
      <c r="P2983" t="s">
        <v>4777</v>
      </c>
      <c r="Q2983" t="s">
        <v>4858</v>
      </c>
      <c r="R2983" t="s">
        <v>4773</v>
      </c>
    </row>
    <row r="2984" spans="1:18" x14ac:dyDescent="0.3">
      <c r="A2984">
        <v>20002</v>
      </c>
      <c r="B2984" t="s">
        <v>4874</v>
      </c>
      <c r="C2984" t="s">
        <v>539</v>
      </c>
      <c r="D2984" t="s">
        <v>189</v>
      </c>
      <c r="E2984" s="1">
        <v>45874</v>
      </c>
      <c r="F2984" t="s">
        <v>4327</v>
      </c>
      <c r="G2984" t="s">
        <v>2519</v>
      </c>
      <c r="H2984" t="s">
        <v>573</v>
      </c>
      <c r="I2984" t="s">
        <v>209</v>
      </c>
      <c r="J2984" s="1">
        <v>45808</v>
      </c>
      <c r="K2984" t="s">
        <v>762</v>
      </c>
      <c r="L2984">
        <v>1425.8</v>
      </c>
      <c r="M2984">
        <v>1425.8</v>
      </c>
      <c r="N2984" t="s">
        <v>890</v>
      </c>
      <c r="Q2984" t="s">
        <v>807</v>
      </c>
    </row>
    <row r="2985" spans="1:18" x14ac:dyDescent="0.3">
      <c r="A2985">
        <v>717723</v>
      </c>
      <c r="B2985" t="s">
        <v>4874</v>
      </c>
      <c r="C2985" t="s">
        <v>409</v>
      </c>
      <c r="D2985" t="s">
        <v>28</v>
      </c>
      <c r="E2985" s="1">
        <v>45874</v>
      </c>
      <c r="F2985" t="s">
        <v>4388</v>
      </c>
      <c r="G2985" t="s">
        <v>2551</v>
      </c>
      <c r="H2985" t="s">
        <v>408</v>
      </c>
      <c r="I2985" t="s">
        <v>204</v>
      </c>
      <c r="J2985" s="1">
        <v>54878</v>
      </c>
      <c r="K2985" t="s">
        <v>762</v>
      </c>
      <c r="L2985">
        <v>23198</v>
      </c>
      <c r="M2985">
        <v>23197.56</v>
      </c>
      <c r="N2985" t="s">
        <v>710</v>
      </c>
      <c r="O2985" t="s">
        <v>4833</v>
      </c>
      <c r="P2985" t="s">
        <v>4776</v>
      </c>
      <c r="Q2985" t="s">
        <v>4852</v>
      </c>
      <c r="R2985" t="s">
        <v>4773</v>
      </c>
    </row>
    <row r="2986" spans="1:18" x14ac:dyDescent="0.3">
      <c r="A2986">
        <v>5499</v>
      </c>
      <c r="B2986" t="s">
        <v>4874</v>
      </c>
      <c r="C2986" t="s">
        <v>401</v>
      </c>
      <c r="D2986" t="s">
        <v>187</v>
      </c>
      <c r="E2986" s="1">
        <v>45874</v>
      </c>
      <c r="F2986" t="s">
        <v>4345</v>
      </c>
      <c r="G2986" t="s">
        <v>2544</v>
      </c>
      <c r="H2986" t="s">
        <v>400</v>
      </c>
      <c r="I2986" t="s">
        <v>204</v>
      </c>
      <c r="J2986" s="1">
        <v>54878</v>
      </c>
      <c r="K2986" t="s">
        <v>762</v>
      </c>
      <c r="L2986">
        <v>390</v>
      </c>
      <c r="M2986">
        <v>390</v>
      </c>
      <c r="N2986" t="s">
        <v>710</v>
      </c>
      <c r="O2986" t="s">
        <v>4833</v>
      </c>
      <c r="P2986" t="s">
        <v>4776</v>
      </c>
      <c r="Q2986" t="s">
        <v>4852</v>
      </c>
      <c r="R2986" t="s">
        <v>4773</v>
      </c>
    </row>
    <row r="2987" spans="1:18" x14ac:dyDescent="0.3">
      <c r="A2987">
        <v>6959</v>
      </c>
      <c r="B2987" t="s">
        <v>4874</v>
      </c>
      <c r="C2987" t="s">
        <v>230</v>
      </c>
      <c r="D2987" t="s">
        <v>85</v>
      </c>
      <c r="E2987" s="1">
        <v>45874</v>
      </c>
      <c r="F2987" t="s">
        <v>4348</v>
      </c>
      <c r="G2987" t="s">
        <v>2532</v>
      </c>
      <c r="H2987" t="s">
        <v>299</v>
      </c>
      <c r="I2987" t="s">
        <v>204</v>
      </c>
      <c r="J2987" s="1">
        <v>46536</v>
      </c>
      <c r="K2987" t="s">
        <v>762</v>
      </c>
      <c r="L2987">
        <v>12092.8</v>
      </c>
      <c r="M2987">
        <v>12092.8</v>
      </c>
      <c r="N2987" t="s">
        <v>710</v>
      </c>
      <c r="O2987" t="s">
        <v>1033</v>
      </c>
      <c r="P2987" t="s">
        <v>4781</v>
      </c>
      <c r="Q2987" t="s">
        <v>4852</v>
      </c>
      <c r="R2987" t="s">
        <v>4771</v>
      </c>
    </row>
    <row r="2988" spans="1:18" x14ac:dyDescent="0.3">
      <c r="A2988">
        <v>233344</v>
      </c>
      <c r="B2988" t="s">
        <v>4875</v>
      </c>
      <c r="C2988" t="s">
        <v>493</v>
      </c>
      <c r="D2988" t="s">
        <v>197</v>
      </c>
      <c r="E2988" s="1">
        <v>45874</v>
      </c>
      <c r="F2988" t="s">
        <v>4306</v>
      </c>
      <c r="G2988" t="s">
        <v>2553</v>
      </c>
      <c r="H2988" t="s">
        <v>492</v>
      </c>
      <c r="I2988" t="s">
        <v>204</v>
      </c>
      <c r="J2988" s="1">
        <v>54878</v>
      </c>
      <c r="K2988" t="s">
        <v>768</v>
      </c>
      <c r="L2988">
        <v>799</v>
      </c>
      <c r="M2988">
        <v>799</v>
      </c>
      <c r="N2988" t="s">
        <v>710</v>
      </c>
      <c r="O2988" t="s">
        <v>4833</v>
      </c>
      <c r="P2988" t="s">
        <v>4786</v>
      </c>
      <c r="Q2988" t="s">
        <v>4852</v>
      </c>
      <c r="R2988" t="s">
        <v>4773</v>
      </c>
    </row>
    <row r="2989" spans="1:18" x14ac:dyDescent="0.3">
      <c r="A2989">
        <v>233343</v>
      </c>
      <c r="B2989" t="s">
        <v>4875</v>
      </c>
      <c r="C2989" t="s">
        <v>493</v>
      </c>
      <c r="D2989" t="s">
        <v>197</v>
      </c>
      <c r="E2989" s="1">
        <v>45874</v>
      </c>
      <c r="F2989" t="s">
        <v>4306</v>
      </c>
      <c r="G2989" t="s">
        <v>2553</v>
      </c>
      <c r="H2989" t="s">
        <v>492</v>
      </c>
      <c r="I2989" t="s">
        <v>204</v>
      </c>
      <c r="J2989" s="1">
        <v>54878</v>
      </c>
      <c r="K2989" t="s">
        <v>768</v>
      </c>
      <c r="L2989">
        <v>650</v>
      </c>
      <c r="M2989">
        <v>650</v>
      </c>
      <c r="N2989" t="s">
        <v>710</v>
      </c>
      <c r="O2989" t="s">
        <v>4833</v>
      </c>
      <c r="P2989" t="s">
        <v>4786</v>
      </c>
      <c r="Q2989" t="s">
        <v>4852</v>
      </c>
      <c r="R2989" t="s">
        <v>4773</v>
      </c>
    </row>
    <row r="2990" spans="1:18" x14ac:dyDescent="0.3">
      <c r="A2990">
        <v>1048982</v>
      </c>
      <c r="B2990" t="s">
        <v>4875</v>
      </c>
      <c r="C2990" t="s">
        <v>203</v>
      </c>
      <c r="D2990" t="s">
        <v>118</v>
      </c>
      <c r="E2990" s="1">
        <v>45874</v>
      </c>
      <c r="F2990" t="s">
        <v>4353</v>
      </c>
      <c r="G2990" t="s">
        <v>2525</v>
      </c>
      <c r="H2990" t="s">
        <v>202</v>
      </c>
      <c r="I2990" t="s">
        <v>204</v>
      </c>
      <c r="J2990" s="1">
        <v>46387</v>
      </c>
      <c r="K2990" t="s">
        <v>717</v>
      </c>
      <c r="L2990">
        <v>179.95</v>
      </c>
      <c r="M2990">
        <v>179.95</v>
      </c>
      <c r="N2990" t="s">
        <v>710</v>
      </c>
      <c r="O2990" t="s">
        <v>1037</v>
      </c>
      <c r="P2990" t="s">
        <v>4776</v>
      </c>
      <c r="Q2990" t="s">
        <v>4852</v>
      </c>
      <c r="R2990" t="s">
        <v>4772</v>
      </c>
    </row>
    <row r="2991" spans="1:18" x14ac:dyDescent="0.3">
      <c r="A2991">
        <v>366254</v>
      </c>
      <c r="B2991" t="s">
        <v>4875</v>
      </c>
      <c r="C2991" t="s">
        <v>435</v>
      </c>
      <c r="D2991" t="s">
        <v>30</v>
      </c>
      <c r="E2991" s="1">
        <v>45874</v>
      </c>
      <c r="F2991" t="s">
        <v>4351</v>
      </c>
      <c r="G2991" t="s">
        <v>2537</v>
      </c>
      <c r="H2991" t="s">
        <v>434</v>
      </c>
      <c r="I2991" t="s">
        <v>204</v>
      </c>
      <c r="J2991" s="1">
        <v>46752</v>
      </c>
      <c r="K2991" t="s">
        <v>785</v>
      </c>
      <c r="L2991">
        <v>1</v>
      </c>
      <c r="M2991">
        <v>77765.039999999994</v>
      </c>
      <c r="N2991" t="s">
        <v>998</v>
      </c>
      <c r="O2991" t="s">
        <v>1038</v>
      </c>
      <c r="P2991" t="s">
        <v>4787</v>
      </c>
      <c r="Q2991" t="s">
        <v>4858</v>
      </c>
      <c r="R2991" t="s">
        <v>4771</v>
      </c>
    </row>
    <row r="2992" spans="1:18" x14ac:dyDescent="0.3">
      <c r="A2992">
        <v>105324</v>
      </c>
      <c r="B2992" t="s">
        <v>1034</v>
      </c>
      <c r="C2992" t="s">
        <v>495</v>
      </c>
      <c r="D2992" t="s">
        <v>44</v>
      </c>
      <c r="E2992" s="1">
        <v>45874</v>
      </c>
      <c r="F2992" t="s">
        <v>4303</v>
      </c>
      <c r="G2992" t="s">
        <v>2550</v>
      </c>
      <c r="H2992" t="s">
        <v>494</v>
      </c>
      <c r="I2992" t="s">
        <v>204</v>
      </c>
      <c r="J2992" s="1">
        <v>54878</v>
      </c>
      <c r="K2992" t="s">
        <v>717</v>
      </c>
      <c r="L2992">
        <v>1728.05</v>
      </c>
      <c r="M2992">
        <v>1728.05</v>
      </c>
      <c r="N2992" t="s">
        <v>710</v>
      </c>
      <c r="O2992" t="s">
        <v>4833</v>
      </c>
      <c r="P2992" t="s">
        <v>4776</v>
      </c>
      <c r="Q2992" t="s">
        <v>4852</v>
      </c>
      <c r="R2992" t="s">
        <v>4773</v>
      </c>
    </row>
    <row r="2993" spans="1:18" x14ac:dyDescent="0.3">
      <c r="A2993">
        <v>2628</v>
      </c>
      <c r="B2993" t="s">
        <v>1034</v>
      </c>
      <c r="C2993" t="s">
        <v>541</v>
      </c>
      <c r="D2993" t="s">
        <v>173</v>
      </c>
      <c r="E2993" s="1">
        <v>45874</v>
      </c>
      <c r="F2993" t="s">
        <v>4326</v>
      </c>
      <c r="G2993" t="s">
        <v>2517</v>
      </c>
      <c r="H2993" t="s">
        <v>540</v>
      </c>
      <c r="I2993" t="s">
        <v>204</v>
      </c>
      <c r="J2993" s="1">
        <v>46386</v>
      </c>
      <c r="K2993" t="s">
        <v>711</v>
      </c>
      <c r="L2993">
        <v>1</v>
      </c>
      <c r="M2993">
        <v>2337.9499999999998</v>
      </c>
      <c r="N2993" t="s">
        <v>890</v>
      </c>
      <c r="O2993" t="s">
        <v>1036</v>
      </c>
      <c r="P2993" t="s">
        <v>4791</v>
      </c>
      <c r="Q2993" t="s">
        <v>4901</v>
      </c>
      <c r="R2993" t="s">
        <v>4773</v>
      </c>
    </row>
    <row r="2994" spans="1:18" x14ac:dyDescent="0.3">
      <c r="A2994">
        <v>1674</v>
      </c>
      <c r="B2994" t="s">
        <v>1034</v>
      </c>
      <c r="C2994" t="s">
        <v>312</v>
      </c>
      <c r="D2994" t="s">
        <v>73</v>
      </c>
      <c r="E2994" s="1">
        <v>45874</v>
      </c>
      <c r="F2994" t="s">
        <v>4300</v>
      </c>
      <c r="G2994" t="s">
        <v>2515</v>
      </c>
      <c r="H2994" t="s">
        <v>311</v>
      </c>
      <c r="I2994" t="s">
        <v>204</v>
      </c>
      <c r="J2994" s="1">
        <v>54878</v>
      </c>
      <c r="K2994" t="s">
        <v>711</v>
      </c>
      <c r="L2994">
        <v>2255</v>
      </c>
      <c r="M2994">
        <v>2255</v>
      </c>
      <c r="N2994" t="s">
        <v>719</v>
      </c>
      <c r="O2994" t="s">
        <v>4834</v>
      </c>
      <c r="P2994" t="s">
        <v>1006</v>
      </c>
      <c r="Q2994" t="s">
        <v>4901</v>
      </c>
      <c r="R2994" t="s">
        <v>4773</v>
      </c>
    </row>
    <row r="2995" spans="1:18" x14ac:dyDescent="0.3">
      <c r="A2995">
        <v>2127</v>
      </c>
      <c r="B2995" t="s">
        <v>1034</v>
      </c>
      <c r="C2995" t="s">
        <v>616</v>
      </c>
      <c r="D2995" t="s">
        <v>152</v>
      </c>
      <c r="E2995" s="1">
        <v>45874</v>
      </c>
      <c r="F2995" t="s">
        <v>4338</v>
      </c>
      <c r="G2995" t="s">
        <v>2512</v>
      </c>
      <c r="H2995" t="s">
        <v>621</v>
      </c>
      <c r="I2995" t="s">
        <v>204</v>
      </c>
      <c r="J2995" s="1">
        <v>46349</v>
      </c>
      <c r="K2995" t="s">
        <v>711</v>
      </c>
      <c r="L2995">
        <v>67259.55</v>
      </c>
      <c r="M2995">
        <v>67259.55</v>
      </c>
      <c r="N2995" t="s">
        <v>710</v>
      </c>
      <c r="O2995" t="s">
        <v>4904</v>
      </c>
      <c r="P2995" t="s">
        <v>4796</v>
      </c>
      <c r="Q2995" t="s">
        <v>4901</v>
      </c>
      <c r="R2995" t="s">
        <v>4772</v>
      </c>
    </row>
    <row r="2996" spans="1:18" x14ac:dyDescent="0.3">
      <c r="A2996">
        <v>116415</v>
      </c>
      <c r="B2996" t="s">
        <v>1034</v>
      </c>
      <c r="C2996" t="s">
        <v>522</v>
      </c>
      <c r="D2996" t="s">
        <v>50</v>
      </c>
      <c r="E2996" s="1">
        <v>45874</v>
      </c>
      <c r="F2996" t="s">
        <v>4352</v>
      </c>
      <c r="G2996" t="s">
        <v>2524</v>
      </c>
      <c r="H2996" t="s">
        <v>521</v>
      </c>
      <c r="I2996" t="s">
        <v>204</v>
      </c>
      <c r="J2996" s="1">
        <v>46387</v>
      </c>
      <c r="K2996" t="s">
        <v>717</v>
      </c>
      <c r="L2996">
        <v>547.27</v>
      </c>
      <c r="M2996">
        <v>547.27</v>
      </c>
      <c r="N2996" t="s">
        <v>884</v>
      </c>
      <c r="O2996" t="s">
        <v>1037</v>
      </c>
      <c r="P2996" t="s">
        <v>4776</v>
      </c>
      <c r="Q2996" t="s">
        <v>4852</v>
      </c>
      <c r="R2996" t="s">
        <v>4773</v>
      </c>
    </row>
    <row r="2997" spans="1:18" x14ac:dyDescent="0.3">
      <c r="A2997">
        <v>366214</v>
      </c>
      <c r="B2997" t="s">
        <v>1034</v>
      </c>
      <c r="C2997" t="s">
        <v>435</v>
      </c>
      <c r="D2997" t="s">
        <v>30</v>
      </c>
      <c r="E2997" s="1">
        <v>45874</v>
      </c>
      <c r="F2997" t="s">
        <v>4351</v>
      </c>
      <c r="G2997" t="s">
        <v>2538</v>
      </c>
      <c r="H2997" t="s">
        <v>434</v>
      </c>
      <c r="I2997" t="s">
        <v>204</v>
      </c>
      <c r="J2997" s="1">
        <v>46752</v>
      </c>
      <c r="K2997" t="s">
        <v>785</v>
      </c>
      <c r="L2997">
        <v>1</v>
      </c>
      <c r="M2997">
        <v>190828.16</v>
      </c>
      <c r="N2997" t="s">
        <v>998</v>
      </c>
      <c r="O2997" t="s">
        <v>1038</v>
      </c>
      <c r="P2997" t="s">
        <v>4787</v>
      </c>
      <c r="Q2997" t="s">
        <v>4858</v>
      </c>
      <c r="R2997" t="s">
        <v>4771</v>
      </c>
    </row>
    <row r="2998" spans="1:18" x14ac:dyDescent="0.3">
      <c r="A2998">
        <v>16869</v>
      </c>
      <c r="B2998" t="s">
        <v>1034</v>
      </c>
      <c r="C2998" t="s">
        <v>359</v>
      </c>
      <c r="D2998" t="s">
        <v>53</v>
      </c>
      <c r="E2998" s="1">
        <v>45874</v>
      </c>
      <c r="F2998" t="s">
        <v>4305</v>
      </c>
      <c r="G2998" t="s">
        <v>2516</v>
      </c>
      <c r="H2998" t="s">
        <v>358</v>
      </c>
      <c r="I2998" t="s">
        <v>204</v>
      </c>
      <c r="J2998" s="1">
        <v>54878</v>
      </c>
      <c r="K2998" t="s">
        <v>711</v>
      </c>
      <c r="L2998">
        <v>625.37</v>
      </c>
      <c r="M2998">
        <v>625.37</v>
      </c>
      <c r="N2998" t="s">
        <v>710</v>
      </c>
      <c r="O2998" t="s">
        <v>1036</v>
      </c>
      <c r="P2998" t="s">
        <v>4776</v>
      </c>
      <c r="Q2998" t="s">
        <v>4901</v>
      </c>
      <c r="R2998" t="s">
        <v>4773</v>
      </c>
    </row>
    <row r="2999" spans="1:18" x14ac:dyDescent="0.3">
      <c r="A2999">
        <v>6942</v>
      </c>
      <c r="B2999" t="s">
        <v>1034</v>
      </c>
      <c r="C2999" t="s">
        <v>230</v>
      </c>
      <c r="D2999" t="s">
        <v>85</v>
      </c>
      <c r="E2999" s="1">
        <v>45874</v>
      </c>
      <c r="F2999" t="s">
        <v>4348</v>
      </c>
      <c r="G2999" t="s">
        <v>2534</v>
      </c>
      <c r="H2999" t="s">
        <v>570</v>
      </c>
      <c r="I2999" t="s">
        <v>204</v>
      </c>
      <c r="J2999" s="1">
        <v>46418</v>
      </c>
      <c r="K2999" t="s">
        <v>717</v>
      </c>
      <c r="L2999">
        <v>1</v>
      </c>
      <c r="M2999">
        <v>508195.8</v>
      </c>
      <c r="N2999" t="s">
        <v>719</v>
      </c>
      <c r="O2999" t="s">
        <v>1033</v>
      </c>
      <c r="P2999" t="s">
        <v>4781</v>
      </c>
      <c r="Q2999" t="s">
        <v>4852</v>
      </c>
      <c r="R2999" t="s">
        <v>4771</v>
      </c>
    </row>
    <row r="3000" spans="1:18" x14ac:dyDescent="0.3">
      <c r="A3000">
        <v>45</v>
      </c>
      <c r="B3000" t="s">
        <v>4876</v>
      </c>
      <c r="C3000" t="s">
        <v>476</v>
      </c>
      <c r="D3000" t="s">
        <v>195</v>
      </c>
      <c r="E3000" s="1">
        <v>45874</v>
      </c>
      <c r="F3000" t="s">
        <v>4401</v>
      </c>
      <c r="G3000" t="s">
        <v>2511</v>
      </c>
      <c r="H3000" t="s">
        <v>475</v>
      </c>
      <c r="I3000" t="s">
        <v>204</v>
      </c>
      <c r="J3000" s="1">
        <v>54878</v>
      </c>
      <c r="K3000" t="s">
        <v>839</v>
      </c>
      <c r="L3000">
        <v>39330</v>
      </c>
      <c r="M3000">
        <v>39330</v>
      </c>
      <c r="N3000" t="s">
        <v>710</v>
      </c>
      <c r="O3000" t="s">
        <v>1042</v>
      </c>
      <c r="P3000" t="s">
        <v>1006</v>
      </c>
      <c r="Q3000" t="s">
        <v>4852</v>
      </c>
      <c r="R3000" t="s">
        <v>4771</v>
      </c>
    </row>
    <row r="3001" spans="1:18" x14ac:dyDescent="0.3">
      <c r="A3001">
        <v>3749</v>
      </c>
      <c r="B3001" t="s">
        <v>4874</v>
      </c>
      <c r="C3001" t="s">
        <v>225</v>
      </c>
      <c r="D3001" t="s">
        <v>166</v>
      </c>
      <c r="E3001" s="1">
        <v>45873</v>
      </c>
      <c r="F3001" t="s">
        <v>4383</v>
      </c>
      <c r="G3001" t="s">
        <v>2518</v>
      </c>
      <c r="H3001" t="s">
        <v>224</v>
      </c>
      <c r="I3001" t="s">
        <v>204</v>
      </c>
      <c r="J3001" s="1">
        <v>54878</v>
      </c>
      <c r="K3001" t="s">
        <v>720</v>
      </c>
      <c r="L3001">
        <v>476.36</v>
      </c>
      <c r="M3001">
        <v>476.36</v>
      </c>
      <c r="N3001" t="s">
        <v>710</v>
      </c>
      <c r="O3001" t="s">
        <v>4849</v>
      </c>
      <c r="P3001" t="s">
        <v>4776</v>
      </c>
      <c r="Q3001" t="s">
        <v>4855</v>
      </c>
      <c r="R3001" t="s">
        <v>4773</v>
      </c>
    </row>
    <row r="3002" spans="1:18" x14ac:dyDescent="0.3">
      <c r="A3002">
        <v>31088</v>
      </c>
      <c r="B3002" t="s">
        <v>4874</v>
      </c>
      <c r="C3002" t="s">
        <v>261</v>
      </c>
      <c r="D3002" t="s">
        <v>167</v>
      </c>
      <c r="E3002" s="1">
        <v>45873</v>
      </c>
      <c r="F3002" t="s">
        <v>4402</v>
      </c>
      <c r="G3002" t="s">
        <v>2414</v>
      </c>
      <c r="H3002" t="s">
        <v>290</v>
      </c>
      <c r="I3002" t="s">
        <v>204</v>
      </c>
      <c r="J3002" s="1">
        <v>46264</v>
      </c>
      <c r="K3002" t="s">
        <v>720</v>
      </c>
      <c r="L3002">
        <v>1</v>
      </c>
      <c r="M3002">
        <v>28679.360000000001</v>
      </c>
      <c r="N3002" t="s">
        <v>710</v>
      </c>
      <c r="O3002" t="s">
        <v>4849</v>
      </c>
      <c r="P3002" t="s">
        <v>4804</v>
      </c>
      <c r="Q3002" t="s">
        <v>4855</v>
      </c>
      <c r="R3002" t="s">
        <v>4773</v>
      </c>
    </row>
    <row r="3003" spans="1:18" x14ac:dyDescent="0.3">
      <c r="A3003">
        <v>48</v>
      </c>
      <c r="B3003" t="s">
        <v>4875</v>
      </c>
      <c r="C3003" t="s">
        <v>561</v>
      </c>
      <c r="D3003" t="s">
        <v>121</v>
      </c>
      <c r="E3003" s="1">
        <v>45873</v>
      </c>
      <c r="F3003" t="s">
        <v>4390</v>
      </c>
      <c r="G3003" t="s">
        <v>2472</v>
      </c>
      <c r="H3003" t="s">
        <v>560</v>
      </c>
      <c r="I3003" t="s">
        <v>204</v>
      </c>
      <c r="J3003" s="1">
        <v>46732</v>
      </c>
      <c r="K3003" t="s">
        <v>748</v>
      </c>
      <c r="L3003">
        <v>6700</v>
      </c>
      <c r="M3003">
        <v>6700</v>
      </c>
      <c r="N3003" t="s">
        <v>818</v>
      </c>
      <c r="O3003" t="s">
        <v>1040</v>
      </c>
      <c r="P3003" t="s">
        <v>4777</v>
      </c>
      <c r="Q3003" t="s">
        <v>4856</v>
      </c>
      <c r="R3003" t="s">
        <v>4771</v>
      </c>
    </row>
    <row r="3004" spans="1:18" x14ac:dyDescent="0.3">
      <c r="A3004">
        <v>267</v>
      </c>
      <c r="B3004" t="s">
        <v>1034</v>
      </c>
      <c r="C3004" t="s">
        <v>325</v>
      </c>
      <c r="D3004" t="s">
        <v>193</v>
      </c>
      <c r="E3004" s="1">
        <v>45873</v>
      </c>
      <c r="F3004" t="s">
        <v>4297</v>
      </c>
      <c r="G3004" t="s">
        <v>2513</v>
      </c>
      <c r="H3004" t="s">
        <v>324</v>
      </c>
      <c r="I3004" t="s">
        <v>204</v>
      </c>
      <c r="J3004" s="1">
        <v>54878</v>
      </c>
      <c r="K3004" t="s">
        <v>711</v>
      </c>
      <c r="L3004">
        <v>3900</v>
      </c>
      <c r="M3004">
        <v>3900</v>
      </c>
      <c r="N3004" t="s">
        <v>710</v>
      </c>
      <c r="O3004" t="s">
        <v>4844</v>
      </c>
      <c r="P3004" t="s">
        <v>4779</v>
      </c>
      <c r="Q3004" t="s">
        <v>4901</v>
      </c>
      <c r="R3004" t="s">
        <v>4773</v>
      </c>
    </row>
    <row r="3005" spans="1:18" x14ac:dyDescent="0.3">
      <c r="A3005">
        <v>2627</v>
      </c>
      <c r="B3005" t="s">
        <v>4875</v>
      </c>
      <c r="C3005" t="s">
        <v>541</v>
      </c>
      <c r="D3005" t="s">
        <v>173</v>
      </c>
      <c r="E3005" s="1">
        <v>45873</v>
      </c>
      <c r="F3005" t="s">
        <v>4326</v>
      </c>
      <c r="G3005" t="s">
        <v>2488</v>
      </c>
      <c r="H3005" t="s">
        <v>542</v>
      </c>
      <c r="I3005" t="s">
        <v>204</v>
      </c>
      <c r="J3005" s="1">
        <v>46537</v>
      </c>
      <c r="K3005" t="s">
        <v>748</v>
      </c>
      <c r="L3005">
        <v>1</v>
      </c>
      <c r="M3005">
        <v>2337.9499999999998</v>
      </c>
      <c r="N3005" t="s">
        <v>814</v>
      </c>
      <c r="O3005" t="s">
        <v>1040</v>
      </c>
      <c r="P3005" t="s">
        <v>4791</v>
      </c>
      <c r="Q3005" t="s">
        <v>4856</v>
      </c>
      <c r="R3005" t="s">
        <v>4773</v>
      </c>
    </row>
    <row r="3006" spans="1:18" x14ac:dyDescent="0.3">
      <c r="A3006">
        <v>16413</v>
      </c>
      <c r="B3006" t="s">
        <v>1034</v>
      </c>
      <c r="C3006" t="s">
        <v>632</v>
      </c>
      <c r="D3006" t="s">
        <v>41</v>
      </c>
      <c r="E3006" s="1">
        <v>45873</v>
      </c>
      <c r="F3006" t="s">
        <v>4352</v>
      </c>
      <c r="G3006" t="s">
        <v>2047</v>
      </c>
      <c r="H3006" t="s">
        <v>631</v>
      </c>
      <c r="I3006" t="s">
        <v>204</v>
      </c>
      <c r="J3006" s="1">
        <v>50860</v>
      </c>
      <c r="K3006" t="s">
        <v>717</v>
      </c>
      <c r="L3006">
        <v>1</v>
      </c>
      <c r="M3006">
        <v>6240</v>
      </c>
      <c r="N3006" t="s">
        <v>710</v>
      </c>
      <c r="O3006" t="s">
        <v>4833</v>
      </c>
      <c r="P3006" t="s">
        <v>4776</v>
      </c>
      <c r="Q3006" t="s">
        <v>4852</v>
      </c>
      <c r="R3006" t="s">
        <v>4771</v>
      </c>
    </row>
    <row r="3007" spans="1:18" x14ac:dyDescent="0.3">
      <c r="A3007">
        <v>41147</v>
      </c>
      <c r="B3007" t="s">
        <v>4874</v>
      </c>
      <c r="C3007" t="s">
        <v>294</v>
      </c>
      <c r="D3007" t="s">
        <v>101</v>
      </c>
      <c r="E3007" s="1">
        <v>45873</v>
      </c>
      <c r="F3007" t="s">
        <v>4304</v>
      </c>
      <c r="G3007" t="s">
        <v>2509</v>
      </c>
      <c r="H3007" t="s">
        <v>293</v>
      </c>
      <c r="I3007" t="s">
        <v>204</v>
      </c>
      <c r="J3007" s="1">
        <v>46191</v>
      </c>
      <c r="K3007" t="s">
        <v>720</v>
      </c>
      <c r="L3007">
        <v>1</v>
      </c>
      <c r="M3007">
        <v>190</v>
      </c>
      <c r="N3007" t="s">
        <v>710</v>
      </c>
      <c r="O3007" t="s">
        <v>4834</v>
      </c>
      <c r="P3007" t="s">
        <v>4776</v>
      </c>
      <c r="Q3007" t="s">
        <v>4858</v>
      </c>
      <c r="R3007" t="s">
        <v>4773</v>
      </c>
    </row>
    <row r="3008" spans="1:18" x14ac:dyDescent="0.3">
      <c r="A3008">
        <v>159789</v>
      </c>
      <c r="B3008" t="s">
        <v>4875</v>
      </c>
      <c r="C3008" t="s">
        <v>301</v>
      </c>
      <c r="D3008" t="s">
        <v>23</v>
      </c>
      <c r="E3008" s="1">
        <v>45873</v>
      </c>
      <c r="F3008" t="s">
        <v>4321</v>
      </c>
      <c r="G3008" t="s">
        <v>2473</v>
      </c>
      <c r="H3008" t="s">
        <v>342</v>
      </c>
      <c r="I3008" t="s">
        <v>204</v>
      </c>
      <c r="J3008" s="1">
        <v>46285</v>
      </c>
      <c r="K3008" t="s">
        <v>748</v>
      </c>
      <c r="L3008">
        <v>5127.5200000000004</v>
      </c>
      <c r="M3008">
        <v>5127.51</v>
      </c>
      <c r="N3008" t="s">
        <v>710</v>
      </c>
      <c r="O3008" t="s">
        <v>1040</v>
      </c>
      <c r="P3008" t="s">
        <v>4782</v>
      </c>
      <c r="Q3008" t="s">
        <v>4856</v>
      </c>
      <c r="R3008" t="s">
        <v>4773</v>
      </c>
    </row>
    <row r="3009" spans="1:18" x14ac:dyDescent="0.3">
      <c r="A3009">
        <v>2025136</v>
      </c>
      <c r="B3009" t="s">
        <v>4875</v>
      </c>
      <c r="C3009" t="s">
        <v>322</v>
      </c>
      <c r="D3009" t="s">
        <v>158</v>
      </c>
      <c r="E3009" s="1">
        <v>45873</v>
      </c>
      <c r="F3009" t="s">
        <v>4431</v>
      </c>
      <c r="G3009" t="s">
        <v>2438</v>
      </c>
      <c r="H3009" t="s">
        <v>321</v>
      </c>
      <c r="I3009" t="s">
        <v>204</v>
      </c>
      <c r="J3009" s="1">
        <v>46310</v>
      </c>
      <c r="K3009" t="s">
        <v>748</v>
      </c>
      <c r="L3009">
        <v>6910.68</v>
      </c>
      <c r="M3009">
        <v>6910.68</v>
      </c>
      <c r="N3009" t="s">
        <v>710</v>
      </c>
      <c r="O3009" t="s">
        <v>1040</v>
      </c>
      <c r="P3009" t="s">
        <v>4782</v>
      </c>
      <c r="Q3009" t="s">
        <v>4856</v>
      </c>
      <c r="R3009" t="s">
        <v>4773</v>
      </c>
    </row>
    <row r="3010" spans="1:18" x14ac:dyDescent="0.3">
      <c r="A3010">
        <v>1686</v>
      </c>
      <c r="B3010" t="s">
        <v>4875</v>
      </c>
      <c r="C3010" t="s">
        <v>312</v>
      </c>
      <c r="D3010" t="s">
        <v>73</v>
      </c>
      <c r="E3010" s="1">
        <v>45870</v>
      </c>
      <c r="F3010" t="s">
        <v>4300</v>
      </c>
      <c r="G3010" t="s">
        <v>2486</v>
      </c>
      <c r="H3010" t="s">
        <v>365</v>
      </c>
      <c r="I3010" t="s">
        <v>204</v>
      </c>
      <c r="J3010" s="1">
        <v>46418</v>
      </c>
      <c r="K3010" t="s">
        <v>748</v>
      </c>
      <c r="L3010">
        <v>2255</v>
      </c>
      <c r="M3010">
        <v>2255</v>
      </c>
      <c r="N3010" t="s">
        <v>710</v>
      </c>
      <c r="O3010" t="s">
        <v>4834</v>
      </c>
      <c r="P3010" t="s">
        <v>1006</v>
      </c>
      <c r="Q3010" t="s">
        <v>4856</v>
      </c>
      <c r="R3010" t="s">
        <v>4773</v>
      </c>
    </row>
    <row r="3011" spans="1:18" x14ac:dyDescent="0.3">
      <c r="A3011">
        <v>3740</v>
      </c>
      <c r="B3011" t="s">
        <v>4875</v>
      </c>
      <c r="C3011" t="s">
        <v>535</v>
      </c>
      <c r="D3011" t="s">
        <v>148</v>
      </c>
      <c r="E3011" s="1">
        <v>45870</v>
      </c>
      <c r="F3011" t="s">
        <v>4297</v>
      </c>
      <c r="G3011" t="s">
        <v>2485</v>
      </c>
      <c r="H3011" t="s">
        <v>654</v>
      </c>
      <c r="I3011" t="s">
        <v>204</v>
      </c>
      <c r="J3011" s="1">
        <v>46227</v>
      </c>
      <c r="K3011" t="s">
        <v>748</v>
      </c>
      <c r="L3011">
        <v>1</v>
      </c>
      <c r="M3011">
        <v>5500</v>
      </c>
      <c r="N3011" t="s">
        <v>954</v>
      </c>
      <c r="O3011" t="s">
        <v>1040</v>
      </c>
      <c r="P3011" t="s">
        <v>4779</v>
      </c>
      <c r="Q3011" t="s">
        <v>4856</v>
      </c>
      <c r="R3011" t="s">
        <v>807</v>
      </c>
    </row>
    <row r="3012" spans="1:18" x14ac:dyDescent="0.3">
      <c r="A3012">
        <v>1914467</v>
      </c>
      <c r="B3012" t="s">
        <v>1034</v>
      </c>
      <c r="C3012" t="s">
        <v>417</v>
      </c>
      <c r="D3012" t="s">
        <v>185</v>
      </c>
      <c r="E3012" s="1">
        <v>45870</v>
      </c>
      <c r="F3012" t="s">
        <v>4346</v>
      </c>
      <c r="G3012" t="s">
        <v>2495</v>
      </c>
      <c r="H3012" t="s">
        <v>416</v>
      </c>
      <c r="I3012" t="s">
        <v>204</v>
      </c>
      <c r="J3012" s="1">
        <v>54878</v>
      </c>
      <c r="K3012" t="s">
        <v>717</v>
      </c>
      <c r="L3012">
        <v>3434.76</v>
      </c>
      <c r="M3012">
        <v>3434.76</v>
      </c>
      <c r="N3012" t="s">
        <v>710</v>
      </c>
      <c r="O3012" t="s">
        <v>1037</v>
      </c>
      <c r="P3012" t="s">
        <v>4780</v>
      </c>
      <c r="Q3012" t="s">
        <v>4852</v>
      </c>
      <c r="R3012" t="s">
        <v>4771</v>
      </c>
    </row>
    <row r="3013" spans="1:18" x14ac:dyDescent="0.3">
      <c r="A3013">
        <v>84863</v>
      </c>
      <c r="B3013" t="s">
        <v>1034</v>
      </c>
      <c r="C3013" t="s">
        <v>319</v>
      </c>
      <c r="D3013" t="s">
        <v>36</v>
      </c>
      <c r="E3013" s="1">
        <v>45870</v>
      </c>
      <c r="F3013" t="s">
        <v>4298</v>
      </c>
      <c r="G3013" t="s">
        <v>2503</v>
      </c>
      <c r="H3013" t="s">
        <v>318</v>
      </c>
      <c r="I3013" t="s">
        <v>204</v>
      </c>
      <c r="J3013" s="1">
        <v>46214</v>
      </c>
      <c r="K3013" t="s">
        <v>711</v>
      </c>
      <c r="L3013">
        <v>1304</v>
      </c>
      <c r="M3013">
        <v>1304.28</v>
      </c>
      <c r="N3013" t="s">
        <v>710</v>
      </c>
      <c r="O3013" t="s">
        <v>1036</v>
      </c>
      <c r="P3013" t="s">
        <v>4784</v>
      </c>
      <c r="Q3013" t="s">
        <v>4901</v>
      </c>
      <c r="R3013" t="s">
        <v>4771</v>
      </c>
    </row>
    <row r="3014" spans="1:18" x14ac:dyDescent="0.3">
      <c r="A3014">
        <v>84955</v>
      </c>
      <c r="B3014" t="s">
        <v>1034</v>
      </c>
      <c r="C3014" t="s">
        <v>319</v>
      </c>
      <c r="D3014" t="s">
        <v>36</v>
      </c>
      <c r="E3014" s="1">
        <v>45870</v>
      </c>
      <c r="F3014" t="s">
        <v>4298</v>
      </c>
      <c r="G3014" t="s">
        <v>2502</v>
      </c>
      <c r="H3014" t="s">
        <v>318</v>
      </c>
      <c r="I3014" t="s">
        <v>204</v>
      </c>
      <c r="J3014" s="1">
        <v>46214</v>
      </c>
      <c r="K3014" t="s">
        <v>711</v>
      </c>
      <c r="L3014">
        <v>1720</v>
      </c>
      <c r="M3014">
        <v>1719.89</v>
      </c>
      <c r="N3014" t="s">
        <v>710</v>
      </c>
      <c r="O3014" t="s">
        <v>1036</v>
      </c>
      <c r="P3014" t="s">
        <v>4784</v>
      </c>
      <c r="Q3014" t="s">
        <v>4901</v>
      </c>
      <c r="R3014" t="s">
        <v>4771</v>
      </c>
    </row>
    <row r="3015" spans="1:18" x14ac:dyDescent="0.3">
      <c r="A3015">
        <v>267</v>
      </c>
      <c r="B3015" t="s">
        <v>1034</v>
      </c>
      <c r="C3015" t="s">
        <v>638</v>
      </c>
      <c r="D3015" t="s">
        <v>134</v>
      </c>
      <c r="E3015" s="1">
        <v>45870</v>
      </c>
      <c r="F3015" t="s">
        <v>4296</v>
      </c>
      <c r="G3015" t="s">
        <v>2504</v>
      </c>
      <c r="H3015" t="s">
        <v>637</v>
      </c>
      <c r="I3015" t="s">
        <v>204</v>
      </c>
      <c r="J3015" s="1">
        <v>46537</v>
      </c>
      <c r="K3015" t="s">
        <v>711</v>
      </c>
      <c r="L3015">
        <v>1941</v>
      </c>
      <c r="M3015">
        <v>1941</v>
      </c>
      <c r="N3015" t="s">
        <v>710</v>
      </c>
      <c r="O3015" t="s">
        <v>1036</v>
      </c>
      <c r="P3015" t="s">
        <v>4776</v>
      </c>
      <c r="Q3015" t="s">
        <v>4901</v>
      </c>
    </row>
    <row r="3016" spans="1:18" x14ac:dyDescent="0.3">
      <c r="A3016">
        <v>41936</v>
      </c>
      <c r="B3016" t="s">
        <v>1034</v>
      </c>
      <c r="C3016" t="s">
        <v>327</v>
      </c>
      <c r="D3016" t="s">
        <v>159</v>
      </c>
      <c r="E3016" s="1">
        <v>45870</v>
      </c>
      <c r="F3016" t="s">
        <v>4295</v>
      </c>
      <c r="G3016" t="s">
        <v>2467</v>
      </c>
      <c r="H3016" t="s">
        <v>357</v>
      </c>
      <c r="I3016" t="s">
        <v>204</v>
      </c>
      <c r="J3016" s="1">
        <v>46476</v>
      </c>
      <c r="K3016" t="s">
        <v>711</v>
      </c>
      <c r="L3016">
        <v>1006.43</v>
      </c>
      <c r="M3016">
        <v>1006.43</v>
      </c>
      <c r="N3016" t="s">
        <v>890</v>
      </c>
      <c r="O3016" t="s">
        <v>4834</v>
      </c>
      <c r="P3016" t="s">
        <v>4776</v>
      </c>
      <c r="Q3016" t="s">
        <v>4901</v>
      </c>
      <c r="R3016" t="s">
        <v>4773</v>
      </c>
    </row>
    <row r="3017" spans="1:18" x14ac:dyDescent="0.3">
      <c r="A3017">
        <v>41937</v>
      </c>
      <c r="B3017" t="s">
        <v>1034</v>
      </c>
      <c r="C3017" t="s">
        <v>327</v>
      </c>
      <c r="D3017" t="s">
        <v>159</v>
      </c>
      <c r="E3017" s="1">
        <v>45870</v>
      </c>
      <c r="F3017" t="s">
        <v>4295</v>
      </c>
      <c r="G3017" t="s">
        <v>2466</v>
      </c>
      <c r="H3017" t="s">
        <v>357</v>
      </c>
      <c r="I3017" t="s">
        <v>204</v>
      </c>
      <c r="J3017" s="1">
        <v>46476</v>
      </c>
      <c r="K3017" t="s">
        <v>711</v>
      </c>
      <c r="L3017">
        <v>2150</v>
      </c>
      <c r="M3017">
        <v>2150</v>
      </c>
      <c r="N3017" t="s">
        <v>890</v>
      </c>
      <c r="O3017" t="s">
        <v>4834</v>
      </c>
      <c r="P3017" t="s">
        <v>4776</v>
      </c>
      <c r="Q3017" t="s">
        <v>4901</v>
      </c>
      <c r="R3017" t="s">
        <v>4773</v>
      </c>
    </row>
    <row r="3018" spans="1:18" x14ac:dyDescent="0.3">
      <c r="A3018">
        <v>41938</v>
      </c>
      <c r="B3018" t="s">
        <v>1034</v>
      </c>
      <c r="C3018" t="s">
        <v>327</v>
      </c>
      <c r="D3018" t="s">
        <v>159</v>
      </c>
      <c r="E3018" s="1">
        <v>45870</v>
      </c>
      <c r="F3018" t="s">
        <v>4295</v>
      </c>
      <c r="G3018" t="s">
        <v>2482</v>
      </c>
      <c r="H3018" t="s">
        <v>357</v>
      </c>
      <c r="I3018" t="s">
        <v>204</v>
      </c>
      <c r="J3018" s="1">
        <v>46476</v>
      </c>
      <c r="K3018" t="s">
        <v>711</v>
      </c>
      <c r="L3018">
        <v>727.65</v>
      </c>
      <c r="M3018">
        <v>727.65</v>
      </c>
      <c r="N3018" t="s">
        <v>890</v>
      </c>
      <c r="O3018" t="s">
        <v>4834</v>
      </c>
      <c r="P3018" t="s">
        <v>4776</v>
      </c>
      <c r="Q3018" t="s">
        <v>4901</v>
      </c>
      <c r="R3018" t="s">
        <v>4773</v>
      </c>
    </row>
    <row r="3019" spans="1:18" x14ac:dyDescent="0.3">
      <c r="A3019">
        <v>41939</v>
      </c>
      <c r="B3019" t="s">
        <v>1034</v>
      </c>
      <c r="C3019" t="s">
        <v>327</v>
      </c>
      <c r="D3019" t="s">
        <v>159</v>
      </c>
      <c r="E3019" s="1">
        <v>45870</v>
      </c>
      <c r="F3019" t="s">
        <v>4295</v>
      </c>
      <c r="G3019" t="s">
        <v>2481</v>
      </c>
      <c r="H3019" t="s">
        <v>357</v>
      </c>
      <c r="I3019" t="s">
        <v>204</v>
      </c>
      <c r="J3019" s="1">
        <v>46476</v>
      </c>
      <c r="K3019" t="s">
        <v>711</v>
      </c>
      <c r="L3019">
        <v>2150</v>
      </c>
      <c r="M3019">
        <v>2150</v>
      </c>
      <c r="N3019" t="s">
        <v>890</v>
      </c>
      <c r="O3019" t="s">
        <v>4834</v>
      </c>
      <c r="P3019" t="s">
        <v>4776</v>
      </c>
      <c r="Q3019" t="s">
        <v>4901</v>
      </c>
      <c r="R3019" t="s">
        <v>4773</v>
      </c>
    </row>
    <row r="3020" spans="1:18" x14ac:dyDescent="0.3">
      <c r="A3020">
        <v>2633</v>
      </c>
      <c r="B3020" t="s">
        <v>4874</v>
      </c>
      <c r="C3020" t="s">
        <v>630</v>
      </c>
      <c r="D3020" t="s">
        <v>145</v>
      </c>
      <c r="E3020" s="1">
        <v>45870</v>
      </c>
      <c r="F3020" t="s">
        <v>4300</v>
      </c>
      <c r="G3020" t="s">
        <v>2280</v>
      </c>
      <c r="H3020" t="s">
        <v>629</v>
      </c>
      <c r="I3020" t="s">
        <v>204</v>
      </c>
      <c r="J3020" s="1">
        <v>46264</v>
      </c>
      <c r="K3020" t="s">
        <v>720</v>
      </c>
      <c r="L3020">
        <v>1</v>
      </c>
      <c r="M3020">
        <v>18000</v>
      </c>
      <c r="N3020" t="s">
        <v>710</v>
      </c>
      <c r="O3020" t="s">
        <v>4849</v>
      </c>
      <c r="P3020" t="s">
        <v>4777</v>
      </c>
      <c r="Q3020" t="s">
        <v>4855</v>
      </c>
      <c r="R3020" t="s">
        <v>4771</v>
      </c>
    </row>
    <row r="3021" spans="1:18" x14ac:dyDescent="0.3">
      <c r="A3021">
        <v>71116</v>
      </c>
      <c r="B3021" t="s">
        <v>4874</v>
      </c>
      <c r="C3021" t="s">
        <v>614</v>
      </c>
      <c r="D3021" t="s">
        <v>74</v>
      </c>
      <c r="E3021" s="1">
        <v>45870</v>
      </c>
      <c r="F3021" t="s">
        <v>4362</v>
      </c>
      <c r="G3021" t="s">
        <v>2031</v>
      </c>
      <c r="H3021" t="s">
        <v>613</v>
      </c>
      <c r="I3021" t="s">
        <v>204</v>
      </c>
      <c r="J3021" s="1">
        <v>46993</v>
      </c>
      <c r="K3021" t="s">
        <v>720</v>
      </c>
      <c r="L3021">
        <v>1</v>
      </c>
      <c r="M3021">
        <v>1515</v>
      </c>
      <c r="N3021" t="s">
        <v>710</v>
      </c>
      <c r="O3021" t="s">
        <v>1038</v>
      </c>
      <c r="P3021" t="s">
        <v>4779</v>
      </c>
      <c r="Q3021" t="s">
        <v>4858</v>
      </c>
      <c r="R3021" t="s">
        <v>4771</v>
      </c>
    </row>
    <row r="3022" spans="1:18" x14ac:dyDescent="0.3">
      <c r="A3022">
        <v>161425</v>
      </c>
      <c r="B3022" t="s">
        <v>4874</v>
      </c>
      <c r="C3022" t="s">
        <v>214</v>
      </c>
      <c r="D3022" t="s">
        <v>94</v>
      </c>
      <c r="E3022" s="1">
        <v>45870</v>
      </c>
      <c r="F3022" t="s">
        <v>4295</v>
      </c>
      <c r="G3022" t="s">
        <v>2500</v>
      </c>
      <c r="H3022" t="s">
        <v>213</v>
      </c>
      <c r="I3022" t="s">
        <v>204</v>
      </c>
      <c r="J3022" s="1">
        <v>46309</v>
      </c>
      <c r="K3022" t="s">
        <v>720</v>
      </c>
      <c r="L3022">
        <v>1</v>
      </c>
      <c r="M3022">
        <v>30319.71</v>
      </c>
      <c r="N3022" t="s">
        <v>710</v>
      </c>
      <c r="O3022" t="s">
        <v>4834</v>
      </c>
      <c r="P3022" t="s">
        <v>4776</v>
      </c>
      <c r="Q3022" t="s">
        <v>4858</v>
      </c>
      <c r="R3022" t="s">
        <v>4772</v>
      </c>
    </row>
    <row r="3023" spans="1:18" x14ac:dyDescent="0.3">
      <c r="A3023">
        <v>1770</v>
      </c>
      <c r="B3023" t="s">
        <v>4874</v>
      </c>
      <c r="C3023" t="s">
        <v>252</v>
      </c>
      <c r="D3023" t="s">
        <v>183</v>
      </c>
      <c r="E3023" s="1">
        <v>45870</v>
      </c>
      <c r="F3023" t="s">
        <v>4404</v>
      </c>
      <c r="G3023" t="s">
        <v>1270</v>
      </c>
      <c r="H3023" t="s">
        <v>251</v>
      </c>
      <c r="I3023" t="s">
        <v>204</v>
      </c>
      <c r="J3023" s="1">
        <v>46418</v>
      </c>
      <c r="K3023" t="s">
        <v>762</v>
      </c>
      <c r="L3023">
        <v>18900</v>
      </c>
      <c r="M3023">
        <v>18900</v>
      </c>
      <c r="N3023" t="s">
        <v>719</v>
      </c>
      <c r="O3023" t="s">
        <v>4904</v>
      </c>
      <c r="P3023" t="s">
        <v>4792</v>
      </c>
      <c r="Q3023" t="s">
        <v>4904</v>
      </c>
      <c r="R3023" t="s">
        <v>4773</v>
      </c>
    </row>
    <row r="3024" spans="1:18" x14ac:dyDescent="0.3">
      <c r="A3024">
        <v>1914517</v>
      </c>
      <c r="B3024" t="s">
        <v>4874</v>
      </c>
      <c r="C3024" t="s">
        <v>417</v>
      </c>
      <c r="D3024" t="s">
        <v>185</v>
      </c>
      <c r="E3024" s="1">
        <v>45870</v>
      </c>
      <c r="F3024" t="s">
        <v>4346</v>
      </c>
      <c r="G3024" t="s">
        <v>2496</v>
      </c>
      <c r="H3024" t="s">
        <v>461</v>
      </c>
      <c r="I3024" t="s">
        <v>204</v>
      </c>
      <c r="J3024" s="1">
        <v>54878</v>
      </c>
      <c r="K3024" t="s">
        <v>762</v>
      </c>
      <c r="L3024">
        <v>24051.29</v>
      </c>
      <c r="M3024">
        <v>24051.29</v>
      </c>
      <c r="N3024" t="s">
        <v>710</v>
      </c>
      <c r="O3024" t="s">
        <v>1037</v>
      </c>
      <c r="P3024" t="s">
        <v>4780</v>
      </c>
      <c r="Q3024" t="s">
        <v>4852</v>
      </c>
      <c r="R3024" t="s">
        <v>4771</v>
      </c>
    </row>
    <row r="3025" spans="1:18" x14ac:dyDescent="0.3">
      <c r="A3025">
        <v>3907205</v>
      </c>
      <c r="B3025" t="s">
        <v>4874</v>
      </c>
      <c r="C3025" t="s">
        <v>417</v>
      </c>
      <c r="D3025" t="s">
        <v>185</v>
      </c>
      <c r="E3025" s="1">
        <v>45869</v>
      </c>
      <c r="F3025" t="s">
        <v>4335</v>
      </c>
      <c r="G3025" t="s">
        <v>2496</v>
      </c>
      <c r="H3025" t="s">
        <v>461</v>
      </c>
      <c r="I3025" t="s">
        <v>204</v>
      </c>
      <c r="J3025" s="1">
        <v>54878</v>
      </c>
      <c r="K3025" t="s">
        <v>762</v>
      </c>
      <c r="L3025">
        <v>3905.22</v>
      </c>
      <c r="M3025">
        <v>3905.22</v>
      </c>
      <c r="N3025" t="s">
        <v>710</v>
      </c>
      <c r="O3025" t="s">
        <v>1037</v>
      </c>
      <c r="P3025" t="s">
        <v>4780</v>
      </c>
      <c r="Q3025" t="s">
        <v>4852</v>
      </c>
      <c r="R3025" t="s">
        <v>4771</v>
      </c>
    </row>
    <row r="3026" spans="1:18" x14ac:dyDescent="0.3">
      <c r="A3026">
        <v>3907155</v>
      </c>
      <c r="B3026" t="s">
        <v>1034</v>
      </c>
      <c r="C3026" t="s">
        <v>417</v>
      </c>
      <c r="D3026" t="s">
        <v>185</v>
      </c>
      <c r="E3026" s="1">
        <v>45869</v>
      </c>
      <c r="F3026" t="s">
        <v>4335</v>
      </c>
      <c r="G3026" t="s">
        <v>2495</v>
      </c>
      <c r="H3026" t="s">
        <v>416</v>
      </c>
      <c r="I3026" t="s">
        <v>204</v>
      </c>
      <c r="J3026" s="1">
        <v>54878</v>
      </c>
      <c r="K3026" t="s">
        <v>717</v>
      </c>
      <c r="L3026">
        <v>1023.15</v>
      </c>
      <c r="M3026">
        <v>1023.15</v>
      </c>
      <c r="N3026" t="s">
        <v>710</v>
      </c>
      <c r="O3026" t="s">
        <v>1037</v>
      </c>
      <c r="P3026" t="s">
        <v>4780</v>
      </c>
      <c r="Q3026" t="s">
        <v>4852</v>
      </c>
      <c r="R3026" t="s">
        <v>4771</v>
      </c>
    </row>
    <row r="3027" spans="1:18" x14ac:dyDescent="0.3">
      <c r="A3027">
        <v>36210</v>
      </c>
      <c r="B3027" t="s">
        <v>4875</v>
      </c>
      <c r="C3027" t="s">
        <v>530</v>
      </c>
      <c r="D3027" t="s">
        <v>24</v>
      </c>
      <c r="E3027" s="1">
        <v>45868</v>
      </c>
      <c r="F3027" t="s">
        <v>4297</v>
      </c>
      <c r="G3027" t="s">
        <v>2464</v>
      </c>
      <c r="H3027" t="s">
        <v>529</v>
      </c>
      <c r="I3027" t="s">
        <v>204</v>
      </c>
      <c r="J3027" s="1">
        <v>46477</v>
      </c>
      <c r="K3027" t="s">
        <v>748</v>
      </c>
      <c r="L3027">
        <v>1</v>
      </c>
      <c r="M3027">
        <v>7155.86</v>
      </c>
      <c r="N3027" t="s">
        <v>710</v>
      </c>
      <c r="O3027" t="s">
        <v>1040</v>
      </c>
      <c r="P3027" t="s">
        <v>4779</v>
      </c>
      <c r="Q3027" t="s">
        <v>4856</v>
      </c>
      <c r="R3027" t="s">
        <v>4773</v>
      </c>
    </row>
    <row r="3028" spans="1:18" x14ac:dyDescent="0.3">
      <c r="A3028">
        <v>3841</v>
      </c>
      <c r="B3028" t="s">
        <v>1034</v>
      </c>
      <c r="C3028" t="s">
        <v>535</v>
      </c>
      <c r="D3028" t="s">
        <v>148</v>
      </c>
      <c r="E3028" s="1">
        <v>45868</v>
      </c>
      <c r="F3028" t="s">
        <v>4355</v>
      </c>
      <c r="G3028" t="s">
        <v>2165</v>
      </c>
      <c r="H3028" t="s">
        <v>534</v>
      </c>
      <c r="I3028" t="s">
        <v>209</v>
      </c>
      <c r="J3028" s="1">
        <v>46295</v>
      </c>
      <c r="K3028" t="s">
        <v>711</v>
      </c>
      <c r="L3028">
        <v>1</v>
      </c>
      <c r="M3028">
        <v>3200</v>
      </c>
      <c r="N3028" t="s">
        <v>890</v>
      </c>
      <c r="O3028" t="s">
        <v>1036</v>
      </c>
      <c r="P3028" t="s">
        <v>4779</v>
      </c>
      <c r="Q3028" t="s">
        <v>4856</v>
      </c>
      <c r="R3028" t="s">
        <v>807</v>
      </c>
    </row>
    <row r="3029" spans="1:18" x14ac:dyDescent="0.3">
      <c r="A3029">
        <v>78151</v>
      </c>
      <c r="B3029" t="s">
        <v>4874</v>
      </c>
      <c r="C3029" t="s">
        <v>634</v>
      </c>
      <c r="D3029" t="s">
        <v>99</v>
      </c>
      <c r="E3029" s="1">
        <v>45868</v>
      </c>
      <c r="F3029" t="s">
        <v>4394</v>
      </c>
      <c r="G3029" t="s">
        <v>2469</v>
      </c>
      <c r="H3029" t="s">
        <v>633</v>
      </c>
      <c r="I3029" t="s">
        <v>204</v>
      </c>
      <c r="J3029" s="1">
        <v>46204</v>
      </c>
      <c r="K3029" t="s">
        <v>762</v>
      </c>
      <c r="L3029">
        <v>2167</v>
      </c>
      <c r="M3029">
        <v>2167</v>
      </c>
      <c r="N3029" t="s">
        <v>719</v>
      </c>
      <c r="O3029" t="s">
        <v>1037</v>
      </c>
      <c r="P3029" t="s">
        <v>4790</v>
      </c>
      <c r="Q3029" t="s">
        <v>4852</v>
      </c>
    </row>
    <row r="3030" spans="1:18" x14ac:dyDescent="0.3">
      <c r="A3030">
        <v>61399442</v>
      </c>
      <c r="B3030" t="s">
        <v>4874</v>
      </c>
      <c r="C3030" t="s">
        <v>653</v>
      </c>
      <c r="D3030" t="s">
        <v>14</v>
      </c>
      <c r="E3030" s="1">
        <v>45868</v>
      </c>
      <c r="F3030" t="s">
        <v>4336</v>
      </c>
      <c r="G3030" t="s">
        <v>2460</v>
      </c>
      <c r="H3030" t="s">
        <v>652</v>
      </c>
      <c r="I3030" t="s">
        <v>204</v>
      </c>
      <c r="J3030" s="1">
        <v>46583</v>
      </c>
      <c r="K3030" t="s">
        <v>762</v>
      </c>
      <c r="L3030">
        <v>1</v>
      </c>
      <c r="M3030">
        <v>54002.19</v>
      </c>
      <c r="N3030" t="s">
        <v>710</v>
      </c>
      <c r="O3030" t="s">
        <v>1037</v>
      </c>
      <c r="P3030" t="s">
        <v>4794</v>
      </c>
      <c r="Q3030" t="s">
        <v>4852</v>
      </c>
      <c r="R3030" t="s">
        <v>807</v>
      </c>
    </row>
    <row r="3031" spans="1:18" x14ac:dyDescent="0.3">
      <c r="A3031">
        <v>78151</v>
      </c>
      <c r="B3031" t="s">
        <v>4874</v>
      </c>
      <c r="C3031" t="s">
        <v>634</v>
      </c>
      <c r="D3031" t="s">
        <v>99</v>
      </c>
      <c r="E3031" s="1">
        <v>45868</v>
      </c>
      <c r="F3031" t="s">
        <v>4310</v>
      </c>
      <c r="G3031" t="s">
        <v>2469</v>
      </c>
      <c r="H3031" t="s">
        <v>633</v>
      </c>
      <c r="I3031" t="s">
        <v>204</v>
      </c>
      <c r="J3031" s="1">
        <v>46204</v>
      </c>
      <c r="K3031" t="s">
        <v>762</v>
      </c>
      <c r="L3031">
        <v>91</v>
      </c>
      <c r="M3031">
        <v>333.06</v>
      </c>
      <c r="N3031" t="s">
        <v>719</v>
      </c>
      <c r="O3031" t="s">
        <v>1037</v>
      </c>
      <c r="P3031" t="s">
        <v>4790</v>
      </c>
      <c r="Q3031" t="s">
        <v>4852</v>
      </c>
    </row>
    <row r="3032" spans="1:18" x14ac:dyDescent="0.3">
      <c r="A3032">
        <v>78151</v>
      </c>
      <c r="B3032" t="s">
        <v>4874</v>
      </c>
      <c r="C3032" t="s">
        <v>634</v>
      </c>
      <c r="D3032" t="s">
        <v>99</v>
      </c>
      <c r="E3032" s="1">
        <v>45868</v>
      </c>
      <c r="F3032" t="s">
        <v>4400</v>
      </c>
      <c r="G3032" t="s">
        <v>2469</v>
      </c>
      <c r="H3032" t="s">
        <v>633</v>
      </c>
      <c r="I3032" t="s">
        <v>204</v>
      </c>
      <c r="J3032" s="1">
        <v>46204</v>
      </c>
      <c r="K3032" t="s">
        <v>762</v>
      </c>
      <c r="L3032">
        <v>7</v>
      </c>
      <c r="M3032">
        <v>41.02</v>
      </c>
      <c r="N3032" t="s">
        <v>719</v>
      </c>
      <c r="O3032" t="s">
        <v>1037</v>
      </c>
      <c r="P3032" t="s">
        <v>4790</v>
      </c>
      <c r="Q3032" t="s">
        <v>4852</v>
      </c>
    </row>
    <row r="3033" spans="1:18" x14ac:dyDescent="0.3">
      <c r="A3033">
        <v>78151</v>
      </c>
      <c r="B3033" t="s">
        <v>4874</v>
      </c>
      <c r="C3033" t="s">
        <v>634</v>
      </c>
      <c r="D3033" t="s">
        <v>99</v>
      </c>
      <c r="E3033" s="1">
        <v>45868</v>
      </c>
      <c r="F3033" t="s">
        <v>4329</v>
      </c>
      <c r="G3033" t="s">
        <v>2469</v>
      </c>
      <c r="H3033" t="s">
        <v>633</v>
      </c>
      <c r="I3033" t="s">
        <v>204</v>
      </c>
      <c r="J3033" s="1">
        <v>46204</v>
      </c>
      <c r="K3033" t="s">
        <v>762</v>
      </c>
      <c r="L3033">
        <v>11</v>
      </c>
      <c r="M3033">
        <v>146.19</v>
      </c>
      <c r="N3033" t="s">
        <v>719</v>
      </c>
      <c r="O3033" t="s">
        <v>1037</v>
      </c>
      <c r="P3033" t="s">
        <v>4790</v>
      </c>
      <c r="Q3033" t="s">
        <v>4852</v>
      </c>
    </row>
    <row r="3034" spans="1:18" x14ac:dyDescent="0.3">
      <c r="A3034">
        <v>78151</v>
      </c>
      <c r="B3034" t="s">
        <v>4874</v>
      </c>
      <c r="C3034" t="s">
        <v>634</v>
      </c>
      <c r="D3034" t="s">
        <v>99</v>
      </c>
      <c r="E3034" s="1">
        <v>45868</v>
      </c>
      <c r="F3034" t="s">
        <v>4313</v>
      </c>
      <c r="G3034" t="s">
        <v>2469</v>
      </c>
      <c r="H3034" t="s">
        <v>633</v>
      </c>
      <c r="I3034" t="s">
        <v>204</v>
      </c>
      <c r="J3034" s="1">
        <v>46204</v>
      </c>
      <c r="K3034" t="s">
        <v>762</v>
      </c>
      <c r="L3034">
        <v>14</v>
      </c>
      <c r="M3034">
        <v>91.98</v>
      </c>
      <c r="N3034" t="s">
        <v>719</v>
      </c>
      <c r="O3034" t="s">
        <v>1037</v>
      </c>
      <c r="P3034" t="s">
        <v>4790</v>
      </c>
      <c r="Q3034" t="s">
        <v>4852</v>
      </c>
    </row>
    <row r="3035" spans="1:18" x14ac:dyDescent="0.3">
      <c r="A3035">
        <v>78151</v>
      </c>
      <c r="B3035" t="s">
        <v>4874</v>
      </c>
      <c r="C3035" t="s">
        <v>634</v>
      </c>
      <c r="D3035" t="s">
        <v>99</v>
      </c>
      <c r="E3035" s="1">
        <v>45868</v>
      </c>
      <c r="F3035" t="s">
        <v>4308</v>
      </c>
      <c r="G3035" t="s">
        <v>2469</v>
      </c>
      <c r="H3035" t="s">
        <v>633</v>
      </c>
      <c r="I3035" t="s">
        <v>204</v>
      </c>
      <c r="J3035" s="1">
        <v>46204</v>
      </c>
      <c r="K3035" t="s">
        <v>762</v>
      </c>
      <c r="L3035">
        <v>110</v>
      </c>
      <c r="M3035">
        <v>535.70000000000005</v>
      </c>
      <c r="N3035" t="s">
        <v>719</v>
      </c>
      <c r="O3035" t="s">
        <v>1037</v>
      </c>
      <c r="P3035" t="s">
        <v>4790</v>
      </c>
      <c r="Q3035" t="s">
        <v>4852</v>
      </c>
    </row>
    <row r="3036" spans="1:18" x14ac:dyDescent="0.3">
      <c r="A3036">
        <v>78151</v>
      </c>
      <c r="B3036" t="s">
        <v>4874</v>
      </c>
      <c r="C3036" t="s">
        <v>634</v>
      </c>
      <c r="D3036" t="s">
        <v>99</v>
      </c>
      <c r="E3036" s="1">
        <v>45868</v>
      </c>
      <c r="F3036" t="s">
        <v>4314</v>
      </c>
      <c r="G3036" t="s">
        <v>2469</v>
      </c>
      <c r="H3036" t="s">
        <v>633</v>
      </c>
      <c r="I3036" t="s">
        <v>204</v>
      </c>
      <c r="J3036" s="1">
        <v>46204</v>
      </c>
      <c r="K3036" t="s">
        <v>762</v>
      </c>
      <c r="L3036">
        <v>195</v>
      </c>
      <c r="M3036">
        <v>4368</v>
      </c>
      <c r="N3036" t="s">
        <v>719</v>
      </c>
      <c r="O3036" t="s">
        <v>1037</v>
      </c>
      <c r="P3036" t="s">
        <v>4790</v>
      </c>
      <c r="Q3036" t="s">
        <v>4852</v>
      </c>
    </row>
    <row r="3037" spans="1:18" x14ac:dyDescent="0.3">
      <c r="A3037">
        <v>935117</v>
      </c>
      <c r="B3037" t="s">
        <v>4874</v>
      </c>
      <c r="C3037" t="s">
        <v>376</v>
      </c>
      <c r="D3037" t="s">
        <v>35</v>
      </c>
      <c r="E3037" s="1">
        <v>45868</v>
      </c>
      <c r="F3037" t="s">
        <v>4324</v>
      </c>
      <c r="G3037" t="s">
        <v>2420</v>
      </c>
      <c r="H3037" t="s">
        <v>442</v>
      </c>
      <c r="I3037" t="s">
        <v>209</v>
      </c>
      <c r="J3037" s="1">
        <v>54878</v>
      </c>
      <c r="K3037" t="s">
        <v>762</v>
      </c>
      <c r="L3037">
        <v>3485</v>
      </c>
      <c r="M3037">
        <v>3485</v>
      </c>
      <c r="N3037" t="s">
        <v>710</v>
      </c>
      <c r="Q3037" t="s">
        <v>4852</v>
      </c>
      <c r="R3037" t="s">
        <v>4771</v>
      </c>
    </row>
    <row r="3038" spans="1:18" x14ac:dyDescent="0.3">
      <c r="A3038">
        <v>78151</v>
      </c>
      <c r="B3038" t="s">
        <v>4874</v>
      </c>
      <c r="C3038" t="s">
        <v>634</v>
      </c>
      <c r="D3038" t="s">
        <v>99</v>
      </c>
      <c r="E3038" s="1">
        <v>45868</v>
      </c>
      <c r="F3038" t="s">
        <v>4307</v>
      </c>
      <c r="G3038" t="s">
        <v>2469</v>
      </c>
      <c r="H3038" t="s">
        <v>633</v>
      </c>
      <c r="I3038" t="s">
        <v>204</v>
      </c>
      <c r="J3038" s="1">
        <v>46204</v>
      </c>
      <c r="K3038" t="s">
        <v>762</v>
      </c>
      <c r="L3038">
        <v>2167</v>
      </c>
      <c r="M3038">
        <v>33783.53</v>
      </c>
      <c r="N3038" t="s">
        <v>719</v>
      </c>
      <c r="O3038" t="s">
        <v>1037</v>
      </c>
      <c r="P3038" t="s">
        <v>4790</v>
      </c>
      <c r="Q3038" t="s">
        <v>4852</v>
      </c>
    </row>
    <row r="3039" spans="1:18" x14ac:dyDescent="0.3">
      <c r="A3039">
        <v>1500</v>
      </c>
      <c r="B3039" t="s">
        <v>1034</v>
      </c>
      <c r="C3039" t="s">
        <v>449</v>
      </c>
      <c r="D3039" t="s">
        <v>20</v>
      </c>
      <c r="E3039" s="1">
        <v>45867</v>
      </c>
      <c r="F3039" t="s">
        <v>4331</v>
      </c>
      <c r="G3039" t="s">
        <v>2492</v>
      </c>
      <c r="H3039" t="s">
        <v>448</v>
      </c>
      <c r="I3039" t="s">
        <v>204</v>
      </c>
      <c r="J3039" s="1">
        <v>46219</v>
      </c>
      <c r="K3039" t="s">
        <v>717</v>
      </c>
      <c r="L3039">
        <v>8284.58</v>
      </c>
      <c r="M3039">
        <v>8284.58</v>
      </c>
      <c r="N3039" t="s">
        <v>710</v>
      </c>
      <c r="O3039" t="s">
        <v>4902</v>
      </c>
      <c r="P3039" t="s">
        <v>4776</v>
      </c>
      <c r="Q3039" t="s">
        <v>4852</v>
      </c>
      <c r="R3039" t="s">
        <v>4771</v>
      </c>
    </row>
    <row r="3040" spans="1:18" x14ac:dyDescent="0.3">
      <c r="A3040">
        <v>310</v>
      </c>
      <c r="B3040" t="s">
        <v>1034</v>
      </c>
      <c r="C3040" t="s">
        <v>479</v>
      </c>
      <c r="D3040" t="s">
        <v>99</v>
      </c>
      <c r="E3040" s="1">
        <v>45867</v>
      </c>
      <c r="F3040" t="s">
        <v>4309</v>
      </c>
      <c r="G3040" t="s">
        <v>2501</v>
      </c>
      <c r="H3040" t="s">
        <v>478</v>
      </c>
      <c r="I3040" t="s">
        <v>204</v>
      </c>
      <c r="J3040" s="1">
        <v>46239</v>
      </c>
      <c r="K3040" t="s">
        <v>717</v>
      </c>
      <c r="L3040">
        <v>12</v>
      </c>
      <c r="M3040">
        <v>53.28</v>
      </c>
      <c r="N3040" t="s">
        <v>710</v>
      </c>
      <c r="O3040" t="s">
        <v>1037</v>
      </c>
      <c r="P3040" t="s">
        <v>4790</v>
      </c>
      <c r="Q3040" t="s">
        <v>4852</v>
      </c>
      <c r="R3040" t="s">
        <v>4772</v>
      </c>
    </row>
    <row r="3041" spans="1:18" x14ac:dyDescent="0.3">
      <c r="A3041">
        <v>310</v>
      </c>
      <c r="B3041" t="s">
        <v>1034</v>
      </c>
      <c r="C3041" t="s">
        <v>479</v>
      </c>
      <c r="D3041" t="s">
        <v>99</v>
      </c>
      <c r="E3041" s="1">
        <v>45867</v>
      </c>
      <c r="F3041" t="s">
        <v>4369</v>
      </c>
      <c r="G3041" t="s">
        <v>2501</v>
      </c>
      <c r="H3041" t="s">
        <v>478</v>
      </c>
      <c r="I3041" t="s">
        <v>204</v>
      </c>
      <c r="J3041" s="1">
        <v>46239</v>
      </c>
      <c r="K3041" t="s">
        <v>717</v>
      </c>
      <c r="L3041">
        <v>50</v>
      </c>
      <c r="M3041">
        <v>818.5</v>
      </c>
      <c r="N3041" t="s">
        <v>710</v>
      </c>
      <c r="O3041" t="s">
        <v>1037</v>
      </c>
      <c r="P3041" t="s">
        <v>4790</v>
      </c>
      <c r="Q3041" t="s">
        <v>4852</v>
      </c>
      <c r="R3041" t="s">
        <v>4772</v>
      </c>
    </row>
    <row r="3042" spans="1:18" x14ac:dyDescent="0.3">
      <c r="A3042">
        <v>503629</v>
      </c>
      <c r="B3042" t="s">
        <v>4874</v>
      </c>
      <c r="C3042" t="s">
        <v>239</v>
      </c>
      <c r="D3042" t="s">
        <v>199</v>
      </c>
      <c r="E3042" s="1">
        <v>45867</v>
      </c>
      <c r="F3042" t="s">
        <v>4325</v>
      </c>
      <c r="G3042" t="s">
        <v>2480</v>
      </c>
      <c r="H3042" t="s">
        <v>268</v>
      </c>
      <c r="I3042" t="s">
        <v>204</v>
      </c>
      <c r="J3042" s="1">
        <v>46172</v>
      </c>
      <c r="K3042" t="s">
        <v>720</v>
      </c>
      <c r="L3042">
        <v>1</v>
      </c>
      <c r="M3042">
        <v>109.9</v>
      </c>
      <c r="N3042" t="s">
        <v>710</v>
      </c>
      <c r="O3042" t="s">
        <v>1038</v>
      </c>
      <c r="P3042" t="s">
        <v>4779</v>
      </c>
      <c r="Q3042" t="s">
        <v>4858</v>
      </c>
      <c r="R3042" t="s">
        <v>4771</v>
      </c>
    </row>
    <row r="3043" spans="1:18" x14ac:dyDescent="0.3">
      <c r="A3043">
        <v>58868</v>
      </c>
      <c r="B3043" t="s">
        <v>4874</v>
      </c>
      <c r="C3043" t="s">
        <v>437</v>
      </c>
      <c r="D3043" t="s">
        <v>150</v>
      </c>
      <c r="E3043" s="1">
        <v>45867</v>
      </c>
      <c r="F3043" t="s">
        <v>4395</v>
      </c>
      <c r="G3043" t="s">
        <v>2462</v>
      </c>
      <c r="H3043" t="s">
        <v>436</v>
      </c>
      <c r="I3043" t="s">
        <v>204</v>
      </c>
      <c r="J3043" s="1">
        <v>54878</v>
      </c>
      <c r="K3043" t="s">
        <v>762</v>
      </c>
      <c r="L3043">
        <v>840</v>
      </c>
      <c r="M3043">
        <v>840</v>
      </c>
      <c r="N3043" t="s">
        <v>719</v>
      </c>
      <c r="O3043" t="s">
        <v>1037</v>
      </c>
      <c r="P3043" t="s">
        <v>4788</v>
      </c>
      <c r="Q3043" t="s">
        <v>4852</v>
      </c>
      <c r="R3043" t="s">
        <v>4771</v>
      </c>
    </row>
    <row r="3044" spans="1:18" x14ac:dyDescent="0.3">
      <c r="A3044">
        <v>61402334</v>
      </c>
      <c r="B3044" t="s">
        <v>4874</v>
      </c>
      <c r="C3044" t="s">
        <v>653</v>
      </c>
      <c r="D3044" t="s">
        <v>14</v>
      </c>
      <c r="E3044" s="1">
        <v>45867</v>
      </c>
      <c r="F3044" t="s">
        <v>4336</v>
      </c>
      <c r="G3044" t="s">
        <v>2474</v>
      </c>
      <c r="H3044" t="s">
        <v>652</v>
      </c>
      <c r="I3044" t="s">
        <v>204</v>
      </c>
      <c r="J3044" s="1">
        <v>46583</v>
      </c>
      <c r="K3044" t="s">
        <v>762</v>
      </c>
      <c r="L3044">
        <v>1</v>
      </c>
      <c r="M3044">
        <v>53435.4</v>
      </c>
      <c r="N3044" t="s">
        <v>710</v>
      </c>
      <c r="O3044" t="s">
        <v>1037</v>
      </c>
      <c r="P3044" t="s">
        <v>4794</v>
      </c>
      <c r="Q3044" t="s">
        <v>4852</v>
      </c>
      <c r="R3044" t="s">
        <v>807</v>
      </c>
    </row>
    <row r="3045" spans="1:18" x14ac:dyDescent="0.3">
      <c r="A3045">
        <v>20251219</v>
      </c>
      <c r="B3045" t="s">
        <v>1034</v>
      </c>
      <c r="C3045" t="s">
        <v>364</v>
      </c>
      <c r="D3045" t="s">
        <v>72</v>
      </c>
      <c r="E3045" s="1">
        <v>45867</v>
      </c>
      <c r="F3045" t="s">
        <v>4295</v>
      </c>
      <c r="G3045" t="s">
        <v>2326</v>
      </c>
      <c r="H3045" t="s">
        <v>363</v>
      </c>
      <c r="I3045" t="s">
        <v>209</v>
      </c>
      <c r="J3045" s="1">
        <v>46092</v>
      </c>
      <c r="K3045" t="s">
        <v>711</v>
      </c>
      <c r="L3045">
        <v>7788</v>
      </c>
      <c r="M3045">
        <v>7788</v>
      </c>
      <c r="N3045" t="s">
        <v>710</v>
      </c>
      <c r="O3045" t="s">
        <v>4834</v>
      </c>
      <c r="P3045" t="s">
        <v>4776</v>
      </c>
      <c r="Q3045" t="s">
        <v>4901</v>
      </c>
      <c r="R3045" t="s">
        <v>4773</v>
      </c>
    </row>
    <row r="3046" spans="1:18" x14ac:dyDescent="0.3">
      <c r="A3046">
        <v>264</v>
      </c>
      <c r="B3046" t="s">
        <v>1034</v>
      </c>
      <c r="C3046" t="s">
        <v>638</v>
      </c>
      <c r="D3046" t="s">
        <v>134</v>
      </c>
      <c r="E3046" s="1">
        <v>45867</v>
      </c>
      <c r="F3046" t="s">
        <v>4296</v>
      </c>
      <c r="G3046" t="s">
        <v>2468</v>
      </c>
      <c r="H3046" t="s">
        <v>637</v>
      </c>
      <c r="I3046" t="s">
        <v>204</v>
      </c>
      <c r="J3046" s="1">
        <v>46537</v>
      </c>
      <c r="K3046" t="s">
        <v>711</v>
      </c>
      <c r="L3046">
        <v>1941</v>
      </c>
      <c r="M3046">
        <v>1941</v>
      </c>
      <c r="N3046" t="s">
        <v>710</v>
      </c>
      <c r="O3046" t="s">
        <v>1036</v>
      </c>
      <c r="P3046" t="s">
        <v>4776</v>
      </c>
      <c r="Q3046" t="s">
        <v>4901</v>
      </c>
    </row>
    <row r="3047" spans="1:18" x14ac:dyDescent="0.3">
      <c r="A3047">
        <v>95557</v>
      </c>
      <c r="B3047" t="s">
        <v>1034</v>
      </c>
      <c r="C3047" t="s">
        <v>452</v>
      </c>
      <c r="D3047" t="s">
        <v>171</v>
      </c>
      <c r="E3047" s="1">
        <v>45867</v>
      </c>
      <c r="F3047" t="s">
        <v>4319</v>
      </c>
      <c r="G3047" t="s">
        <v>2463</v>
      </c>
      <c r="H3047" t="s">
        <v>512</v>
      </c>
      <c r="I3047" t="s">
        <v>209</v>
      </c>
      <c r="J3047" s="1">
        <v>45138</v>
      </c>
      <c r="K3047" t="s">
        <v>762</v>
      </c>
      <c r="L3047">
        <v>235</v>
      </c>
      <c r="M3047">
        <v>235.21</v>
      </c>
      <c r="N3047" t="s">
        <v>710</v>
      </c>
      <c r="O3047" t="s">
        <v>4833</v>
      </c>
      <c r="P3047" t="s">
        <v>4802</v>
      </c>
      <c r="Q3047" t="s">
        <v>4852</v>
      </c>
      <c r="R3047" t="s">
        <v>4771</v>
      </c>
    </row>
    <row r="3048" spans="1:18" x14ac:dyDescent="0.3">
      <c r="A3048">
        <v>5283526</v>
      </c>
      <c r="B3048" t="s">
        <v>1034</v>
      </c>
      <c r="C3048" t="s">
        <v>463</v>
      </c>
      <c r="D3048" t="s">
        <v>147</v>
      </c>
      <c r="E3048" s="1">
        <v>45867</v>
      </c>
      <c r="F3048" t="s">
        <v>4334</v>
      </c>
      <c r="G3048" t="s">
        <v>2499</v>
      </c>
      <c r="H3048" t="s">
        <v>462</v>
      </c>
      <c r="I3048" t="s">
        <v>204</v>
      </c>
      <c r="J3048" s="1">
        <v>46752</v>
      </c>
      <c r="K3048" t="s">
        <v>717</v>
      </c>
      <c r="L3048">
        <v>1082.6300000000001</v>
      </c>
      <c r="M3048">
        <v>1082.6300000000001</v>
      </c>
      <c r="N3048" t="s">
        <v>719</v>
      </c>
      <c r="O3048" t="s">
        <v>1033</v>
      </c>
      <c r="P3048" t="s">
        <v>4776</v>
      </c>
      <c r="Q3048" t="s">
        <v>4852</v>
      </c>
      <c r="R3048" t="s">
        <v>4771</v>
      </c>
    </row>
    <row r="3049" spans="1:18" x14ac:dyDescent="0.3">
      <c r="A3049">
        <v>544</v>
      </c>
      <c r="B3049" t="s">
        <v>4874</v>
      </c>
      <c r="C3049" t="s">
        <v>649</v>
      </c>
      <c r="D3049" t="s">
        <v>88</v>
      </c>
      <c r="E3049" s="1">
        <v>45867</v>
      </c>
      <c r="F3049" t="s">
        <v>4414</v>
      </c>
      <c r="G3049" t="s">
        <v>2484</v>
      </c>
      <c r="H3049" t="s">
        <v>648</v>
      </c>
      <c r="I3049" t="s">
        <v>204</v>
      </c>
      <c r="J3049" s="1">
        <v>47847</v>
      </c>
      <c r="K3049" t="s">
        <v>762</v>
      </c>
      <c r="L3049">
        <v>4125</v>
      </c>
      <c r="M3049">
        <v>4125</v>
      </c>
      <c r="N3049" t="s">
        <v>710</v>
      </c>
      <c r="O3049" t="s">
        <v>4811</v>
      </c>
      <c r="P3049" t="s">
        <v>4776</v>
      </c>
      <c r="Q3049" t="s">
        <v>4859</v>
      </c>
    </row>
    <row r="3050" spans="1:18" x14ac:dyDescent="0.3">
      <c r="A3050">
        <v>310</v>
      </c>
      <c r="B3050" t="s">
        <v>1034</v>
      </c>
      <c r="C3050" t="s">
        <v>479</v>
      </c>
      <c r="D3050" t="s">
        <v>99</v>
      </c>
      <c r="E3050" s="1">
        <v>45867</v>
      </c>
      <c r="F3050" t="s">
        <v>4312</v>
      </c>
      <c r="G3050" t="s">
        <v>2501</v>
      </c>
      <c r="H3050" t="s">
        <v>478</v>
      </c>
      <c r="I3050" t="s">
        <v>204</v>
      </c>
      <c r="J3050" s="1">
        <v>46239</v>
      </c>
      <c r="K3050" t="s">
        <v>717</v>
      </c>
      <c r="L3050">
        <v>77</v>
      </c>
      <c r="M3050">
        <v>365.75</v>
      </c>
      <c r="N3050" t="s">
        <v>710</v>
      </c>
      <c r="O3050" t="s">
        <v>1037</v>
      </c>
      <c r="P3050" t="s">
        <v>4790</v>
      </c>
      <c r="Q3050" t="s">
        <v>4852</v>
      </c>
      <c r="R3050" t="s">
        <v>4772</v>
      </c>
    </row>
    <row r="3051" spans="1:18" x14ac:dyDescent="0.3">
      <c r="A3051">
        <v>310</v>
      </c>
      <c r="B3051" t="s">
        <v>1034</v>
      </c>
      <c r="C3051" t="s">
        <v>479</v>
      </c>
      <c r="D3051" t="s">
        <v>99</v>
      </c>
      <c r="E3051" s="1">
        <v>45867</v>
      </c>
      <c r="F3051" t="s">
        <v>4307</v>
      </c>
      <c r="G3051" t="s">
        <v>2501</v>
      </c>
      <c r="H3051" t="s">
        <v>478</v>
      </c>
      <c r="I3051" t="s">
        <v>204</v>
      </c>
      <c r="J3051" s="1">
        <v>46239</v>
      </c>
      <c r="K3051" t="s">
        <v>717</v>
      </c>
      <c r="L3051">
        <v>4553</v>
      </c>
      <c r="M3051">
        <v>55592.13</v>
      </c>
      <c r="N3051" t="s">
        <v>710</v>
      </c>
      <c r="O3051" t="s">
        <v>1037</v>
      </c>
      <c r="P3051" t="s">
        <v>4790</v>
      </c>
      <c r="Q3051" t="s">
        <v>4852</v>
      </c>
      <c r="R3051" t="s">
        <v>4772</v>
      </c>
    </row>
    <row r="3052" spans="1:18" x14ac:dyDescent="0.3">
      <c r="A3052">
        <v>310</v>
      </c>
      <c r="B3052" t="s">
        <v>1034</v>
      </c>
      <c r="C3052" t="s">
        <v>479</v>
      </c>
      <c r="D3052" t="s">
        <v>99</v>
      </c>
      <c r="E3052" s="1">
        <v>45867</v>
      </c>
      <c r="F3052" t="s">
        <v>4308</v>
      </c>
      <c r="G3052" t="s">
        <v>2501</v>
      </c>
      <c r="H3052" t="s">
        <v>478</v>
      </c>
      <c r="I3052" t="s">
        <v>204</v>
      </c>
      <c r="J3052" s="1">
        <v>46239</v>
      </c>
      <c r="K3052" t="s">
        <v>717</v>
      </c>
      <c r="L3052">
        <v>3419</v>
      </c>
      <c r="M3052">
        <v>13539.24</v>
      </c>
      <c r="N3052" t="s">
        <v>710</v>
      </c>
      <c r="O3052" t="s">
        <v>1037</v>
      </c>
      <c r="P3052" t="s">
        <v>4790</v>
      </c>
      <c r="Q3052" t="s">
        <v>4852</v>
      </c>
      <c r="R3052" t="s">
        <v>4772</v>
      </c>
    </row>
    <row r="3053" spans="1:18" x14ac:dyDescent="0.3">
      <c r="A3053">
        <v>310</v>
      </c>
      <c r="B3053" t="s">
        <v>1034</v>
      </c>
      <c r="C3053" t="s">
        <v>479</v>
      </c>
      <c r="D3053" t="s">
        <v>99</v>
      </c>
      <c r="E3053" s="1">
        <v>45867</v>
      </c>
      <c r="F3053" t="s">
        <v>4372</v>
      </c>
      <c r="G3053" t="s">
        <v>2501</v>
      </c>
      <c r="H3053" t="s">
        <v>478</v>
      </c>
      <c r="I3053" t="s">
        <v>204</v>
      </c>
      <c r="J3053" s="1">
        <v>46239</v>
      </c>
      <c r="K3053" t="s">
        <v>717</v>
      </c>
      <c r="L3053">
        <v>266</v>
      </c>
      <c r="M3053">
        <v>2266.3200000000002</v>
      </c>
      <c r="N3053" t="s">
        <v>710</v>
      </c>
      <c r="O3053" t="s">
        <v>1037</v>
      </c>
      <c r="P3053" t="s">
        <v>4790</v>
      </c>
      <c r="Q3053" t="s">
        <v>4852</v>
      </c>
      <c r="R3053" t="s">
        <v>4772</v>
      </c>
    </row>
    <row r="3054" spans="1:18" x14ac:dyDescent="0.3">
      <c r="A3054">
        <v>310</v>
      </c>
      <c r="B3054" t="s">
        <v>1034</v>
      </c>
      <c r="C3054" t="s">
        <v>479</v>
      </c>
      <c r="D3054" t="s">
        <v>99</v>
      </c>
      <c r="E3054" s="1">
        <v>45867</v>
      </c>
      <c r="F3054" t="s">
        <v>4310</v>
      </c>
      <c r="G3054" t="s">
        <v>2501</v>
      </c>
      <c r="H3054" t="s">
        <v>478</v>
      </c>
      <c r="I3054" t="s">
        <v>204</v>
      </c>
      <c r="J3054" s="1">
        <v>46239</v>
      </c>
      <c r="K3054" t="s">
        <v>717</v>
      </c>
      <c r="L3054">
        <v>77</v>
      </c>
      <c r="M3054">
        <v>273.35000000000002</v>
      </c>
      <c r="N3054" t="s">
        <v>710</v>
      </c>
      <c r="O3054" t="s">
        <v>1037</v>
      </c>
      <c r="P3054" t="s">
        <v>4790</v>
      </c>
      <c r="Q3054" t="s">
        <v>4852</v>
      </c>
      <c r="R3054" t="s">
        <v>4772</v>
      </c>
    </row>
    <row r="3055" spans="1:18" x14ac:dyDescent="0.3">
      <c r="A3055">
        <v>264</v>
      </c>
      <c r="B3055" t="s">
        <v>1034</v>
      </c>
      <c r="C3055" t="s">
        <v>638</v>
      </c>
      <c r="D3055" t="s">
        <v>134</v>
      </c>
      <c r="E3055" s="1">
        <v>45867</v>
      </c>
      <c r="F3055" t="s">
        <v>4296</v>
      </c>
      <c r="G3055" t="s">
        <v>2468</v>
      </c>
      <c r="H3055" t="s">
        <v>637</v>
      </c>
      <c r="I3055" t="s">
        <v>204</v>
      </c>
      <c r="J3055" s="1">
        <v>46537</v>
      </c>
      <c r="K3055" t="s">
        <v>711</v>
      </c>
      <c r="L3055">
        <v>1941</v>
      </c>
      <c r="M3055">
        <v>-1941</v>
      </c>
      <c r="N3055" t="s">
        <v>710</v>
      </c>
      <c r="O3055" t="s">
        <v>1036</v>
      </c>
      <c r="P3055" t="s">
        <v>4776</v>
      </c>
      <c r="Q3055" t="s">
        <v>4901</v>
      </c>
    </row>
    <row r="3056" spans="1:18" x14ac:dyDescent="0.3">
      <c r="A3056">
        <v>310</v>
      </c>
      <c r="B3056" t="s">
        <v>1034</v>
      </c>
      <c r="C3056" t="s">
        <v>479</v>
      </c>
      <c r="D3056" t="s">
        <v>99</v>
      </c>
      <c r="E3056" s="1">
        <v>45867</v>
      </c>
      <c r="F3056" t="s">
        <v>4329</v>
      </c>
      <c r="G3056" t="s">
        <v>2501</v>
      </c>
      <c r="H3056" t="s">
        <v>478</v>
      </c>
      <c r="I3056" t="s">
        <v>204</v>
      </c>
      <c r="J3056" s="1">
        <v>46239</v>
      </c>
      <c r="K3056" t="s">
        <v>717</v>
      </c>
      <c r="L3056">
        <v>25</v>
      </c>
      <c r="M3056">
        <v>282.25</v>
      </c>
      <c r="N3056" t="s">
        <v>710</v>
      </c>
      <c r="O3056" t="s">
        <v>1037</v>
      </c>
      <c r="P3056" t="s">
        <v>4790</v>
      </c>
      <c r="Q3056" t="s">
        <v>4852</v>
      </c>
      <c r="R3056" t="s">
        <v>4772</v>
      </c>
    </row>
    <row r="3057" spans="1:18" x14ac:dyDescent="0.3">
      <c r="A3057">
        <v>133685</v>
      </c>
      <c r="B3057" t="s">
        <v>4874</v>
      </c>
      <c r="C3057" t="s">
        <v>415</v>
      </c>
      <c r="D3057" t="s">
        <v>60</v>
      </c>
      <c r="E3057" s="1">
        <v>45866</v>
      </c>
      <c r="F3057" t="s">
        <v>4333</v>
      </c>
      <c r="G3057" t="s">
        <v>2476</v>
      </c>
      <c r="H3057" t="s">
        <v>457</v>
      </c>
      <c r="I3057" t="s">
        <v>204</v>
      </c>
      <c r="J3057" s="1">
        <v>46387</v>
      </c>
      <c r="K3057" t="s">
        <v>762</v>
      </c>
      <c r="L3057">
        <v>3129.91</v>
      </c>
      <c r="M3057">
        <v>3129.91</v>
      </c>
      <c r="N3057" t="s">
        <v>814</v>
      </c>
      <c r="O3057" t="s">
        <v>1037</v>
      </c>
      <c r="P3057" t="s">
        <v>4807</v>
      </c>
      <c r="Q3057" t="s">
        <v>4852</v>
      </c>
      <c r="R3057" t="s">
        <v>4771</v>
      </c>
    </row>
    <row r="3058" spans="1:18" x14ac:dyDescent="0.3">
      <c r="A3058">
        <v>682260</v>
      </c>
      <c r="B3058" t="s">
        <v>4874</v>
      </c>
      <c r="C3058" t="s">
        <v>433</v>
      </c>
      <c r="D3058" t="s">
        <v>168</v>
      </c>
      <c r="E3058" s="1">
        <v>45866</v>
      </c>
      <c r="F3058" t="s">
        <v>4319</v>
      </c>
      <c r="G3058" t="s">
        <v>2465</v>
      </c>
      <c r="H3058" t="s">
        <v>432</v>
      </c>
      <c r="I3058" t="s">
        <v>204</v>
      </c>
      <c r="J3058" s="1">
        <v>46473</v>
      </c>
      <c r="K3058" t="s">
        <v>762</v>
      </c>
      <c r="L3058">
        <v>1300</v>
      </c>
      <c r="M3058">
        <v>1299.69</v>
      </c>
      <c r="N3058" t="s">
        <v>710</v>
      </c>
      <c r="O3058" t="s">
        <v>4833</v>
      </c>
      <c r="P3058" t="s">
        <v>4802</v>
      </c>
      <c r="Q3058" t="s">
        <v>4852</v>
      </c>
      <c r="R3058" t="s">
        <v>4771</v>
      </c>
    </row>
    <row r="3059" spans="1:18" x14ac:dyDescent="0.3">
      <c r="A3059">
        <v>133686</v>
      </c>
      <c r="B3059" t="s">
        <v>4875</v>
      </c>
      <c r="C3059" t="s">
        <v>415</v>
      </c>
      <c r="D3059" t="s">
        <v>60</v>
      </c>
      <c r="E3059" s="1">
        <v>45866</v>
      </c>
      <c r="F3059" t="s">
        <v>4333</v>
      </c>
      <c r="G3059" t="s">
        <v>2477</v>
      </c>
      <c r="H3059" t="s">
        <v>414</v>
      </c>
      <c r="I3059" t="s">
        <v>204</v>
      </c>
      <c r="J3059" s="1">
        <v>46386</v>
      </c>
      <c r="K3059" t="s">
        <v>768</v>
      </c>
      <c r="L3059">
        <v>2350.86</v>
      </c>
      <c r="M3059">
        <v>2350.86</v>
      </c>
      <c r="N3059" t="s">
        <v>814</v>
      </c>
      <c r="O3059" t="s">
        <v>1037</v>
      </c>
      <c r="P3059" t="s">
        <v>4807</v>
      </c>
      <c r="Q3059" t="s">
        <v>4852</v>
      </c>
      <c r="R3059" t="s">
        <v>4771</v>
      </c>
    </row>
    <row r="3060" spans="1:18" x14ac:dyDescent="0.3">
      <c r="A3060">
        <v>6965</v>
      </c>
      <c r="B3060" t="s">
        <v>1035</v>
      </c>
      <c r="C3060" t="s">
        <v>230</v>
      </c>
      <c r="D3060" t="s">
        <v>85</v>
      </c>
      <c r="E3060" s="1">
        <v>45866</v>
      </c>
      <c r="F3060" t="s">
        <v>4348</v>
      </c>
      <c r="G3060" t="s">
        <v>2494</v>
      </c>
      <c r="H3060" t="s">
        <v>229</v>
      </c>
      <c r="I3060" t="s">
        <v>204</v>
      </c>
      <c r="J3060" s="1">
        <v>46203</v>
      </c>
      <c r="K3060" t="s">
        <v>744</v>
      </c>
      <c r="L3060">
        <v>3592.23</v>
      </c>
      <c r="M3060">
        <v>3592.23</v>
      </c>
      <c r="N3060" t="s">
        <v>710</v>
      </c>
      <c r="O3060" t="s">
        <v>1033</v>
      </c>
      <c r="P3060" t="s">
        <v>4781</v>
      </c>
      <c r="Q3060" t="s">
        <v>4852</v>
      </c>
      <c r="R3060" t="s">
        <v>4771</v>
      </c>
    </row>
    <row r="3061" spans="1:18" x14ac:dyDescent="0.3">
      <c r="A3061">
        <v>6910</v>
      </c>
      <c r="B3061" t="s">
        <v>1035</v>
      </c>
      <c r="C3061" t="s">
        <v>230</v>
      </c>
      <c r="D3061" t="s">
        <v>85</v>
      </c>
      <c r="E3061" s="1">
        <v>45866</v>
      </c>
      <c r="F3061" t="s">
        <v>4348</v>
      </c>
      <c r="G3061" t="s">
        <v>2494</v>
      </c>
      <c r="H3061" t="s">
        <v>229</v>
      </c>
      <c r="I3061" t="s">
        <v>204</v>
      </c>
      <c r="J3061" s="1">
        <v>46203</v>
      </c>
      <c r="K3061" t="s">
        <v>744</v>
      </c>
      <c r="L3061">
        <v>3280.01</v>
      </c>
      <c r="M3061">
        <v>3280.01</v>
      </c>
      <c r="N3061" t="s">
        <v>710</v>
      </c>
      <c r="O3061" t="s">
        <v>1033</v>
      </c>
      <c r="P3061" t="s">
        <v>4781</v>
      </c>
      <c r="Q3061" t="s">
        <v>4852</v>
      </c>
      <c r="R3061" t="s">
        <v>4771</v>
      </c>
    </row>
    <row r="3062" spans="1:18" x14ac:dyDescent="0.3">
      <c r="A3062">
        <v>5683</v>
      </c>
      <c r="B3062" t="s">
        <v>1034</v>
      </c>
      <c r="C3062" t="s">
        <v>208</v>
      </c>
      <c r="D3062" t="s">
        <v>164</v>
      </c>
      <c r="E3062" s="1">
        <v>45866</v>
      </c>
      <c r="F3062" t="s">
        <v>4341</v>
      </c>
      <c r="G3062" t="s">
        <v>2479</v>
      </c>
      <c r="H3062" t="s">
        <v>604</v>
      </c>
      <c r="I3062" t="s">
        <v>204</v>
      </c>
      <c r="J3062" s="1">
        <v>46256</v>
      </c>
      <c r="K3062" t="s">
        <v>711</v>
      </c>
      <c r="L3062">
        <v>1</v>
      </c>
      <c r="M3062">
        <v>760</v>
      </c>
      <c r="N3062" t="s">
        <v>710</v>
      </c>
      <c r="O3062" t="s">
        <v>1036</v>
      </c>
      <c r="P3062" t="s">
        <v>4784</v>
      </c>
      <c r="Q3062" t="s">
        <v>4901</v>
      </c>
    </row>
    <row r="3063" spans="1:18" x14ac:dyDescent="0.3">
      <c r="A3063">
        <v>5683</v>
      </c>
      <c r="B3063" t="s">
        <v>1034</v>
      </c>
      <c r="C3063" t="s">
        <v>208</v>
      </c>
      <c r="D3063" t="s">
        <v>164</v>
      </c>
      <c r="E3063" s="1">
        <v>45866</v>
      </c>
      <c r="F3063" t="s">
        <v>4343</v>
      </c>
      <c r="G3063" t="s">
        <v>2479</v>
      </c>
      <c r="H3063" t="s">
        <v>604</v>
      </c>
      <c r="I3063" t="s">
        <v>204</v>
      </c>
      <c r="J3063" s="1">
        <v>46256</v>
      </c>
      <c r="K3063" t="s">
        <v>711</v>
      </c>
      <c r="L3063">
        <v>1</v>
      </c>
      <c r="M3063">
        <v>140</v>
      </c>
      <c r="N3063" t="s">
        <v>710</v>
      </c>
      <c r="O3063" t="s">
        <v>1036</v>
      </c>
      <c r="P3063" t="s">
        <v>4784</v>
      </c>
      <c r="Q3063" t="s">
        <v>4901</v>
      </c>
    </row>
    <row r="3064" spans="1:18" x14ac:dyDescent="0.3">
      <c r="A3064">
        <v>5683</v>
      </c>
      <c r="B3064" t="s">
        <v>1034</v>
      </c>
      <c r="C3064" t="s">
        <v>208</v>
      </c>
      <c r="D3064" t="s">
        <v>164</v>
      </c>
      <c r="E3064" s="1">
        <v>45866</v>
      </c>
      <c r="F3064" t="s">
        <v>4344</v>
      </c>
      <c r="G3064" t="s">
        <v>2479</v>
      </c>
      <c r="H3064" t="s">
        <v>604</v>
      </c>
      <c r="I3064" t="s">
        <v>204</v>
      </c>
      <c r="J3064" s="1">
        <v>46256</v>
      </c>
      <c r="K3064" t="s">
        <v>711</v>
      </c>
      <c r="L3064">
        <v>2</v>
      </c>
      <c r="M3064">
        <v>440</v>
      </c>
      <c r="N3064" t="s">
        <v>710</v>
      </c>
      <c r="O3064" t="s">
        <v>1036</v>
      </c>
      <c r="P3064" t="s">
        <v>4784</v>
      </c>
      <c r="Q3064" t="s">
        <v>4901</v>
      </c>
    </row>
    <row r="3065" spans="1:18" x14ac:dyDescent="0.3">
      <c r="A3065">
        <v>4837</v>
      </c>
      <c r="B3065" t="s">
        <v>1034</v>
      </c>
      <c r="C3065" t="s">
        <v>319</v>
      </c>
      <c r="D3065" t="s">
        <v>36</v>
      </c>
      <c r="E3065" s="1">
        <v>45866</v>
      </c>
      <c r="F3065" t="s">
        <v>4298</v>
      </c>
      <c r="G3065" t="s">
        <v>2483</v>
      </c>
      <c r="H3065" t="s">
        <v>318</v>
      </c>
      <c r="I3065" t="s">
        <v>204</v>
      </c>
      <c r="J3065" s="1">
        <v>46214</v>
      </c>
      <c r="K3065" t="s">
        <v>711</v>
      </c>
      <c r="L3065">
        <v>1720</v>
      </c>
      <c r="M3065">
        <v>1719.89</v>
      </c>
      <c r="N3065" t="s">
        <v>710</v>
      </c>
      <c r="O3065" t="s">
        <v>1036</v>
      </c>
      <c r="P3065" t="s">
        <v>4784</v>
      </c>
      <c r="Q3065" t="s">
        <v>4901</v>
      </c>
      <c r="R3065" t="s">
        <v>4771</v>
      </c>
    </row>
    <row r="3066" spans="1:18" x14ac:dyDescent="0.3">
      <c r="A3066">
        <v>133680</v>
      </c>
      <c r="B3066" t="s">
        <v>1034</v>
      </c>
      <c r="C3066" t="s">
        <v>415</v>
      </c>
      <c r="D3066" t="s">
        <v>60</v>
      </c>
      <c r="E3066" s="1">
        <v>45866</v>
      </c>
      <c r="F3066" t="s">
        <v>4333</v>
      </c>
      <c r="G3066" t="s">
        <v>2475</v>
      </c>
      <c r="H3066" t="s">
        <v>431</v>
      </c>
      <c r="I3066" t="s">
        <v>204</v>
      </c>
      <c r="J3066" s="1">
        <v>46386</v>
      </c>
      <c r="K3066" t="s">
        <v>717</v>
      </c>
      <c r="L3066">
        <v>14767.35</v>
      </c>
      <c r="M3066">
        <v>14767.35</v>
      </c>
      <c r="N3066" t="s">
        <v>814</v>
      </c>
      <c r="O3066" t="s">
        <v>1037</v>
      </c>
      <c r="P3066" t="s">
        <v>4807</v>
      </c>
      <c r="Q3066" t="s">
        <v>4852</v>
      </c>
      <c r="R3066" t="s">
        <v>4771</v>
      </c>
    </row>
    <row r="3067" spans="1:18" x14ac:dyDescent="0.3">
      <c r="A3067">
        <v>3732</v>
      </c>
      <c r="B3067" t="s">
        <v>1034</v>
      </c>
      <c r="C3067" t="s">
        <v>267</v>
      </c>
      <c r="D3067" t="s">
        <v>186</v>
      </c>
      <c r="E3067" s="1">
        <v>45866</v>
      </c>
      <c r="F3067" t="s">
        <v>4349</v>
      </c>
      <c r="G3067" t="s">
        <v>2478</v>
      </c>
      <c r="H3067" t="s">
        <v>266</v>
      </c>
      <c r="I3067" t="s">
        <v>204</v>
      </c>
      <c r="J3067" s="1">
        <v>46259</v>
      </c>
      <c r="K3067" t="s">
        <v>717</v>
      </c>
      <c r="L3067">
        <v>45150.55</v>
      </c>
      <c r="M3067">
        <v>45150.55</v>
      </c>
      <c r="N3067" t="s">
        <v>710</v>
      </c>
      <c r="O3067" t="s">
        <v>1037</v>
      </c>
      <c r="P3067" t="s">
        <v>4780</v>
      </c>
      <c r="Q3067" t="s">
        <v>4852</v>
      </c>
      <c r="R3067" t="s">
        <v>4772</v>
      </c>
    </row>
    <row r="3068" spans="1:18" x14ac:dyDescent="0.3">
      <c r="A3068">
        <v>8683</v>
      </c>
      <c r="B3068" t="s">
        <v>1034</v>
      </c>
      <c r="C3068" t="s">
        <v>267</v>
      </c>
      <c r="D3068" t="s">
        <v>186</v>
      </c>
      <c r="E3068" s="1">
        <v>45866</v>
      </c>
      <c r="F3068" t="s">
        <v>4350</v>
      </c>
      <c r="G3068" t="s">
        <v>2478</v>
      </c>
      <c r="H3068" t="s">
        <v>266</v>
      </c>
      <c r="I3068" t="s">
        <v>204</v>
      </c>
      <c r="J3068" s="1">
        <v>46259</v>
      </c>
      <c r="K3068" t="s">
        <v>717</v>
      </c>
      <c r="L3068">
        <v>8069.46</v>
      </c>
      <c r="M3068">
        <v>8069.46</v>
      </c>
      <c r="N3068" t="s">
        <v>710</v>
      </c>
      <c r="O3068" t="s">
        <v>1037</v>
      </c>
      <c r="P3068" t="s">
        <v>4780</v>
      </c>
      <c r="Q3068" t="s">
        <v>4852</v>
      </c>
      <c r="R3068" t="s">
        <v>4772</v>
      </c>
    </row>
    <row r="3069" spans="1:18" x14ac:dyDescent="0.3">
      <c r="A3069">
        <v>8684</v>
      </c>
      <c r="B3069" t="s">
        <v>1034</v>
      </c>
      <c r="C3069" t="s">
        <v>267</v>
      </c>
      <c r="D3069" t="s">
        <v>186</v>
      </c>
      <c r="E3069" s="1">
        <v>45866</v>
      </c>
      <c r="F3069" t="s">
        <v>4350</v>
      </c>
      <c r="G3069" t="s">
        <v>2478</v>
      </c>
      <c r="H3069" t="s">
        <v>266</v>
      </c>
      <c r="I3069" t="s">
        <v>204</v>
      </c>
      <c r="J3069" s="1">
        <v>46259</v>
      </c>
      <c r="K3069" t="s">
        <v>717</v>
      </c>
      <c r="L3069">
        <v>18805.64</v>
      </c>
      <c r="M3069">
        <v>18805.64</v>
      </c>
      <c r="N3069" t="s">
        <v>710</v>
      </c>
      <c r="O3069" t="s">
        <v>1037</v>
      </c>
      <c r="P3069" t="s">
        <v>4780</v>
      </c>
      <c r="Q3069" t="s">
        <v>4852</v>
      </c>
      <c r="R3069" t="s">
        <v>4772</v>
      </c>
    </row>
    <row r="3070" spans="1:18" x14ac:dyDescent="0.3">
      <c r="A3070">
        <v>8685</v>
      </c>
      <c r="B3070" t="s">
        <v>1034</v>
      </c>
      <c r="C3070" t="s">
        <v>267</v>
      </c>
      <c r="D3070" t="s">
        <v>186</v>
      </c>
      <c r="E3070" s="1">
        <v>45866</v>
      </c>
      <c r="F3070" t="s">
        <v>4350</v>
      </c>
      <c r="G3070" t="s">
        <v>2478</v>
      </c>
      <c r="H3070" t="s">
        <v>266</v>
      </c>
      <c r="I3070" t="s">
        <v>204</v>
      </c>
      <c r="J3070" s="1">
        <v>46259</v>
      </c>
      <c r="K3070" t="s">
        <v>717</v>
      </c>
      <c r="L3070">
        <v>56349.15</v>
      </c>
      <c r="M3070">
        <v>56349.15</v>
      </c>
      <c r="N3070" t="s">
        <v>710</v>
      </c>
      <c r="O3070" t="s">
        <v>1037</v>
      </c>
      <c r="P3070" t="s">
        <v>4780</v>
      </c>
      <c r="Q3070" t="s">
        <v>4852</v>
      </c>
      <c r="R3070" t="s">
        <v>4772</v>
      </c>
    </row>
    <row r="3071" spans="1:18" x14ac:dyDescent="0.3">
      <c r="A3071">
        <v>8686</v>
      </c>
      <c r="B3071" t="s">
        <v>1034</v>
      </c>
      <c r="C3071" t="s">
        <v>267</v>
      </c>
      <c r="D3071" t="s">
        <v>186</v>
      </c>
      <c r="E3071" s="1">
        <v>45866</v>
      </c>
      <c r="F3071" t="s">
        <v>4350</v>
      </c>
      <c r="G3071" t="s">
        <v>2478</v>
      </c>
      <c r="H3071" t="s">
        <v>266</v>
      </c>
      <c r="I3071" t="s">
        <v>204</v>
      </c>
      <c r="J3071" s="1">
        <v>46259</v>
      </c>
      <c r="K3071" t="s">
        <v>717</v>
      </c>
      <c r="L3071">
        <v>15462.72</v>
      </c>
      <c r="M3071">
        <v>15462.72</v>
      </c>
      <c r="N3071" t="s">
        <v>710</v>
      </c>
      <c r="O3071" t="s">
        <v>1037</v>
      </c>
      <c r="P3071" t="s">
        <v>4780</v>
      </c>
      <c r="Q3071" t="s">
        <v>4852</v>
      </c>
      <c r="R3071" t="s">
        <v>4772</v>
      </c>
    </row>
    <row r="3072" spans="1:18" x14ac:dyDescent="0.3">
      <c r="A3072">
        <v>8687</v>
      </c>
      <c r="B3072" t="s">
        <v>1034</v>
      </c>
      <c r="C3072" t="s">
        <v>267</v>
      </c>
      <c r="D3072" t="s">
        <v>186</v>
      </c>
      <c r="E3072" s="1">
        <v>45866</v>
      </c>
      <c r="F3072" t="s">
        <v>4350</v>
      </c>
      <c r="G3072" t="s">
        <v>2478</v>
      </c>
      <c r="H3072" t="s">
        <v>266</v>
      </c>
      <c r="I3072" t="s">
        <v>204</v>
      </c>
      <c r="J3072" s="1">
        <v>46259</v>
      </c>
      <c r="K3072" t="s">
        <v>717</v>
      </c>
      <c r="L3072">
        <v>25200</v>
      </c>
      <c r="M3072">
        <v>25200</v>
      </c>
      <c r="N3072" t="s">
        <v>710</v>
      </c>
      <c r="O3072" t="s">
        <v>1037</v>
      </c>
      <c r="P3072" t="s">
        <v>4780</v>
      </c>
      <c r="Q3072" t="s">
        <v>4852</v>
      </c>
      <c r="R3072" t="s">
        <v>4772</v>
      </c>
    </row>
    <row r="3073" spans="1:18" x14ac:dyDescent="0.3">
      <c r="A3073">
        <v>8688</v>
      </c>
      <c r="B3073" t="s">
        <v>1034</v>
      </c>
      <c r="C3073" t="s">
        <v>267</v>
      </c>
      <c r="D3073" t="s">
        <v>186</v>
      </c>
      <c r="E3073" s="1">
        <v>45866</v>
      </c>
      <c r="F3073" t="s">
        <v>4350</v>
      </c>
      <c r="G3073" t="s">
        <v>2478</v>
      </c>
      <c r="H3073" t="s">
        <v>266</v>
      </c>
      <c r="I3073" t="s">
        <v>204</v>
      </c>
      <c r="J3073" s="1">
        <v>46259</v>
      </c>
      <c r="K3073" t="s">
        <v>717</v>
      </c>
      <c r="L3073">
        <v>21926.58</v>
      </c>
      <c r="M3073">
        <v>21926.58</v>
      </c>
      <c r="N3073" t="s">
        <v>710</v>
      </c>
      <c r="O3073" t="s">
        <v>1037</v>
      </c>
      <c r="P3073" t="s">
        <v>4780</v>
      </c>
      <c r="Q3073" t="s">
        <v>4852</v>
      </c>
      <c r="R3073" t="s">
        <v>4772</v>
      </c>
    </row>
    <row r="3074" spans="1:18" x14ac:dyDescent="0.3">
      <c r="A3074">
        <v>5683</v>
      </c>
      <c r="B3074" t="s">
        <v>1034</v>
      </c>
      <c r="C3074" t="s">
        <v>208</v>
      </c>
      <c r="D3074" t="s">
        <v>164</v>
      </c>
      <c r="E3074" s="1">
        <v>45866</v>
      </c>
      <c r="F3074" t="s">
        <v>4342</v>
      </c>
      <c r="G3074" t="s">
        <v>2479</v>
      </c>
      <c r="H3074" t="s">
        <v>604</v>
      </c>
      <c r="I3074" t="s">
        <v>204</v>
      </c>
      <c r="J3074" s="1">
        <v>46256</v>
      </c>
      <c r="K3074" t="s">
        <v>711</v>
      </c>
      <c r="L3074">
        <v>1</v>
      </c>
      <c r="M3074">
        <v>340</v>
      </c>
      <c r="N3074" t="s">
        <v>710</v>
      </c>
      <c r="O3074" t="s">
        <v>1036</v>
      </c>
      <c r="P3074" t="s">
        <v>4784</v>
      </c>
      <c r="Q3074" t="s">
        <v>4901</v>
      </c>
    </row>
    <row r="3075" spans="1:18" x14ac:dyDescent="0.3">
      <c r="A3075">
        <v>6923</v>
      </c>
      <c r="B3075" t="s">
        <v>1035</v>
      </c>
      <c r="C3075" t="s">
        <v>230</v>
      </c>
      <c r="D3075" t="s">
        <v>85</v>
      </c>
      <c r="E3075" s="1">
        <v>45866</v>
      </c>
      <c r="F3075" t="s">
        <v>4348</v>
      </c>
      <c r="G3075" t="s">
        <v>2494</v>
      </c>
      <c r="H3075" t="s">
        <v>229</v>
      </c>
      <c r="I3075" t="s">
        <v>204</v>
      </c>
      <c r="J3075" s="1">
        <v>46203</v>
      </c>
      <c r="K3075" t="s">
        <v>744</v>
      </c>
      <c r="L3075">
        <v>3954.1</v>
      </c>
      <c r="M3075">
        <v>3954.1</v>
      </c>
      <c r="N3075" t="s">
        <v>710</v>
      </c>
      <c r="O3075" t="s">
        <v>1033</v>
      </c>
      <c r="P3075" t="s">
        <v>4781</v>
      </c>
      <c r="Q3075" t="s">
        <v>4852</v>
      </c>
      <c r="R3075" t="s">
        <v>4771</v>
      </c>
    </row>
    <row r="3076" spans="1:18" x14ac:dyDescent="0.3">
      <c r="A3076">
        <v>591401</v>
      </c>
      <c r="B3076" t="s">
        <v>4875</v>
      </c>
      <c r="C3076" t="s">
        <v>376</v>
      </c>
      <c r="D3076" t="s">
        <v>35</v>
      </c>
      <c r="E3076" s="1">
        <v>45863</v>
      </c>
      <c r="F3076" t="s">
        <v>4324</v>
      </c>
      <c r="G3076" t="s">
        <v>2416</v>
      </c>
      <c r="H3076" t="s">
        <v>486</v>
      </c>
      <c r="I3076" t="s">
        <v>209</v>
      </c>
      <c r="J3076" s="1">
        <v>54878</v>
      </c>
      <c r="K3076" t="s">
        <v>768</v>
      </c>
      <c r="L3076">
        <v>40463.5</v>
      </c>
      <c r="M3076">
        <v>40463.5</v>
      </c>
      <c r="N3076" t="s">
        <v>710</v>
      </c>
      <c r="Q3076" t="s">
        <v>4852</v>
      </c>
      <c r="R3076" t="s">
        <v>4771</v>
      </c>
    </row>
    <row r="3077" spans="1:18" x14ac:dyDescent="0.3">
      <c r="A3077">
        <v>591188</v>
      </c>
      <c r="B3077" t="s">
        <v>1034</v>
      </c>
      <c r="C3077" t="s">
        <v>376</v>
      </c>
      <c r="D3077" t="s">
        <v>35</v>
      </c>
      <c r="E3077" s="1">
        <v>45863</v>
      </c>
      <c r="F3077" t="s">
        <v>4324</v>
      </c>
      <c r="G3077" t="s">
        <v>2417</v>
      </c>
      <c r="H3077" t="s">
        <v>375</v>
      </c>
      <c r="I3077" t="s">
        <v>209</v>
      </c>
      <c r="J3077" s="1">
        <v>54878</v>
      </c>
      <c r="K3077" t="s">
        <v>717</v>
      </c>
      <c r="L3077">
        <v>144102.32</v>
      </c>
      <c r="M3077">
        <v>144102.32</v>
      </c>
      <c r="N3077" t="s">
        <v>710</v>
      </c>
      <c r="O3077" t="s">
        <v>1037</v>
      </c>
      <c r="P3077" t="s">
        <v>4807</v>
      </c>
      <c r="Q3077" t="s">
        <v>4852</v>
      </c>
      <c r="R3077" t="s">
        <v>4771</v>
      </c>
    </row>
    <row r="3078" spans="1:18" x14ac:dyDescent="0.3">
      <c r="A3078">
        <v>953401</v>
      </c>
      <c r="B3078" t="s">
        <v>4874</v>
      </c>
      <c r="C3078" t="s">
        <v>376</v>
      </c>
      <c r="D3078" t="s">
        <v>35</v>
      </c>
      <c r="E3078" s="1">
        <v>45863</v>
      </c>
      <c r="F3078" t="s">
        <v>4324</v>
      </c>
      <c r="G3078" t="s">
        <v>2420</v>
      </c>
      <c r="H3078" t="s">
        <v>442</v>
      </c>
      <c r="I3078" t="s">
        <v>209</v>
      </c>
      <c r="J3078" s="1">
        <v>54878</v>
      </c>
      <c r="K3078" t="s">
        <v>762</v>
      </c>
      <c r="L3078">
        <v>1035</v>
      </c>
      <c r="M3078">
        <v>1035</v>
      </c>
      <c r="N3078" t="s">
        <v>710</v>
      </c>
      <c r="Q3078" t="s">
        <v>4852</v>
      </c>
      <c r="R3078" t="s">
        <v>4771</v>
      </c>
    </row>
    <row r="3079" spans="1:18" x14ac:dyDescent="0.3">
      <c r="A3079">
        <v>960063</v>
      </c>
      <c r="B3079" t="s">
        <v>1034</v>
      </c>
      <c r="C3079" t="s">
        <v>376</v>
      </c>
      <c r="D3079" t="s">
        <v>35</v>
      </c>
      <c r="E3079" s="1">
        <v>45863</v>
      </c>
      <c r="F3079" t="s">
        <v>4302</v>
      </c>
      <c r="G3079" t="s">
        <v>2419</v>
      </c>
      <c r="H3079" t="s">
        <v>377</v>
      </c>
      <c r="I3079" t="s">
        <v>209</v>
      </c>
      <c r="J3079" s="1">
        <v>54878</v>
      </c>
      <c r="K3079" t="s">
        <v>717</v>
      </c>
      <c r="L3079">
        <v>42256</v>
      </c>
      <c r="M3079">
        <v>42256</v>
      </c>
      <c r="N3079" t="s">
        <v>710</v>
      </c>
      <c r="Q3079" t="s">
        <v>4852</v>
      </c>
      <c r="R3079" t="s">
        <v>4771</v>
      </c>
    </row>
    <row r="3080" spans="1:18" x14ac:dyDescent="0.3">
      <c r="A3080">
        <v>591888</v>
      </c>
      <c r="B3080" t="s">
        <v>4874</v>
      </c>
      <c r="C3080" t="s">
        <v>376</v>
      </c>
      <c r="D3080" t="s">
        <v>35</v>
      </c>
      <c r="E3080" s="1">
        <v>45863</v>
      </c>
      <c r="F3080" t="s">
        <v>4324</v>
      </c>
      <c r="G3080" t="s">
        <v>2418</v>
      </c>
      <c r="H3080" t="s">
        <v>442</v>
      </c>
      <c r="I3080" t="s">
        <v>209</v>
      </c>
      <c r="J3080" s="1">
        <v>54878</v>
      </c>
      <c r="K3080" t="s">
        <v>762</v>
      </c>
      <c r="L3080">
        <v>100992.5</v>
      </c>
      <c r="M3080">
        <v>100992.5</v>
      </c>
      <c r="N3080" t="s">
        <v>710</v>
      </c>
      <c r="Q3080" t="s">
        <v>4852</v>
      </c>
      <c r="R3080" t="s">
        <v>4771</v>
      </c>
    </row>
    <row r="3081" spans="1:18" x14ac:dyDescent="0.3">
      <c r="A3081">
        <v>10683</v>
      </c>
      <c r="B3081" t="s">
        <v>4874</v>
      </c>
      <c r="C3081" t="s">
        <v>546</v>
      </c>
      <c r="D3081" t="s">
        <v>75</v>
      </c>
      <c r="E3081" s="1">
        <v>45862</v>
      </c>
      <c r="F3081" t="s">
        <v>4355</v>
      </c>
      <c r="G3081" t="s">
        <v>2461</v>
      </c>
      <c r="H3081" t="s">
        <v>581</v>
      </c>
      <c r="I3081" t="s">
        <v>204</v>
      </c>
      <c r="J3081" s="1">
        <v>46233</v>
      </c>
      <c r="K3081" t="s">
        <v>720</v>
      </c>
      <c r="L3081">
        <v>1</v>
      </c>
      <c r="M3081">
        <v>3090.55</v>
      </c>
      <c r="N3081" t="s">
        <v>814</v>
      </c>
      <c r="O3081" t="s">
        <v>1038</v>
      </c>
      <c r="P3081" t="s">
        <v>4779</v>
      </c>
      <c r="Q3081" t="s">
        <v>4858</v>
      </c>
      <c r="R3081" t="s">
        <v>4773</v>
      </c>
    </row>
    <row r="3082" spans="1:18" x14ac:dyDescent="0.3">
      <c r="A3082">
        <v>9645</v>
      </c>
      <c r="B3082" t="s">
        <v>4875</v>
      </c>
      <c r="C3082" t="s">
        <v>319</v>
      </c>
      <c r="D3082" t="s">
        <v>36</v>
      </c>
      <c r="E3082" s="1">
        <v>45862</v>
      </c>
      <c r="F3082" t="s">
        <v>4434</v>
      </c>
      <c r="G3082" t="s">
        <v>2425</v>
      </c>
      <c r="H3082" t="s">
        <v>336</v>
      </c>
      <c r="I3082" t="s">
        <v>204</v>
      </c>
      <c r="J3082" s="1">
        <v>46075</v>
      </c>
      <c r="K3082" t="s">
        <v>748</v>
      </c>
      <c r="L3082">
        <v>38827</v>
      </c>
      <c r="M3082">
        <v>38827</v>
      </c>
      <c r="N3082" t="s">
        <v>710</v>
      </c>
      <c r="O3082" t="s">
        <v>1040</v>
      </c>
      <c r="P3082" t="s">
        <v>4784</v>
      </c>
      <c r="Q3082" t="s">
        <v>4856</v>
      </c>
      <c r="R3082" t="s">
        <v>4771</v>
      </c>
    </row>
    <row r="3083" spans="1:18" x14ac:dyDescent="0.3">
      <c r="A3083">
        <v>586575</v>
      </c>
      <c r="B3083" t="s">
        <v>4874</v>
      </c>
      <c r="C3083" t="s">
        <v>389</v>
      </c>
      <c r="D3083" t="s">
        <v>32</v>
      </c>
      <c r="E3083" s="1">
        <v>45861</v>
      </c>
      <c r="F3083" t="s">
        <v>4299</v>
      </c>
      <c r="G3083" t="s">
        <v>2470</v>
      </c>
      <c r="H3083" t="s">
        <v>388</v>
      </c>
      <c r="I3083" t="s">
        <v>204</v>
      </c>
      <c r="J3083" s="1">
        <v>46752</v>
      </c>
      <c r="K3083" t="s">
        <v>785</v>
      </c>
      <c r="L3083">
        <v>1</v>
      </c>
      <c r="M3083">
        <v>57698.07</v>
      </c>
      <c r="N3083" t="s">
        <v>710</v>
      </c>
      <c r="O3083" t="s">
        <v>1038</v>
      </c>
      <c r="P3083" t="s">
        <v>4785</v>
      </c>
      <c r="Q3083" t="s">
        <v>4858</v>
      </c>
      <c r="R3083" t="s">
        <v>4771</v>
      </c>
    </row>
    <row r="3084" spans="1:18" x14ac:dyDescent="0.3">
      <c r="A3084">
        <v>111</v>
      </c>
      <c r="B3084" t="s">
        <v>1034</v>
      </c>
      <c r="C3084" t="s">
        <v>643</v>
      </c>
      <c r="D3084" t="s">
        <v>52</v>
      </c>
      <c r="E3084" s="1">
        <v>45860</v>
      </c>
      <c r="F3084" t="s">
        <v>4318</v>
      </c>
      <c r="G3084" t="s">
        <v>2459</v>
      </c>
      <c r="H3084" t="s">
        <v>642</v>
      </c>
      <c r="I3084" t="s">
        <v>204</v>
      </c>
      <c r="J3084" s="1">
        <v>46548</v>
      </c>
      <c r="K3084" t="s">
        <v>711</v>
      </c>
      <c r="L3084">
        <v>1</v>
      </c>
      <c r="M3084">
        <v>2300</v>
      </c>
      <c r="N3084" t="s">
        <v>710</v>
      </c>
      <c r="O3084" t="s">
        <v>4834</v>
      </c>
      <c r="P3084" t="s">
        <v>4776</v>
      </c>
      <c r="Q3084" t="s">
        <v>4901</v>
      </c>
    </row>
    <row r="3085" spans="1:18" x14ac:dyDescent="0.3">
      <c r="A3085">
        <v>140</v>
      </c>
      <c r="B3085" t="s">
        <v>4875</v>
      </c>
      <c r="C3085" t="s">
        <v>638</v>
      </c>
      <c r="D3085" t="s">
        <v>134</v>
      </c>
      <c r="E3085" s="1">
        <v>45860</v>
      </c>
      <c r="F3085" t="s">
        <v>4296</v>
      </c>
      <c r="G3085" t="s">
        <v>2454</v>
      </c>
      <c r="H3085" t="s">
        <v>639</v>
      </c>
      <c r="I3085" t="s">
        <v>204</v>
      </c>
      <c r="J3085" s="1">
        <v>46537</v>
      </c>
      <c r="K3085" t="s">
        <v>748</v>
      </c>
      <c r="L3085">
        <v>1</v>
      </c>
      <c r="M3085">
        <v>40</v>
      </c>
      <c r="N3085" t="s">
        <v>710</v>
      </c>
      <c r="O3085" t="s">
        <v>1040</v>
      </c>
      <c r="P3085" t="s">
        <v>4776</v>
      </c>
      <c r="Q3085" t="s">
        <v>4856</v>
      </c>
    </row>
    <row r="3086" spans="1:18" x14ac:dyDescent="0.3">
      <c r="A3086">
        <v>140</v>
      </c>
      <c r="B3086" t="s">
        <v>4875</v>
      </c>
      <c r="C3086" t="s">
        <v>638</v>
      </c>
      <c r="D3086" t="s">
        <v>134</v>
      </c>
      <c r="E3086" s="1">
        <v>45860</v>
      </c>
      <c r="F3086" t="s">
        <v>4296</v>
      </c>
      <c r="G3086" t="s">
        <v>2289</v>
      </c>
      <c r="H3086" t="s">
        <v>639</v>
      </c>
      <c r="I3086" t="s">
        <v>204</v>
      </c>
      <c r="J3086" s="1">
        <v>46537</v>
      </c>
      <c r="K3086" t="s">
        <v>748</v>
      </c>
      <c r="L3086">
        <v>1</v>
      </c>
      <c r="M3086">
        <v>1261</v>
      </c>
      <c r="N3086" t="s">
        <v>710</v>
      </c>
      <c r="O3086" t="s">
        <v>1040</v>
      </c>
      <c r="P3086" t="s">
        <v>4776</v>
      </c>
      <c r="Q3086" t="s">
        <v>4856</v>
      </c>
    </row>
    <row r="3087" spans="1:18" x14ac:dyDescent="0.3">
      <c r="A3087">
        <v>41879</v>
      </c>
      <c r="B3087" t="s">
        <v>1034</v>
      </c>
      <c r="C3087" t="s">
        <v>327</v>
      </c>
      <c r="D3087" t="s">
        <v>159</v>
      </c>
      <c r="E3087" s="1">
        <v>45859</v>
      </c>
      <c r="F3087" t="s">
        <v>4295</v>
      </c>
      <c r="G3087" t="s">
        <v>2437</v>
      </c>
      <c r="H3087" t="s">
        <v>357</v>
      </c>
      <c r="I3087" t="s">
        <v>204</v>
      </c>
      <c r="J3087" s="1">
        <v>46476</v>
      </c>
      <c r="K3087" t="s">
        <v>711</v>
      </c>
      <c r="L3087">
        <v>1337.18</v>
      </c>
      <c r="M3087">
        <v>1337.18</v>
      </c>
      <c r="N3087" t="s">
        <v>890</v>
      </c>
      <c r="O3087" t="s">
        <v>4834</v>
      </c>
      <c r="P3087" t="s">
        <v>4776</v>
      </c>
      <c r="Q3087" t="s">
        <v>4901</v>
      </c>
      <c r="R3087" t="s">
        <v>4773</v>
      </c>
    </row>
    <row r="3088" spans="1:18" x14ac:dyDescent="0.3">
      <c r="A3088">
        <v>41878</v>
      </c>
      <c r="B3088" t="s">
        <v>1034</v>
      </c>
      <c r="C3088" t="s">
        <v>327</v>
      </c>
      <c r="D3088" t="s">
        <v>159</v>
      </c>
      <c r="E3088" s="1">
        <v>45859</v>
      </c>
      <c r="F3088" t="s">
        <v>4296</v>
      </c>
      <c r="G3088" t="s">
        <v>2444</v>
      </c>
      <c r="H3088" t="s">
        <v>357</v>
      </c>
      <c r="I3088" t="s">
        <v>204</v>
      </c>
      <c r="J3088" s="1">
        <v>46476</v>
      </c>
      <c r="K3088" t="s">
        <v>711</v>
      </c>
      <c r="L3088">
        <v>1468.48</v>
      </c>
      <c r="M3088">
        <v>1468.48</v>
      </c>
      <c r="N3088" t="s">
        <v>890</v>
      </c>
      <c r="O3088" t="s">
        <v>4834</v>
      </c>
      <c r="P3088" t="s">
        <v>4776</v>
      </c>
      <c r="Q3088" t="s">
        <v>4901</v>
      </c>
      <c r="R3088" t="s">
        <v>4773</v>
      </c>
    </row>
    <row r="3089" spans="1:18" x14ac:dyDescent="0.3">
      <c r="A3089">
        <v>311580</v>
      </c>
      <c r="B3089" t="s">
        <v>1034</v>
      </c>
      <c r="C3089" t="s">
        <v>433</v>
      </c>
      <c r="D3089" t="s">
        <v>168</v>
      </c>
      <c r="E3089" s="1">
        <v>45859</v>
      </c>
      <c r="F3089" t="s">
        <v>4319</v>
      </c>
      <c r="G3089" t="s">
        <v>2448</v>
      </c>
      <c r="H3089" t="s">
        <v>432</v>
      </c>
      <c r="I3089" t="s">
        <v>204</v>
      </c>
      <c r="J3089" s="1">
        <v>46473</v>
      </c>
      <c r="K3089" t="s">
        <v>762</v>
      </c>
      <c r="L3089">
        <v>313</v>
      </c>
      <c r="M3089">
        <v>312.32</v>
      </c>
      <c r="N3089" t="s">
        <v>710</v>
      </c>
      <c r="O3089" t="s">
        <v>4833</v>
      </c>
      <c r="P3089" t="s">
        <v>4802</v>
      </c>
      <c r="Q3089" t="s">
        <v>4852</v>
      </c>
      <c r="R3089" t="s">
        <v>4771</v>
      </c>
    </row>
    <row r="3090" spans="1:18" x14ac:dyDescent="0.3">
      <c r="A3090">
        <v>9607</v>
      </c>
      <c r="B3090" t="s">
        <v>1034</v>
      </c>
      <c r="C3090" t="s">
        <v>624</v>
      </c>
      <c r="D3090" t="s">
        <v>68</v>
      </c>
      <c r="E3090" s="1">
        <v>45859</v>
      </c>
      <c r="F3090" t="s">
        <v>4367</v>
      </c>
      <c r="G3090" t="s">
        <v>1146</v>
      </c>
      <c r="H3090" t="s">
        <v>623</v>
      </c>
      <c r="I3090" t="s">
        <v>204</v>
      </c>
      <c r="J3090" s="1">
        <v>46017</v>
      </c>
      <c r="K3090" t="s">
        <v>839</v>
      </c>
      <c r="L3090">
        <v>1600</v>
      </c>
      <c r="M3090">
        <v>1600</v>
      </c>
      <c r="N3090" t="s">
        <v>710</v>
      </c>
      <c r="O3090" t="s">
        <v>1041</v>
      </c>
      <c r="P3090" t="s">
        <v>4776</v>
      </c>
      <c r="Q3090" t="s">
        <v>4852</v>
      </c>
      <c r="R3090" t="s">
        <v>4771</v>
      </c>
    </row>
    <row r="3091" spans="1:18" x14ac:dyDescent="0.3">
      <c r="A3091">
        <v>2025229</v>
      </c>
      <c r="B3091" t="s">
        <v>1034</v>
      </c>
      <c r="C3091" t="s">
        <v>552</v>
      </c>
      <c r="D3091" t="s">
        <v>190</v>
      </c>
      <c r="E3091" s="1">
        <v>45859</v>
      </c>
      <c r="F3091" t="s">
        <v>4339</v>
      </c>
      <c r="G3091" t="s">
        <v>2405</v>
      </c>
      <c r="H3091" t="s">
        <v>583</v>
      </c>
      <c r="I3091" t="s">
        <v>204</v>
      </c>
      <c r="J3091" s="1">
        <v>46441</v>
      </c>
      <c r="K3091" t="s">
        <v>717</v>
      </c>
      <c r="L3091">
        <v>1</v>
      </c>
      <c r="M3091">
        <v>64252.04</v>
      </c>
      <c r="N3091" t="s">
        <v>710</v>
      </c>
      <c r="O3091" t="s">
        <v>4904</v>
      </c>
      <c r="P3091" t="s">
        <v>4792</v>
      </c>
      <c r="Q3091" t="s">
        <v>4904</v>
      </c>
      <c r="R3091" t="s">
        <v>4772</v>
      </c>
    </row>
    <row r="3092" spans="1:18" x14ac:dyDescent="0.3">
      <c r="A3092">
        <v>9641</v>
      </c>
      <c r="B3092" t="s">
        <v>1034</v>
      </c>
      <c r="C3092" t="s">
        <v>319</v>
      </c>
      <c r="D3092" t="s">
        <v>36</v>
      </c>
      <c r="E3092" s="1">
        <v>45856</v>
      </c>
      <c r="F3092" t="s">
        <v>4298</v>
      </c>
      <c r="G3092" t="s">
        <v>2435</v>
      </c>
      <c r="H3092" t="s">
        <v>318</v>
      </c>
      <c r="I3092" t="s">
        <v>204</v>
      </c>
      <c r="J3092" s="1">
        <v>46214</v>
      </c>
      <c r="K3092" t="s">
        <v>711</v>
      </c>
      <c r="L3092">
        <v>2176</v>
      </c>
      <c r="M3092">
        <v>2175.5</v>
      </c>
      <c r="N3092" t="s">
        <v>710</v>
      </c>
      <c r="O3092" t="s">
        <v>1036</v>
      </c>
      <c r="P3092" t="s">
        <v>4784</v>
      </c>
      <c r="Q3092" t="s">
        <v>4901</v>
      </c>
      <c r="R3092" t="s">
        <v>4771</v>
      </c>
    </row>
    <row r="3093" spans="1:18" x14ac:dyDescent="0.3">
      <c r="A3093">
        <v>1245</v>
      </c>
      <c r="B3093" t="s">
        <v>4874</v>
      </c>
      <c r="C3093" t="s">
        <v>305</v>
      </c>
      <c r="D3093" t="s">
        <v>59</v>
      </c>
      <c r="E3093" s="1">
        <v>45856</v>
      </c>
      <c r="F3093" t="s">
        <v>4359</v>
      </c>
      <c r="G3093" t="s">
        <v>2453</v>
      </c>
      <c r="H3093" t="s">
        <v>304</v>
      </c>
      <c r="I3093" t="s">
        <v>204</v>
      </c>
      <c r="J3093" s="1">
        <v>46481</v>
      </c>
      <c r="K3093" t="s">
        <v>720</v>
      </c>
      <c r="L3093">
        <v>1</v>
      </c>
      <c r="M3093">
        <v>374.3</v>
      </c>
      <c r="N3093" t="s">
        <v>809</v>
      </c>
      <c r="O3093" t="s">
        <v>1038</v>
      </c>
      <c r="P3093" t="s">
        <v>4783</v>
      </c>
      <c r="Q3093" t="s">
        <v>4858</v>
      </c>
      <c r="R3093" t="s">
        <v>4771</v>
      </c>
    </row>
    <row r="3094" spans="1:18" x14ac:dyDescent="0.3">
      <c r="A3094">
        <v>2825</v>
      </c>
      <c r="B3094" t="s">
        <v>4874</v>
      </c>
      <c r="C3094" t="s">
        <v>372</v>
      </c>
      <c r="D3094" t="s">
        <v>105</v>
      </c>
      <c r="E3094" s="1">
        <v>45856</v>
      </c>
      <c r="F3094" t="s">
        <v>4408</v>
      </c>
      <c r="G3094" t="s">
        <v>2446</v>
      </c>
      <c r="H3094" t="s">
        <v>371</v>
      </c>
      <c r="I3094" t="s">
        <v>209</v>
      </c>
      <c r="J3094" s="1">
        <v>45904</v>
      </c>
      <c r="K3094" t="s">
        <v>720</v>
      </c>
      <c r="L3094">
        <v>5171</v>
      </c>
      <c r="M3094">
        <v>5171</v>
      </c>
      <c r="N3094" t="s">
        <v>719</v>
      </c>
      <c r="O3094" t="s">
        <v>1038</v>
      </c>
      <c r="P3094" t="s">
        <v>4777</v>
      </c>
      <c r="Q3094" t="s">
        <v>4858</v>
      </c>
      <c r="R3094" t="s">
        <v>4773</v>
      </c>
    </row>
    <row r="3095" spans="1:18" x14ac:dyDescent="0.3">
      <c r="A3095">
        <v>143</v>
      </c>
      <c r="B3095" t="s">
        <v>4874</v>
      </c>
      <c r="C3095" t="s">
        <v>565</v>
      </c>
      <c r="D3095" t="s">
        <v>113</v>
      </c>
      <c r="E3095" s="1">
        <v>45856</v>
      </c>
      <c r="F3095" t="s">
        <v>4390</v>
      </c>
      <c r="G3095" t="s">
        <v>2439</v>
      </c>
      <c r="H3095" t="s">
        <v>564</v>
      </c>
      <c r="I3095" t="s">
        <v>204</v>
      </c>
      <c r="J3095" s="1">
        <v>46386</v>
      </c>
      <c r="K3095" t="s">
        <v>720</v>
      </c>
      <c r="L3095">
        <v>1</v>
      </c>
      <c r="M3095">
        <v>5200</v>
      </c>
      <c r="N3095" t="s">
        <v>710</v>
      </c>
      <c r="O3095" t="s">
        <v>1038</v>
      </c>
      <c r="P3095" t="s">
        <v>4777</v>
      </c>
      <c r="Q3095" t="s">
        <v>4858</v>
      </c>
      <c r="R3095" t="s">
        <v>4771</v>
      </c>
    </row>
    <row r="3096" spans="1:18" x14ac:dyDescent="0.3">
      <c r="A3096">
        <v>84489</v>
      </c>
      <c r="B3096" t="s">
        <v>1034</v>
      </c>
      <c r="C3096" t="s">
        <v>319</v>
      </c>
      <c r="D3096" t="s">
        <v>36</v>
      </c>
      <c r="E3096" s="1">
        <v>45856</v>
      </c>
      <c r="F3096" t="s">
        <v>4298</v>
      </c>
      <c r="G3096" t="s">
        <v>2451</v>
      </c>
      <c r="H3096" t="s">
        <v>318</v>
      </c>
      <c r="I3096" t="s">
        <v>204</v>
      </c>
      <c r="J3096" s="1">
        <v>46214</v>
      </c>
      <c r="K3096" t="s">
        <v>711</v>
      </c>
      <c r="L3096">
        <v>1505</v>
      </c>
      <c r="M3096">
        <v>1504.9</v>
      </c>
      <c r="N3096" t="s">
        <v>710</v>
      </c>
      <c r="O3096" t="s">
        <v>1036</v>
      </c>
      <c r="P3096" t="s">
        <v>4784</v>
      </c>
      <c r="Q3096" t="s">
        <v>4901</v>
      </c>
      <c r="R3096" t="s">
        <v>4771</v>
      </c>
    </row>
    <row r="3097" spans="1:18" x14ac:dyDescent="0.3">
      <c r="A3097">
        <v>84554</v>
      </c>
      <c r="B3097" t="s">
        <v>1034</v>
      </c>
      <c r="C3097" t="s">
        <v>319</v>
      </c>
      <c r="D3097" t="s">
        <v>36</v>
      </c>
      <c r="E3097" s="1">
        <v>45856</v>
      </c>
      <c r="F3097" t="s">
        <v>4298</v>
      </c>
      <c r="G3097" t="s">
        <v>2450</v>
      </c>
      <c r="H3097" t="s">
        <v>318</v>
      </c>
      <c r="I3097" t="s">
        <v>204</v>
      </c>
      <c r="J3097" s="1">
        <v>46214</v>
      </c>
      <c r="K3097" t="s">
        <v>711</v>
      </c>
      <c r="L3097">
        <v>548</v>
      </c>
      <c r="M3097">
        <v>548.47</v>
      </c>
      <c r="N3097" t="s">
        <v>710</v>
      </c>
      <c r="O3097" t="s">
        <v>1036</v>
      </c>
      <c r="P3097" t="s">
        <v>4784</v>
      </c>
      <c r="Q3097" t="s">
        <v>4901</v>
      </c>
      <c r="R3097" t="s">
        <v>4771</v>
      </c>
    </row>
    <row r="3098" spans="1:18" x14ac:dyDescent="0.3">
      <c r="A3098">
        <v>41875</v>
      </c>
      <c r="B3098" t="s">
        <v>1034</v>
      </c>
      <c r="C3098" t="s">
        <v>327</v>
      </c>
      <c r="D3098" t="s">
        <v>159</v>
      </c>
      <c r="E3098" s="1">
        <v>45856</v>
      </c>
      <c r="F3098" t="s">
        <v>4295</v>
      </c>
      <c r="G3098" t="s">
        <v>2443</v>
      </c>
      <c r="H3098" t="s">
        <v>357</v>
      </c>
      <c r="I3098" t="s">
        <v>204</v>
      </c>
      <c r="J3098" s="1">
        <v>46476</v>
      </c>
      <c r="K3098" t="s">
        <v>711</v>
      </c>
      <c r="L3098">
        <v>2150</v>
      </c>
      <c r="M3098">
        <v>2150</v>
      </c>
      <c r="N3098" t="s">
        <v>890</v>
      </c>
      <c r="O3098" t="s">
        <v>4834</v>
      </c>
      <c r="P3098" t="s">
        <v>4776</v>
      </c>
      <c r="Q3098" t="s">
        <v>4901</v>
      </c>
      <c r="R3098" t="s">
        <v>4773</v>
      </c>
    </row>
    <row r="3099" spans="1:18" x14ac:dyDescent="0.3">
      <c r="A3099">
        <v>41876</v>
      </c>
      <c r="B3099" t="s">
        <v>1034</v>
      </c>
      <c r="C3099" t="s">
        <v>327</v>
      </c>
      <c r="D3099" t="s">
        <v>159</v>
      </c>
      <c r="E3099" s="1">
        <v>45856</v>
      </c>
      <c r="F3099" t="s">
        <v>4295</v>
      </c>
      <c r="G3099" t="s">
        <v>2436</v>
      </c>
      <c r="H3099" t="s">
        <v>357</v>
      </c>
      <c r="I3099" t="s">
        <v>204</v>
      </c>
      <c r="J3099" s="1">
        <v>46476</v>
      </c>
      <c r="K3099" t="s">
        <v>711</v>
      </c>
      <c r="L3099">
        <v>2150</v>
      </c>
      <c r="M3099">
        <v>2150</v>
      </c>
      <c r="N3099" t="s">
        <v>890</v>
      </c>
      <c r="O3099" t="s">
        <v>4834</v>
      </c>
      <c r="P3099" t="s">
        <v>4776</v>
      </c>
      <c r="Q3099" t="s">
        <v>4901</v>
      </c>
      <c r="R3099" t="s">
        <v>4773</v>
      </c>
    </row>
    <row r="3100" spans="1:18" x14ac:dyDescent="0.3">
      <c r="A3100">
        <v>2887</v>
      </c>
      <c r="B3100" t="s">
        <v>4874</v>
      </c>
      <c r="C3100" t="s">
        <v>469</v>
      </c>
      <c r="D3100" t="s">
        <v>124</v>
      </c>
      <c r="E3100" s="1">
        <v>45856</v>
      </c>
      <c r="F3100" t="s">
        <v>4361</v>
      </c>
      <c r="G3100" t="s">
        <v>2445</v>
      </c>
      <c r="H3100" t="s">
        <v>468</v>
      </c>
      <c r="I3100" t="s">
        <v>204</v>
      </c>
      <c r="J3100" s="1">
        <v>54878</v>
      </c>
      <c r="K3100" t="s">
        <v>762</v>
      </c>
      <c r="L3100">
        <v>714.4</v>
      </c>
      <c r="M3100">
        <v>714.4</v>
      </c>
      <c r="N3100" t="s">
        <v>719</v>
      </c>
      <c r="O3100" t="s">
        <v>4845</v>
      </c>
      <c r="P3100" t="s">
        <v>4776</v>
      </c>
      <c r="Q3100" t="s">
        <v>4845</v>
      </c>
      <c r="R3100" t="s">
        <v>4771</v>
      </c>
    </row>
    <row r="3101" spans="1:18" x14ac:dyDescent="0.3">
      <c r="A3101">
        <v>15361</v>
      </c>
      <c r="B3101" t="s">
        <v>4876</v>
      </c>
      <c r="C3101" t="s">
        <v>439</v>
      </c>
      <c r="D3101" t="s">
        <v>156</v>
      </c>
      <c r="E3101" s="1">
        <v>45855</v>
      </c>
      <c r="F3101" t="s">
        <v>4396</v>
      </c>
      <c r="G3101" t="s">
        <v>2440</v>
      </c>
      <c r="H3101" t="s">
        <v>485</v>
      </c>
      <c r="I3101" t="s">
        <v>204</v>
      </c>
      <c r="J3101" s="1">
        <v>54878</v>
      </c>
      <c r="K3101" t="s">
        <v>839</v>
      </c>
      <c r="L3101">
        <v>5653.64</v>
      </c>
      <c r="M3101">
        <v>5653.64</v>
      </c>
      <c r="N3101" t="s">
        <v>710</v>
      </c>
      <c r="O3101" t="s">
        <v>1037</v>
      </c>
      <c r="P3101" t="s">
        <v>4776</v>
      </c>
      <c r="Q3101" t="s">
        <v>4852</v>
      </c>
      <c r="R3101" t="s">
        <v>4771</v>
      </c>
    </row>
    <row r="3102" spans="1:18" x14ac:dyDescent="0.3">
      <c r="A3102">
        <v>15360</v>
      </c>
      <c r="B3102" t="s">
        <v>4874</v>
      </c>
      <c r="C3102" t="s">
        <v>439</v>
      </c>
      <c r="D3102" t="s">
        <v>156</v>
      </c>
      <c r="E3102" s="1">
        <v>45855</v>
      </c>
      <c r="F3102" t="s">
        <v>4396</v>
      </c>
      <c r="G3102" t="s">
        <v>2441</v>
      </c>
      <c r="H3102" t="s">
        <v>438</v>
      </c>
      <c r="I3102" t="s">
        <v>204</v>
      </c>
      <c r="J3102" s="1">
        <v>46265</v>
      </c>
      <c r="K3102" t="s">
        <v>762</v>
      </c>
      <c r="L3102">
        <v>23360.880000000001</v>
      </c>
      <c r="M3102">
        <v>23360.880000000001</v>
      </c>
      <c r="N3102" t="s">
        <v>710</v>
      </c>
      <c r="O3102" t="s">
        <v>1037</v>
      </c>
      <c r="P3102" t="s">
        <v>4789</v>
      </c>
      <c r="Q3102" t="s">
        <v>4852</v>
      </c>
      <c r="R3102" t="s">
        <v>4771</v>
      </c>
    </row>
    <row r="3103" spans="1:18" x14ac:dyDescent="0.3">
      <c r="A3103">
        <v>282830</v>
      </c>
      <c r="B3103" t="s">
        <v>4874</v>
      </c>
      <c r="C3103" t="s">
        <v>433</v>
      </c>
      <c r="D3103" t="s">
        <v>168</v>
      </c>
      <c r="E3103" s="1">
        <v>45855</v>
      </c>
      <c r="F3103" t="s">
        <v>4319</v>
      </c>
      <c r="G3103" t="s">
        <v>2449</v>
      </c>
      <c r="H3103" t="s">
        <v>432</v>
      </c>
      <c r="I3103" t="s">
        <v>204</v>
      </c>
      <c r="J3103" s="1">
        <v>46473</v>
      </c>
      <c r="K3103" t="s">
        <v>762</v>
      </c>
      <c r="L3103">
        <v>180</v>
      </c>
      <c r="M3103">
        <v>180</v>
      </c>
      <c r="N3103" t="s">
        <v>710</v>
      </c>
      <c r="O3103" t="s">
        <v>4833</v>
      </c>
      <c r="P3103" t="s">
        <v>4802</v>
      </c>
      <c r="Q3103" t="s">
        <v>4852</v>
      </c>
      <c r="R3103" t="s">
        <v>4771</v>
      </c>
    </row>
    <row r="3104" spans="1:18" x14ac:dyDescent="0.3">
      <c r="A3104">
        <v>273680</v>
      </c>
      <c r="B3104" t="s">
        <v>4874</v>
      </c>
      <c r="C3104" t="s">
        <v>433</v>
      </c>
      <c r="D3104" t="s">
        <v>168</v>
      </c>
      <c r="E3104" s="1">
        <v>45855</v>
      </c>
      <c r="F3104" t="s">
        <v>4319</v>
      </c>
      <c r="G3104" t="s">
        <v>2447</v>
      </c>
      <c r="H3104" t="s">
        <v>432</v>
      </c>
      <c r="I3104" t="s">
        <v>204</v>
      </c>
      <c r="J3104" s="1">
        <v>46473</v>
      </c>
      <c r="K3104" t="s">
        <v>762</v>
      </c>
      <c r="L3104">
        <v>119</v>
      </c>
      <c r="M3104">
        <v>118.55</v>
      </c>
      <c r="N3104" t="s">
        <v>710</v>
      </c>
      <c r="O3104" t="s">
        <v>4833</v>
      </c>
      <c r="P3104" t="s">
        <v>4802</v>
      </c>
      <c r="Q3104" t="s">
        <v>4852</v>
      </c>
      <c r="R3104" t="s">
        <v>4771</v>
      </c>
    </row>
    <row r="3105" spans="1:18" x14ac:dyDescent="0.3">
      <c r="A3105">
        <v>10</v>
      </c>
      <c r="B3105" t="s">
        <v>4874</v>
      </c>
      <c r="C3105" t="s">
        <v>626</v>
      </c>
      <c r="D3105" t="s">
        <v>184</v>
      </c>
      <c r="E3105" s="1">
        <v>45855</v>
      </c>
      <c r="F3105" t="s">
        <v>4420</v>
      </c>
      <c r="G3105" t="s">
        <v>2383</v>
      </c>
      <c r="H3105" t="s">
        <v>625</v>
      </c>
      <c r="I3105" t="s">
        <v>204</v>
      </c>
      <c r="J3105" s="1">
        <v>46440</v>
      </c>
      <c r="K3105" t="s">
        <v>720</v>
      </c>
      <c r="L3105">
        <v>1</v>
      </c>
      <c r="M3105">
        <v>21470</v>
      </c>
      <c r="N3105" t="s">
        <v>710</v>
      </c>
      <c r="O3105" t="s">
        <v>1039</v>
      </c>
      <c r="P3105" t="s">
        <v>4777</v>
      </c>
      <c r="Q3105" t="s">
        <v>4858</v>
      </c>
      <c r="R3105" t="s">
        <v>4773</v>
      </c>
    </row>
    <row r="3106" spans="1:18" x14ac:dyDescent="0.3">
      <c r="A3106">
        <v>18817</v>
      </c>
      <c r="B3106" t="s">
        <v>4874</v>
      </c>
      <c r="C3106" t="s">
        <v>212</v>
      </c>
      <c r="D3106" t="s">
        <v>62</v>
      </c>
      <c r="E3106" s="1">
        <v>45855</v>
      </c>
      <c r="F3106" t="s">
        <v>4318</v>
      </c>
      <c r="G3106" t="s">
        <v>2433</v>
      </c>
      <c r="H3106" t="s">
        <v>211</v>
      </c>
      <c r="I3106" t="s">
        <v>204</v>
      </c>
      <c r="J3106" s="1">
        <v>54878</v>
      </c>
      <c r="K3106" t="s">
        <v>720</v>
      </c>
      <c r="L3106">
        <v>1</v>
      </c>
      <c r="M3106">
        <v>1000</v>
      </c>
      <c r="N3106" t="s">
        <v>719</v>
      </c>
      <c r="O3106" t="s">
        <v>4834</v>
      </c>
      <c r="P3106" t="s">
        <v>4776</v>
      </c>
      <c r="Q3106" t="s">
        <v>4858</v>
      </c>
      <c r="R3106" t="s">
        <v>4771</v>
      </c>
    </row>
    <row r="3107" spans="1:18" x14ac:dyDescent="0.3">
      <c r="A3107">
        <v>40915</v>
      </c>
      <c r="B3107" t="s">
        <v>4874</v>
      </c>
      <c r="C3107" t="s">
        <v>294</v>
      </c>
      <c r="D3107" t="s">
        <v>101</v>
      </c>
      <c r="E3107" s="1">
        <v>45855</v>
      </c>
      <c r="F3107" t="s">
        <v>4304</v>
      </c>
      <c r="G3107" t="s">
        <v>2434</v>
      </c>
      <c r="H3107" t="s">
        <v>293</v>
      </c>
      <c r="I3107" t="s">
        <v>204</v>
      </c>
      <c r="J3107" s="1">
        <v>46191</v>
      </c>
      <c r="K3107" t="s">
        <v>720</v>
      </c>
      <c r="L3107">
        <v>1</v>
      </c>
      <c r="M3107">
        <v>190</v>
      </c>
      <c r="N3107" t="s">
        <v>710</v>
      </c>
      <c r="O3107" t="s">
        <v>4834</v>
      </c>
      <c r="P3107" t="s">
        <v>4776</v>
      </c>
      <c r="Q3107" t="s">
        <v>4858</v>
      </c>
      <c r="R3107" t="s">
        <v>4773</v>
      </c>
    </row>
    <row r="3108" spans="1:18" x14ac:dyDescent="0.3">
      <c r="A3108">
        <v>20251104</v>
      </c>
      <c r="B3108" t="s">
        <v>1034</v>
      </c>
      <c r="C3108" t="s">
        <v>550</v>
      </c>
      <c r="D3108" t="s">
        <v>189</v>
      </c>
      <c r="E3108" s="1">
        <v>45855</v>
      </c>
      <c r="F3108" t="s">
        <v>4338</v>
      </c>
      <c r="G3108" t="s">
        <v>2431</v>
      </c>
      <c r="H3108" t="s">
        <v>582</v>
      </c>
      <c r="I3108" t="s">
        <v>204</v>
      </c>
      <c r="J3108" s="1">
        <v>46599</v>
      </c>
      <c r="K3108" t="s">
        <v>717</v>
      </c>
      <c r="L3108">
        <v>27301.11</v>
      </c>
      <c r="M3108">
        <v>27301.11</v>
      </c>
      <c r="N3108" t="s">
        <v>710</v>
      </c>
      <c r="O3108" t="s">
        <v>4904</v>
      </c>
      <c r="P3108" t="s">
        <v>4792</v>
      </c>
      <c r="Q3108" t="s">
        <v>4904</v>
      </c>
      <c r="R3108" t="s">
        <v>4772</v>
      </c>
    </row>
    <row r="3109" spans="1:18" x14ac:dyDescent="0.3">
      <c r="A3109">
        <v>41863</v>
      </c>
      <c r="B3109" t="s">
        <v>1034</v>
      </c>
      <c r="C3109" t="s">
        <v>327</v>
      </c>
      <c r="D3109" t="s">
        <v>159</v>
      </c>
      <c r="E3109" s="1">
        <v>45855</v>
      </c>
      <c r="F3109" t="s">
        <v>4295</v>
      </c>
      <c r="G3109" t="s">
        <v>2409</v>
      </c>
      <c r="H3109" t="s">
        <v>357</v>
      </c>
      <c r="I3109" t="s">
        <v>204</v>
      </c>
      <c r="J3109" s="1">
        <v>46476</v>
      </c>
      <c r="K3109" t="s">
        <v>711</v>
      </c>
      <c r="L3109">
        <v>2150</v>
      </c>
      <c r="M3109">
        <v>2150</v>
      </c>
      <c r="N3109" t="s">
        <v>890</v>
      </c>
      <c r="O3109" t="s">
        <v>4834</v>
      </c>
      <c r="P3109" t="s">
        <v>4776</v>
      </c>
      <c r="Q3109" t="s">
        <v>4901</v>
      </c>
      <c r="R3109" t="s">
        <v>4773</v>
      </c>
    </row>
    <row r="3110" spans="1:18" x14ac:dyDescent="0.3">
      <c r="A3110">
        <v>41862</v>
      </c>
      <c r="B3110" t="s">
        <v>1034</v>
      </c>
      <c r="C3110" t="s">
        <v>327</v>
      </c>
      <c r="D3110" t="s">
        <v>159</v>
      </c>
      <c r="E3110" s="1">
        <v>45855</v>
      </c>
      <c r="F3110" t="s">
        <v>4295</v>
      </c>
      <c r="G3110" t="s">
        <v>2407</v>
      </c>
      <c r="H3110" t="s">
        <v>357</v>
      </c>
      <c r="I3110" t="s">
        <v>204</v>
      </c>
      <c r="J3110" s="1">
        <v>46476</v>
      </c>
      <c r="K3110" t="s">
        <v>711</v>
      </c>
      <c r="L3110">
        <v>2150</v>
      </c>
      <c r="M3110">
        <v>2150</v>
      </c>
      <c r="N3110" t="s">
        <v>890</v>
      </c>
      <c r="O3110" t="s">
        <v>4834</v>
      </c>
      <c r="P3110" t="s">
        <v>4776</v>
      </c>
      <c r="Q3110" t="s">
        <v>4901</v>
      </c>
      <c r="R3110" t="s">
        <v>4773</v>
      </c>
    </row>
    <row r="3111" spans="1:18" x14ac:dyDescent="0.3">
      <c r="A3111">
        <v>5614</v>
      </c>
      <c r="B3111" t="s">
        <v>4875</v>
      </c>
      <c r="C3111" t="s">
        <v>319</v>
      </c>
      <c r="D3111" t="s">
        <v>36</v>
      </c>
      <c r="E3111" s="1">
        <v>45855</v>
      </c>
      <c r="F3111" t="s">
        <v>4434</v>
      </c>
      <c r="G3111" t="s">
        <v>2321</v>
      </c>
      <c r="H3111" t="s">
        <v>336</v>
      </c>
      <c r="I3111" t="s">
        <v>204</v>
      </c>
      <c r="J3111" s="1">
        <v>46075</v>
      </c>
      <c r="K3111" t="s">
        <v>748</v>
      </c>
      <c r="L3111">
        <v>61294.879999999997</v>
      </c>
      <c r="M3111">
        <v>61294.879999999997</v>
      </c>
      <c r="N3111" t="s">
        <v>710</v>
      </c>
      <c r="O3111" t="s">
        <v>1040</v>
      </c>
      <c r="P3111" t="s">
        <v>4784</v>
      </c>
      <c r="Q3111" t="s">
        <v>4856</v>
      </c>
      <c r="R3111" t="s">
        <v>4771</v>
      </c>
    </row>
    <row r="3112" spans="1:18" x14ac:dyDescent="0.3">
      <c r="A3112">
        <v>120837</v>
      </c>
      <c r="B3112" t="s">
        <v>4875</v>
      </c>
      <c r="C3112" t="s">
        <v>338</v>
      </c>
      <c r="D3112" t="s">
        <v>31</v>
      </c>
      <c r="E3112" s="1">
        <v>45855</v>
      </c>
      <c r="F3112" t="s">
        <v>4299</v>
      </c>
      <c r="G3112" t="s">
        <v>2393</v>
      </c>
      <c r="H3112" t="s">
        <v>353</v>
      </c>
      <c r="I3112" t="s">
        <v>204</v>
      </c>
      <c r="J3112" s="1">
        <v>54878</v>
      </c>
      <c r="K3112" t="s">
        <v>748</v>
      </c>
      <c r="L3112">
        <v>5385</v>
      </c>
      <c r="M3112">
        <v>5384.77</v>
      </c>
      <c r="N3112" t="s">
        <v>710</v>
      </c>
      <c r="O3112" t="s">
        <v>1040</v>
      </c>
      <c r="P3112" t="s">
        <v>4785</v>
      </c>
      <c r="Q3112" t="s">
        <v>4856</v>
      </c>
      <c r="R3112" t="s">
        <v>4773</v>
      </c>
    </row>
    <row r="3113" spans="1:18" x14ac:dyDescent="0.3">
      <c r="A3113">
        <v>829142</v>
      </c>
      <c r="B3113" t="s">
        <v>1034</v>
      </c>
      <c r="C3113" t="s">
        <v>276</v>
      </c>
      <c r="D3113" t="s">
        <v>5</v>
      </c>
      <c r="E3113" s="1">
        <v>45855</v>
      </c>
      <c r="F3113" t="s">
        <v>4315</v>
      </c>
      <c r="G3113" t="s">
        <v>2442</v>
      </c>
      <c r="H3113" t="s">
        <v>275</v>
      </c>
      <c r="I3113" t="s">
        <v>204</v>
      </c>
      <c r="J3113" s="1">
        <v>46904</v>
      </c>
      <c r="K3113" t="s">
        <v>717</v>
      </c>
      <c r="L3113">
        <v>37586.800000000003</v>
      </c>
      <c r="M3113">
        <v>37586.800000000003</v>
      </c>
      <c r="N3113" t="s">
        <v>710</v>
      </c>
      <c r="O3113" t="s">
        <v>1037</v>
      </c>
      <c r="P3113" t="s">
        <v>4776</v>
      </c>
      <c r="Q3113" t="s">
        <v>4852</v>
      </c>
      <c r="R3113" t="s">
        <v>4773</v>
      </c>
    </row>
    <row r="3114" spans="1:18" x14ac:dyDescent="0.3">
      <c r="A3114">
        <v>120918</v>
      </c>
      <c r="B3114" t="s">
        <v>1034</v>
      </c>
      <c r="C3114" t="s">
        <v>338</v>
      </c>
      <c r="D3114" t="s">
        <v>31</v>
      </c>
      <c r="E3114" s="1">
        <v>45855</v>
      </c>
      <c r="F3114" t="s">
        <v>4299</v>
      </c>
      <c r="G3114" t="s">
        <v>2413</v>
      </c>
      <c r="H3114" t="s">
        <v>337</v>
      </c>
      <c r="I3114" t="s">
        <v>204</v>
      </c>
      <c r="J3114" s="1">
        <v>54878</v>
      </c>
      <c r="K3114" t="s">
        <v>711</v>
      </c>
      <c r="L3114">
        <v>25309</v>
      </c>
      <c r="M3114">
        <v>25309.18</v>
      </c>
      <c r="N3114" t="s">
        <v>710</v>
      </c>
      <c r="O3114" t="s">
        <v>1036</v>
      </c>
      <c r="P3114" t="s">
        <v>4785</v>
      </c>
      <c r="Q3114" t="s">
        <v>4901</v>
      </c>
      <c r="R3114" t="s">
        <v>4773</v>
      </c>
    </row>
    <row r="3115" spans="1:18" x14ac:dyDescent="0.3">
      <c r="A3115">
        <v>41837</v>
      </c>
      <c r="B3115" t="s">
        <v>1034</v>
      </c>
      <c r="C3115" t="s">
        <v>327</v>
      </c>
      <c r="D3115" t="s">
        <v>159</v>
      </c>
      <c r="E3115" s="1">
        <v>45854</v>
      </c>
      <c r="F3115" t="s">
        <v>4296</v>
      </c>
      <c r="G3115" t="s">
        <v>2410</v>
      </c>
      <c r="H3115" t="s">
        <v>357</v>
      </c>
      <c r="I3115" t="s">
        <v>204</v>
      </c>
      <c r="J3115" s="1">
        <v>46476</v>
      </c>
      <c r="K3115" t="s">
        <v>711</v>
      </c>
      <c r="L3115">
        <v>581.35</v>
      </c>
      <c r="M3115">
        <v>581.35</v>
      </c>
      <c r="N3115" t="s">
        <v>890</v>
      </c>
      <c r="O3115" t="s">
        <v>4834</v>
      </c>
      <c r="P3115" t="s">
        <v>4776</v>
      </c>
      <c r="Q3115" t="s">
        <v>4901</v>
      </c>
      <c r="R3115" t="s">
        <v>4773</v>
      </c>
    </row>
    <row r="3116" spans="1:18" x14ac:dyDescent="0.3">
      <c r="A3116">
        <v>202525185</v>
      </c>
      <c r="B3116" t="s">
        <v>4874</v>
      </c>
      <c r="C3116" t="s">
        <v>222</v>
      </c>
      <c r="D3116" t="s">
        <v>80</v>
      </c>
      <c r="E3116" s="1">
        <v>45854</v>
      </c>
      <c r="F3116" t="s">
        <v>4419</v>
      </c>
      <c r="G3116" t="s">
        <v>2432</v>
      </c>
      <c r="H3116" t="s">
        <v>223</v>
      </c>
      <c r="I3116" t="s">
        <v>204</v>
      </c>
      <c r="J3116" s="1">
        <v>46504</v>
      </c>
      <c r="K3116" t="s">
        <v>720</v>
      </c>
      <c r="L3116">
        <v>1</v>
      </c>
      <c r="M3116">
        <v>500</v>
      </c>
      <c r="N3116" t="s">
        <v>710</v>
      </c>
      <c r="O3116" t="s">
        <v>4834</v>
      </c>
      <c r="P3116" t="s">
        <v>4778</v>
      </c>
      <c r="Q3116" t="s">
        <v>4858</v>
      </c>
      <c r="R3116" t="s">
        <v>4773</v>
      </c>
    </row>
    <row r="3117" spans="1:18" x14ac:dyDescent="0.3">
      <c r="A3117">
        <v>497010</v>
      </c>
      <c r="B3117" t="s">
        <v>4875</v>
      </c>
      <c r="C3117" t="s">
        <v>333</v>
      </c>
      <c r="D3117" t="s">
        <v>29</v>
      </c>
      <c r="E3117" s="1">
        <v>45854</v>
      </c>
      <c r="F3117" t="s">
        <v>4317</v>
      </c>
      <c r="G3117" t="s">
        <v>2423</v>
      </c>
      <c r="H3117" t="s">
        <v>335</v>
      </c>
      <c r="I3117" t="s">
        <v>204</v>
      </c>
      <c r="J3117" s="1">
        <v>54878</v>
      </c>
      <c r="K3117" t="s">
        <v>748</v>
      </c>
      <c r="L3117">
        <v>102</v>
      </c>
      <c r="M3117">
        <v>102.34</v>
      </c>
      <c r="N3117" t="s">
        <v>710</v>
      </c>
      <c r="O3117" t="s">
        <v>1040</v>
      </c>
      <c r="P3117" t="s">
        <v>4776</v>
      </c>
      <c r="Q3117" t="s">
        <v>4856</v>
      </c>
      <c r="R3117" t="s">
        <v>4771</v>
      </c>
    </row>
    <row r="3118" spans="1:18" x14ac:dyDescent="0.3">
      <c r="A3118">
        <v>158966</v>
      </c>
      <c r="B3118" t="s">
        <v>4875</v>
      </c>
      <c r="C3118" t="s">
        <v>301</v>
      </c>
      <c r="D3118" t="s">
        <v>23</v>
      </c>
      <c r="E3118" s="1">
        <v>45854</v>
      </c>
      <c r="F3118" t="s">
        <v>4321</v>
      </c>
      <c r="G3118" t="s">
        <v>2267</v>
      </c>
      <c r="H3118" t="s">
        <v>342</v>
      </c>
      <c r="I3118" t="s">
        <v>204</v>
      </c>
      <c r="J3118" s="1">
        <v>46285</v>
      </c>
      <c r="K3118" t="s">
        <v>748</v>
      </c>
      <c r="L3118">
        <v>5127.5200000000004</v>
      </c>
      <c r="M3118">
        <v>5127.5200000000004</v>
      </c>
      <c r="N3118" t="s">
        <v>710</v>
      </c>
      <c r="O3118" t="s">
        <v>1040</v>
      </c>
      <c r="P3118" t="s">
        <v>4782</v>
      </c>
      <c r="Q3118" t="s">
        <v>4856</v>
      </c>
      <c r="R3118" t="s">
        <v>4773</v>
      </c>
    </row>
    <row r="3119" spans="1:18" x14ac:dyDescent="0.3">
      <c r="A3119">
        <v>22579</v>
      </c>
      <c r="B3119" t="s">
        <v>4874</v>
      </c>
      <c r="C3119" t="s">
        <v>592</v>
      </c>
      <c r="D3119" t="s">
        <v>8</v>
      </c>
      <c r="E3119" s="1">
        <v>45854</v>
      </c>
      <c r="F3119" t="s">
        <v>4352</v>
      </c>
      <c r="G3119" t="s">
        <v>2430</v>
      </c>
      <c r="H3119" t="s">
        <v>601</v>
      </c>
      <c r="I3119" t="s">
        <v>209</v>
      </c>
      <c r="J3119" s="1">
        <v>45945</v>
      </c>
      <c r="K3119" t="s">
        <v>762</v>
      </c>
      <c r="L3119">
        <v>1053</v>
      </c>
      <c r="M3119">
        <v>1052.8</v>
      </c>
      <c r="N3119" t="s">
        <v>890</v>
      </c>
      <c r="O3119" t="s">
        <v>4833</v>
      </c>
      <c r="P3119" t="s">
        <v>950</v>
      </c>
      <c r="Q3119" t="s">
        <v>4852</v>
      </c>
      <c r="R3119" t="s">
        <v>807</v>
      </c>
    </row>
    <row r="3120" spans="1:18" x14ac:dyDescent="0.3">
      <c r="A3120">
        <v>41840</v>
      </c>
      <c r="B3120" t="s">
        <v>1034</v>
      </c>
      <c r="C3120" t="s">
        <v>327</v>
      </c>
      <c r="D3120" t="s">
        <v>159</v>
      </c>
      <c r="E3120" s="1">
        <v>45854</v>
      </c>
      <c r="F3120" t="s">
        <v>4295</v>
      </c>
      <c r="G3120" t="s">
        <v>2408</v>
      </c>
      <c r="H3120" t="s">
        <v>357</v>
      </c>
      <c r="I3120" t="s">
        <v>204</v>
      </c>
      <c r="J3120" s="1">
        <v>46476</v>
      </c>
      <c r="K3120" t="s">
        <v>711</v>
      </c>
      <c r="L3120">
        <v>890</v>
      </c>
      <c r="M3120">
        <v>890</v>
      </c>
      <c r="N3120" t="s">
        <v>890</v>
      </c>
      <c r="O3120" t="s">
        <v>4834</v>
      </c>
      <c r="P3120" t="s">
        <v>4776</v>
      </c>
      <c r="Q3120" t="s">
        <v>4901</v>
      </c>
      <c r="R3120" t="s">
        <v>4773</v>
      </c>
    </row>
    <row r="3121" spans="1:18" x14ac:dyDescent="0.3">
      <c r="A3121">
        <v>509723</v>
      </c>
      <c r="B3121" t="s">
        <v>1034</v>
      </c>
      <c r="C3121" t="s">
        <v>333</v>
      </c>
      <c r="D3121" t="s">
        <v>29</v>
      </c>
      <c r="E3121" s="1">
        <v>45854</v>
      </c>
      <c r="F3121" t="s">
        <v>4317</v>
      </c>
      <c r="G3121" t="s">
        <v>2421</v>
      </c>
      <c r="H3121" t="s">
        <v>332</v>
      </c>
      <c r="I3121" t="s">
        <v>204</v>
      </c>
      <c r="J3121" s="1">
        <v>54878</v>
      </c>
      <c r="K3121" t="s">
        <v>711</v>
      </c>
      <c r="L3121">
        <v>136</v>
      </c>
      <c r="M3121">
        <v>135.55000000000001</v>
      </c>
      <c r="N3121" t="s">
        <v>710</v>
      </c>
      <c r="O3121" t="s">
        <v>1036</v>
      </c>
      <c r="P3121" t="s">
        <v>4776</v>
      </c>
      <c r="Q3121" t="s">
        <v>4901</v>
      </c>
      <c r="R3121" t="s">
        <v>4771</v>
      </c>
    </row>
    <row r="3122" spans="1:18" x14ac:dyDescent="0.3">
      <c r="A3122">
        <v>487875</v>
      </c>
      <c r="B3122" t="s">
        <v>4874</v>
      </c>
      <c r="C3122" t="s">
        <v>239</v>
      </c>
      <c r="D3122" t="s">
        <v>199</v>
      </c>
      <c r="E3122" s="1">
        <v>45853</v>
      </c>
      <c r="F3122" t="s">
        <v>4325</v>
      </c>
      <c r="G3122" t="s">
        <v>2426</v>
      </c>
      <c r="H3122" t="s">
        <v>268</v>
      </c>
      <c r="I3122" t="s">
        <v>204</v>
      </c>
      <c r="J3122" s="1">
        <v>46172</v>
      </c>
      <c r="K3122" t="s">
        <v>720</v>
      </c>
      <c r="L3122">
        <v>1</v>
      </c>
      <c r="M3122">
        <v>712.5</v>
      </c>
      <c r="N3122" t="s">
        <v>710</v>
      </c>
      <c r="O3122" t="s">
        <v>1038</v>
      </c>
      <c r="P3122" t="s">
        <v>4779</v>
      </c>
      <c r="Q3122" t="s">
        <v>4858</v>
      </c>
      <c r="R3122" t="s">
        <v>4771</v>
      </c>
    </row>
    <row r="3123" spans="1:18" x14ac:dyDescent="0.3">
      <c r="A3123">
        <v>2126</v>
      </c>
      <c r="B3123" t="s">
        <v>4874</v>
      </c>
      <c r="C3123" t="s">
        <v>616</v>
      </c>
      <c r="D3123" t="s">
        <v>152</v>
      </c>
      <c r="E3123" s="1">
        <v>45853</v>
      </c>
      <c r="F3123" t="s">
        <v>4338</v>
      </c>
      <c r="G3123" t="s">
        <v>2387</v>
      </c>
      <c r="H3123" t="s">
        <v>615</v>
      </c>
      <c r="I3123" t="s">
        <v>204</v>
      </c>
      <c r="J3123" s="1">
        <v>46327</v>
      </c>
      <c r="K3123" t="s">
        <v>720</v>
      </c>
      <c r="L3123">
        <v>1</v>
      </c>
      <c r="M3123">
        <v>101787.59</v>
      </c>
      <c r="N3123" t="s">
        <v>710</v>
      </c>
      <c r="O3123" t="s">
        <v>4834</v>
      </c>
      <c r="P3123" t="s">
        <v>4776</v>
      </c>
      <c r="Q3123" t="s">
        <v>4858</v>
      </c>
      <c r="R3123" t="s">
        <v>4772</v>
      </c>
    </row>
    <row r="3124" spans="1:18" x14ac:dyDescent="0.3">
      <c r="A3124">
        <v>78018</v>
      </c>
      <c r="B3124" t="s">
        <v>4874</v>
      </c>
      <c r="C3124" t="s">
        <v>634</v>
      </c>
      <c r="D3124" t="s">
        <v>99</v>
      </c>
      <c r="E3124" s="1">
        <v>45853</v>
      </c>
      <c r="F3124" t="s">
        <v>4313</v>
      </c>
      <c r="G3124" t="s">
        <v>2406</v>
      </c>
      <c r="H3124" t="s">
        <v>633</v>
      </c>
      <c r="I3124" t="s">
        <v>204</v>
      </c>
      <c r="J3124" s="1">
        <v>46204</v>
      </c>
      <c r="K3124" t="s">
        <v>762</v>
      </c>
      <c r="L3124">
        <v>5</v>
      </c>
      <c r="M3124">
        <v>32.85</v>
      </c>
      <c r="N3124" t="s">
        <v>719</v>
      </c>
      <c r="O3124" t="s">
        <v>1037</v>
      </c>
      <c r="P3124" t="s">
        <v>4790</v>
      </c>
      <c r="Q3124" t="s">
        <v>4852</v>
      </c>
    </row>
    <row r="3125" spans="1:18" x14ac:dyDescent="0.3">
      <c r="A3125">
        <v>19825</v>
      </c>
      <c r="B3125" t="s">
        <v>4874</v>
      </c>
      <c r="C3125" t="s">
        <v>539</v>
      </c>
      <c r="D3125" t="s">
        <v>189</v>
      </c>
      <c r="E3125" s="1">
        <v>45853</v>
      </c>
      <c r="F3125" t="s">
        <v>4327</v>
      </c>
      <c r="G3125" t="s">
        <v>2388</v>
      </c>
      <c r="H3125" t="s">
        <v>573</v>
      </c>
      <c r="I3125" t="s">
        <v>209</v>
      </c>
      <c r="J3125" s="1">
        <v>45808</v>
      </c>
      <c r="K3125" t="s">
        <v>762</v>
      </c>
      <c r="L3125">
        <v>5732.31</v>
      </c>
      <c r="M3125">
        <v>5732.31</v>
      </c>
      <c r="N3125" t="s">
        <v>890</v>
      </c>
      <c r="Q3125" t="s">
        <v>807</v>
      </c>
    </row>
    <row r="3126" spans="1:18" x14ac:dyDescent="0.3">
      <c r="A3126">
        <v>78018</v>
      </c>
      <c r="B3126" t="s">
        <v>4874</v>
      </c>
      <c r="C3126" t="s">
        <v>634</v>
      </c>
      <c r="D3126" t="s">
        <v>99</v>
      </c>
      <c r="E3126" s="1">
        <v>45853</v>
      </c>
      <c r="F3126" t="s">
        <v>4307</v>
      </c>
      <c r="G3126" t="s">
        <v>2406</v>
      </c>
      <c r="H3126" t="s">
        <v>633</v>
      </c>
      <c r="I3126" t="s">
        <v>204</v>
      </c>
      <c r="J3126" s="1">
        <v>46204</v>
      </c>
      <c r="K3126" t="s">
        <v>762</v>
      </c>
      <c r="L3126">
        <v>2011</v>
      </c>
      <c r="M3126">
        <v>31351.49</v>
      </c>
      <c r="N3126" t="s">
        <v>719</v>
      </c>
      <c r="O3126" t="s">
        <v>1037</v>
      </c>
      <c r="P3126" t="s">
        <v>4790</v>
      </c>
      <c r="Q3126" t="s">
        <v>4852</v>
      </c>
    </row>
    <row r="3127" spans="1:18" x14ac:dyDescent="0.3">
      <c r="A3127">
        <v>78018</v>
      </c>
      <c r="B3127" t="s">
        <v>4874</v>
      </c>
      <c r="C3127" t="s">
        <v>634</v>
      </c>
      <c r="D3127" t="s">
        <v>99</v>
      </c>
      <c r="E3127" s="1">
        <v>45853</v>
      </c>
      <c r="F3127" t="s">
        <v>4394</v>
      </c>
      <c r="G3127" t="s">
        <v>2406</v>
      </c>
      <c r="H3127" t="s">
        <v>633</v>
      </c>
      <c r="I3127" t="s">
        <v>204</v>
      </c>
      <c r="J3127" s="1">
        <v>46204</v>
      </c>
      <c r="K3127" t="s">
        <v>762</v>
      </c>
      <c r="L3127">
        <v>2011</v>
      </c>
      <c r="M3127">
        <v>2011</v>
      </c>
      <c r="N3127" t="s">
        <v>719</v>
      </c>
      <c r="O3127" t="s">
        <v>1037</v>
      </c>
      <c r="P3127" t="s">
        <v>4790</v>
      </c>
      <c r="Q3127" t="s">
        <v>4852</v>
      </c>
    </row>
    <row r="3128" spans="1:18" x14ac:dyDescent="0.3">
      <c r="A3128">
        <v>78018</v>
      </c>
      <c r="B3128" t="s">
        <v>4874</v>
      </c>
      <c r="C3128" t="s">
        <v>634</v>
      </c>
      <c r="D3128" t="s">
        <v>99</v>
      </c>
      <c r="E3128" s="1">
        <v>45853</v>
      </c>
      <c r="F3128" t="s">
        <v>4314</v>
      </c>
      <c r="G3128" t="s">
        <v>2406</v>
      </c>
      <c r="H3128" t="s">
        <v>633</v>
      </c>
      <c r="I3128" t="s">
        <v>204</v>
      </c>
      <c r="J3128" s="1">
        <v>46204</v>
      </c>
      <c r="K3128" t="s">
        <v>762</v>
      </c>
      <c r="L3128">
        <v>171</v>
      </c>
      <c r="M3128">
        <v>3599.55</v>
      </c>
      <c r="N3128" t="s">
        <v>719</v>
      </c>
      <c r="O3128" t="s">
        <v>1037</v>
      </c>
      <c r="P3128" t="s">
        <v>4790</v>
      </c>
      <c r="Q3128" t="s">
        <v>4852</v>
      </c>
    </row>
    <row r="3129" spans="1:18" x14ac:dyDescent="0.3">
      <c r="A3129">
        <v>78018</v>
      </c>
      <c r="B3129" t="s">
        <v>4874</v>
      </c>
      <c r="C3129" t="s">
        <v>634</v>
      </c>
      <c r="D3129" t="s">
        <v>99</v>
      </c>
      <c r="E3129" s="1">
        <v>45853</v>
      </c>
      <c r="F3129" t="s">
        <v>4405</v>
      </c>
      <c r="G3129" t="s">
        <v>2406</v>
      </c>
      <c r="H3129" t="s">
        <v>633</v>
      </c>
      <c r="I3129" t="s">
        <v>204</v>
      </c>
      <c r="J3129" s="1">
        <v>46204</v>
      </c>
      <c r="K3129" t="s">
        <v>762</v>
      </c>
      <c r="L3129">
        <v>171</v>
      </c>
      <c r="M3129">
        <v>230.85</v>
      </c>
      <c r="N3129" t="s">
        <v>719</v>
      </c>
      <c r="O3129" t="s">
        <v>1037</v>
      </c>
      <c r="P3129" t="s">
        <v>4790</v>
      </c>
      <c r="Q3129" t="s">
        <v>4852</v>
      </c>
    </row>
    <row r="3130" spans="1:18" x14ac:dyDescent="0.3">
      <c r="A3130">
        <v>78018</v>
      </c>
      <c r="B3130" t="s">
        <v>4874</v>
      </c>
      <c r="C3130" t="s">
        <v>634</v>
      </c>
      <c r="D3130" t="s">
        <v>99</v>
      </c>
      <c r="E3130" s="1">
        <v>45853</v>
      </c>
      <c r="F3130" t="s">
        <v>4308</v>
      </c>
      <c r="G3130" t="s">
        <v>2406</v>
      </c>
      <c r="H3130" t="s">
        <v>633</v>
      </c>
      <c r="I3130" t="s">
        <v>204</v>
      </c>
      <c r="J3130" s="1">
        <v>46204</v>
      </c>
      <c r="K3130" t="s">
        <v>762</v>
      </c>
      <c r="L3130">
        <v>90</v>
      </c>
      <c r="M3130">
        <v>438.3</v>
      </c>
      <c r="N3130" t="s">
        <v>719</v>
      </c>
      <c r="O3130" t="s">
        <v>1037</v>
      </c>
      <c r="P3130" t="s">
        <v>4790</v>
      </c>
      <c r="Q3130" t="s">
        <v>4852</v>
      </c>
    </row>
    <row r="3131" spans="1:18" x14ac:dyDescent="0.3">
      <c r="A3131">
        <v>78018</v>
      </c>
      <c r="B3131" t="s">
        <v>4874</v>
      </c>
      <c r="C3131" t="s">
        <v>634</v>
      </c>
      <c r="D3131" t="s">
        <v>99</v>
      </c>
      <c r="E3131" s="1">
        <v>45853</v>
      </c>
      <c r="F3131" t="s">
        <v>4400</v>
      </c>
      <c r="G3131" t="s">
        <v>2406</v>
      </c>
      <c r="H3131" t="s">
        <v>633</v>
      </c>
      <c r="I3131" t="s">
        <v>204</v>
      </c>
      <c r="J3131" s="1">
        <v>46204</v>
      </c>
      <c r="K3131" t="s">
        <v>762</v>
      </c>
      <c r="L3131">
        <v>16</v>
      </c>
      <c r="M3131">
        <v>93.76</v>
      </c>
      <c r="N3131" t="s">
        <v>719</v>
      </c>
      <c r="O3131" t="s">
        <v>1037</v>
      </c>
      <c r="P3131" t="s">
        <v>4790</v>
      </c>
      <c r="Q3131" t="s">
        <v>4852</v>
      </c>
    </row>
    <row r="3132" spans="1:18" x14ac:dyDescent="0.3">
      <c r="A3132">
        <v>78018</v>
      </c>
      <c r="B3132" t="s">
        <v>4874</v>
      </c>
      <c r="C3132" t="s">
        <v>634</v>
      </c>
      <c r="D3132" t="s">
        <v>99</v>
      </c>
      <c r="E3132" s="1">
        <v>45853</v>
      </c>
      <c r="F3132" t="s">
        <v>4310</v>
      </c>
      <c r="G3132" t="s">
        <v>2406</v>
      </c>
      <c r="H3132" t="s">
        <v>633</v>
      </c>
      <c r="I3132" t="s">
        <v>204</v>
      </c>
      <c r="J3132" s="1">
        <v>46204</v>
      </c>
      <c r="K3132" t="s">
        <v>762</v>
      </c>
      <c r="L3132">
        <v>96</v>
      </c>
      <c r="M3132">
        <v>351.36</v>
      </c>
      <c r="N3132" t="s">
        <v>719</v>
      </c>
      <c r="O3132" t="s">
        <v>1037</v>
      </c>
      <c r="P3132" t="s">
        <v>4790</v>
      </c>
      <c r="Q3132" t="s">
        <v>4852</v>
      </c>
    </row>
    <row r="3133" spans="1:18" x14ac:dyDescent="0.3">
      <c r="A3133">
        <v>4793</v>
      </c>
      <c r="B3133" t="s">
        <v>1034</v>
      </c>
      <c r="C3133" t="s">
        <v>319</v>
      </c>
      <c r="D3133" t="s">
        <v>36</v>
      </c>
      <c r="E3133" s="1">
        <v>45853</v>
      </c>
      <c r="F3133" t="s">
        <v>4298</v>
      </c>
      <c r="G3133" t="s">
        <v>2411</v>
      </c>
      <c r="H3133" t="s">
        <v>318</v>
      </c>
      <c r="I3133" t="s">
        <v>204</v>
      </c>
      <c r="J3133" s="1">
        <v>46214</v>
      </c>
      <c r="K3133" t="s">
        <v>711</v>
      </c>
      <c r="L3133">
        <v>1505</v>
      </c>
      <c r="M3133">
        <v>1504.9</v>
      </c>
      <c r="N3133" t="s">
        <v>710</v>
      </c>
      <c r="O3133" t="s">
        <v>1036</v>
      </c>
      <c r="P3133" t="s">
        <v>4784</v>
      </c>
      <c r="Q3133" t="s">
        <v>4901</v>
      </c>
      <c r="R3133" t="s">
        <v>4771</v>
      </c>
    </row>
    <row r="3134" spans="1:18" x14ac:dyDescent="0.3">
      <c r="A3134">
        <v>161184</v>
      </c>
      <c r="B3134" t="s">
        <v>4874</v>
      </c>
      <c r="C3134" t="s">
        <v>214</v>
      </c>
      <c r="D3134" t="s">
        <v>94</v>
      </c>
      <c r="E3134" s="1">
        <v>45853</v>
      </c>
      <c r="F3134" t="s">
        <v>4295</v>
      </c>
      <c r="G3134" t="s">
        <v>2385</v>
      </c>
      <c r="H3134" t="s">
        <v>213</v>
      </c>
      <c r="I3134" t="s">
        <v>204</v>
      </c>
      <c r="J3134" s="1">
        <v>46309</v>
      </c>
      <c r="K3134" t="s">
        <v>720</v>
      </c>
      <c r="L3134">
        <v>1</v>
      </c>
      <c r="M3134">
        <v>28535.23</v>
      </c>
      <c r="N3134" t="s">
        <v>710</v>
      </c>
      <c r="O3134" t="s">
        <v>4834</v>
      </c>
      <c r="P3134" t="s">
        <v>4776</v>
      </c>
      <c r="Q3134" t="s">
        <v>4858</v>
      </c>
      <c r="R3134" t="s">
        <v>4772</v>
      </c>
    </row>
    <row r="3135" spans="1:18" x14ac:dyDescent="0.3">
      <c r="A3135">
        <v>73</v>
      </c>
      <c r="B3135" t="s">
        <v>1034</v>
      </c>
      <c r="C3135" t="s">
        <v>641</v>
      </c>
      <c r="D3135" t="s">
        <v>26</v>
      </c>
      <c r="E3135" s="1">
        <v>45853</v>
      </c>
      <c r="F3135" t="s">
        <v>4370</v>
      </c>
      <c r="G3135" t="s">
        <v>2424</v>
      </c>
      <c r="H3135" t="s">
        <v>640</v>
      </c>
      <c r="I3135" t="s">
        <v>204</v>
      </c>
      <c r="J3135" s="1">
        <v>46142</v>
      </c>
      <c r="K3135" t="s">
        <v>717</v>
      </c>
      <c r="L3135">
        <v>34011.18</v>
      </c>
      <c r="M3135">
        <v>34011.18</v>
      </c>
      <c r="N3135" t="s">
        <v>710</v>
      </c>
      <c r="O3135" t="s">
        <v>1042</v>
      </c>
      <c r="P3135" t="s">
        <v>1006</v>
      </c>
      <c r="Q3135" t="s">
        <v>4852</v>
      </c>
    </row>
    <row r="3136" spans="1:18" x14ac:dyDescent="0.3">
      <c r="A3136">
        <v>487035</v>
      </c>
      <c r="B3136" t="s">
        <v>1035</v>
      </c>
      <c r="C3136" t="s">
        <v>239</v>
      </c>
      <c r="D3136" t="s">
        <v>199</v>
      </c>
      <c r="E3136" s="1">
        <v>45853</v>
      </c>
      <c r="F3136" t="s">
        <v>4325</v>
      </c>
      <c r="G3136" t="s">
        <v>2427</v>
      </c>
      <c r="H3136" t="s">
        <v>238</v>
      </c>
      <c r="I3136" t="s">
        <v>204</v>
      </c>
      <c r="J3136" s="1">
        <v>54878</v>
      </c>
      <c r="K3136" t="s">
        <v>754</v>
      </c>
      <c r="L3136">
        <v>1</v>
      </c>
      <c r="M3136">
        <v>75.08</v>
      </c>
      <c r="N3136" t="s">
        <v>710</v>
      </c>
      <c r="O3136" t="s">
        <v>4903</v>
      </c>
      <c r="P3136" t="s">
        <v>4779</v>
      </c>
      <c r="Q3136" t="s">
        <v>4858</v>
      </c>
      <c r="R3136" t="s">
        <v>4771</v>
      </c>
    </row>
    <row r="3137" spans="1:18" x14ac:dyDescent="0.3">
      <c r="A3137">
        <v>577</v>
      </c>
      <c r="B3137" t="s">
        <v>4874</v>
      </c>
      <c r="C3137" t="s">
        <v>259</v>
      </c>
      <c r="D3137" t="s">
        <v>122</v>
      </c>
      <c r="E3137" s="1">
        <v>45853</v>
      </c>
      <c r="F3137" t="s">
        <v>4390</v>
      </c>
      <c r="G3137" t="s">
        <v>2396</v>
      </c>
      <c r="H3137" t="s">
        <v>258</v>
      </c>
      <c r="I3137" t="s">
        <v>204</v>
      </c>
      <c r="J3137" s="1">
        <v>46337</v>
      </c>
      <c r="K3137" t="s">
        <v>720</v>
      </c>
      <c r="L3137">
        <v>1</v>
      </c>
      <c r="M3137">
        <v>29691.56</v>
      </c>
      <c r="N3137" t="s">
        <v>710</v>
      </c>
      <c r="O3137" t="s">
        <v>1038</v>
      </c>
      <c r="P3137" t="s">
        <v>4777</v>
      </c>
      <c r="Q3137" t="s">
        <v>4858</v>
      </c>
      <c r="R3137" t="s">
        <v>4771</v>
      </c>
    </row>
    <row r="3138" spans="1:18" x14ac:dyDescent="0.3">
      <c r="A3138">
        <v>275513</v>
      </c>
      <c r="B3138" t="s">
        <v>4874</v>
      </c>
      <c r="C3138" t="s">
        <v>391</v>
      </c>
      <c r="D3138" t="s">
        <v>104</v>
      </c>
      <c r="E3138" s="1">
        <v>45852</v>
      </c>
      <c r="F3138" t="s">
        <v>4315</v>
      </c>
      <c r="G3138" t="s">
        <v>2412</v>
      </c>
      <c r="H3138" t="s">
        <v>390</v>
      </c>
      <c r="I3138" t="s">
        <v>204</v>
      </c>
      <c r="J3138" s="1">
        <v>54878</v>
      </c>
      <c r="K3138" t="s">
        <v>762</v>
      </c>
      <c r="L3138">
        <v>82.81</v>
      </c>
      <c r="M3138">
        <v>82.81</v>
      </c>
      <c r="N3138" t="s">
        <v>710</v>
      </c>
      <c r="O3138" t="s">
        <v>4833</v>
      </c>
      <c r="P3138" t="s">
        <v>4776</v>
      </c>
      <c r="Q3138" t="s">
        <v>4852</v>
      </c>
      <c r="R3138" t="s">
        <v>4773</v>
      </c>
    </row>
    <row r="3139" spans="1:18" x14ac:dyDescent="0.3">
      <c r="A3139">
        <v>188479</v>
      </c>
      <c r="B3139" t="s">
        <v>4874</v>
      </c>
      <c r="C3139" t="s">
        <v>391</v>
      </c>
      <c r="D3139" t="s">
        <v>104</v>
      </c>
      <c r="E3139" s="1">
        <v>45852</v>
      </c>
      <c r="F3139" t="s">
        <v>4354</v>
      </c>
      <c r="G3139" t="s">
        <v>2412</v>
      </c>
      <c r="H3139" t="s">
        <v>390</v>
      </c>
      <c r="I3139" t="s">
        <v>204</v>
      </c>
      <c r="J3139" s="1">
        <v>54878</v>
      </c>
      <c r="K3139" t="s">
        <v>762</v>
      </c>
      <c r="L3139">
        <v>211.58</v>
      </c>
      <c r="M3139">
        <v>211.58</v>
      </c>
      <c r="N3139" t="s">
        <v>710</v>
      </c>
      <c r="O3139" t="s">
        <v>4833</v>
      </c>
      <c r="P3139" t="s">
        <v>4776</v>
      </c>
      <c r="Q3139" t="s">
        <v>4852</v>
      </c>
      <c r="R3139" t="s">
        <v>4773</v>
      </c>
    </row>
    <row r="3140" spans="1:18" x14ac:dyDescent="0.3">
      <c r="A3140">
        <v>208769</v>
      </c>
      <c r="B3140" t="s">
        <v>4874</v>
      </c>
      <c r="C3140" t="s">
        <v>391</v>
      </c>
      <c r="D3140" t="s">
        <v>104</v>
      </c>
      <c r="E3140" s="1">
        <v>45852</v>
      </c>
      <c r="F3140" t="s">
        <v>4306</v>
      </c>
      <c r="G3140" t="s">
        <v>2412</v>
      </c>
      <c r="H3140" t="s">
        <v>390</v>
      </c>
      <c r="I3140" t="s">
        <v>204</v>
      </c>
      <c r="J3140" s="1">
        <v>54878</v>
      </c>
      <c r="K3140" t="s">
        <v>762</v>
      </c>
      <c r="L3140">
        <v>838.58</v>
      </c>
      <c r="M3140">
        <v>838.58</v>
      </c>
      <c r="N3140" t="s">
        <v>710</v>
      </c>
      <c r="O3140" t="s">
        <v>4833</v>
      </c>
      <c r="P3140" t="s">
        <v>4776</v>
      </c>
      <c r="Q3140" t="s">
        <v>4852</v>
      </c>
      <c r="R3140" t="s">
        <v>4773</v>
      </c>
    </row>
    <row r="3141" spans="1:18" x14ac:dyDescent="0.3">
      <c r="A3141">
        <v>635299</v>
      </c>
      <c r="B3141" t="s">
        <v>4874</v>
      </c>
      <c r="C3141" t="s">
        <v>491</v>
      </c>
      <c r="D3141" t="s">
        <v>33</v>
      </c>
      <c r="E3141" s="1">
        <v>45852</v>
      </c>
      <c r="F3141" t="s">
        <v>4389</v>
      </c>
      <c r="G3141" t="s">
        <v>2324</v>
      </c>
      <c r="H3141" t="s">
        <v>490</v>
      </c>
      <c r="I3141" t="s">
        <v>204</v>
      </c>
      <c r="J3141" s="1">
        <v>54878</v>
      </c>
      <c r="K3141" t="s">
        <v>762</v>
      </c>
      <c r="L3141">
        <v>232.07</v>
      </c>
      <c r="M3141">
        <v>232.07</v>
      </c>
      <c r="N3141" t="s">
        <v>710</v>
      </c>
      <c r="O3141" t="s">
        <v>4845</v>
      </c>
      <c r="P3141" t="s">
        <v>4776</v>
      </c>
      <c r="Q3141" t="s">
        <v>4845</v>
      </c>
      <c r="R3141" t="s">
        <v>4771</v>
      </c>
    </row>
    <row r="3142" spans="1:18" x14ac:dyDescent="0.3">
      <c r="A3142">
        <v>297302</v>
      </c>
      <c r="B3142" t="s">
        <v>4874</v>
      </c>
      <c r="C3142" t="s">
        <v>491</v>
      </c>
      <c r="D3142" t="s">
        <v>33</v>
      </c>
      <c r="E3142" s="1">
        <v>45852</v>
      </c>
      <c r="F3142" t="s">
        <v>4407</v>
      </c>
      <c r="G3142" t="s">
        <v>2324</v>
      </c>
      <c r="H3142" t="s">
        <v>490</v>
      </c>
      <c r="I3142" t="s">
        <v>204</v>
      </c>
      <c r="J3142" s="1">
        <v>54878</v>
      </c>
      <c r="K3142" t="s">
        <v>762</v>
      </c>
      <c r="L3142">
        <v>457.12</v>
      </c>
      <c r="M3142">
        <v>457.12</v>
      </c>
      <c r="N3142" t="s">
        <v>710</v>
      </c>
      <c r="O3142" t="s">
        <v>4845</v>
      </c>
      <c r="P3142" t="s">
        <v>4776</v>
      </c>
      <c r="Q3142" t="s">
        <v>4845</v>
      </c>
      <c r="R3142" t="s">
        <v>4771</v>
      </c>
    </row>
    <row r="3143" spans="1:18" x14ac:dyDescent="0.3">
      <c r="A3143">
        <v>1243</v>
      </c>
      <c r="B3143" t="s">
        <v>4874</v>
      </c>
      <c r="C3143" t="s">
        <v>305</v>
      </c>
      <c r="D3143" t="s">
        <v>59</v>
      </c>
      <c r="E3143" s="1">
        <v>45852</v>
      </c>
      <c r="F3143" t="s">
        <v>4359</v>
      </c>
      <c r="G3143" t="s">
        <v>2395</v>
      </c>
      <c r="H3143" t="s">
        <v>304</v>
      </c>
      <c r="I3143" t="s">
        <v>204</v>
      </c>
      <c r="J3143" s="1">
        <v>46481</v>
      </c>
      <c r="K3143" t="s">
        <v>720</v>
      </c>
      <c r="L3143">
        <v>1</v>
      </c>
      <c r="M3143">
        <v>3060.66</v>
      </c>
      <c r="N3143" t="s">
        <v>809</v>
      </c>
      <c r="O3143" t="s">
        <v>1038</v>
      </c>
      <c r="P3143" t="s">
        <v>4783</v>
      </c>
      <c r="Q3143" t="s">
        <v>4858</v>
      </c>
      <c r="R3143" t="s">
        <v>4771</v>
      </c>
    </row>
    <row r="3144" spans="1:18" x14ac:dyDescent="0.3">
      <c r="A3144">
        <v>20251089</v>
      </c>
      <c r="B3144" t="s">
        <v>4875</v>
      </c>
      <c r="C3144" t="s">
        <v>550</v>
      </c>
      <c r="D3144" t="s">
        <v>189</v>
      </c>
      <c r="E3144" s="1">
        <v>45852</v>
      </c>
      <c r="F3144" t="s">
        <v>4338</v>
      </c>
      <c r="G3144" t="s">
        <v>2404</v>
      </c>
      <c r="H3144" t="s">
        <v>569</v>
      </c>
      <c r="I3144" t="s">
        <v>204</v>
      </c>
      <c r="J3144" s="1">
        <v>46599</v>
      </c>
      <c r="K3144" t="s">
        <v>768</v>
      </c>
      <c r="L3144">
        <v>23437.4</v>
      </c>
      <c r="M3144">
        <v>23437.4</v>
      </c>
      <c r="N3144" t="s">
        <v>710</v>
      </c>
      <c r="O3144" t="s">
        <v>4904</v>
      </c>
      <c r="P3144" t="s">
        <v>4792</v>
      </c>
      <c r="Q3144" t="s">
        <v>4904</v>
      </c>
      <c r="R3144" t="s">
        <v>4772</v>
      </c>
    </row>
    <row r="3145" spans="1:18" x14ac:dyDescent="0.3">
      <c r="A3145">
        <v>56552</v>
      </c>
      <c r="B3145" t="s">
        <v>4874</v>
      </c>
      <c r="C3145" t="s">
        <v>514</v>
      </c>
      <c r="D3145" t="s">
        <v>47</v>
      </c>
      <c r="E3145" s="1">
        <v>45852</v>
      </c>
      <c r="F3145" t="s">
        <v>4362</v>
      </c>
      <c r="G3145" t="s">
        <v>2428</v>
      </c>
      <c r="H3145" t="s">
        <v>513</v>
      </c>
      <c r="I3145" t="s">
        <v>204</v>
      </c>
      <c r="J3145" s="1">
        <v>46386</v>
      </c>
      <c r="K3145" t="s">
        <v>762</v>
      </c>
      <c r="L3145">
        <v>6796.33</v>
      </c>
      <c r="M3145">
        <v>6796.33</v>
      </c>
      <c r="N3145" t="s">
        <v>710</v>
      </c>
      <c r="O3145" t="s">
        <v>4833</v>
      </c>
      <c r="P3145" t="s">
        <v>4779</v>
      </c>
      <c r="Q3145" t="s">
        <v>4852</v>
      </c>
    </row>
    <row r="3146" spans="1:18" x14ac:dyDescent="0.3">
      <c r="A3146">
        <v>306</v>
      </c>
      <c r="B3146" t="s">
        <v>1034</v>
      </c>
      <c r="C3146" t="s">
        <v>479</v>
      </c>
      <c r="D3146" t="s">
        <v>99</v>
      </c>
      <c r="E3146" s="1">
        <v>45852</v>
      </c>
      <c r="F3146" t="s">
        <v>4307</v>
      </c>
      <c r="G3146" t="s">
        <v>2415</v>
      </c>
      <c r="H3146" t="s">
        <v>478</v>
      </c>
      <c r="I3146" t="s">
        <v>204</v>
      </c>
      <c r="J3146" s="1">
        <v>46239</v>
      </c>
      <c r="K3146" t="s">
        <v>717</v>
      </c>
      <c r="L3146">
        <v>4244</v>
      </c>
      <c r="M3146">
        <v>51819.24</v>
      </c>
      <c r="N3146" t="s">
        <v>710</v>
      </c>
      <c r="O3146" t="s">
        <v>1037</v>
      </c>
      <c r="P3146" t="s">
        <v>4790</v>
      </c>
      <c r="Q3146" t="s">
        <v>4852</v>
      </c>
      <c r="R3146" t="s">
        <v>4772</v>
      </c>
    </row>
    <row r="3147" spans="1:18" x14ac:dyDescent="0.3">
      <c r="A3147">
        <v>506332</v>
      </c>
      <c r="B3147" t="s">
        <v>4874</v>
      </c>
      <c r="C3147" t="s">
        <v>333</v>
      </c>
      <c r="D3147" t="s">
        <v>29</v>
      </c>
      <c r="E3147" s="1">
        <v>45852</v>
      </c>
      <c r="F3147" t="s">
        <v>4317</v>
      </c>
      <c r="G3147" t="s">
        <v>2422</v>
      </c>
      <c r="H3147" t="s">
        <v>460</v>
      </c>
      <c r="I3147" t="s">
        <v>204</v>
      </c>
      <c r="J3147" s="1">
        <v>54878</v>
      </c>
      <c r="K3147" t="s">
        <v>785</v>
      </c>
      <c r="L3147">
        <v>1</v>
      </c>
      <c r="M3147">
        <v>137.31</v>
      </c>
      <c r="N3147" t="s">
        <v>710</v>
      </c>
      <c r="O3147" t="s">
        <v>1038</v>
      </c>
      <c r="P3147" t="s">
        <v>4776</v>
      </c>
      <c r="Q3147" t="s">
        <v>4858</v>
      </c>
      <c r="R3147" t="s">
        <v>4771</v>
      </c>
    </row>
    <row r="3148" spans="1:18" x14ac:dyDescent="0.3">
      <c r="A3148">
        <v>2125</v>
      </c>
      <c r="B3148" t="s">
        <v>4875</v>
      </c>
      <c r="C3148" t="s">
        <v>616</v>
      </c>
      <c r="D3148" t="s">
        <v>152</v>
      </c>
      <c r="E3148" s="1">
        <v>45852</v>
      </c>
      <c r="F3148" t="s">
        <v>4338</v>
      </c>
      <c r="G3148" t="s">
        <v>2265</v>
      </c>
      <c r="H3148" t="s">
        <v>622</v>
      </c>
      <c r="I3148" t="s">
        <v>204</v>
      </c>
      <c r="J3148" s="1">
        <v>46351</v>
      </c>
      <c r="K3148" t="s">
        <v>748</v>
      </c>
      <c r="L3148">
        <v>1</v>
      </c>
      <c r="M3148">
        <v>28600.99</v>
      </c>
      <c r="N3148" t="s">
        <v>710</v>
      </c>
      <c r="O3148" t="s">
        <v>4904</v>
      </c>
      <c r="P3148" t="s">
        <v>4796</v>
      </c>
      <c r="Q3148" t="s">
        <v>4856</v>
      </c>
      <c r="R3148" t="s">
        <v>4772</v>
      </c>
    </row>
    <row r="3149" spans="1:18" x14ac:dyDescent="0.3">
      <c r="A3149">
        <v>849</v>
      </c>
      <c r="B3149" t="s">
        <v>1034</v>
      </c>
      <c r="C3149" t="s">
        <v>216</v>
      </c>
      <c r="D3149" t="s">
        <v>141</v>
      </c>
      <c r="E3149" s="1">
        <v>45852</v>
      </c>
      <c r="F3149" t="s">
        <v>4305</v>
      </c>
      <c r="G3149" t="s">
        <v>2397</v>
      </c>
      <c r="H3149" t="s">
        <v>528</v>
      </c>
      <c r="I3149" t="s">
        <v>204</v>
      </c>
      <c r="J3149" s="1">
        <v>55243</v>
      </c>
      <c r="K3149" t="s">
        <v>711</v>
      </c>
      <c r="L3149">
        <v>6140</v>
      </c>
      <c r="M3149">
        <v>6140</v>
      </c>
      <c r="N3149" t="s">
        <v>710</v>
      </c>
      <c r="O3149" t="s">
        <v>4844</v>
      </c>
      <c r="P3149" t="s">
        <v>4776</v>
      </c>
      <c r="Q3149" t="s">
        <v>4901</v>
      </c>
      <c r="R3149" t="s">
        <v>4771</v>
      </c>
    </row>
    <row r="3150" spans="1:18" x14ac:dyDescent="0.3">
      <c r="A3150">
        <v>850</v>
      </c>
      <c r="B3150" t="s">
        <v>1034</v>
      </c>
      <c r="C3150" t="s">
        <v>216</v>
      </c>
      <c r="D3150" t="s">
        <v>141</v>
      </c>
      <c r="E3150" s="1">
        <v>45852</v>
      </c>
      <c r="F3150" t="s">
        <v>4305</v>
      </c>
      <c r="G3150" t="s">
        <v>2400</v>
      </c>
      <c r="H3150" t="s">
        <v>528</v>
      </c>
      <c r="I3150" t="s">
        <v>204</v>
      </c>
      <c r="J3150" s="1">
        <v>55243</v>
      </c>
      <c r="K3150" t="s">
        <v>711</v>
      </c>
      <c r="L3150">
        <v>4000</v>
      </c>
      <c r="M3150">
        <v>4000</v>
      </c>
      <c r="N3150" t="s">
        <v>710</v>
      </c>
      <c r="O3150" t="s">
        <v>4844</v>
      </c>
      <c r="P3150" t="s">
        <v>4776</v>
      </c>
      <c r="Q3150" t="s">
        <v>4901</v>
      </c>
      <c r="R3150" t="s">
        <v>4771</v>
      </c>
    </row>
    <row r="3151" spans="1:18" x14ac:dyDescent="0.3">
      <c r="A3151">
        <v>306</v>
      </c>
      <c r="B3151" t="s">
        <v>1034</v>
      </c>
      <c r="C3151" t="s">
        <v>479</v>
      </c>
      <c r="D3151" t="s">
        <v>99</v>
      </c>
      <c r="E3151" s="1">
        <v>45852</v>
      </c>
      <c r="F3151" t="s">
        <v>4314</v>
      </c>
      <c r="G3151" t="s">
        <v>2415</v>
      </c>
      <c r="H3151" t="s">
        <v>478</v>
      </c>
      <c r="I3151" t="s">
        <v>204</v>
      </c>
      <c r="J3151" s="1">
        <v>46239</v>
      </c>
      <c r="K3151" t="s">
        <v>717</v>
      </c>
      <c r="L3151">
        <v>35</v>
      </c>
      <c r="M3151">
        <v>576.79999999999995</v>
      </c>
      <c r="N3151" t="s">
        <v>710</v>
      </c>
      <c r="O3151" t="s">
        <v>1037</v>
      </c>
      <c r="P3151" t="s">
        <v>4790</v>
      </c>
      <c r="Q3151" t="s">
        <v>4852</v>
      </c>
      <c r="R3151" t="s">
        <v>4772</v>
      </c>
    </row>
    <row r="3152" spans="1:18" x14ac:dyDescent="0.3">
      <c r="A3152">
        <v>306</v>
      </c>
      <c r="B3152" t="s">
        <v>1034</v>
      </c>
      <c r="C3152" t="s">
        <v>479</v>
      </c>
      <c r="D3152" t="s">
        <v>99</v>
      </c>
      <c r="E3152" s="1">
        <v>45852</v>
      </c>
      <c r="F3152" t="s">
        <v>4308</v>
      </c>
      <c r="G3152" t="s">
        <v>2415</v>
      </c>
      <c r="H3152" t="s">
        <v>478</v>
      </c>
      <c r="I3152" t="s">
        <v>204</v>
      </c>
      <c r="J3152" s="1">
        <v>46239</v>
      </c>
      <c r="K3152" t="s">
        <v>717</v>
      </c>
      <c r="L3152">
        <v>3099</v>
      </c>
      <c r="M3152">
        <v>12272.04</v>
      </c>
      <c r="N3152" t="s">
        <v>710</v>
      </c>
      <c r="O3152" t="s">
        <v>1037</v>
      </c>
      <c r="P3152" t="s">
        <v>4790</v>
      </c>
      <c r="Q3152" t="s">
        <v>4852</v>
      </c>
      <c r="R3152" t="s">
        <v>4772</v>
      </c>
    </row>
    <row r="3153" spans="1:18" x14ac:dyDescent="0.3">
      <c r="A3153">
        <v>306</v>
      </c>
      <c r="B3153" t="s">
        <v>1034</v>
      </c>
      <c r="C3153" t="s">
        <v>479</v>
      </c>
      <c r="D3153" t="s">
        <v>99</v>
      </c>
      <c r="E3153" s="1">
        <v>45852</v>
      </c>
      <c r="F3153" t="s">
        <v>4313</v>
      </c>
      <c r="G3153" t="s">
        <v>2415</v>
      </c>
      <c r="H3153" t="s">
        <v>478</v>
      </c>
      <c r="I3153" t="s">
        <v>204</v>
      </c>
      <c r="J3153" s="1">
        <v>46239</v>
      </c>
      <c r="K3153" t="s">
        <v>717</v>
      </c>
      <c r="L3153">
        <v>100</v>
      </c>
      <c r="M3153">
        <v>534</v>
      </c>
      <c r="N3153" t="s">
        <v>710</v>
      </c>
      <c r="O3153" t="s">
        <v>1037</v>
      </c>
      <c r="P3153" t="s">
        <v>4790</v>
      </c>
      <c r="Q3153" t="s">
        <v>4852</v>
      </c>
      <c r="R3153" t="s">
        <v>4772</v>
      </c>
    </row>
    <row r="3154" spans="1:18" x14ac:dyDescent="0.3">
      <c r="A3154">
        <v>3168</v>
      </c>
      <c r="B3154" t="s">
        <v>1034</v>
      </c>
      <c r="C3154" t="s">
        <v>590</v>
      </c>
      <c r="D3154" t="s">
        <v>79</v>
      </c>
      <c r="E3154" s="1">
        <v>45852</v>
      </c>
      <c r="F3154" t="s">
        <v>4365</v>
      </c>
      <c r="G3154" t="s">
        <v>2402</v>
      </c>
      <c r="H3154" t="s">
        <v>589</v>
      </c>
      <c r="I3154" t="s">
        <v>204</v>
      </c>
      <c r="J3154" s="1">
        <v>46387</v>
      </c>
      <c r="K3154" t="s">
        <v>717</v>
      </c>
      <c r="L3154">
        <v>1380</v>
      </c>
      <c r="M3154">
        <v>1380</v>
      </c>
      <c r="N3154" t="s">
        <v>814</v>
      </c>
      <c r="O3154" t="s">
        <v>4845</v>
      </c>
      <c r="P3154" t="s">
        <v>4793</v>
      </c>
      <c r="Q3154" t="s">
        <v>4845</v>
      </c>
      <c r="R3154" t="s">
        <v>4773</v>
      </c>
    </row>
    <row r="3155" spans="1:18" x14ac:dyDescent="0.3">
      <c r="A3155">
        <v>306</v>
      </c>
      <c r="B3155" t="s">
        <v>1034</v>
      </c>
      <c r="C3155" t="s">
        <v>479</v>
      </c>
      <c r="D3155" t="s">
        <v>99</v>
      </c>
      <c r="E3155" s="1">
        <v>45852</v>
      </c>
      <c r="F3155" t="s">
        <v>4372</v>
      </c>
      <c r="G3155" t="s">
        <v>2415</v>
      </c>
      <c r="H3155" t="s">
        <v>478</v>
      </c>
      <c r="I3155" t="s">
        <v>204</v>
      </c>
      <c r="J3155" s="1">
        <v>46239</v>
      </c>
      <c r="K3155" t="s">
        <v>717</v>
      </c>
      <c r="L3155">
        <v>398</v>
      </c>
      <c r="M3155">
        <v>3390.96</v>
      </c>
      <c r="N3155" t="s">
        <v>710</v>
      </c>
      <c r="O3155" t="s">
        <v>1037</v>
      </c>
      <c r="P3155" t="s">
        <v>4790</v>
      </c>
      <c r="Q3155" t="s">
        <v>4852</v>
      </c>
      <c r="R3155" t="s">
        <v>4772</v>
      </c>
    </row>
    <row r="3156" spans="1:18" x14ac:dyDescent="0.3">
      <c r="A3156">
        <v>306</v>
      </c>
      <c r="B3156" t="s">
        <v>1034</v>
      </c>
      <c r="C3156" t="s">
        <v>479</v>
      </c>
      <c r="D3156" t="s">
        <v>99</v>
      </c>
      <c r="E3156" s="1">
        <v>45852</v>
      </c>
      <c r="F3156" t="s">
        <v>4312</v>
      </c>
      <c r="G3156" t="s">
        <v>2415</v>
      </c>
      <c r="H3156" t="s">
        <v>478</v>
      </c>
      <c r="I3156" t="s">
        <v>204</v>
      </c>
      <c r="J3156" s="1">
        <v>46239</v>
      </c>
      <c r="K3156" t="s">
        <v>717</v>
      </c>
      <c r="L3156">
        <v>53</v>
      </c>
      <c r="M3156">
        <v>251.75</v>
      </c>
      <c r="N3156" t="s">
        <v>710</v>
      </c>
      <c r="O3156" t="s">
        <v>1037</v>
      </c>
      <c r="P3156" t="s">
        <v>4790</v>
      </c>
      <c r="Q3156" t="s">
        <v>4852</v>
      </c>
      <c r="R3156" t="s">
        <v>4772</v>
      </c>
    </row>
    <row r="3157" spans="1:18" x14ac:dyDescent="0.3">
      <c r="A3157">
        <v>306</v>
      </c>
      <c r="B3157" t="s">
        <v>1034</v>
      </c>
      <c r="C3157" t="s">
        <v>479</v>
      </c>
      <c r="D3157" t="s">
        <v>99</v>
      </c>
      <c r="E3157" s="1">
        <v>45852</v>
      </c>
      <c r="F3157" t="s">
        <v>4329</v>
      </c>
      <c r="G3157" t="s">
        <v>2415</v>
      </c>
      <c r="H3157" t="s">
        <v>478</v>
      </c>
      <c r="I3157" t="s">
        <v>204</v>
      </c>
      <c r="J3157" s="1">
        <v>46239</v>
      </c>
      <c r="K3157" t="s">
        <v>717</v>
      </c>
      <c r="L3157">
        <v>15</v>
      </c>
      <c r="M3157">
        <v>169.35</v>
      </c>
      <c r="N3157" t="s">
        <v>710</v>
      </c>
      <c r="O3157" t="s">
        <v>1037</v>
      </c>
      <c r="P3157" t="s">
        <v>4790</v>
      </c>
      <c r="Q3157" t="s">
        <v>4852</v>
      </c>
      <c r="R3157" t="s">
        <v>4772</v>
      </c>
    </row>
    <row r="3158" spans="1:18" x14ac:dyDescent="0.3">
      <c r="A3158">
        <v>23032</v>
      </c>
      <c r="B3158" t="s">
        <v>4874</v>
      </c>
      <c r="C3158" t="s">
        <v>592</v>
      </c>
      <c r="D3158" t="s">
        <v>8</v>
      </c>
      <c r="E3158" s="1">
        <v>45852</v>
      </c>
      <c r="F3158" t="s">
        <v>4363</v>
      </c>
      <c r="G3158" t="s">
        <v>2429</v>
      </c>
      <c r="H3158" t="s">
        <v>601</v>
      </c>
      <c r="I3158" t="s">
        <v>209</v>
      </c>
      <c r="J3158" s="1">
        <v>45945</v>
      </c>
      <c r="K3158" t="s">
        <v>762</v>
      </c>
      <c r="L3158">
        <v>427.47</v>
      </c>
      <c r="M3158">
        <v>427.47</v>
      </c>
      <c r="N3158" t="s">
        <v>890</v>
      </c>
      <c r="O3158" t="s">
        <v>4833</v>
      </c>
      <c r="P3158" t="s">
        <v>950</v>
      </c>
      <c r="Q3158" t="s">
        <v>4852</v>
      </c>
      <c r="R3158" t="s">
        <v>807</v>
      </c>
    </row>
    <row r="3159" spans="1:18" x14ac:dyDescent="0.3">
      <c r="A3159">
        <v>306</v>
      </c>
      <c r="B3159" t="s">
        <v>1034</v>
      </c>
      <c r="C3159" t="s">
        <v>479</v>
      </c>
      <c r="D3159" t="s">
        <v>99</v>
      </c>
      <c r="E3159" s="1">
        <v>45852</v>
      </c>
      <c r="F3159" t="s">
        <v>4309</v>
      </c>
      <c r="G3159" t="s">
        <v>2415</v>
      </c>
      <c r="H3159" t="s">
        <v>478</v>
      </c>
      <c r="I3159" t="s">
        <v>204</v>
      </c>
      <c r="J3159" s="1">
        <v>46239</v>
      </c>
      <c r="K3159" t="s">
        <v>717</v>
      </c>
      <c r="L3159">
        <v>1</v>
      </c>
      <c r="M3159">
        <v>4.4400000000000004</v>
      </c>
      <c r="N3159" t="s">
        <v>710</v>
      </c>
      <c r="O3159" t="s">
        <v>1037</v>
      </c>
      <c r="P3159" t="s">
        <v>4790</v>
      </c>
      <c r="Q3159" t="s">
        <v>4852</v>
      </c>
      <c r="R3159" t="s">
        <v>4772</v>
      </c>
    </row>
    <row r="3160" spans="1:18" x14ac:dyDescent="0.3">
      <c r="A3160">
        <v>306</v>
      </c>
      <c r="B3160" t="s">
        <v>1034</v>
      </c>
      <c r="C3160" t="s">
        <v>479</v>
      </c>
      <c r="D3160" t="s">
        <v>99</v>
      </c>
      <c r="E3160" s="1">
        <v>45852</v>
      </c>
      <c r="F3160" t="s">
        <v>4310</v>
      </c>
      <c r="G3160" t="s">
        <v>2415</v>
      </c>
      <c r="H3160" t="s">
        <v>478</v>
      </c>
      <c r="I3160" t="s">
        <v>204</v>
      </c>
      <c r="J3160" s="1">
        <v>46239</v>
      </c>
      <c r="K3160" t="s">
        <v>717</v>
      </c>
      <c r="L3160">
        <v>55</v>
      </c>
      <c r="M3160">
        <v>195.25</v>
      </c>
      <c r="N3160" t="s">
        <v>710</v>
      </c>
      <c r="O3160" t="s">
        <v>1037</v>
      </c>
      <c r="P3160" t="s">
        <v>4790</v>
      </c>
      <c r="Q3160" t="s">
        <v>4852</v>
      </c>
      <c r="R3160" t="s">
        <v>4772</v>
      </c>
    </row>
    <row r="3161" spans="1:18" x14ac:dyDescent="0.3">
      <c r="A3161">
        <v>306</v>
      </c>
      <c r="B3161" t="s">
        <v>1034</v>
      </c>
      <c r="C3161" t="s">
        <v>479</v>
      </c>
      <c r="D3161" t="s">
        <v>99</v>
      </c>
      <c r="E3161" s="1">
        <v>45852</v>
      </c>
      <c r="F3161" t="s">
        <v>4369</v>
      </c>
      <c r="G3161" t="s">
        <v>2415</v>
      </c>
      <c r="H3161" t="s">
        <v>478</v>
      </c>
      <c r="I3161" t="s">
        <v>204</v>
      </c>
      <c r="J3161" s="1">
        <v>46239</v>
      </c>
      <c r="K3161" t="s">
        <v>717</v>
      </c>
      <c r="L3161">
        <v>65</v>
      </c>
      <c r="M3161">
        <v>1064.05</v>
      </c>
      <c r="N3161" t="s">
        <v>710</v>
      </c>
      <c r="O3161" t="s">
        <v>1037</v>
      </c>
      <c r="P3161" t="s">
        <v>4790</v>
      </c>
      <c r="Q3161" t="s">
        <v>4852</v>
      </c>
      <c r="R3161" t="s">
        <v>4772</v>
      </c>
    </row>
    <row r="3162" spans="1:18" x14ac:dyDescent="0.3">
      <c r="A3162">
        <v>20913</v>
      </c>
      <c r="B3162" t="s">
        <v>4875</v>
      </c>
      <c r="C3162" t="s">
        <v>243</v>
      </c>
      <c r="D3162" t="s">
        <v>61</v>
      </c>
      <c r="E3162" s="1">
        <v>45849</v>
      </c>
      <c r="F3162" t="s">
        <v>4304</v>
      </c>
      <c r="G3162" t="s">
        <v>2343</v>
      </c>
      <c r="H3162" t="s">
        <v>242</v>
      </c>
      <c r="I3162" t="s">
        <v>204</v>
      </c>
      <c r="J3162" s="1">
        <v>54878</v>
      </c>
      <c r="K3162" t="s">
        <v>748</v>
      </c>
      <c r="L3162">
        <v>9852.32</v>
      </c>
      <c r="M3162">
        <v>9852.32</v>
      </c>
      <c r="N3162" t="s">
        <v>710</v>
      </c>
      <c r="O3162" t="s">
        <v>4834</v>
      </c>
      <c r="P3162" t="s">
        <v>4776</v>
      </c>
      <c r="Q3162" t="s">
        <v>4856</v>
      </c>
      <c r="R3162" t="s">
        <v>4771</v>
      </c>
    </row>
    <row r="3163" spans="1:18" x14ac:dyDescent="0.3">
      <c r="A3163">
        <v>11638</v>
      </c>
      <c r="B3163" t="s">
        <v>4874</v>
      </c>
      <c r="C3163" t="s">
        <v>237</v>
      </c>
      <c r="D3163" t="s">
        <v>4</v>
      </c>
      <c r="E3163" s="1">
        <v>45849</v>
      </c>
      <c r="F3163" t="s">
        <v>4368</v>
      </c>
      <c r="G3163" t="s">
        <v>2356</v>
      </c>
      <c r="H3163" t="s">
        <v>236</v>
      </c>
      <c r="I3163" t="s">
        <v>204</v>
      </c>
      <c r="J3163" s="1">
        <v>54878</v>
      </c>
      <c r="K3163" t="s">
        <v>720</v>
      </c>
      <c r="L3163">
        <v>1</v>
      </c>
      <c r="M3163">
        <v>5271</v>
      </c>
      <c r="N3163" t="s">
        <v>710</v>
      </c>
      <c r="O3163" t="s">
        <v>1038</v>
      </c>
      <c r="P3163" t="s">
        <v>4776</v>
      </c>
      <c r="Q3163" t="s">
        <v>4858</v>
      </c>
      <c r="R3163" t="s">
        <v>4771</v>
      </c>
    </row>
    <row r="3164" spans="1:18" x14ac:dyDescent="0.3">
      <c r="A3164">
        <v>110</v>
      </c>
      <c r="B3164" t="s">
        <v>1034</v>
      </c>
      <c r="C3164" t="s">
        <v>618</v>
      </c>
      <c r="D3164" t="s">
        <v>112</v>
      </c>
      <c r="E3164" s="1">
        <v>45849</v>
      </c>
      <c r="F3164" t="s">
        <v>4361</v>
      </c>
      <c r="G3164" t="s">
        <v>2401</v>
      </c>
      <c r="H3164" t="s">
        <v>617</v>
      </c>
      <c r="I3164" t="s">
        <v>204</v>
      </c>
      <c r="J3164" s="1">
        <v>46347</v>
      </c>
      <c r="K3164" t="s">
        <v>711</v>
      </c>
      <c r="L3164">
        <v>1</v>
      </c>
      <c r="M3164">
        <v>1015</v>
      </c>
      <c r="N3164" t="s">
        <v>818</v>
      </c>
      <c r="O3164" t="s">
        <v>1036</v>
      </c>
      <c r="P3164" t="s">
        <v>4776</v>
      </c>
      <c r="Q3164" t="s">
        <v>4901</v>
      </c>
      <c r="R3164" t="s">
        <v>4771</v>
      </c>
    </row>
    <row r="3165" spans="1:18" x14ac:dyDescent="0.3">
      <c r="A3165">
        <v>20907</v>
      </c>
      <c r="B3165" t="s">
        <v>1034</v>
      </c>
      <c r="C3165" t="s">
        <v>243</v>
      </c>
      <c r="D3165" t="s">
        <v>61</v>
      </c>
      <c r="E3165" s="1">
        <v>45849</v>
      </c>
      <c r="F3165" t="s">
        <v>4304</v>
      </c>
      <c r="G3165" t="s">
        <v>2285</v>
      </c>
      <c r="H3165" t="s">
        <v>246</v>
      </c>
      <c r="I3165" t="s">
        <v>204</v>
      </c>
      <c r="J3165" s="1">
        <v>46203</v>
      </c>
      <c r="K3165" t="s">
        <v>711</v>
      </c>
      <c r="L3165">
        <v>5720.6</v>
      </c>
      <c r="M3165">
        <v>5720.6</v>
      </c>
      <c r="N3165" t="s">
        <v>710</v>
      </c>
      <c r="O3165" t="s">
        <v>4834</v>
      </c>
      <c r="P3165" t="s">
        <v>4776</v>
      </c>
      <c r="Q3165" t="s">
        <v>4901</v>
      </c>
      <c r="R3165" t="s">
        <v>4771</v>
      </c>
    </row>
    <row r="3166" spans="1:18" x14ac:dyDescent="0.3">
      <c r="A3166">
        <v>318984</v>
      </c>
      <c r="B3166" t="s">
        <v>1034</v>
      </c>
      <c r="C3166" t="s">
        <v>500</v>
      </c>
      <c r="D3166" t="s">
        <v>16</v>
      </c>
      <c r="E3166" s="1">
        <v>45848</v>
      </c>
      <c r="F3166" t="s">
        <v>4306</v>
      </c>
      <c r="G3166" t="s">
        <v>2390</v>
      </c>
      <c r="H3166" t="s">
        <v>499</v>
      </c>
      <c r="I3166" t="s">
        <v>204</v>
      </c>
      <c r="J3166" s="1">
        <v>54878</v>
      </c>
      <c r="K3166" t="s">
        <v>717</v>
      </c>
      <c r="L3166">
        <v>1633.45</v>
      </c>
      <c r="M3166">
        <v>1633.45</v>
      </c>
      <c r="N3166" t="s">
        <v>710</v>
      </c>
      <c r="O3166" t="s">
        <v>4833</v>
      </c>
      <c r="P3166" t="s">
        <v>4786</v>
      </c>
      <c r="Q3166" t="s">
        <v>4852</v>
      </c>
      <c r="R3166" t="s">
        <v>4773</v>
      </c>
    </row>
    <row r="3167" spans="1:18" x14ac:dyDescent="0.3">
      <c r="A3167">
        <v>307</v>
      </c>
      <c r="B3167" t="s">
        <v>1034</v>
      </c>
      <c r="C3167" t="s">
        <v>479</v>
      </c>
      <c r="D3167" t="s">
        <v>99</v>
      </c>
      <c r="E3167" s="1">
        <v>45848</v>
      </c>
      <c r="F3167" t="s">
        <v>4373</v>
      </c>
      <c r="G3167" t="s">
        <v>2403</v>
      </c>
      <c r="H3167" t="s">
        <v>478</v>
      </c>
      <c r="I3167" t="s">
        <v>204</v>
      </c>
      <c r="J3167" s="1">
        <v>46239</v>
      </c>
      <c r="K3167" t="s">
        <v>717</v>
      </c>
      <c r="L3167">
        <v>16</v>
      </c>
      <c r="M3167">
        <v>246.72</v>
      </c>
      <c r="N3167" t="s">
        <v>710</v>
      </c>
      <c r="O3167" t="s">
        <v>1037</v>
      </c>
      <c r="P3167" t="s">
        <v>4790</v>
      </c>
      <c r="Q3167" t="s">
        <v>4852</v>
      </c>
      <c r="R3167" t="s">
        <v>4772</v>
      </c>
    </row>
    <row r="3168" spans="1:18" x14ac:dyDescent="0.3">
      <c r="A3168">
        <v>307</v>
      </c>
      <c r="B3168" t="s">
        <v>1034</v>
      </c>
      <c r="C3168" t="s">
        <v>479</v>
      </c>
      <c r="D3168" t="s">
        <v>99</v>
      </c>
      <c r="E3168" s="1">
        <v>45848</v>
      </c>
      <c r="F3168" t="s">
        <v>4374</v>
      </c>
      <c r="G3168" t="s">
        <v>2403</v>
      </c>
      <c r="H3168" t="s">
        <v>478</v>
      </c>
      <c r="I3168" t="s">
        <v>204</v>
      </c>
      <c r="J3168" s="1">
        <v>46239</v>
      </c>
      <c r="K3168" t="s">
        <v>717</v>
      </c>
      <c r="L3168">
        <v>13</v>
      </c>
      <c r="M3168">
        <v>292.89</v>
      </c>
      <c r="N3168" t="s">
        <v>710</v>
      </c>
      <c r="O3168" t="s">
        <v>1037</v>
      </c>
      <c r="P3168" t="s">
        <v>4790</v>
      </c>
      <c r="Q3168" t="s">
        <v>4852</v>
      </c>
      <c r="R3168" t="s">
        <v>4772</v>
      </c>
    </row>
    <row r="3169" spans="1:18" x14ac:dyDescent="0.3">
      <c r="A3169">
        <v>318983</v>
      </c>
      <c r="B3169" t="s">
        <v>1034</v>
      </c>
      <c r="C3169" t="s">
        <v>500</v>
      </c>
      <c r="D3169" t="s">
        <v>16</v>
      </c>
      <c r="E3169" s="1">
        <v>45848</v>
      </c>
      <c r="F3169" t="s">
        <v>4306</v>
      </c>
      <c r="G3169" t="s">
        <v>2390</v>
      </c>
      <c r="H3169" t="s">
        <v>499</v>
      </c>
      <c r="I3169" t="s">
        <v>204</v>
      </c>
      <c r="J3169" s="1">
        <v>54878</v>
      </c>
      <c r="K3169" t="s">
        <v>717</v>
      </c>
      <c r="L3169">
        <v>1633.45</v>
      </c>
      <c r="M3169">
        <v>1633.45</v>
      </c>
      <c r="N3169" t="s">
        <v>710</v>
      </c>
      <c r="O3169" t="s">
        <v>4833</v>
      </c>
      <c r="P3169" t="s">
        <v>4786</v>
      </c>
      <c r="Q3169" t="s">
        <v>4852</v>
      </c>
      <c r="R3169" t="s">
        <v>4773</v>
      </c>
    </row>
    <row r="3170" spans="1:18" x14ac:dyDescent="0.3">
      <c r="A3170">
        <v>99913</v>
      </c>
      <c r="B3170" t="s">
        <v>1034</v>
      </c>
      <c r="C3170" t="s">
        <v>502</v>
      </c>
      <c r="D3170" t="s">
        <v>2</v>
      </c>
      <c r="E3170" s="1">
        <v>45848</v>
      </c>
      <c r="F3170" t="s">
        <v>4303</v>
      </c>
      <c r="G3170" t="s">
        <v>2389</v>
      </c>
      <c r="H3170" t="s">
        <v>501</v>
      </c>
      <c r="I3170" t="s">
        <v>204</v>
      </c>
      <c r="J3170" s="1">
        <v>54878</v>
      </c>
      <c r="K3170" t="s">
        <v>717</v>
      </c>
      <c r="L3170">
        <v>1884.23</v>
      </c>
      <c r="M3170">
        <v>1884.23</v>
      </c>
      <c r="N3170" t="s">
        <v>710</v>
      </c>
      <c r="O3170" t="s">
        <v>4833</v>
      </c>
      <c r="P3170" t="s">
        <v>4776</v>
      </c>
      <c r="Q3170" t="s">
        <v>4852</v>
      </c>
      <c r="R3170" t="s">
        <v>4774</v>
      </c>
    </row>
    <row r="3171" spans="1:18" x14ac:dyDescent="0.3">
      <c r="A3171">
        <v>300</v>
      </c>
      <c r="B3171" t="s">
        <v>4874</v>
      </c>
      <c r="C3171" t="s">
        <v>575</v>
      </c>
      <c r="D3171" t="s">
        <v>174</v>
      </c>
      <c r="E3171" s="1">
        <v>45848</v>
      </c>
      <c r="F3171" t="s">
        <v>4412</v>
      </c>
      <c r="G3171" t="s">
        <v>2382</v>
      </c>
      <c r="H3171" t="s">
        <v>574</v>
      </c>
      <c r="I3171" t="s">
        <v>204</v>
      </c>
      <c r="J3171" s="1">
        <v>46203</v>
      </c>
      <c r="K3171" t="s">
        <v>720</v>
      </c>
      <c r="L3171">
        <v>1</v>
      </c>
      <c r="M3171">
        <v>14475.02</v>
      </c>
      <c r="N3171" t="s">
        <v>890</v>
      </c>
      <c r="O3171" t="s">
        <v>1039</v>
      </c>
      <c r="P3171" t="s">
        <v>4776</v>
      </c>
      <c r="Q3171" t="s">
        <v>4858</v>
      </c>
      <c r="R3171" t="s">
        <v>4771</v>
      </c>
    </row>
    <row r="3172" spans="1:18" x14ac:dyDescent="0.3">
      <c r="A3172">
        <v>215</v>
      </c>
      <c r="B3172" t="s">
        <v>4874</v>
      </c>
      <c r="C3172" t="s">
        <v>607</v>
      </c>
      <c r="D3172" t="s">
        <v>81</v>
      </c>
      <c r="E3172" s="1">
        <v>45848</v>
      </c>
      <c r="F3172" t="s">
        <v>4357</v>
      </c>
      <c r="G3172" t="s">
        <v>2327</v>
      </c>
      <c r="H3172" t="s">
        <v>606</v>
      </c>
      <c r="I3172" t="s">
        <v>204</v>
      </c>
      <c r="J3172" s="1">
        <v>46387</v>
      </c>
      <c r="K3172" t="s">
        <v>720</v>
      </c>
      <c r="L3172">
        <v>1</v>
      </c>
      <c r="M3172">
        <v>24514.66</v>
      </c>
      <c r="N3172" t="s">
        <v>710</v>
      </c>
      <c r="O3172" t="s">
        <v>1038</v>
      </c>
      <c r="P3172" t="s">
        <v>4777</v>
      </c>
      <c r="Q3172" t="s">
        <v>4858</v>
      </c>
      <c r="R3172" t="s">
        <v>4773</v>
      </c>
    </row>
    <row r="3173" spans="1:18" x14ac:dyDescent="0.3">
      <c r="A3173">
        <v>182639</v>
      </c>
      <c r="B3173" t="s">
        <v>4874</v>
      </c>
      <c r="C3173" t="s">
        <v>411</v>
      </c>
      <c r="D3173" t="s">
        <v>154</v>
      </c>
      <c r="E3173" s="1">
        <v>45848</v>
      </c>
      <c r="F3173" t="s">
        <v>4315</v>
      </c>
      <c r="G3173" t="s">
        <v>2368</v>
      </c>
      <c r="H3173" t="s">
        <v>410</v>
      </c>
      <c r="I3173" t="s">
        <v>204</v>
      </c>
      <c r="J3173" s="1">
        <v>46344</v>
      </c>
      <c r="K3173" t="s">
        <v>762</v>
      </c>
      <c r="L3173">
        <v>3041.98</v>
      </c>
      <c r="M3173">
        <v>3041.98</v>
      </c>
      <c r="N3173" t="s">
        <v>710</v>
      </c>
      <c r="O3173" t="s">
        <v>4833</v>
      </c>
      <c r="P3173" t="s">
        <v>4776</v>
      </c>
      <c r="Q3173" t="s">
        <v>4852</v>
      </c>
      <c r="R3173" t="s">
        <v>4773</v>
      </c>
    </row>
    <row r="3174" spans="1:18" x14ac:dyDescent="0.3">
      <c r="A3174">
        <v>81187</v>
      </c>
      <c r="B3174" t="s">
        <v>4874</v>
      </c>
      <c r="C3174" t="s">
        <v>422</v>
      </c>
      <c r="D3174" t="s">
        <v>37</v>
      </c>
      <c r="E3174" s="1">
        <v>45848</v>
      </c>
      <c r="F3174" t="s">
        <v>4306</v>
      </c>
      <c r="G3174" t="s">
        <v>2374</v>
      </c>
      <c r="H3174" t="s">
        <v>421</v>
      </c>
      <c r="I3174" t="s">
        <v>204</v>
      </c>
      <c r="J3174" s="1">
        <v>46080</v>
      </c>
      <c r="K3174" t="s">
        <v>762</v>
      </c>
      <c r="L3174">
        <v>800</v>
      </c>
      <c r="M3174">
        <v>800</v>
      </c>
      <c r="N3174" t="s">
        <v>710</v>
      </c>
      <c r="O3174" t="s">
        <v>4833</v>
      </c>
      <c r="P3174" t="s">
        <v>4786</v>
      </c>
      <c r="Q3174" t="s">
        <v>4852</v>
      </c>
      <c r="R3174" t="s">
        <v>4773</v>
      </c>
    </row>
    <row r="3175" spans="1:18" x14ac:dyDescent="0.3">
      <c r="A3175">
        <v>643658</v>
      </c>
      <c r="B3175" t="s">
        <v>4874</v>
      </c>
      <c r="C3175" t="s">
        <v>433</v>
      </c>
      <c r="D3175" t="s">
        <v>168</v>
      </c>
      <c r="E3175" s="1">
        <v>45848</v>
      </c>
      <c r="F3175" t="s">
        <v>4319</v>
      </c>
      <c r="G3175" t="s">
        <v>2392</v>
      </c>
      <c r="H3175" t="s">
        <v>432</v>
      </c>
      <c r="I3175" t="s">
        <v>204</v>
      </c>
      <c r="J3175" s="1">
        <v>46473</v>
      </c>
      <c r="K3175" t="s">
        <v>762</v>
      </c>
      <c r="L3175">
        <v>4092</v>
      </c>
      <c r="M3175">
        <v>4091.69</v>
      </c>
      <c r="N3175" t="s">
        <v>710</v>
      </c>
      <c r="O3175" t="s">
        <v>4833</v>
      </c>
      <c r="P3175" t="s">
        <v>4802</v>
      </c>
      <c r="Q3175" t="s">
        <v>4852</v>
      </c>
      <c r="R3175" t="s">
        <v>4771</v>
      </c>
    </row>
    <row r="3176" spans="1:18" x14ac:dyDescent="0.3">
      <c r="A3176">
        <v>1041633</v>
      </c>
      <c r="B3176" t="s">
        <v>4875</v>
      </c>
      <c r="C3176" t="s">
        <v>203</v>
      </c>
      <c r="D3176" t="s">
        <v>118</v>
      </c>
      <c r="E3176" s="1">
        <v>45847</v>
      </c>
      <c r="F3176" t="s">
        <v>4353</v>
      </c>
      <c r="G3176" t="s">
        <v>2333</v>
      </c>
      <c r="H3176" t="s">
        <v>202</v>
      </c>
      <c r="I3176" t="s">
        <v>204</v>
      </c>
      <c r="J3176" s="1">
        <v>46387</v>
      </c>
      <c r="K3176" t="s">
        <v>717</v>
      </c>
      <c r="L3176">
        <v>109.6</v>
      </c>
      <c r="M3176">
        <v>109.6</v>
      </c>
      <c r="N3176" t="s">
        <v>710</v>
      </c>
      <c r="O3176" t="s">
        <v>1037</v>
      </c>
      <c r="P3176" t="s">
        <v>4776</v>
      </c>
      <c r="Q3176" t="s">
        <v>4852</v>
      </c>
      <c r="R3176" t="s">
        <v>4772</v>
      </c>
    </row>
    <row r="3177" spans="1:18" x14ac:dyDescent="0.3">
      <c r="A3177">
        <v>2025115</v>
      </c>
      <c r="B3177" t="s">
        <v>4875</v>
      </c>
      <c r="C3177" t="s">
        <v>322</v>
      </c>
      <c r="D3177" t="s">
        <v>158</v>
      </c>
      <c r="E3177" s="1">
        <v>45847</v>
      </c>
      <c r="F3177" t="s">
        <v>4433</v>
      </c>
      <c r="G3177" t="s">
        <v>2336</v>
      </c>
      <c r="H3177" t="s">
        <v>346</v>
      </c>
      <c r="I3177" t="s">
        <v>204</v>
      </c>
      <c r="J3177" s="1">
        <v>46310</v>
      </c>
      <c r="K3177" t="s">
        <v>748</v>
      </c>
      <c r="L3177">
        <v>23176.2</v>
      </c>
      <c r="M3177">
        <v>23176.2</v>
      </c>
      <c r="N3177" t="s">
        <v>710</v>
      </c>
      <c r="O3177" t="s">
        <v>1040</v>
      </c>
      <c r="P3177" t="s">
        <v>4782</v>
      </c>
      <c r="Q3177" t="s">
        <v>4856</v>
      </c>
      <c r="R3177" t="s">
        <v>4773</v>
      </c>
    </row>
    <row r="3178" spans="1:18" x14ac:dyDescent="0.3">
      <c r="A3178">
        <v>2025116</v>
      </c>
      <c r="B3178" t="s">
        <v>4875</v>
      </c>
      <c r="C3178" t="s">
        <v>322</v>
      </c>
      <c r="D3178" t="s">
        <v>158</v>
      </c>
      <c r="E3178" s="1">
        <v>45847</v>
      </c>
      <c r="F3178" t="s">
        <v>4431</v>
      </c>
      <c r="G3178" t="s">
        <v>2340</v>
      </c>
      <c r="H3178" t="s">
        <v>321</v>
      </c>
      <c r="I3178" t="s">
        <v>204</v>
      </c>
      <c r="J3178" s="1">
        <v>46310</v>
      </c>
      <c r="K3178" t="s">
        <v>748</v>
      </c>
      <c r="L3178">
        <v>13834.35</v>
      </c>
      <c r="M3178">
        <v>13834.35</v>
      </c>
      <c r="N3178" t="s">
        <v>710</v>
      </c>
      <c r="O3178" t="s">
        <v>1040</v>
      </c>
      <c r="P3178" t="s">
        <v>4782</v>
      </c>
      <c r="Q3178" t="s">
        <v>4856</v>
      </c>
      <c r="R3178" t="s">
        <v>4773</v>
      </c>
    </row>
    <row r="3179" spans="1:18" x14ac:dyDescent="0.3">
      <c r="A3179">
        <v>50261</v>
      </c>
      <c r="B3179" t="s">
        <v>4875</v>
      </c>
      <c r="C3179" t="s">
        <v>208</v>
      </c>
      <c r="D3179" t="s">
        <v>164</v>
      </c>
      <c r="E3179" s="1">
        <v>45847</v>
      </c>
      <c r="F3179" t="s">
        <v>4297</v>
      </c>
      <c r="G3179" t="s">
        <v>2290</v>
      </c>
      <c r="H3179" t="s">
        <v>605</v>
      </c>
      <c r="I3179" t="s">
        <v>204</v>
      </c>
      <c r="J3179" s="1">
        <v>46256</v>
      </c>
      <c r="K3179" t="s">
        <v>748</v>
      </c>
      <c r="L3179">
        <v>1</v>
      </c>
      <c r="M3179">
        <v>120</v>
      </c>
      <c r="N3179" t="s">
        <v>710</v>
      </c>
      <c r="O3179" t="s">
        <v>1040</v>
      </c>
      <c r="P3179" t="s">
        <v>4795</v>
      </c>
      <c r="Q3179" t="s">
        <v>4856</v>
      </c>
    </row>
    <row r="3180" spans="1:18" x14ac:dyDescent="0.3">
      <c r="A3180">
        <v>2025117</v>
      </c>
      <c r="B3180" t="s">
        <v>4875</v>
      </c>
      <c r="C3180" t="s">
        <v>322</v>
      </c>
      <c r="D3180" t="s">
        <v>158</v>
      </c>
      <c r="E3180" s="1">
        <v>45847</v>
      </c>
      <c r="F3180" t="s">
        <v>4432</v>
      </c>
      <c r="G3180" t="s">
        <v>2342</v>
      </c>
      <c r="H3180" t="s">
        <v>352</v>
      </c>
      <c r="I3180" t="s">
        <v>204</v>
      </c>
      <c r="J3180" s="1">
        <v>46310</v>
      </c>
      <c r="K3180" t="s">
        <v>748</v>
      </c>
      <c r="L3180">
        <v>2318.84</v>
      </c>
      <c r="M3180">
        <v>2318.84</v>
      </c>
      <c r="N3180" t="s">
        <v>710</v>
      </c>
      <c r="O3180" t="s">
        <v>1040</v>
      </c>
      <c r="P3180" t="s">
        <v>4782</v>
      </c>
      <c r="Q3180" t="s">
        <v>4856</v>
      </c>
      <c r="R3180" t="s">
        <v>4773</v>
      </c>
    </row>
    <row r="3181" spans="1:18" x14ac:dyDescent="0.3">
      <c r="A3181">
        <v>84041</v>
      </c>
      <c r="B3181" t="s">
        <v>1034</v>
      </c>
      <c r="C3181" t="s">
        <v>319</v>
      </c>
      <c r="D3181" t="s">
        <v>36</v>
      </c>
      <c r="E3181" s="1">
        <v>45847</v>
      </c>
      <c r="F3181" t="s">
        <v>4298</v>
      </c>
      <c r="G3181" t="s">
        <v>2364</v>
      </c>
      <c r="H3181" t="s">
        <v>318</v>
      </c>
      <c r="I3181" t="s">
        <v>204</v>
      </c>
      <c r="J3181" s="1">
        <v>46214</v>
      </c>
      <c r="K3181" t="s">
        <v>711</v>
      </c>
      <c r="L3181">
        <v>1720</v>
      </c>
      <c r="M3181">
        <v>1719.89</v>
      </c>
      <c r="N3181" t="s">
        <v>710</v>
      </c>
      <c r="O3181" t="s">
        <v>1036</v>
      </c>
      <c r="P3181" t="s">
        <v>4784</v>
      </c>
      <c r="Q3181" t="s">
        <v>4901</v>
      </c>
      <c r="R3181" t="s">
        <v>4771</v>
      </c>
    </row>
    <row r="3182" spans="1:18" x14ac:dyDescent="0.3">
      <c r="A3182">
        <v>20254507</v>
      </c>
      <c r="B3182" t="s">
        <v>1034</v>
      </c>
      <c r="C3182" t="s">
        <v>203</v>
      </c>
      <c r="D3182" t="s">
        <v>118</v>
      </c>
      <c r="E3182" s="1">
        <v>45847</v>
      </c>
      <c r="F3182" t="s">
        <v>4353</v>
      </c>
      <c r="G3182" t="s">
        <v>2334</v>
      </c>
      <c r="H3182" t="s">
        <v>202</v>
      </c>
      <c r="I3182" t="s">
        <v>204</v>
      </c>
      <c r="J3182" s="1">
        <v>46387</v>
      </c>
      <c r="K3182" t="s">
        <v>717</v>
      </c>
      <c r="L3182">
        <v>45.96</v>
      </c>
      <c r="M3182">
        <v>45.96</v>
      </c>
      <c r="N3182" t="s">
        <v>710</v>
      </c>
      <c r="O3182" t="s">
        <v>1037</v>
      </c>
      <c r="P3182" t="s">
        <v>4776</v>
      </c>
      <c r="Q3182" t="s">
        <v>4852</v>
      </c>
      <c r="R3182" t="s">
        <v>4772</v>
      </c>
    </row>
    <row r="3183" spans="1:18" x14ac:dyDescent="0.3">
      <c r="A3183">
        <v>158529</v>
      </c>
      <c r="B3183" t="s">
        <v>4874</v>
      </c>
      <c r="C3183" t="s">
        <v>301</v>
      </c>
      <c r="D3183" t="s">
        <v>23</v>
      </c>
      <c r="E3183" s="1">
        <v>45847</v>
      </c>
      <c r="F3183" t="s">
        <v>4321</v>
      </c>
      <c r="G3183" t="s">
        <v>2394</v>
      </c>
      <c r="H3183" t="s">
        <v>300</v>
      </c>
      <c r="I3183" t="s">
        <v>204</v>
      </c>
      <c r="J3183" s="1">
        <v>46418</v>
      </c>
      <c r="K3183" t="s">
        <v>720</v>
      </c>
      <c r="L3183">
        <v>1</v>
      </c>
      <c r="M3183">
        <v>5140.3900000000003</v>
      </c>
      <c r="N3183" t="s">
        <v>710</v>
      </c>
      <c r="O3183" t="s">
        <v>1038</v>
      </c>
      <c r="P3183" t="s">
        <v>4782</v>
      </c>
      <c r="Q3183" t="s">
        <v>4858</v>
      </c>
      <c r="R3183" t="s">
        <v>4773</v>
      </c>
    </row>
    <row r="3184" spans="1:18" x14ac:dyDescent="0.3">
      <c r="A3184">
        <v>46</v>
      </c>
      <c r="B3184" t="s">
        <v>4875</v>
      </c>
      <c r="C3184" t="s">
        <v>561</v>
      </c>
      <c r="D3184" t="s">
        <v>121</v>
      </c>
      <c r="E3184" s="1">
        <v>45846</v>
      </c>
      <c r="F3184" t="s">
        <v>4390</v>
      </c>
      <c r="G3184" t="s">
        <v>2350</v>
      </c>
      <c r="H3184" t="s">
        <v>560</v>
      </c>
      <c r="I3184" t="s">
        <v>204</v>
      </c>
      <c r="J3184" s="1">
        <v>46732</v>
      </c>
      <c r="K3184" t="s">
        <v>748</v>
      </c>
      <c r="L3184">
        <v>6700</v>
      </c>
      <c r="M3184">
        <v>6700</v>
      </c>
      <c r="N3184" t="s">
        <v>818</v>
      </c>
      <c r="O3184" t="s">
        <v>1040</v>
      </c>
      <c r="P3184" t="s">
        <v>4777</v>
      </c>
      <c r="Q3184" t="s">
        <v>4856</v>
      </c>
      <c r="R3184" t="s">
        <v>4771</v>
      </c>
    </row>
    <row r="3185" spans="1:18" x14ac:dyDescent="0.3">
      <c r="A3185">
        <v>41796</v>
      </c>
      <c r="B3185" t="s">
        <v>1034</v>
      </c>
      <c r="C3185" t="s">
        <v>327</v>
      </c>
      <c r="D3185" t="s">
        <v>159</v>
      </c>
      <c r="E3185" s="1">
        <v>45846</v>
      </c>
      <c r="F3185" t="s">
        <v>4295</v>
      </c>
      <c r="G3185" t="s">
        <v>2362</v>
      </c>
      <c r="H3185" t="s">
        <v>357</v>
      </c>
      <c r="I3185" t="s">
        <v>204</v>
      </c>
      <c r="J3185" s="1">
        <v>46476</v>
      </c>
      <c r="K3185" t="s">
        <v>711</v>
      </c>
      <c r="L3185">
        <v>2150</v>
      </c>
      <c r="M3185">
        <v>2150</v>
      </c>
      <c r="N3185" t="s">
        <v>890</v>
      </c>
      <c r="O3185" t="s">
        <v>4834</v>
      </c>
      <c r="P3185" t="s">
        <v>4776</v>
      </c>
      <c r="Q3185" t="s">
        <v>4901</v>
      </c>
      <c r="R3185" t="s">
        <v>4773</v>
      </c>
    </row>
    <row r="3186" spans="1:18" x14ac:dyDescent="0.3">
      <c r="A3186">
        <v>41798</v>
      </c>
      <c r="B3186" t="s">
        <v>1034</v>
      </c>
      <c r="C3186" t="s">
        <v>327</v>
      </c>
      <c r="D3186" t="s">
        <v>159</v>
      </c>
      <c r="E3186" s="1">
        <v>45846</v>
      </c>
      <c r="F3186" t="s">
        <v>4295</v>
      </c>
      <c r="G3186" t="s">
        <v>2359</v>
      </c>
      <c r="H3186" t="s">
        <v>357</v>
      </c>
      <c r="I3186" t="s">
        <v>204</v>
      </c>
      <c r="J3186" s="1">
        <v>46476</v>
      </c>
      <c r="K3186" t="s">
        <v>711</v>
      </c>
      <c r="L3186">
        <v>2150</v>
      </c>
      <c r="M3186">
        <v>2150</v>
      </c>
      <c r="N3186" t="s">
        <v>890</v>
      </c>
      <c r="O3186" t="s">
        <v>4834</v>
      </c>
      <c r="P3186" t="s">
        <v>4776</v>
      </c>
      <c r="Q3186" t="s">
        <v>4901</v>
      </c>
      <c r="R3186" t="s">
        <v>4773</v>
      </c>
    </row>
    <row r="3187" spans="1:18" x14ac:dyDescent="0.3">
      <c r="A3187">
        <v>41799</v>
      </c>
      <c r="B3187" t="s">
        <v>1034</v>
      </c>
      <c r="C3187" t="s">
        <v>327</v>
      </c>
      <c r="D3187" t="s">
        <v>159</v>
      </c>
      <c r="E3187" s="1">
        <v>45846</v>
      </c>
      <c r="F3187" t="s">
        <v>4296</v>
      </c>
      <c r="G3187" t="s">
        <v>2277</v>
      </c>
      <c r="H3187" t="s">
        <v>357</v>
      </c>
      <c r="I3187" t="s">
        <v>204</v>
      </c>
      <c r="J3187" s="1">
        <v>46476</v>
      </c>
      <c r="K3187" t="s">
        <v>711</v>
      </c>
      <c r="L3187">
        <v>588.9</v>
      </c>
      <c r="M3187">
        <v>588.9</v>
      </c>
      <c r="N3187" t="s">
        <v>890</v>
      </c>
      <c r="O3187" t="s">
        <v>4834</v>
      </c>
      <c r="P3187" t="s">
        <v>4776</v>
      </c>
      <c r="Q3187" t="s">
        <v>4901</v>
      </c>
      <c r="R3187" t="s">
        <v>4773</v>
      </c>
    </row>
    <row r="3188" spans="1:18" x14ac:dyDescent="0.3">
      <c r="A3188">
        <v>41800</v>
      </c>
      <c r="B3188" t="s">
        <v>1034</v>
      </c>
      <c r="C3188" t="s">
        <v>327</v>
      </c>
      <c r="D3188" t="s">
        <v>159</v>
      </c>
      <c r="E3188" s="1">
        <v>45846</v>
      </c>
      <c r="F3188" t="s">
        <v>4295</v>
      </c>
      <c r="G3188" t="s">
        <v>2276</v>
      </c>
      <c r="H3188" t="s">
        <v>357</v>
      </c>
      <c r="I3188" t="s">
        <v>204</v>
      </c>
      <c r="J3188" s="1">
        <v>46476</v>
      </c>
      <c r="K3188" t="s">
        <v>711</v>
      </c>
      <c r="L3188">
        <v>2150</v>
      </c>
      <c r="M3188">
        <v>2150</v>
      </c>
      <c r="N3188" t="s">
        <v>890</v>
      </c>
      <c r="O3188" t="s">
        <v>4834</v>
      </c>
      <c r="P3188" t="s">
        <v>4776</v>
      </c>
      <c r="Q3188" t="s">
        <v>4901</v>
      </c>
      <c r="R3188" t="s">
        <v>4773</v>
      </c>
    </row>
    <row r="3189" spans="1:18" x14ac:dyDescent="0.3">
      <c r="A3189">
        <v>41795</v>
      </c>
      <c r="B3189" t="s">
        <v>1034</v>
      </c>
      <c r="C3189" t="s">
        <v>327</v>
      </c>
      <c r="D3189" t="s">
        <v>159</v>
      </c>
      <c r="E3189" s="1">
        <v>45846</v>
      </c>
      <c r="F3189" t="s">
        <v>4296</v>
      </c>
      <c r="G3189" t="s">
        <v>2363</v>
      </c>
      <c r="H3189" t="s">
        <v>357</v>
      </c>
      <c r="I3189" t="s">
        <v>204</v>
      </c>
      <c r="J3189" s="1">
        <v>46476</v>
      </c>
      <c r="K3189" t="s">
        <v>711</v>
      </c>
      <c r="L3189">
        <v>419.03</v>
      </c>
      <c r="M3189">
        <v>419.03</v>
      </c>
      <c r="N3189" t="s">
        <v>890</v>
      </c>
      <c r="O3189" t="s">
        <v>4834</v>
      </c>
      <c r="P3189" t="s">
        <v>4776</v>
      </c>
      <c r="Q3189" t="s">
        <v>4901</v>
      </c>
      <c r="R3189" t="s">
        <v>4773</v>
      </c>
    </row>
    <row r="3190" spans="1:18" x14ac:dyDescent="0.3">
      <c r="A3190">
        <v>45788</v>
      </c>
      <c r="B3190" t="s">
        <v>1034</v>
      </c>
      <c r="C3190" t="s">
        <v>497</v>
      </c>
      <c r="D3190" t="s">
        <v>58</v>
      </c>
      <c r="E3190" s="1">
        <v>45846</v>
      </c>
      <c r="F3190" t="s">
        <v>4316</v>
      </c>
      <c r="G3190" t="s">
        <v>2346</v>
      </c>
      <c r="H3190" t="s">
        <v>498</v>
      </c>
      <c r="I3190" t="s">
        <v>204</v>
      </c>
      <c r="J3190" s="1">
        <v>46265</v>
      </c>
      <c r="K3190" t="s">
        <v>717</v>
      </c>
      <c r="L3190">
        <v>537.17999999999995</v>
      </c>
      <c r="M3190">
        <v>537.17999999999995</v>
      </c>
      <c r="N3190" t="s">
        <v>710</v>
      </c>
      <c r="O3190" t="s">
        <v>4833</v>
      </c>
      <c r="P3190" t="s">
        <v>4776</v>
      </c>
      <c r="Q3190" t="s">
        <v>4852</v>
      </c>
      <c r="R3190" t="s">
        <v>4773</v>
      </c>
    </row>
    <row r="3191" spans="1:18" x14ac:dyDescent="0.3">
      <c r="A3191">
        <v>113448</v>
      </c>
      <c r="B3191" t="s">
        <v>1034</v>
      </c>
      <c r="C3191" t="s">
        <v>497</v>
      </c>
      <c r="D3191" t="s">
        <v>58</v>
      </c>
      <c r="E3191" s="1">
        <v>45846</v>
      </c>
      <c r="F3191" t="s">
        <v>4354</v>
      </c>
      <c r="G3191" t="s">
        <v>2345</v>
      </c>
      <c r="H3191" t="s">
        <v>496</v>
      </c>
      <c r="I3191" t="s">
        <v>204</v>
      </c>
      <c r="J3191" s="1">
        <v>46265</v>
      </c>
      <c r="K3191" t="s">
        <v>717</v>
      </c>
      <c r="L3191">
        <v>4985.58</v>
      </c>
      <c r="M3191">
        <v>4985.58</v>
      </c>
      <c r="N3191" t="s">
        <v>710</v>
      </c>
      <c r="O3191" t="s">
        <v>4833</v>
      </c>
      <c r="P3191" t="s">
        <v>4776</v>
      </c>
      <c r="Q3191" t="s">
        <v>4852</v>
      </c>
      <c r="R3191" t="s">
        <v>4773</v>
      </c>
    </row>
    <row r="3192" spans="1:18" x14ac:dyDescent="0.3">
      <c r="A3192">
        <v>2864</v>
      </c>
      <c r="B3192" t="s">
        <v>4874</v>
      </c>
      <c r="C3192" t="s">
        <v>469</v>
      </c>
      <c r="D3192" t="s">
        <v>124</v>
      </c>
      <c r="E3192" s="1">
        <v>45846</v>
      </c>
      <c r="F3192" t="s">
        <v>4361</v>
      </c>
      <c r="G3192" t="s">
        <v>2329</v>
      </c>
      <c r="H3192" t="s">
        <v>468</v>
      </c>
      <c r="I3192" t="s">
        <v>204</v>
      </c>
      <c r="J3192" s="1">
        <v>54878</v>
      </c>
      <c r="K3192" t="s">
        <v>762</v>
      </c>
      <c r="L3192">
        <v>484</v>
      </c>
      <c r="M3192">
        <v>484</v>
      </c>
      <c r="N3192" t="s">
        <v>719</v>
      </c>
      <c r="O3192" t="s">
        <v>4845</v>
      </c>
      <c r="P3192" t="s">
        <v>4776</v>
      </c>
      <c r="Q3192" t="s">
        <v>4845</v>
      </c>
      <c r="R3192" t="s">
        <v>4771</v>
      </c>
    </row>
    <row r="3193" spans="1:18" x14ac:dyDescent="0.3">
      <c r="A3193">
        <v>2574</v>
      </c>
      <c r="B3193" t="s">
        <v>4875</v>
      </c>
      <c r="C3193" t="s">
        <v>541</v>
      </c>
      <c r="D3193" t="s">
        <v>173</v>
      </c>
      <c r="E3193" s="1">
        <v>45846</v>
      </c>
      <c r="F3193" t="s">
        <v>4326</v>
      </c>
      <c r="G3193" t="s">
        <v>2288</v>
      </c>
      <c r="H3193" t="s">
        <v>542</v>
      </c>
      <c r="I3193" t="s">
        <v>204</v>
      </c>
      <c r="J3193" s="1">
        <v>46537</v>
      </c>
      <c r="K3193" t="s">
        <v>748</v>
      </c>
      <c r="L3193">
        <v>1</v>
      </c>
      <c r="M3193">
        <v>2337.9499999999998</v>
      </c>
      <c r="N3193" t="s">
        <v>814</v>
      </c>
      <c r="O3193" t="s">
        <v>1040</v>
      </c>
      <c r="P3193" t="s">
        <v>4791</v>
      </c>
      <c r="Q3193" t="s">
        <v>4856</v>
      </c>
      <c r="R3193" t="s">
        <v>4773</v>
      </c>
    </row>
    <row r="3194" spans="1:18" x14ac:dyDescent="0.3">
      <c r="A3194">
        <v>41797</v>
      </c>
      <c r="B3194" t="s">
        <v>1034</v>
      </c>
      <c r="C3194" t="s">
        <v>327</v>
      </c>
      <c r="D3194" t="s">
        <v>159</v>
      </c>
      <c r="E3194" s="1">
        <v>45846</v>
      </c>
      <c r="F3194" t="s">
        <v>4295</v>
      </c>
      <c r="G3194" t="s">
        <v>2360</v>
      </c>
      <c r="H3194" t="s">
        <v>357</v>
      </c>
      <c r="I3194" t="s">
        <v>204</v>
      </c>
      <c r="J3194" s="1">
        <v>46476</v>
      </c>
      <c r="K3194" t="s">
        <v>711</v>
      </c>
      <c r="L3194">
        <v>855.23</v>
      </c>
      <c r="M3194">
        <v>855.23</v>
      </c>
      <c r="N3194" t="s">
        <v>890</v>
      </c>
      <c r="O3194" t="s">
        <v>4834</v>
      </c>
      <c r="P3194" t="s">
        <v>4776</v>
      </c>
      <c r="Q3194" t="s">
        <v>4901</v>
      </c>
      <c r="R3194" t="s">
        <v>4773</v>
      </c>
    </row>
    <row r="3195" spans="1:18" x14ac:dyDescent="0.3">
      <c r="A3195">
        <v>7115</v>
      </c>
      <c r="B3195" t="s">
        <v>4874</v>
      </c>
      <c r="C3195" t="s">
        <v>484</v>
      </c>
      <c r="D3195" t="s">
        <v>140</v>
      </c>
      <c r="E3195" s="1">
        <v>45846</v>
      </c>
      <c r="F3195" t="s">
        <v>4345</v>
      </c>
      <c r="G3195" t="s">
        <v>2318</v>
      </c>
      <c r="H3195" t="s">
        <v>483</v>
      </c>
      <c r="I3195" t="s">
        <v>204</v>
      </c>
      <c r="J3195" s="1">
        <v>46508</v>
      </c>
      <c r="K3195" t="s">
        <v>762</v>
      </c>
      <c r="L3195">
        <v>49120</v>
      </c>
      <c r="M3195">
        <v>49120</v>
      </c>
      <c r="N3195" t="s">
        <v>710</v>
      </c>
      <c r="O3195" t="s">
        <v>4833</v>
      </c>
      <c r="P3195" t="s">
        <v>4776</v>
      </c>
      <c r="Q3195" t="s">
        <v>4852</v>
      </c>
      <c r="R3195" t="s">
        <v>4773</v>
      </c>
    </row>
    <row r="3196" spans="1:18" x14ac:dyDescent="0.3">
      <c r="A3196">
        <v>129377</v>
      </c>
      <c r="B3196" t="s">
        <v>4874</v>
      </c>
      <c r="C3196" t="s">
        <v>415</v>
      </c>
      <c r="D3196" t="s">
        <v>60</v>
      </c>
      <c r="E3196" s="1">
        <v>45846</v>
      </c>
      <c r="F3196" t="s">
        <v>4333</v>
      </c>
      <c r="G3196" t="s">
        <v>2314</v>
      </c>
      <c r="H3196" t="s">
        <v>457</v>
      </c>
      <c r="I3196" t="s">
        <v>204</v>
      </c>
      <c r="J3196" s="1">
        <v>46387</v>
      </c>
      <c r="K3196" t="s">
        <v>762</v>
      </c>
      <c r="L3196">
        <v>4167.1000000000004</v>
      </c>
      <c r="M3196">
        <v>4167.1000000000004</v>
      </c>
      <c r="N3196" t="s">
        <v>814</v>
      </c>
      <c r="O3196" t="s">
        <v>1037</v>
      </c>
      <c r="P3196" t="s">
        <v>4807</v>
      </c>
      <c r="Q3196" t="s">
        <v>4852</v>
      </c>
      <c r="R3196" t="s">
        <v>4771</v>
      </c>
    </row>
    <row r="3197" spans="1:18" x14ac:dyDescent="0.3">
      <c r="A3197">
        <v>204618</v>
      </c>
      <c r="B3197" t="s">
        <v>4874</v>
      </c>
      <c r="C3197" t="s">
        <v>441</v>
      </c>
      <c r="D3197" t="s">
        <v>38</v>
      </c>
      <c r="E3197" s="1">
        <v>45846</v>
      </c>
      <c r="F3197" t="s">
        <v>4393</v>
      </c>
      <c r="G3197" t="s">
        <v>2375</v>
      </c>
      <c r="H3197" t="s">
        <v>440</v>
      </c>
      <c r="I3197" t="s">
        <v>204</v>
      </c>
      <c r="J3197" s="1">
        <v>46191</v>
      </c>
      <c r="K3197" t="s">
        <v>762</v>
      </c>
      <c r="L3197">
        <v>10035</v>
      </c>
      <c r="M3197">
        <v>10035</v>
      </c>
      <c r="N3197" t="s">
        <v>710</v>
      </c>
      <c r="O3197" t="s">
        <v>4833</v>
      </c>
      <c r="P3197" t="s">
        <v>4786</v>
      </c>
      <c r="Q3197" t="s">
        <v>4852</v>
      </c>
      <c r="R3197" t="s">
        <v>4773</v>
      </c>
    </row>
    <row r="3198" spans="1:18" x14ac:dyDescent="0.3">
      <c r="A3198">
        <v>181924</v>
      </c>
      <c r="B3198" t="s">
        <v>4874</v>
      </c>
      <c r="C3198" t="s">
        <v>411</v>
      </c>
      <c r="D3198" t="s">
        <v>154</v>
      </c>
      <c r="E3198" s="1">
        <v>45846</v>
      </c>
      <c r="F3198" t="s">
        <v>4345</v>
      </c>
      <c r="G3198" t="s">
        <v>2339</v>
      </c>
      <c r="H3198" t="s">
        <v>410</v>
      </c>
      <c r="I3198" t="s">
        <v>204</v>
      </c>
      <c r="J3198" s="1">
        <v>46344</v>
      </c>
      <c r="K3198" t="s">
        <v>762</v>
      </c>
      <c r="L3198">
        <v>16276</v>
      </c>
      <c r="M3198">
        <v>16275.21</v>
      </c>
      <c r="N3198" t="s">
        <v>710</v>
      </c>
      <c r="O3198" t="s">
        <v>4833</v>
      </c>
      <c r="P3198" t="s">
        <v>4776</v>
      </c>
      <c r="Q3198" t="s">
        <v>4852</v>
      </c>
      <c r="R3198" t="s">
        <v>4773</v>
      </c>
    </row>
    <row r="3199" spans="1:18" x14ac:dyDescent="0.3">
      <c r="A3199">
        <v>6886</v>
      </c>
      <c r="B3199" t="s">
        <v>4874</v>
      </c>
      <c r="C3199" t="s">
        <v>230</v>
      </c>
      <c r="D3199" t="s">
        <v>85</v>
      </c>
      <c r="E3199" s="1">
        <v>45846</v>
      </c>
      <c r="F3199" t="s">
        <v>4348</v>
      </c>
      <c r="G3199" t="s">
        <v>2352</v>
      </c>
      <c r="H3199" t="s">
        <v>299</v>
      </c>
      <c r="I3199" t="s">
        <v>204</v>
      </c>
      <c r="J3199" s="1">
        <v>46536</v>
      </c>
      <c r="K3199" t="s">
        <v>762</v>
      </c>
      <c r="L3199">
        <v>12092.8</v>
      </c>
      <c r="M3199">
        <v>12092.8</v>
      </c>
      <c r="N3199" t="s">
        <v>710</v>
      </c>
      <c r="O3199" t="s">
        <v>1033</v>
      </c>
      <c r="P3199" t="s">
        <v>4781</v>
      </c>
      <c r="Q3199" t="s">
        <v>4852</v>
      </c>
      <c r="R3199" t="s">
        <v>4771</v>
      </c>
    </row>
    <row r="3200" spans="1:18" x14ac:dyDescent="0.3">
      <c r="A3200">
        <v>4790</v>
      </c>
      <c r="B3200" t="s">
        <v>4874</v>
      </c>
      <c r="C3200" t="s">
        <v>456</v>
      </c>
      <c r="D3200" t="s">
        <v>71</v>
      </c>
      <c r="E3200" s="1">
        <v>45846</v>
      </c>
      <c r="F3200" t="s">
        <v>4401</v>
      </c>
      <c r="G3200" t="s">
        <v>2386</v>
      </c>
      <c r="H3200" t="s">
        <v>455</v>
      </c>
      <c r="I3200" t="s">
        <v>204</v>
      </c>
      <c r="J3200" s="1">
        <v>54878</v>
      </c>
      <c r="K3200" t="s">
        <v>762</v>
      </c>
      <c r="L3200">
        <v>6885.9</v>
      </c>
      <c r="M3200">
        <v>6885.9</v>
      </c>
      <c r="N3200" t="s">
        <v>710</v>
      </c>
      <c r="O3200" t="s">
        <v>1042</v>
      </c>
      <c r="P3200" t="s">
        <v>1006</v>
      </c>
      <c r="Q3200" t="s">
        <v>4852</v>
      </c>
      <c r="R3200" t="s">
        <v>4771</v>
      </c>
    </row>
    <row r="3201" spans="1:18" x14ac:dyDescent="0.3">
      <c r="A3201">
        <v>111529</v>
      </c>
      <c r="B3201" t="s">
        <v>4874</v>
      </c>
      <c r="C3201" t="s">
        <v>227</v>
      </c>
      <c r="D3201" t="s">
        <v>191</v>
      </c>
      <c r="E3201" s="1">
        <v>45846</v>
      </c>
      <c r="F3201" t="s">
        <v>4387</v>
      </c>
      <c r="G3201" t="s">
        <v>2384</v>
      </c>
      <c r="H3201" t="s">
        <v>577</v>
      </c>
      <c r="I3201" t="s">
        <v>204</v>
      </c>
      <c r="J3201" s="1">
        <v>46493</v>
      </c>
      <c r="K3201" t="s">
        <v>762</v>
      </c>
      <c r="L3201">
        <v>62472.5</v>
      </c>
      <c r="M3201">
        <v>62472.5</v>
      </c>
      <c r="N3201" t="s">
        <v>809</v>
      </c>
      <c r="O3201" t="s">
        <v>4904</v>
      </c>
      <c r="P3201" t="s">
        <v>4792</v>
      </c>
      <c r="Q3201" t="s">
        <v>4904</v>
      </c>
      <c r="R3201" t="s">
        <v>4772</v>
      </c>
    </row>
    <row r="3202" spans="1:18" x14ac:dyDescent="0.3">
      <c r="A3202">
        <v>38037</v>
      </c>
      <c r="B3202" t="s">
        <v>4874</v>
      </c>
      <c r="C3202" t="s">
        <v>447</v>
      </c>
      <c r="D3202" t="s">
        <v>57</v>
      </c>
      <c r="E3202" s="1">
        <v>45846</v>
      </c>
      <c r="F3202" t="s">
        <v>4383</v>
      </c>
      <c r="G3202" t="s">
        <v>2391</v>
      </c>
      <c r="H3202" t="s">
        <v>446</v>
      </c>
      <c r="I3202" t="s">
        <v>204</v>
      </c>
      <c r="J3202" s="1">
        <v>46203</v>
      </c>
      <c r="K3202" t="s">
        <v>762</v>
      </c>
      <c r="L3202">
        <v>793.23</v>
      </c>
      <c r="M3202">
        <v>793.23</v>
      </c>
      <c r="N3202" t="s">
        <v>710</v>
      </c>
      <c r="O3202" t="s">
        <v>1038</v>
      </c>
      <c r="P3202" t="s">
        <v>4776</v>
      </c>
      <c r="Q3202" t="s">
        <v>4858</v>
      </c>
      <c r="R3202" t="s">
        <v>4774</v>
      </c>
    </row>
    <row r="3203" spans="1:18" x14ac:dyDescent="0.3">
      <c r="A3203">
        <v>306</v>
      </c>
      <c r="B3203" t="s">
        <v>4874</v>
      </c>
      <c r="C3203" t="s">
        <v>645</v>
      </c>
      <c r="D3203" t="s">
        <v>76</v>
      </c>
      <c r="E3203" s="1">
        <v>45846</v>
      </c>
      <c r="F3203" t="s">
        <v>4318</v>
      </c>
      <c r="G3203" t="s">
        <v>2379</v>
      </c>
      <c r="H3203" t="s">
        <v>644</v>
      </c>
      <c r="I3203" t="s">
        <v>204</v>
      </c>
      <c r="J3203" s="1">
        <v>46478</v>
      </c>
      <c r="K3203" t="s">
        <v>720</v>
      </c>
      <c r="L3203">
        <v>1</v>
      </c>
      <c r="M3203">
        <v>4027.7</v>
      </c>
      <c r="N3203" t="s">
        <v>710</v>
      </c>
      <c r="O3203" t="s">
        <v>1038</v>
      </c>
      <c r="P3203" t="s">
        <v>4776</v>
      </c>
      <c r="Q3203" t="s">
        <v>4858</v>
      </c>
      <c r="R3203" t="s">
        <v>4773</v>
      </c>
    </row>
    <row r="3204" spans="1:18" x14ac:dyDescent="0.3">
      <c r="A3204">
        <v>109</v>
      </c>
      <c r="B3204" t="s">
        <v>1034</v>
      </c>
      <c r="C3204" t="s">
        <v>643</v>
      </c>
      <c r="D3204" t="s">
        <v>52</v>
      </c>
      <c r="E3204" s="1">
        <v>45846</v>
      </c>
      <c r="F3204" t="s">
        <v>4318</v>
      </c>
      <c r="G3204" t="s">
        <v>2399</v>
      </c>
      <c r="H3204" t="s">
        <v>642</v>
      </c>
      <c r="I3204" t="s">
        <v>204</v>
      </c>
      <c r="J3204" s="1">
        <v>46548</v>
      </c>
      <c r="K3204" t="s">
        <v>711</v>
      </c>
      <c r="L3204">
        <v>1</v>
      </c>
      <c r="M3204">
        <v>2300</v>
      </c>
      <c r="N3204" t="s">
        <v>710</v>
      </c>
      <c r="O3204" t="s">
        <v>4834</v>
      </c>
      <c r="P3204" t="s">
        <v>4776</v>
      </c>
      <c r="Q3204" t="s">
        <v>4901</v>
      </c>
    </row>
    <row r="3205" spans="1:18" x14ac:dyDescent="0.3">
      <c r="A3205">
        <v>41801</v>
      </c>
      <c r="B3205" t="s">
        <v>1034</v>
      </c>
      <c r="C3205" t="s">
        <v>327</v>
      </c>
      <c r="D3205" t="s">
        <v>159</v>
      </c>
      <c r="E3205" s="1">
        <v>45846</v>
      </c>
      <c r="F3205" t="s">
        <v>4295</v>
      </c>
      <c r="G3205" t="s">
        <v>2279</v>
      </c>
      <c r="H3205" t="s">
        <v>357</v>
      </c>
      <c r="I3205" t="s">
        <v>204</v>
      </c>
      <c r="J3205" s="1">
        <v>46476</v>
      </c>
      <c r="K3205" t="s">
        <v>711</v>
      </c>
      <c r="L3205">
        <v>1364.58</v>
      </c>
      <c r="M3205">
        <v>1364.58</v>
      </c>
      <c r="N3205" t="s">
        <v>890</v>
      </c>
      <c r="O3205" t="s">
        <v>4834</v>
      </c>
      <c r="P3205" t="s">
        <v>4776</v>
      </c>
      <c r="Q3205" t="s">
        <v>4901</v>
      </c>
      <c r="R3205" t="s">
        <v>4773</v>
      </c>
    </row>
    <row r="3206" spans="1:18" x14ac:dyDescent="0.3">
      <c r="A3206">
        <v>110390</v>
      </c>
      <c r="B3206" t="s">
        <v>4874</v>
      </c>
      <c r="C3206" t="s">
        <v>379</v>
      </c>
      <c r="D3206" t="s">
        <v>131</v>
      </c>
      <c r="E3206" s="1">
        <v>45846</v>
      </c>
      <c r="F3206" t="s">
        <v>4315</v>
      </c>
      <c r="G3206" t="s">
        <v>2355</v>
      </c>
      <c r="H3206" t="s">
        <v>378</v>
      </c>
      <c r="I3206" t="s">
        <v>204</v>
      </c>
      <c r="J3206" s="1">
        <v>54878</v>
      </c>
      <c r="K3206" t="s">
        <v>762</v>
      </c>
      <c r="L3206">
        <v>68.510000000000005</v>
      </c>
      <c r="M3206">
        <v>68.510000000000005</v>
      </c>
      <c r="N3206" t="s">
        <v>710</v>
      </c>
      <c r="O3206" t="s">
        <v>4833</v>
      </c>
      <c r="P3206" t="s">
        <v>4776</v>
      </c>
      <c r="Q3206" t="s">
        <v>4852</v>
      </c>
      <c r="R3206" t="s">
        <v>4773</v>
      </c>
    </row>
    <row r="3207" spans="1:18" x14ac:dyDescent="0.3">
      <c r="A3207">
        <v>41802</v>
      </c>
      <c r="B3207" t="s">
        <v>1034</v>
      </c>
      <c r="C3207" t="s">
        <v>327</v>
      </c>
      <c r="D3207" t="s">
        <v>159</v>
      </c>
      <c r="E3207" s="1">
        <v>45846</v>
      </c>
      <c r="F3207" t="s">
        <v>4295</v>
      </c>
      <c r="G3207" t="s">
        <v>2278</v>
      </c>
      <c r="H3207" t="s">
        <v>357</v>
      </c>
      <c r="I3207" t="s">
        <v>204</v>
      </c>
      <c r="J3207" s="1">
        <v>46476</v>
      </c>
      <c r="K3207" t="s">
        <v>711</v>
      </c>
      <c r="L3207">
        <v>2150</v>
      </c>
      <c r="M3207">
        <v>2150</v>
      </c>
      <c r="N3207" t="s">
        <v>890</v>
      </c>
      <c r="O3207" t="s">
        <v>4834</v>
      </c>
      <c r="P3207" t="s">
        <v>4776</v>
      </c>
      <c r="Q3207" t="s">
        <v>4901</v>
      </c>
      <c r="R3207" t="s">
        <v>4773</v>
      </c>
    </row>
    <row r="3208" spans="1:18" x14ac:dyDescent="0.3">
      <c r="A3208">
        <v>360497</v>
      </c>
      <c r="B3208" t="s">
        <v>4874</v>
      </c>
      <c r="C3208" t="s">
        <v>435</v>
      </c>
      <c r="D3208" t="s">
        <v>30</v>
      </c>
      <c r="E3208" s="1">
        <v>45845</v>
      </c>
      <c r="F3208" t="s">
        <v>4351</v>
      </c>
      <c r="G3208" t="s">
        <v>2349</v>
      </c>
      <c r="H3208" t="s">
        <v>434</v>
      </c>
      <c r="I3208" t="s">
        <v>204</v>
      </c>
      <c r="J3208" s="1">
        <v>46752</v>
      </c>
      <c r="K3208" t="s">
        <v>785</v>
      </c>
      <c r="L3208">
        <v>1</v>
      </c>
      <c r="M3208">
        <v>147951.23000000001</v>
      </c>
      <c r="N3208" t="s">
        <v>998</v>
      </c>
      <c r="O3208" t="s">
        <v>1038</v>
      </c>
      <c r="P3208" t="s">
        <v>4787</v>
      </c>
      <c r="Q3208" t="s">
        <v>4858</v>
      </c>
      <c r="R3208" t="s">
        <v>4771</v>
      </c>
    </row>
    <row r="3209" spans="1:18" x14ac:dyDescent="0.3">
      <c r="A3209">
        <v>2573</v>
      </c>
      <c r="B3209" t="s">
        <v>4874</v>
      </c>
      <c r="C3209" t="s">
        <v>541</v>
      </c>
      <c r="D3209" t="s">
        <v>173</v>
      </c>
      <c r="E3209" s="1">
        <v>45845</v>
      </c>
      <c r="F3209" t="s">
        <v>4326</v>
      </c>
      <c r="G3209" t="s">
        <v>2380</v>
      </c>
      <c r="H3209" t="s">
        <v>548</v>
      </c>
      <c r="I3209" t="s">
        <v>204</v>
      </c>
      <c r="J3209" s="1">
        <v>46387</v>
      </c>
      <c r="K3209" t="s">
        <v>720</v>
      </c>
      <c r="L3209">
        <v>1</v>
      </c>
      <c r="M3209">
        <v>2300</v>
      </c>
      <c r="N3209" t="s">
        <v>710</v>
      </c>
      <c r="O3209" t="s">
        <v>1038</v>
      </c>
      <c r="P3209" t="s">
        <v>4791</v>
      </c>
      <c r="Q3209" t="s">
        <v>4858</v>
      </c>
      <c r="R3209" t="s">
        <v>4773</v>
      </c>
    </row>
    <row r="3210" spans="1:18" x14ac:dyDescent="0.3">
      <c r="A3210">
        <v>322230</v>
      </c>
      <c r="B3210" t="s">
        <v>4874</v>
      </c>
      <c r="C3210" t="s">
        <v>426</v>
      </c>
      <c r="D3210" t="s">
        <v>54</v>
      </c>
      <c r="E3210" s="1">
        <v>45845</v>
      </c>
      <c r="F3210" t="s">
        <v>4409</v>
      </c>
      <c r="G3210" t="s">
        <v>2354</v>
      </c>
      <c r="H3210" t="s">
        <v>425</v>
      </c>
      <c r="I3210" t="s">
        <v>204</v>
      </c>
      <c r="J3210" s="1">
        <v>46752</v>
      </c>
      <c r="K3210" t="s">
        <v>785</v>
      </c>
      <c r="L3210">
        <v>1</v>
      </c>
      <c r="M3210">
        <v>88260.46</v>
      </c>
      <c r="N3210" t="s">
        <v>710</v>
      </c>
      <c r="O3210" t="s">
        <v>1038</v>
      </c>
      <c r="P3210" t="s">
        <v>4787</v>
      </c>
      <c r="Q3210" t="s">
        <v>4858</v>
      </c>
      <c r="R3210" t="s">
        <v>4771</v>
      </c>
    </row>
    <row r="3211" spans="1:18" x14ac:dyDescent="0.3">
      <c r="A3211">
        <v>360187</v>
      </c>
      <c r="B3211" t="s">
        <v>1034</v>
      </c>
      <c r="C3211" t="s">
        <v>435</v>
      </c>
      <c r="D3211" t="s">
        <v>30</v>
      </c>
      <c r="E3211" s="1">
        <v>45845</v>
      </c>
      <c r="F3211" t="s">
        <v>4351</v>
      </c>
      <c r="G3211" t="s">
        <v>2347</v>
      </c>
      <c r="H3211" t="s">
        <v>434</v>
      </c>
      <c r="I3211" t="s">
        <v>204</v>
      </c>
      <c r="J3211" s="1">
        <v>46752</v>
      </c>
      <c r="K3211" t="s">
        <v>785</v>
      </c>
      <c r="L3211">
        <v>1</v>
      </c>
      <c r="M3211">
        <v>175921.39</v>
      </c>
      <c r="N3211" t="s">
        <v>998</v>
      </c>
      <c r="O3211" t="s">
        <v>1038</v>
      </c>
      <c r="P3211" t="s">
        <v>4787</v>
      </c>
      <c r="Q3211" t="s">
        <v>4858</v>
      </c>
      <c r="R3211" t="s">
        <v>4771</v>
      </c>
    </row>
    <row r="3212" spans="1:18" x14ac:dyDescent="0.3">
      <c r="A3212">
        <v>11255494</v>
      </c>
      <c r="B3212" t="s">
        <v>1034</v>
      </c>
      <c r="C3212" t="s">
        <v>452</v>
      </c>
      <c r="D3212" t="s">
        <v>171</v>
      </c>
      <c r="E3212" s="1">
        <v>45845</v>
      </c>
      <c r="F3212" t="s">
        <v>4319</v>
      </c>
      <c r="G3212" t="s">
        <v>2303</v>
      </c>
      <c r="H3212" t="s">
        <v>450</v>
      </c>
      <c r="I3212" t="s">
        <v>209</v>
      </c>
      <c r="J3212" s="1">
        <v>54878</v>
      </c>
      <c r="K3212" t="s">
        <v>717</v>
      </c>
      <c r="L3212">
        <v>2492</v>
      </c>
      <c r="M3212">
        <v>2491.44</v>
      </c>
      <c r="N3212" t="s">
        <v>710</v>
      </c>
      <c r="Q3212" t="s">
        <v>4852</v>
      </c>
      <c r="R3212" t="s">
        <v>4771</v>
      </c>
    </row>
    <row r="3213" spans="1:18" x14ac:dyDescent="0.3">
      <c r="A3213">
        <v>11255442</v>
      </c>
      <c r="B3213" t="s">
        <v>1034</v>
      </c>
      <c r="C3213" t="s">
        <v>452</v>
      </c>
      <c r="D3213" t="s">
        <v>171</v>
      </c>
      <c r="E3213" s="1">
        <v>45845</v>
      </c>
      <c r="F3213" t="s">
        <v>4319</v>
      </c>
      <c r="G3213" t="s">
        <v>2303</v>
      </c>
      <c r="H3213" t="s">
        <v>450</v>
      </c>
      <c r="I3213" t="s">
        <v>209</v>
      </c>
      <c r="J3213" s="1">
        <v>54878</v>
      </c>
      <c r="K3213" t="s">
        <v>717</v>
      </c>
      <c r="L3213">
        <v>1617</v>
      </c>
      <c r="M3213">
        <v>1616.02</v>
      </c>
      <c r="N3213" t="s">
        <v>710</v>
      </c>
      <c r="Q3213" t="s">
        <v>4852</v>
      </c>
      <c r="R3213" t="s">
        <v>4771</v>
      </c>
    </row>
    <row r="3214" spans="1:18" x14ac:dyDescent="0.3">
      <c r="A3214">
        <v>11255554</v>
      </c>
      <c r="B3214" t="s">
        <v>1034</v>
      </c>
      <c r="C3214" t="s">
        <v>452</v>
      </c>
      <c r="D3214" t="s">
        <v>171</v>
      </c>
      <c r="E3214" s="1">
        <v>45845</v>
      </c>
      <c r="F3214" t="s">
        <v>4319</v>
      </c>
      <c r="G3214" t="s">
        <v>2303</v>
      </c>
      <c r="H3214" t="s">
        <v>450</v>
      </c>
      <c r="I3214" t="s">
        <v>209</v>
      </c>
      <c r="J3214" s="1">
        <v>54878</v>
      </c>
      <c r="K3214" t="s">
        <v>717</v>
      </c>
      <c r="L3214">
        <v>1495</v>
      </c>
      <c r="M3214">
        <v>1495</v>
      </c>
      <c r="N3214" t="s">
        <v>710</v>
      </c>
      <c r="Q3214" t="s">
        <v>4852</v>
      </c>
      <c r="R3214" t="s">
        <v>4771</v>
      </c>
    </row>
    <row r="3215" spans="1:18" x14ac:dyDescent="0.3">
      <c r="A3215">
        <v>360222</v>
      </c>
      <c r="B3215" t="s">
        <v>4875</v>
      </c>
      <c r="C3215" t="s">
        <v>435</v>
      </c>
      <c r="D3215" t="s">
        <v>30</v>
      </c>
      <c r="E3215" s="1">
        <v>45845</v>
      </c>
      <c r="F3215" t="s">
        <v>4351</v>
      </c>
      <c r="G3215" t="s">
        <v>2348</v>
      </c>
      <c r="H3215" t="s">
        <v>434</v>
      </c>
      <c r="I3215" t="s">
        <v>204</v>
      </c>
      <c r="J3215" s="1">
        <v>46752</v>
      </c>
      <c r="K3215" t="s">
        <v>785</v>
      </c>
      <c r="L3215">
        <v>1</v>
      </c>
      <c r="M3215">
        <v>67413.960000000006</v>
      </c>
      <c r="N3215" t="s">
        <v>998</v>
      </c>
      <c r="O3215" t="s">
        <v>1038</v>
      </c>
      <c r="P3215" t="s">
        <v>4787</v>
      </c>
      <c r="Q3215" t="s">
        <v>4858</v>
      </c>
      <c r="R3215" t="s">
        <v>4771</v>
      </c>
    </row>
    <row r="3216" spans="1:18" x14ac:dyDescent="0.3">
      <c r="A3216">
        <v>229743</v>
      </c>
      <c r="B3216" t="s">
        <v>4875</v>
      </c>
      <c r="C3216" t="s">
        <v>493</v>
      </c>
      <c r="D3216" t="s">
        <v>197</v>
      </c>
      <c r="E3216" s="1">
        <v>45845</v>
      </c>
      <c r="F3216" t="s">
        <v>4306</v>
      </c>
      <c r="G3216" t="s">
        <v>2376</v>
      </c>
      <c r="H3216" t="s">
        <v>492</v>
      </c>
      <c r="I3216" t="s">
        <v>204</v>
      </c>
      <c r="J3216" s="1">
        <v>54878</v>
      </c>
      <c r="K3216" t="s">
        <v>768</v>
      </c>
      <c r="L3216">
        <v>650</v>
      </c>
      <c r="M3216">
        <v>650</v>
      </c>
      <c r="N3216" t="s">
        <v>710</v>
      </c>
      <c r="O3216" t="s">
        <v>4833</v>
      </c>
      <c r="P3216" t="s">
        <v>4786</v>
      </c>
      <c r="Q3216" t="s">
        <v>4852</v>
      </c>
      <c r="R3216" t="s">
        <v>4773</v>
      </c>
    </row>
    <row r="3217" spans="1:18" x14ac:dyDescent="0.3">
      <c r="A3217">
        <v>105</v>
      </c>
      <c r="B3217" t="s">
        <v>1034</v>
      </c>
      <c r="C3217" t="s">
        <v>643</v>
      </c>
      <c r="D3217" t="s">
        <v>52</v>
      </c>
      <c r="E3217" s="1">
        <v>45845</v>
      </c>
      <c r="F3217" t="s">
        <v>4318</v>
      </c>
      <c r="G3217" t="s">
        <v>2264</v>
      </c>
      <c r="H3217" t="s">
        <v>642</v>
      </c>
      <c r="I3217" t="s">
        <v>204</v>
      </c>
      <c r="J3217" s="1">
        <v>46548</v>
      </c>
      <c r="K3217" t="s">
        <v>711</v>
      </c>
      <c r="L3217">
        <v>1</v>
      </c>
      <c r="M3217">
        <v>-2300</v>
      </c>
      <c r="N3217" t="s">
        <v>710</v>
      </c>
      <c r="O3217" t="s">
        <v>4834</v>
      </c>
      <c r="P3217" t="s">
        <v>4776</v>
      </c>
      <c r="Q3217" t="s">
        <v>4901</v>
      </c>
    </row>
    <row r="3218" spans="1:18" x14ac:dyDescent="0.3">
      <c r="A3218">
        <v>229742</v>
      </c>
      <c r="B3218" t="s">
        <v>4875</v>
      </c>
      <c r="C3218" t="s">
        <v>493</v>
      </c>
      <c r="D3218" t="s">
        <v>197</v>
      </c>
      <c r="E3218" s="1">
        <v>45845</v>
      </c>
      <c r="F3218" t="s">
        <v>4306</v>
      </c>
      <c r="G3218" t="s">
        <v>2376</v>
      </c>
      <c r="H3218" t="s">
        <v>492</v>
      </c>
      <c r="I3218" t="s">
        <v>204</v>
      </c>
      <c r="J3218" s="1">
        <v>54878</v>
      </c>
      <c r="K3218" t="s">
        <v>768</v>
      </c>
      <c r="L3218">
        <v>799</v>
      </c>
      <c r="M3218">
        <v>799</v>
      </c>
      <c r="N3218" t="s">
        <v>710</v>
      </c>
      <c r="O3218" t="s">
        <v>4833</v>
      </c>
      <c r="P3218" t="s">
        <v>4786</v>
      </c>
      <c r="Q3218" t="s">
        <v>4852</v>
      </c>
      <c r="R3218" t="s">
        <v>4773</v>
      </c>
    </row>
    <row r="3219" spans="1:18" x14ac:dyDescent="0.3">
      <c r="A3219">
        <v>710741</v>
      </c>
      <c r="B3219" t="s">
        <v>4874</v>
      </c>
      <c r="C3219" t="s">
        <v>409</v>
      </c>
      <c r="D3219" t="s">
        <v>28</v>
      </c>
      <c r="E3219" s="1">
        <v>45842</v>
      </c>
      <c r="F3219" t="s">
        <v>4388</v>
      </c>
      <c r="G3219" t="s">
        <v>2317</v>
      </c>
      <c r="H3219" t="s">
        <v>408</v>
      </c>
      <c r="I3219" t="s">
        <v>204</v>
      </c>
      <c r="J3219" s="1">
        <v>54878</v>
      </c>
      <c r="K3219" t="s">
        <v>762</v>
      </c>
      <c r="L3219">
        <v>21976</v>
      </c>
      <c r="M3219">
        <v>21975.19</v>
      </c>
      <c r="N3219" t="s">
        <v>710</v>
      </c>
      <c r="O3219" t="s">
        <v>4833</v>
      </c>
      <c r="P3219" t="s">
        <v>4776</v>
      </c>
      <c r="Q3219" t="s">
        <v>4852</v>
      </c>
      <c r="R3219" t="s">
        <v>4773</v>
      </c>
    </row>
    <row r="3220" spans="1:18" x14ac:dyDescent="0.3">
      <c r="A3220">
        <v>1244739</v>
      </c>
      <c r="B3220" t="s">
        <v>4874</v>
      </c>
      <c r="C3220" t="s">
        <v>472</v>
      </c>
      <c r="D3220" t="s">
        <v>48</v>
      </c>
      <c r="E3220" s="1">
        <v>45842</v>
      </c>
      <c r="F3220" t="s">
        <v>4345</v>
      </c>
      <c r="G3220" t="s">
        <v>2377</v>
      </c>
      <c r="H3220" t="s">
        <v>471</v>
      </c>
      <c r="I3220" t="s">
        <v>204</v>
      </c>
      <c r="J3220" s="1">
        <v>46270</v>
      </c>
      <c r="K3220" t="s">
        <v>762</v>
      </c>
      <c r="L3220">
        <v>52.2</v>
      </c>
      <c r="M3220">
        <v>52.2</v>
      </c>
      <c r="N3220" t="s">
        <v>710</v>
      </c>
      <c r="O3220" t="s">
        <v>4845</v>
      </c>
      <c r="P3220" t="s">
        <v>4776</v>
      </c>
      <c r="Q3220" t="s">
        <v>4845</v>
      </c>
      <c r="R3220" t="s">
        <v>4773</v>
      </c>
    </row>
    <row r="3221" spans="1:18" x14ac:dyDescent="0.3">
      <c r="A3221">
        <v>1244729</v>
      </c>
      <c r="B3221" t="s">
        <v>4874</v>
      </c>
      <c r="C3221" t="s">
        <v>472</v>
      </c>
      <c r="D3221" t="s">
        <v>48</v>
      </c>
      <c r="E3221" s="1">
        <v>45842</v>
      </c>
      <c r="F3221" t="s">
        <v>4315</v>
      </c>
      <c r="G3221" t="s">
        <v>2377</v>
      </c>
      <c r="H3221" t="s">
        <v>471</v>
      </c>
      <c r="I3221" t="s">
        <v>204</v>
      </c>
      <c r="J3221" s="1">
        <v>46270</v>
      </c>
      <c r="K3221" t="s">
        <v>762</v>
      </c>
      <c r="L3221">
        <v>521.97</v>
      </c>
      <c r="M3221">
        <v>521.97</v>
      </c>
      <c r="N3221" t="s">
        <v>710</v>
      </c>
      <c r="O3221" t="s">
        <v>4845</v>
      </c>
      <c r="P3221" t="s">
        <v>4776</v>
      </c>
      <c r="Q3221" t="s">
        <v>4845</v>
      </c>
      <c r="R3221" t="s">
        <v>4773</v>
      </c>
    </row>
    <row r="3222" spans="1:18" x14ac:dyDescent="0.3">
      <c r="A3222">
        <v>541</v>
      </c>
      <c r="B3222" t="s">
        <v>4874</v>
      </c>
      <c r="C3222" t="s">
        <v>649</v>
      </c>
      <c r="D3222" t="s">
        <v>88</v>
      </c>
      <c r="E3222" s="1">
        <v>45842</v>
      </c>
      <c r="F3222" t="s">
        <v>4414</v>
      </c>
      <c r="G3222" t="s">
        <v>2322</v>
      </c>
      <c r="H3222" t="s">
        <v>648</v>
      </c>
      <c r="I3222" t="s">
        <v>204</v>
      </c>
      <c r="J3222" s="1">
        <v>47847</v>
      </c>
      <c r="K3222" t="s">
        <v>762</v>
      </c>
      <c r="L3222">
        <v>4108.5</v>
      </c>
      <c r="M3222">
        <v>4108.5</v>
      </c>
      <c r="N3222" t="s">
        <v>710</v>
      </c>
      <c r="O3222" t="s">
        <v>4811</v>
      </c>
      <c r="P3222" t="s">
        <v>4776</v>
      </c>
      <c r="Q3222" t="s">
        <v>4859</v>
      </c>
    </row>
    <row r="3223" spans="1:18" x14ac:dyDescent="0.3">
      <c r="A3223">
        <v>5442</v>
      </c>
      <c r="B3223" t="s">
        <v>4874</v>
      </c>
      <c r="C3223" t="s">
        <v>401</v>
      </c>
      <c r="D3223" t="s">
        <v>187</v>
      </c>
      <c r="E3223" s="1">
        <v>45842</v>
      </c>
      <c r="F3223" t="s">
        <v>4345</v>
      </c>
      <c r="G3223" t="s">
        <v>2335</v>
      </c>
      <c r="H3223" t="s">
        <v>400</v>
      </c>
      <c r="I3223" t="s">
        <v>204</v>
      </c>
      <c r="J3223" s="1">
        <v>54878</v>
      </c>
      <c r="K3223" t="s">
        <v>762</v>
      </c>
      <c r="L3223">
        <v>390</v>
      </c>
      <c r="M3223">
        <v>390</v>
      </c>
      <c r="N3223" t="s">
        <v>710</v>
      </c>
      <c r="O3223" t="s">
        <v>4833</v>
      </c>
      <c r="P3223" t="s">
        <v>4776</v>
      </c>
      <c r="Q3223" t="s">
        <v>4852</v>
      </c>
      <c r="R3223" t="s">
        <v>4773</v>
      </c>
    </row>
    <row r="3224" spans="1:18" x14ac:dyDescent="0.3">
      <c r="A3224">
        <v>303</v>
      </c>
      <c r="B3224" t="s">
        <v>4874</v>
      </c>
      <c r="C3224" t="s">
        <v>645</v>
      </c>
      <c r="D3224" t="s">
        <v>76</v>
      </c>
      <c r="E3224" s="1">
        <v>45842</v>
      </c>
      <c r="F3224" t="s">
        <v>4318</v>
      </c>
      <c r="G3224" t="s">
        <v>2328</v>
      </c>
      <c r="H3224" t="s">
        <v>644</v>
      </c>
      <c r="I3224" t="s">
        <v>204</v>
      </c>
      <c r="J3224" s="1">
        <v>46478</v>
      </c>
      <c r="K3224" t="s">
        <v>720</v>
      </c>
      <c r="L3224">
        <v>1</v>
      </c>
      <c r="M3224">
        <v>4027.7</v>
      </c>
      <c r="N3224" t="s">
        <v>710</v>
      </c>
      <c r="O3224" t="s">
        <v>1038</v>
      </c>
      <c r="P3224" t="s">
        <v>4776</v>
      </c>
      <c r="Q3224" t="s">
        <v>4858</v>
      </c>
      <c r="R3224" t="s">
        <v>4773</v>
      </c>
    </row>
    <row r="3225" spans="1:18" x14ac:dyDescent="0.3">
      <c r="A3225">
        <v>1880767</v>
      </c>
      <c r="B3225" t="s">
        <v>4874</v>
      </c>
      <c r="C3225" t="s">
        <v>417</v>
      </c>
      <c r="D3225" t="s">
        <v>185</v>
      </c>
      <c r="E3225" s="1">
        <v>45842</v>
      </c>
      <c r="F3225" t="s">
        <v>4346</v>
      </c>
      <c r="G3225" t="s">
        <v>2299</v>
      </c>
      <c r="H3225" t="s">
        <v>461</v>
      </c>
      <c r="I3225" t="s">
        <v>204</v>
      </c>
      <c r="J3225" s="1">
        <v>54878</v>
      </c>
      <c r="K3225" t="s">
        <v>762</v>
      </c>
      <c r="L3225">
        <v>25402.89</v>
      </c>
      <c r="M3225">
        <v>25402.89</v>
      </c>
      <c r="N3225" t="s">
        <v>710</v>
      </c>
      <c r="O3225" t="s">
        <v>1037</v>
      </c>
      <c r="P3225" t="s">
        <v>4780</v>
      </c>
      <c r="Q3225" t="s">
        <v>4852</v>
      </c>
      <c r="R3225" t="s">
        <v>4771</v>
      </c>
    </row>
    <row r="3226" spans="1:18" x14ac:dyDescent="0.3">
      <c r="A3226">
        <v>40342276</v>
      </c>
      <c r="B3226" t="s">
        <v>4874</v>
      </c>
      <c r="C3226" t="s">
        <v>428</v>
      </c>
      <c r="D3226" t="s">
        <v>127</v>
      </c>
      <c r="E3226" s="1">
        <v>45842</v>
      </c>
      <c r="F3226" t="s">
        <v>4336</v>
      </c>
      <c r="G3226" t="s">
        <v>2372</v>
      </c>
      <c r="H3226" t="s">
        <v>427</v>
      </c>
      <c r="I3226" t="s">
        <v>209</v>
      </c>
      <c r="J3226" s="1">
        <v>54878</v>
      </c>
      <c r="K3226" t="s">
        <v>762</v>
      </c>
      <c r="L3226">
        <v>3326.01</v>
      </c>
      <c r="M3226">
        <v>3326.01</v>
      </c>
      <c r="N3226" t="s">
        <v>710</v>
      </c>
      <c r="Q3226" t="s">
        <v>4852</v>
      </c>
      <c r="R3226" t="s">
        <v>4772</v>
      </c>
    </row>
    <row r="3227" spans="1:18" x14ac:dyDescent="0.3">
      <c r="A3227">
        <v>10608</v>
      </c>
      <c r="B3227" t="s">
        <v>4874</v>
      </c>
      <c r="C3227" t="s">
        <v>598</v>
      </c>
      <c r="D3227" t="s">
        <v>128</v>
      </c>
      <c r="E3227" s="1">
        <v>45842</v>
      </c>
      <c r="F3227" t="s">
        <v>4336</v>
      </c>
      <c r="G3227" t="s">
        <v>2367</v>
      </c>
      <c r="H3227" t="s">
        <v>599</v>
      </c>
      <c r="I3227" t="s">
        <v>204</v>
      </c>
      <c r="J3227" s="1">
        <v>45869</v>
      </c>
      <c r="K3227" t="s">
        <v>762</v>
      </c>
      <c r="L3227">
        <v>3976.04</v>
      </c>
      <c r="M3227">
        <v>3976.04</v>
      </c>
      <c r="N3227" t="s">
        <v>710</v>
      </c>
      <c r="O3227" t="s">
        <v>1037</v>
      </c>
      <c r="P3227" t="s">
        <v>4794</v>
      </c>
      <c r="Q3227" t="s">
        <v>4852</v>
      </c>
      <c r="R3227" t="s">
        <v>4772</v>
      </c>
    </row>
    <row r="3228" spans="1:18" x14ac:dyDescent="0.3">
      <c r="A3228">
        <v>6856</v>
      </c>
      <c r="B3228" t="s">
        <v>4874</v>
      </c>
      <c r="C3228" t="s">
        <v>230</v>
      </c>
      <c r="D3228" t="s">
        <v>85</v>
      </c>
      <c r="E3228" s="1">
        <v>45842</v>
      </c>
      <c r="F3228" t="s">
        <v>4348</v>
      </c>
      <c r="G3228" t="s">
        <v>2351</v>
      </c>
      <c r="H3228" t="s">
        <v>299</v>
      </c>
      <c r="I3228" t="s">
        <v>204</v>
      </c>
      <c r="J3228" s="1">
        <v>46536</v>
      </c>
      <c r="K3228" t="s">
        <v>762</v>
      </c>
      <c r="L3228">
        <v>198518.11</v>
      </c>
      <c r="M3228">
        <v>198518.11</v>
      </c>
      <c r="N3228" t="s">
        <v>710</v>
      </c>
      <c r="O3228" t="s">
        <v>1033</v>
      </c>
      <c r="P3228" t="s">
        <v>4781</v>
      </c>
      <c r="Q3228" t="s">
        <v>4852</v>
      </c>
      <c r="R3228" t="s">
        <v>4771</v>
      </c>
    </row>
    <row r="3229" spans="1:18" x14ac:dyDescent="0.3">
      <c r="A3229">
        <v>589367</v>
      </c>
      <c r="B3229" t="s">
        <v>4874</v>
      </c>
      <c r="C3229" t="s">
        <v>248</v>
      </c>
      <c r="D3229" t="s">
        <v>13</v>
      </c>
      <c r="E3229" s="1">
        <v>45842</v>
      </c>
      <c r="F3229" t="s">
        <v>4297</v>
      </c>
      <c r="G3229" t="s">
        <v>2361</v>
      </c>
      <c r="H3229" t="s">
        <v>247</v>
      </c>
      <c r="I3229" t="s">
        <v>204</v>
      </c>
      <c r="J3229" s="1">
        <v>54878</v>
      </c>
      <c r="K3229" t="s">
        <v>720</v>
      </c>
      <c r="L3229">
        <v>1</v>
      </c>
      <c r="M3229">
        <v>488.4</v>
      </c>
      <c r="N3229" t="s">
        <v>710</v>
      </c>
      <c r="O3229" t="s">
        <v>1038</v>
      </c>
      <c r="P3229" t="s">
        <v>4779</v>
      </c>
      <c r="Q3229" t="s">
        <v>4858</v>
      </c>
      <c r="R3229" t="s">
        <v>4773</v>
      </c>
    </row>
    <row r="3230" spans="1:18" x14ac:dyDescent="0.3">
      <c r="A3230">
        <v>381887</v>
      </c>
      <c r="B3230" t="s">
        <v>4874</v>
      </c>
      <c r="C3230" t="s">
        <v>250</v>
      </c>
      <c r="D3230" t="s">
        <v>55</v>
      </c>
      <c r="E3230" s="1">
        <v>45842</v>
      </c>
      <c r="F3230" t="s">
        <v>4391</v>
      </c>
      <c r="G3230" t="s">
        <v>2358</v>
      </c>
      <c r="H3230" t="s">
        <v>249</v>
      </c>
      <c r="I3230" t="s">
        <v>204</v>
      </c>
      <c r="J3230" s="1">
        <v>54878</v>
      </c>
      <c r="K3230" t="s">
        <v>720</v>
      </c>
      <c r="L3230">
        <v>1</v>
      </c>
      <c r="M3230">
        <v>643.59</v>
      </c>
      <c r="N3230" t="s">
        <v>719</v>
      </c>
      <c r="O3230" t="s">
        <v>1038</v>
      </c>
      <c r="P3230" t="s">
        <v>4778</v>
      </c>
      <c r="Q3230" t="s">
        <v>4858</v>
      </c>
      <c r="R3230" t="s">
        <v>4771</v>
      </c>
    </row>
    <row r="3231" spans="1:18" x14ac:dyDescent="0.3">
      <c r="A3231">
        <v>432107826</v>
      </c>
      <c r="B3231" t="s">
        <v>4874</v>
      </c>
      <c r="C3231" t="s">
        <v>298</v>
      </c>
      <c r="D3231" t="s">
        <v>11</v>
      </c>
      <c r="E3231" s="1">
        <v>45842</v>
      </c>
      <c r="F3231" t="s">
        <v>4297</v>
      </c>
      <c r="G3231" t="s">
        <v>2357</v>
      </c>
      <c r="H3231" t="s">
        <v>297</v>
      </c>
      <c r="I3231" t="s">
        <v>204</v>
      </c>
      <c r="J3231" s="1">
        <v>54878</v>
      </c>
      <c r="K3231" t="s">
        <v>720</v>
      </c>
      <c r="L3231">
        <v>1</v>
      </c>
      <c r="M3231">
        <v>1185.78</v>
      </c>
      <c r="N3231" t="s">
        <v>710</v>
      </c>
      <c r="O3231" t="s">
        <v>1038</v>
      </c>
      <c r="P3231" t="s">
        <v>4779</v>
      </c>
      <c r="Q3231" t="s">
        <v>4858</v>
      </c>
      <c r="R3231" t="s">
        <v>4771</v>
      </c>
    </row>
    <row r="3232" spans="1:18" x14ac:dyDescent="0.3">
      <c r="A3232">
        <v>10636</v>
      </c>
      <c r="B3232" t="s">
        <v>4874</v>
      </c>
      <c r="C3232" t="s">
        <v>546</v>
      </c>
      <c r="D3232" t="s">
        <v>75</v>
      </c>
      <c r="E3232" s="1">
        <v>45842</v>
      </c>
      <c r="F3232" t="s">
        <v>4355</v>
      </c>
      <c r="G3232" t="s">
        <v>2344</v>
      </c>
      <c r="H3232" t="s">
        <v>581</v>
      </c>
      <c r="I3232" t="s">
        <v>204</v>
      </c>
      <c r="J3232" s="1">
        <v>46233</v>
      </c>
      <c r="K3232" t="s">
        <v>720</v>
      </c>
      <c r="L3232">
        <v>1</v>
      </c>
      <c r="M3232">
        <v>3090.55</v>
      </c>
      <c r="N3232" t="s">
        <v>814</v>
      </c>
      <c r="O3232" t="s">
        <v>1038</v>
      </c>
      <c r="P3232" t="s">
        <v>4779</v>
      </c>
      <c r="Q3232" t="s">
        <v>4858</v>
      </c>
      <c r="R3232" t="s">
        <v>4773</v>
      </c>
    </row>
    <row r="3233" spans="1:18" x14ac:dyDescent="0.3">
      <c r="A3233">
        <v>193517</v>
      </c>
      <c r="B3233" t="s">
        <v>4874</v>
      </c>
      <c r="C3233" t="s">
        <v>467</v>
      </c>
      <c r="D3233" t="s">
        <v>175</v>
      </c>
      <c r="E3233" s="1">
        <v>45842</v>
      </c>
      <c r="F3233" t="s">
        <v>4315</v>
      </c>
      <c r="G3233" t="s">
        <v>2320</v>
      </c>
      <c r="H3233" t="s">
        <v>466</v>
      </c>
      <c r="I3233" t="s">
        <v>204</v>
      </c>
      <c r="J3233" s="1">
        <v>46266</v>
      </c>
      <c r="K3233" t="s">
        <v>762</v>
      </c>
      <c r="L3233">
        <v>10771.59</v>
      </c>
      <c r="M3233">
        <v>10771.59</v>
      </c>
      <c r="N3233" t="s">
        <v>710</v>
      </c>
      <c r="O3233" t="s">
        <v>4845</v>
      </c>
      <c r="P3233" t="s">
        <v>4776</v>
      </c>
      <c r="Q3233" t="s">
        <v>4845</v>
      </c>
      <c r="R3233" t="s">
        <v>4773</v>
      </c>
    </row>
    <row r="3234" spans="1:18" x14ac:dyDescent="0.3">
      <c r="A3234">
        <v>5056798</v>
      </c>
      <c r="B3234" t="s">
        <v>4874</v>
      </c>
      <c r="C3234" t="s">
        <v>459</v>
      </c>
      <c r="D3234" t="s">
        <v>160</v>
      </c>
      <c r="E3234" s="1">
        <v>45842</v>
      </c>
      <c r="F3234" t="s">
        <v>4399</v>
      </c>
      <c r="G3234" t="s">
        <v>2331</v>
      </c>
      <c r="H3234" t="s">
        <v>458</v>
      </c>
      <c r="I3234" t="s">
        <v>209</v>
      </c>
      <c r="J3234" s="1">
        <v>54878</v>
      </c>
      <c r="K3234" t="s">
        <v>762</v>
      </c>
      <c r="L3234">
        <v>35213.71</v>
      </c>
      <c r="M3234">
        <v>35213.71</v>
      </c>
      <c r="N3234" t="s">
        <v>710</v>
      </c>
      <c r="Q3234" t="s">
        <v>4852</v>
      </c>
      <c r="R3234" t="s">
        <v>4772</v>
      </c>
    </row>
    <row r="3235" spans="1:18" x14ac:dyDescent="0.3">
      <c r="A3235">
        <v>8518</v>
      </c>
      <c r="B3235" t="s">
        <v>4874</v>
      </c>
      <c r="C3235" t="s">
        <v>594</v>
      </c>
      <c r="D3235" t="s">
        <v>27</v>
      </c>
      <c r="E3235" s="1">
        <v>45842</v>
      </c>
      <c r="F3235" t="s">
        <v>4323</v>
      </c>
      <c r="G3235" t="s">
        <v>2369</v>
      </c>
      <c r="H3235" t="s">
        <v>593</v>
      </c>
      <c r="I3235" t="s">
        <v>204</v>
      </c>
      <c r="J3235" s="1">
        <v>46204</v>
      </c>
      <c r="K3235" t="s">
        <v>762</v>
      </c>
      <c r="L3235">
        <v>347330.04</v>
      </c>
      <c r="M3235">
        <v>347330.04</v>
      </c>
      <c r="N3235" t="s">
        <v>814</v>
      </c>
      <c r="O3235" t="s">
        <v>1037</v>
      </c>
      <c r="P3235" t="s">
        <v>4794</v>
      </c>
      <c r="Q3235" t="s">
        <v>4852</v>
      </c>
      <c r="R3235" t="s">
        <v>4772</v>
      </c>
    </row>
    <row r="3236" spans="1:18" x14ac:dyDescent="0.3">
      <c r="A3236">
        <v>4069</v>
      </c>
      <c r="B3236" t="s">
        <v>4874</v>
      </c>
      <c r="C3236" t="s">
        <v>444</v>
      </c>
      <c r="D3236" t="s">
        <v>21</v>
      </c>
      <c r="E3236" s="1">
        <v>45842</v>
      </c>
      <c r="F3236" t="s">
        <v>4380</v>
      </c>
      <c r="G3236" t="s">
        <v>2373</v>
      </c>
      <c r="H3236" t="s">
        <v>443</v>
      </c>
      <c r="I3236" t="s">
        <v>209</v>
      </c>
      <c r="J3236" s="1">
        <v>54878</v>
      </c>
      <c r="K3236" t="s">
        <v>762</v>
      </c>
      <c r="L3236">
        <v>1</v>
      </c>
      <c r="M3236">
        <v>520</v>
      </c>
      <c r="N3236" t="s">
        <v>710</v>
      </c>
      <c r="O3236" t="s">
        <v>1037</v>
      </c>
      <c r="P3236" t="s">
        <v>4808</v>
      </c>
      <c r="Q3236" t="s">
        <v>4852</v>
      </c>
      <c r="R3236" t="s">
        <v>4772</v>
      </c>
    </row>
    <row r="3237" spans="1:18" x14ac:dyDescent="0.3">
      <c r="A3237">
        <v>10616</v>
      </c>
      <c r="B3237" t="s">
        <v>1034</v>
      </c>
      <c r="C3237" t="s">
        <v>598</v>
      </c>
      <c r="D3237" t="s">
        <v>128</v>
      </c>
      <c r="E3237" s="1">
        <v>45842</v>
      </c>
      <c r="F3237" t="s">
        <v>4336</v>
      </c>
      <c r="G3237" t="s">
        <v>2366</v>
      </c>
      <c r="H3237" t="s">
        <v>597</v>
      </c>
      <c r="I3237" t="s">
        <v>204</v>
      </c>
      <c r="J3237" s="1">
        <v>45839</v>
      </c>
      <c r="K3237" t="s">
        <v>717</v>
      </c>
      <c r="L3237">
        <v>5205.96</v>
      </c>
      <c r="M3237">
        <v>5205.96</v>
      </c>
      <c r="N3237" t="s">
        <v>710</v>
      </c>
      <c r="O3237" t="s">
        <v>1037</v>
      </c>
      <c r="P3237" t="s">
        <v>4794</v>
      </c>
      <c r="Q3237" t="s">
        <v>4852</v>
      </c>
      <c r="R3237" t="s">
        <v>4772</v>
      </c>
    </row>
    <row r="3238" spans="1:18" x14ac:dyDescent="0.3">
      <c r="A3238">
        <v>8527</v>
      </c>
      <c r="B3238" t="s">
        <v>1034</v>
      </c>
      <c r="C3238" t="s">
        <v>594</v>
      </c>
      <c r="D3238" t="s">
        <v>27</v>
      </c>
      <c r="E3238" s="1">
        <v>45842</v>
      </c>
      <c r="F3238" t="s">
        <v>4323</v>
      </c>
      <c r="G3238" t="s">
        <v>2370</v>
      </c>
      <c r="H3238" t="s">
        <v>595</v>
      </c>
      <c r="I3238" t="s">
        <v>204</v>
      </c>
      <c r="J3238" s="1">
        <v>46204</v>
      </c>
      <c r="K3238" t="s">
        <v>717</v>
      </c>
      <c r="L3238">
        <v>58417.72</v>
      </c>
      <c r="M3238">
        <v>58417.72</v>
      </c>
      <c r="N3238" t="s">
        <v>814</v>
      </c>
      <c r="O3238" t="s">
        <v>1037</v>
      </c>
      <c r="P3238" t="s">
        <v>4794</v>
      </c>
      <c r="Q3238" t="s">
        <v>4852</v>
      </c>
      <c r="R3238" t="s">
        <v>4772</v>
      </c>
    </row>
    <row r="3239" spans="1:18" x14ac:dyDescent="0.3">
      <c r="A3239">
        <v>772235</v>
      </c>
      <c r="B3239" t="s">
        <v>1034</v>
      </c>
      <c r="C3239" t="s">
        <v>609</v>
      </c>
      <c r="D3239" t="s">
        <v>182</v>
      </c>
      <c r="E3239" s="1">
        <v>45842</v>
      </c>
      <c r="F3239" t="s">
        <v>4336</v>
      </c>
      <c r="G3239" t="s">
        <v>2306</v>
      </c>
      <c r="H3239" t="s">
        <v>608</v>
      </c>
      <c r="I3239" t="s">
        <v>204</v>
      </c>
      <c r="J3239" s="1">
        <v>46281</v>
      </c>
      <c r="K3239" t="s">
        <v>717</v>
      </c>
      <c r="L3239">
        <v>1</v>
      </c>
      <c r="M3239">
        <v>179636.01</v>
      </c>
      <c r="N3239" t="s">
        <v>719</v>
      </c>
      <c r="O3239" t="s">
        <v>1037</v>
      </c>
      <c r="P3239" t="s">
        <v>4794</v>
      </c>
      <c r="Q3239" t="s">
        <v>4852</v>
      </c>
      <c r="R3239" t="s">
        <v>4772</v>
      </c>
    </row>
    <row r="3240" spans="1:18" x14ac:dyDescent="0.3">
      <c r="A3240">
        <v>776157</v>
      </c>
      <c r="B3240" t="s">
        <v>1034</v>
      </c>
      <c r="C3240" t="s">
        <v>609</v>
      </c>
      <c r="D3240" t="s">
        <v>182</v>
      </c>
      <c r="E3240" s="1">
        <v>45842</v>
      </c>
      <c r="F3240" t="s">
        <v>4336</v>
      </c>
      <c r="G3240" t="s">
        <v>2306</v>
      </c>
      <c r="H3240" t="s">
        <v>608</v>
      </c>
      <c r="I3240" t="s">
        <v>204</v>
      </c>
      <c r="J3240" s="1">
        <v>46281</v>
      </c>
      <c r="K3240" t="s">
        <v>717</v>
      </c>
      <c r="L3240">
        <v>1</v>
      </c>
      <c r="M3240">
        <v>25602.35</v>
      </c>
      <c r="N3240" t="s">
        <v>719</v>
      </c>
      <c r="O3240" t="s">
        <v>1037</v>
      </c>
      <c r="P3240" t="s">
        <v>4794</v>
      </c>
      <c r="Q3240" t="s">
        <v>4852</v>
      </c>
      <c r="R3240" t="s">
        <v>4772</v>
      </c>
    </row>
    <row r="3241" spans="1:18" x14ac:dyDescent="0.3">
      <c r="A3241">
        <v>6860</v>
      </c>
      <c r="B3241" t="s">
        <v>1034</v>
      </c>
      <c r="C3241" t="s">
        <v>230</v>
      </c>
      <c r="D3241" t="s">
        <v>85</v>
      </c>
      <c r="E3241" s="1">
        <v>45842</v>
      </c>
      <c r="F3241" t="s">
        <v>4348</v>
      </c>
      <c r="G3241" t="s">
        <v>2353</v>
      </c>
      <c r="H3241" t="s">
        <v>570</v>
      </c>
      <c r="I3241" t="s">
        <v>204</v>
      </c>
      <c r="J3241" s="1">
        <v>46418</v>
      </c>
      <c r="K3241" t="s">
        <v>717</v>
      </c>
      <c r="L3241">
        <v>1</v>
      </c>
      <c r="M3241">
        <v>508195.8</v>
      </c>
      <c r="N3241" t="s">
        <v>719</v>
      </c>
      <c r="O3241" t="s">
        <v>1033</v>
      </c>
      <c r="P3241" t="s">
        <v>4781</v>
      </c>
      <c r="Q3241" t="s">
        <v>4852</v>
      </c>
      <c r="R3241" t="s">
        <v>4771</v>
      </c>
    </row>
    <row r="3242" spans="1:18" x14ac:dyDescent="0.3">
      <c r="A3242">
        <v>2575</v>
      </c>
      <c r="B3242" t="s">
        <v>1034</v>
      </c>
      <c r="C3242" t="s">
        <v>541</v>
      </c>
      <c r="D3242" t="s">
        <v>173</v>
      </c>
      <c r="E3242" s="1">
        <v>45842</v>
      </c>
      <c r="F3242" t="s">
        <v>4326</v>
      </c>
      <c r="G3242" t="s">
        <v>2313</v>
      </c>
      <c r="H3242" t="s">
        <v>540</v>
      </c>
      <c r="I3242" t="s">
        <v>204</v>
      </c>
      <c r="J3242" s="1">
        <v>46386</v>
      </c>
      <c r="K3242" t="s">
        <v>711</v>
      </c>
      <c r="L3242">
        <v>1</v>
      </c>
      <c r="M3242">
        <v>2337.9499999999998</v>
      </c>
      <c r="N3242" t="s">
        <v>890</v>
      </c>
      <c r="O3242" t="s">
        <v>1036</v>
      </c>
      <c r="P3242" t="s">
        <v>4791</v>
      </c>
      <c r="Q3242" t="s">
        <v>4901</v>
      </c>
      <c r="R3242" t="s">
        <v>4773</v>
      </c>
    </row>
    <row r="3243" spans="1:18" x14ac:dyDescent="0.3">
      <c r="A3243">
        <v>2809</v>
      </c>
      <c r="B3243" t="s">
        <v>4874</v>
      </c>
      <c r="C3243" t="s">
        <v>372</v>
      </c>
      <c r="D3243" t="s">
        <v>105</v>
      </c>
      <c r="E3243" s="1">
        <v>45842</v>
      </c>
      <c r="F3243" t="s">
        <v>4408</v>
      </c>
      <c r="G3243" t="s">
        <v>2330</v>
      </c>
      <c r="H3243" t="s">
        <v>371</v>
      </c>
      <c r="I3243" t="s">
        <v>209</v>
      </c>
      <c r="J3243" s="1">
        <v>45904</v>
      </c>
      <c r="K3243" t="s">
        <v>720</v>
      </c>
      <c r="L3243">
        <v>9296</v>
      </c>
      <c r="M3243">
        <v>9296</v>
      </c>
      <c r="N3243" t="s">
        <v>719</v>
      </c>
      <c r="O3243" t="s">
        <v>1038</v>
      </c>
      <c r="P3243" t="s">
        <v>4777</v>
      </c>
      <c r="Q3243" t="s">
        <v>4858</v>
      </c>
      <c r="R3243" t="s">
        <v>4773</v>
      </c>
    </row>
    <row r="3244" spans="1:18" x14ac:dyDescent="0.3">
      <c r="A3244">
        <v>1757</v>
      </c>
      <c r="B3244" t="s">
        <v>4874</v>
      </c>
      <c r="C3244" t="s">
        <v>647</v>
      </c>
      <c r="D3244" t="s">
        <v>130</v>
      </c>
      <c r="E3244" s="1">
        <v>45842</v>
      </c>
      <c r="F3244" t="s">
        <v>4363</v>
      </c>
      <c r="G3244" t="s">
        <v>2341</v>
      </c>
      <c r="H3244" t="s">
        <v>646</v>
      </c>
      <c r="I3244" t="s">
        <v>204</v>
      </c>
      <c r="J3244" s="1">
        <v>46522</v>
      </c>
      <c r="K3244" t="s">
        <v>762</v>
      </c>
      <c r="L3244">
        <v>2081.4</v>
      </c>
      <c r="M3244">
        <v>2081.4</v>
      </c>
      <c r="N3244" t="s">
        <v>890</v>
      </c>
      <c r="O3244" t="s">
        <v>1044</v>
      </c>
      <c r="P3244" t="s">
        <v>4776</v>
      </c>
      <c r="Q3244" t="s">
        <v>4852</v>
      </c>
    </row>
    <row r="3245" spans="1:18" x14ac:dyDescent="0.3">
      <c r="A3245">
        <v>772234</v>
      </c>
      <c r="B3245" t="s">
        <v>4875</v>
      </c>
      <c r="C3245" t="s">
        <v>609</v>
      </c>
      <c r="D3245" t="s">
        <v>182</v>
      </c>
      <c r="E3245" s="1">
        <v>45842</v>
      </c>
      <c r="F3245" t="s">
        <v>4336</v>
      </c>
      <c r="G3245" t="s">
        <v>2305</v>
      </c>
      <c r="H3245" t="s">
        <v>610</v>
      </c>
      <c r="I3245" t="s">
        <v>204</v>
      </c>
      <c r="J3245" s="1">
        <v>46282</v>
      </c>
      <c r="K3245" t="s">
        <v>768</v>
      </c>
      <c r="L3245">
        <v>1</v>
      </c>
      <c r="M3245">
        <v>45784.160000000003</v>
      </c>
      <c r="N3245" t="s">
        <v>710</v>
      </c>
      <c r="O3245" t="s">
        <v>1037</v>
      </c>
      <c r="P3245" t="s">
        <v>4794</v>
      </c>
      <c r="Q3245" t="s">
        <v>4852</v>
      </c>
      <c r="R3245" t="s">
        <v>4772</v>
      </c>
    </row>
    <row r="3246" spans="1:18" x14ac:dyDescent="0.3">
      <c r="A3246">
        <v>776156</v>
      </c>
      <c r="B3246" t="s">
        <v>4875</v>
      </c>
      <c r="C3246" t="s">
        <v>609</v>
      </c>
      <c r="D3246" t="s">
        <v>182</v>
      </c>
      <c r="E3246" s="1">
        <v>45842</v>
      </c>
      <c r="F3246" t="s">
        <v>4336</v>
      </c>
      <c r="G3246" t="s">
        <v>2305</v>
      </c>
      <c r="H3246" t="s">
        <v>610</v>
      </c>
      <c r="I3246" t="s">
        <v>204</v>
      </c>
      <c r="J3246" s="1">
        <v>46282</v>
      </c>
      <c r="K3246" t="s">
        <v>768</v>
      </c>
      <c r="L3246">
        <v>1</v>
      </c>
      <c r="M3246">
        <v>6036.94</v>
      </c>
      <c r="N3246" t="s">
        <v>710</v>
      </c>
      <c r="O3246" t="s">
        <v>1037</v>
      </c>
      <c r="P3246" t="s">
        <v>4794</v>
      </c>
      <c r="Q3246" t="s">
        <v>4852</v>
      </c>
      <c r="R3246" t="s">
        <v>4772</v>
      </c>
    </row>
    <row r="3247" spans="1:18" x14ac:dyDescent="0.3">
      <c r="A3247">
        <v>6850</v>
      </c>
      <c r="B3247" t="s">
        <v>1035</v>
      </c>
      <c r="C3247" t="s">
        <v>230</v>
      </c>
      <c r="D3247" t="s">
        <v>85</v>
      </c>
      <c r="E3247" s="1">
        <v>45842</v>
      </c>
      <c r="F3247" t="s">
        <v>4348</v>
      </c>
      <c r="G3247" t="s">
        <v>2378</v>
      </c>
      <c r="H3247" t="s">
        <v>229</v>
      </c>
      <c r="I3247" t="s">
        <v>204</v>
      </c>
      <c r="J3247" s="1">
        <v>46203</v>
      </c>
      <c r="K3247" t="s">
        <v>744</v>
      </c>
      <c r="L3247">
        <v>48517.85</v>
      </c>
      <c r="M3247">
        <v>48517.85</v>
      </c>
      <c r="N3247" t="s">
        <v>710</v>
      </c>
      <c r="O3247" t="s">
        <v>1033</v>
      </c>
      <c r="P3247" t="s">
        <v>4781</v>
      </c>
      <c r="Q3247" t="s">
        <v>4852</v>
      </c>
      <c r="R3247" t="s">
        <v>4771</v>
      </c>
    </row>
    <row r="3248" spans="1:18" x14ac:dyDescent="0.3">
      <c r="A3248">
        <v>6851</v>
      </c>
      <c r="B3248" t="s">
        <v>1035</v>
      </c>
      <c r="C3248" t="s">
        <v>230</v>
      </c>
      <c r="D3248" t="s">
        <v>85</v>
      </c>
      <c r="E3248" s="1">
        <v>45842</v>
      </c>
      <c r="F3248" t="s">
        <v>4348</v>
      </c>
      <c r="G3248" t="s">
        <v>2378</v>
      </c>
      <c r="H3248" t="s">
        <v>229</v>
      </c>
      <c r="I3248" t="s">
        <v>204</v>
      </c>
      <c r="J3248" s="1">
        <v>46203</v>
      </c>
      <c r="K3248" t="s">
        <v>744</v>
      </c>
      <c r="L3248">
        <v>18802.560000000001</v>
      </c>
      <c r="M3248">
        <v>18802.560000000001</v>
      </c>
      <c r="N3248" t="s">
        <v>710</v>
      </c>
      <c r="O3248" t="s">
        <v>1033</v>
      </c>
      <c r="P3248" t="s">
        <v>4781</v>
      </c>
      <c r="Q3248" t="s">
        <v>4852</v>
      </c>
      <c r="R3248" t="s">
        <v>4771</v>
      </c>
    </row>
    <row r="3249" spans="1:18" x14ac:dyDescent="0.3">
      <c r="A3249">
        <v>10624</v>
      </c>
      <c r="B3249" t="s">
        <v>4875</v>
      </c>
      <c r="C3249" t="s">
        <v>598</v>
      </c>
      <c r="D3249" t="s">
        <v>128</v>
      </c>
      <c r="E3249" s="1">
        <v>45842</v>
      </c>
      <c r="F3249" t="s">
        <v>4336</v>
      </c>
      <c r="G3249" t="s">
        <v>2365</v>
      </c>
      <c r="H3249" t="s">
        <v>600</v>
      </c>
      <c r="I3249" t="s">
        <v>204</v>
      </c>
      <c r="J3249" s="1">
        <v>45869</v>
      </c>
      <c r="K3249" t="s">
        <v>768</v>
      </c>
      <c r="L3249">
        <v>840.09</v>
      </c>
      <c r="M3249">
        <v>840.09</v>
      </c>
      <c r="N3249" t="s">
        <v>710</v>
      </c>
      <c r="O3249" t="s">
        <v>1037</v>
      </c>
      <c r="P3249" t="s">
        <v>4794</v>
      </c>
      <c r="Q3249" t="s">
        <v>4852</v>
      </c>
      <c r="R3249" t="s">
        <v>4772</v>
      </c>
    </row>
    <row r="3250" spans="1:18" x14ac:dyDescent="0.3">
      <c r="A3250">
        <v>8536</v>
      </c>
      <c r="B3250" t="s">
        <v>4875</v>
      </c>
      <c r="C3250" t="s">
        <v>594</v>
      </c>
      <c r="D3250" t="s">
        <v>27</v>
      </c>
      <c r="E3250" s="1">
        <v>45842</v>
      </c>
      <c r="F3250" t="s">
        <v>4323</v>
      </c>
      <c r="G3250" t="s">
        <v>2371</v>
      </c>
      <c r="H3250" t="s">
        <v>596</v>
      </c>
      <c r="I3250" t="s">
        <v>204</v>
      </c>
      <c r="J3250" s="1">
        <v>46204</v>
      </c>
      <c r="K3250" t="s">
        <v>768</v>
      </c>
      <c r="L3250">
        <v>12200.17</v>
      </c>
      <c r="M3250">
        <v>12200.17</v>
      </c>
      <c r="N3250" t="s">
        <v>814</v>
      </c>
      <c r="O3250" t="s">
        <v>1037</v>
      </c>
      <c r="P3250" t="s">
        <v>4794</v>
      </c>
      <c r="Q3250" t="s">
        <v>4852</v>
      </c>
      <c r="R3250" t="s">
        <v>4772</v>
      </c>
    </row>
    <row r="3251" spans="1:18" x14ac:dyDescent="0.3">
      <c r="A3251">
        <v>50453</v>
      </c>
      <c r="B3251" t="s">
        <v>1034</v>
      </c>
      <c r="C3251" t="s">
        <v>790</v>
      </c>
      <c r="D3251" t="s">
        <v>19</v>
      </c>
      <c r="E3251" s="1">
        <v>45841</v>
      </c>
      <c r="F3251" t="s">
        <v>4348</v>
      </c>
      <c r="G3251" t="s">
        <v>2315</v>
      </c>
      <c r="H3251" t="s">
        <v>287</v>
      </c>
      <c r="I3251" t="s">
        <v>209</v>
      </c>
      <c r="J3251" s="1">
        <v>54878</v>
      </c>
      <c r="K3251" t="s">
        <v>711</v>
      </c>
      <c r="L3251">
        <v>1</v>
      </c>
      <c r="M3251">
        <v>2950</v>
      </c>
      <c r="N3251" t="s">
        <v>710</v>
      </c>
      <c r="O3251" t="s">
        <v>1037</v>
      </c>
      <c r="P3251" t="s">
        <v>4781</v>
      </c>
      <c r="Q3251" t="s">
        <v>4852</v>
      </c>
      <c r="R3251" t="s">
        <v>4771</v>
      </c>
    </row>
    <row r="3252" spans="1:18" x14ac:dyDescent="0.3">
      <c r="A3252">
        <v>180446555</v>
      </c>
      <c r="B3252" t="s">
        <v>1034</v>
      </c>
      <c r="C3252" t="s">
        <v>585</v>
      </c>
      <c r="D3252" t="s">
        <v>179</v>
      </c>
      <c r="E3252" s="1">
        <v>45841</v>
      </c>
      <c r="F3252" t="s">
        <v>4306</v>
      </c>
      <c r="G3252" t="s">
        <v>2337</v>
      </c>
      <c r="H3252" t="s">
        <v>584</v>
      </c>
      <c r="I3252" t="s">
        <v>204</v>
      </c>
      <c r="J3252" s="1">
        <v>46477</v>
      </c>
      <c r="K3252" t="s">
        <v>717</v>
      </c>
      <c r="L3252">
        <v>1139.9000000000001</v>
      </c>
      <c r="M3252">
        <v>1139.9000000000001</v>
      </c>
      <c r="N3252" t="s">
        <v>719</v>
      </c>
      <c r="O3252" t="s">
        <v>4833</v>
      </c>
      <c r="P3252" t="s">
        <v>4786</v>
      </c>
      <c r="Q3252" t="s">
        <v>4852</v>
      </c>
      <c r="R3252" t="s">
        <v>4771</v>
      </c>
    </row>
    <row r="3253" spans="1:18" x14ac:dyDescent="0.3">
      <c r="A3253">
        <v>40</v>
      </c>
      <c r="B3253" t="s">
        <v>4876</v>
      </c>
      <c r="C3253" t="s">
        <v>476</v>
      </c>
      <c r="D3253" t="s">
        <v>195</v>
      </c>
      <c r="E3253" s="1">
        <v>45841</v>
      </c>
      <c r="F3253" t="s">
        <v>4401</v>
      </c>
      <c r="G3253" t="s">
        <v>2312</v>
      </c>
      <c r="H3253" t="s">
        <v>475</v>
      </c>
      <c r="I3253" t="s">
        <v>204</v>
      </c>
      <c r="J3253" s="1">
        <v>54878</v>
      </c>
      <c r="K3253" t="s">
        <v>839</v>
      </c>
      <c r="L3253">
        <v>39330</v>
      </c>
      <c r="M3253">
        <v>39330</v>
      </c>
      <c r="N3253" t="s">
        <v>710</v>
      </c>
      <c r="O3253" t="s">
        <v>1042</v>
      </c>
      <c r="P3253" t="s">
        <v>1006</v>
      </c>
      <c r="Q3253" t="s">
        <v>4852</v>
      </c>
      <c r="R3253" t="s">
        <v>4771</v>
      </c>
    </row>
    <row r="3254" spans="1:18" x14ac:dyDescent="0.3">
      <c r="A3254">
        <v>3719</v>
      </c>
      <c r="B3254" t="s">
        <v>4874</v>
      </c>
      <c r="C3254" t="s">
        <v>225</v>
      </c>
      <c r="D3254" t="s">
        <v>166</v>
      </c>
      <c r="E3254" s="1">
        <v>45841</v>
      </c>
      <c r="F3254" t="s">
        <v>4383</v>
      </c>
      <c r="G3254" t="s">
        <v>2323</v>
      </c>
      <c r="H3254" t="s">
        <v>224</v>
      </c>
      <c r="I3254" t="s">
        <v>204</v>
      </c>
      <c r="J3254" s="1">
        <v>54878</v>
      </c>
      <c r="K3254" t="s">
        <v>720</v>
      </c>
      <c r="L3254">
        <v>476.36</v>
      </c>
      <c r="M3254">
        <v>476.36</v>
      </c>
      <c r="N3254" t="s">
        <v>710</v>
      </c>
      <c r="O3254" t="s">
        <v>4849</v>
      </c>
      <c r="P3254" t="s">
        <v>4776</v>
      </c>
      <c r="Q3254" t="s">
        <v>4855</v>
      </c>
      <c r="R3254" t="s">
        <v>4773</v>
      </c>
    </row>
    <row r="3255" spans="1:18" x14ac:dyDescent="0.3">
      <c r="A3255">
        <v>589128</v>
      </c>
      <c r="B3255" t="s">
        <v>4875</v>
      </c>
      <c r="C3255" t="s">
        <v>248</v>
      </c>
      <c r="D3255" t="s">
        <v>13</v>
      </c>
      <c r="E3255" s="1">
        <v>45841</v>
      </c>
      <c r="F3255" t="s">
        <v>4430</v>
      </c>
      <c r="G3255" t="s">
        <v>2287</v>
      </c>
      <c r="H3255" t="s">
        <v>351</v>
      </c>
      <c r="I3255" t="s">
        <v>204</v>
      </c>
      <c r="J3255" s="1">
        <v>54878</v>
      </c>
      <c r="K3255" t="s">
        <v>748</v>
      </c>
      <c r="L3255">
        <v>1450.04</v>
      </c>
      <c r="M3255">
        <v>1450.04</v>
      </c>
      <c r="N3255" t="s">
        <v>710</v>
      </c>
      <c r="O3255" t="s">
        <v>1040</v>
      </c>
      <c r="P3255" t="s">
        <v>4779</v>
      </c>
      <c r="Q3255" t="s">
        <v>4856</v>
      </c>
      <c r="R3255" t="s">
        <v>4773</v>
      </c>
    </row>
    <row r="3256" spans="1:18" x14ac:dyDescent="0.3">
      <c r="A3256">
        <v>180446556</v>
      </c>
      <c r="B3256" t="s">
        <v>4875</v>
      </c>
      <c r="C3256" t="s">
        <v>585</v>
      </c>
      <c r="D3256" t="s">
        <v>179</v>
      </c>
      <c r="E3256" s="1">
        <v>45841</v>
      </c>
      <c r="F3256" t="s">
        <v>4306</v>
      </c>
      <c r="G3256" t="s">
        <v>2338</v>
      </c>
      <c r="H3256" t="s">
        <v>586</v>
      </c>
      <c r="I3256" t="s">
        <v>204</v>
      </c>
      <c r="J3256" s="1">
        <v>46477</v>
      </c>
      <c r="K3256" t="s">
        <v>768</v>
      </c>
      <c r="L3256">
        <v>1139.9000000000001</v>
      </c>
      <c r="M3256">
        <v>1139.9000000000001</v>
      </c>
      <c r="N3256" t="s">
        <v>719</v>
      </c>
      <c r="O3256" t="s">
        <v>4833</v>
      </c>
      <c r="P3256" t="s">
        <v>4786</v>
      </c>
      <c r="Q3256" t="s">
        <v>4852</v>
      </c>
      <c r="R3256" t="s">
        <v>4771</v>
      </c>
    </row>
    <row r="3257" spans="1:18" x14ac:dyDescent="0.3">
      <c r="A3257">
        <v>349384</v>
      </c>
      <c r="B3257" t="s">
        <v>4874</v>
      </c>
      <c r="C3257" t="s">
        <v>407</v>
      </c>
      <c r="D3257" t="s">
        <v>170</v>
      </c>
      <c r="E3257" s="1">
        <v>45841</v>
      </c>
      <c r="F3257" t="s">
        <v>4388</v>
      </c>
      <c r="G3257" t="s">
        <v>2325</v>
      </c>
      <c r="H3257" t="s">
        <v>406</v>
      </c>
      <c r="I3257" t="s">
        <v>204</v>
      </c>
      <c r="J3257" s="1">
        <v>46387</v>
      </c>
      <c r="K3257" t="s">
        <v>762</v>
      </c>
      <c r="L3257">
        <v>33956</v>
      </c>
      <c r="M3257">
        <v>33955.019999999997</v>
      </c>
      <c r="N3257" t="s">
        <v>710</v>
      </c>
      <c r="O3257" t="s">
        <v>4833</v>
      </c>
      <c r="P3257" t="s">
        <v>4776</v>
      </c>
      <c r="Q3257" t="s">
        <v>4852</v>
      </c>
      <c r="R3257" t="s">
        <v>4771</v>
      </c>
    </row>
    <row r="3258" spans="1:18" x14ac:dyDescent="0.3">
      <c r="A3258">
        <v>589132</v>
      </c>
      <c r="B3258" t="s">
        <v>1034</v>
      </c>
      <c r="C3258" t="s">
        <v>248</v>
      </c>
      <c r="D3258" t="s">
        <v>13</v>
      </c>
      <c r="E3258" s="1">
        <v>45841</v>
      </c>
      <c r="F3258" t="s">
        <v>4297</v>
      </c>
      <c r="G3258" t="s">
        <v>2310</v>
      </c>
      <c r="H3258" t="s">
        <v>315</v>
      </c>
      <c r="I3258" t="s">
        <v>204</v>
      </c>
      <c r="J3258" s="1">
        <v>46073</v>
      </c>
      <c r="K3258" t="s">
        <v>711</v>
      </c>
      <c r="L3258">
        <v>5391.91</v>
      </c>
      <c r="M3258">
        <v>5391.91</v>
      </c>
      <c r="N3258" t="s">
        <v>710</v>
      </c>
      <c r="O3258" t="s">
        <v>1036</v>
      </c>
      <c r="P3258" t="s">
        <v>4779</v>
      </c>
      <c r="Q3258" t="s">
        <v>4901</v>
      </c>
      <c r="R3258" t="s">
        <v>4773</v>
      </c>
    </row>
    <row r="3259" spans="1:18" x14ac:dyDescent="0.3">
      <c r="A3259">
        <v>1241</v>
      </c>
      <c r="B3259" t="s">
        <v>4874</v>
      </c>
      <c r="C3259" t="s">
        <v>305</v>
      </c>
      <c r="D3259" t="s">
        <v>59</v>
      </c>
      <c r="E3259" s="1">
        <v>45841</v>
      </c>
      <c r="F3259" t="s">
        <v>4359</v>
      </c>
      <c r="G3259" t="s">
        <v>2282</v>
      </c>
      <c r="H3259" t="s">
        <v>304</v>
      </c>
      <c r="I3259" t="s">
        <v>204</v>
      </c>
      <c r="J3259" s="1">
        <v>46481</v>
      </c>
      <c r="K3259" t="s">
        <v>720</v>
      </c>
      <c r="L3259">
        <v>1</v>
      </c>
      <c r="M3259">
        <v>1483.04</v>
      </c>
      <c r="N3259" t="s">
        <v>809</v>
      </c>
      <c r="O3259" t="s">
        <v>1038</v>
      </c>
      <c r="P3259" t="s">
        <v>4783</v>
      </c>
      <c r="Q3259" t="s">
        <v>4858</v>
      </c>
      <c r="R3259" t="s">
        <v>4771</v>
      </c>
    </row>
    <row r="3260" spans="1:18" x14ac:dyDescent="0.3">
      <c r="A3260">
        <v>3190</v>
      </c>
      <c r="B3260" t="s">
        <v>4874</v>
      </c>
      <c r="C3260" t="s">
        <v>572</v>
      </c>
      <c r="D3260" t="s">
        <v>43</v>
      </c>
      <c r="E3260" s="1">
        <v>45841</v>
      </c>
      <c r="F3260" t="s">
        <v>4321</v>
      </c>
      <c r="G3260" t="s">
        <v>2296</v>
      </c>
      <c r="H3260" t="s">
        <v>571</v>
      </c>
      <c r="I3260" t="s">
        <v>204</v>
      </c>
      <c r="J3260" s="1">
        <v>46387</v>
      </c>
      <c r="K3260" t="s">
        <v>720</v>
      </c>
      <c r="L3260">
        <v>1</v>
      </c>
      <c r="M3260">
        <v>12085</v>
      </c>
      <c r="N3260" t="s">
        <v>814</v>
      </c>
      <c r="O3260" t="s">
        <v>1038</v>
      </c>
      <c r="P3260" t="s">
        <v>4782</v>
      </c>
      <c r="Q3260" t="s">
        <v>4858</v>
      </c>
      <c r="R3260" t="s">
        <v>4771</v>
      </c>
    </row>
    <row r="3261" spans="1:18" x14ac:dyDescent="0.3">
      <c r="A3261">
        <v>202525108</v>
      </c>
      <c r="B3261" t="s">
        <v>4874</v>
      </c>
      <c r="C3261" t="s">
        <v>222</v>
      </c>
      <c r="D3261" t="s">
        <v>80</v>
      </c>
      <c r="E3261" s="1">
        <v>45841</v>
      </c>
      <c r="F3261" t="s">
        <v>4419</v>
      </c>
      <c r="G3261" t="s">
        <v>2302</v>
      </c>
      <c r="H3261" t="s">
        <v>223</v>
      </c>
      <c r="I3261" t="s">
        <v>204</v>
      </c>
      <c r="J3261" s="1">
        <v>46504</v>
      </c>
      <c r="K3261" t="s">
        <v>720</v>
      </c>
      <c r="L3261">
        <v>1</v>
      </c>
      <c r="M3261">
        <v>500</v>
      </c>
      <c r="N3261" t="s">
        <v>710</v>
      </c>
      <c r="O3261" t="s">
        <v>4834</v>
      </c>
      <c r="P3261" t="s">
        <v>4778</v>
      </c>
      <c r="Q3261" t="s">
        <v>4858</v>
      </c>
      <c r="R3261" t="s">
        <v>4773</v>
      </c>
    </row>
    <row r="3262" spans="1:18" x14ac:dyDescent="0.3">
      <c r="A3262">
        <v>202547</v>
      </c>
      <c r="B3262" t="s">
        <v>1034</v>
      </c>
      <c r="C3262" t="s">
        <v>507</v>
      </c>
      <c r="D3262" t="s">
        <v>18</v>
      </c>
      <c r="E3262" s="1">
        <v>45840</v>
      </c>
      <c r="F3262" t="s">
        <v>4322</v>
      </c>
      <c r="G3262" t="s">
        <v>2297</v>
      </c>
      <c r="H3262" t="s">
        <v>506</v>
      </c>
      <c r="I3262" t="s">
        <v>204</v>
      </c>
      <c r="J3262" s="1">
        <v>46741</v>
      </c>
      <c r="K3262" t="s">
        <v>711</v>
      </c>
      <c r="L3262">
        <v>20</v>
      </c>
      <c r="M3262">
        <v>7000</v>
      </c>
      <c r="N3262" t="s">
        <v>710</v>
      </c>
      <c r="O3262" t="s">
        <v>1036</v>
      </c>
      <c r="P3262" t="s">
        <v>4777</v>
      </c>
      <c r="Q3262" t="s">
        <v>4901</v>
      </c>
      <c r="R3262" t="s">
        <v>4773</v>
      </c>
    </row>
    <row r="3263" spans="1:18" x14ac:dyDescent="0.3">
      <c r="A3263">
        <v>44</v>
      </c>
      <c r="B3263" t="s">
        <v>4875</v>
      </c>
      <c r="C3263" t="s">
        <v>561</v>
      </c>
      <c r="D3263" t="s">
        <v>121</v>
      </c>
      <c r="E3263" s="1">
        <v>45840</v>
      </c>
      <c r="F3263" t="s">
        <v>4390</v>
      </c>
      <c r="G3263" t="s">
        <v>2266</v>
      </c>
      <c r="H3263" t="s">
        <v>560</v>
      </c>
      <c r="I3263" t="s">
        <v>204</v>
      </c>
      <c r="J3263" s="1">
        <v>46732</v>
      </c>
      <c r="K3263" t="s">
        <v>748</v>
      </c>
      <c r="L3263">
        <v>6700</v>
      </c>
      <c r="M3263">
        <v>6700</v>
      </c>
      <c r="N3263" t="s">
        <v>818</v>
      </c>
      <c r="O3263" t="s">
        <v>1040</v>
      </c>
      <c r="P3263" t="s">
        <v>4777</v>
      </c>
      <c r="Q3263" t="s">
        <v>4856</v>
      </c>
      <c r="R3263" t="s">
        <v>4771</v>
      </c>
    </row>
    <row r="3264" spans="1:18" x14ac:dyDescent="0.3">
      <c r="A3264">
        <v>35753</v>
      </c>
      <c r="B3264" t="s">
        <v>4875</v>
      </c>
      <c r="C3264" t="s">
        <v>530</v>
      </c>
      <c r="D3264" t="s">
        <v>24</v>
      </c>
      <c r="E3264" s="1">
        <v>45840</v>
      </c>
      <c r="F3264" t="s">
        <v>4297</v>
      </c>
      <c r="G3264" t="s">
        <v>2274</v>
      </c>
      <c r="H3264" t="s">
        <v>529</v>
      </c>
      <c r="I3264" t="s">
        <v>204</v>
      </c>
      <c r="J3264" s="1">
        <v>46477</v>
      </c>
      <c r="K3264" t="s">
        <v>748</v>
      </c>
      <c r="L3264">
        <v>1</v>
      </c>
      <c r="M3264">
        <v>7155.86</v>
      </c>
      <c r="N3264" t="s">
        <v>710</v>
      </c>
      <c r="O3264" t="s">
        <v>1040</v>
      </c>
      <c r="P3264" t="s">
        <v>4779</v>
      </c>
      <c r="Q3264" t="s">
        <v>4856</v>
      </c>
      <c r="R3264" t="s">
        <v>4773</v>
      </c>
    </row>
    <row r="3265" spans="1:18" x14ac:dyDescent="0.3">
      <c r="A3265">
        <v>1652</v>
      </c>
      <c r="B3265" t="s">
        <v>4875</v>
      </c>
      <c r="C3265" t="s">
        <v>312</v>
      </c>
      <c r="D3265" t="s">
        <v>73</v>
      </c>
      <c r="E3265" s="1">
        <v>45840</v>
      </c>
      <c r="F3265" t="s">
        <v>4300</v>
      </c>
      <c r="G3265" t="s">
        <v>2286</v>
      </c>
      <c r="H3265" t="s">
        <v>365</v>
      </c>
      <c r="I3265" t="s">
        <v>204</v>
      </c>
      <c r="J3265" s="1">
        <v>46418</v>
      </c>
      <c r="K3265" t="s">
        <v>748</v>
      </c>
      <c r="L3265">
        <v>2255</v>
      </c>
      <c r="M3265">
        <v>2255</v>
      </c>
      <c r="N3265" t="s">
        <v>710</v>
      </c>
      <c r="O3265" t="s">
        <v>4834</v>
      </c>
      <c r="P3265" t="s">
        <v>1006</v>
      </c>
      <c r="Q3265" t="s">
        <v>4856</v>
      </c>
      <c r="R3265" t="s">
        <v>4773</v>
      </c>
    </row>
    <row r="3266" spans="1:18" x14ac:dyDescent="0.3">
      <c r="A3266">
        <v>44</v>
      </c>
      <c r="B3266" t="s">
        <v>4875</v>
      </c>
      <c r="C3266" t="s">
        <v>561</v>
      </c>
      <c r="D3266" t="s">
        <v>121</v>
      </c>
      <c r="E3266" s="1">
        <v>45840</v>
      </c>
      <c r="F3266" t="s">
        <v>4390</v>
      </c>
      <c r="G3266" t="s">
        <v>2266</v>
      </c>
      <c r="H3266" t="s">
        <v>560</v>
      </c>
      <c r="I3266" t="s">
        <v>204</v>
      </c>
      <c r="J3266" s="1">
        <v>46732</v>
      </c>
      <c r="K3266" t="s">
        <v>748</v>
      </c>
      <c r="L3266">
        <v>6700</v>
      </c>
      <c r="M3266">
        <v>-6700</v>
      </c>
      <c r="N3266" t="s">
        <v>818</v>
      </c>
      <c r="O3266" t="s">
        <v>1040</v>
      </c>
      <c r="P3266" t="s">
        <v>4777</v>
      </c>
      <c r="Q3266" t="s">
        <v>4856</v>
      </c>
      <c r="R3266" t="s">
        <v>4771</v>
      </c>
    </row>
    <row r="3267" spans="1:18" x14ac:dyDescent="0.3">
      <c r="A3267">
        <v>3873499</v>
      </c>
      <c r="B3267" t="s">
        <v>1034</v>
      </c>
      <c r="C3267" t="s">
        <v>417</v>
      </c>
      <c r="D3267" t="s">
        <v>185</v>
      </c>
      <c r="E3267" s="1">
        <v>45840</v>
      </c>
      <c r="F3267" t="s">
        <v>4335</v>
      </c>
      <c r="G3267" t="s">
        <v>2298</v>
      </c>
      <c r="H3267" t="s">
        <v>416</v>
      </c>
      <c r="I3267" t="s">
        <v>204</v>
      </c>
      <c r="J3267" s="1">
        <v>54878</v>
      </c>
      <c r="K3267" t="s">
        <v>717</v>
      </c>
      <c r="L3267">
        <v>1088.92</v>
      </c>
      <c r="M3267">
        <v>1088.92</v>
      </c>
      <c r="N3267" t="s">
        <v>710</v>
      </c>
      <c r="O3267" t="s">
        <v>1037</v>
      </c>
      <c r="P3267" t="s">
        <v>4780</v>
      </c>
      <c r="Q3267" t="s">
        <v>4852</v>
      </c>
      <c r="R3267" t="s">
        <v>4771</v>
      </c>
    </row>
    <row r="3268" spans="1:18" x14ac:dyDescent="0.3">
      <c r="A3268">
        <v>1880754</v>
      </c>
      <c r="B3268" t="s">
        <v>1034</v>
      </c>
      <c r="C3268" t="s">
        <v>417</v>
      </c>
      <c r="D3268" t="s">
        <v>185</v>
      </c>
      <c r="E3268" s="1">
        <v>45840</v>
      </c>
      <c r="F3268" t="s">
        <v>4346</v>
      </c>
      <c r="G3268" t="s">
        <v>2298</v>
      </c>
      <c r="H3268" t="s">
        <v>416</v>
      </c>
      <c r="I3268" t="s">
        <v>204</v>
      </c>
      <c r="J3268" s="1">
        <v>54878</v>
      </c>
      <c r="K3268" t="s">
        <v>717</v>
      </c>
      <c r="L3268">
        <v>3761.88</v>
      </c>
      <c r="M3268">
        <v>3761.88</v>
      </c>
      <c r="N3268" t="s">
        <v>710</v>
      </c>
      <c r="O3268" t="s">
        <v>1037</v>
      </c>
      <c r="P3268" t="s">
        <v>4780</v>
      </c>
      <c r="Q3268" t="s">
        <v>4852</v>
      </c>
      <c r="R3268" t="s">
        <v>4771</v>
      </c>
    </row>
    <row r="3269" spans="1:18" x14ac:dyDescent="0.3">
      <c r="A3269">
        <v>104789</v>
      </c>
      <c r="B3269" t="s">
        <v>1034</v>
      </c>
      <c r="C3269" t="s">
        <v>495</v>
      </c>
      <c r="D3269" t="s">
        <v>44</v>
      </c>
      <c r="E3269" s="1">
        <v>45840</v>
      </c>
      <c r="F3269" t="s">
        <v>4303</v>
      </c>
      <c r="G3269" t="s">
        <v>2319</v>
      </c>
      <c r="H3269" t="s">
        <v>494</v>
      </c>
      <c r="I3269" t="s">
        <v>204</v>
      </c>
      <c r="J3269" s="1">
        <v>54878</v>
      </c>
      <c r="K3269" t="s">
        <v>717</v>
      </c>
      <c r="L3269">
        <v>1472.5</v>
      </c>
      <c r="M3269">
        <v>1472.5</v>
      </c>
      <c r="N3269" t="s">
        <v>710</v>
      </c>
      <c r="O3269" t="s">
        <v>4833</v>
      </c>
      <c r="P3269" t="s">
        <v>4776</v>
      </c>
      <c r="Q3269" t="s">
        <v>4852</v>
      </c>
      <c r="R3269" t="s">
        <v>4773</v>
      </c>
    </row>
    <row r="3270" spans="1:18" x14ac:dyDescent="0.3">
      <c r="A3270">
        <v>7121</v>
      </c>
      <c r="B3270" t="s">
        <v>4874</v>
      </c>
      <c r="C3270" t="s">
        <v>387</v>
      </c>
      <c r="D3270" t="s">
        <v>42</v>
      </c>
      <c r="E3270" s="1">
        <v>45840</v>
      </c>
      <c r="F3270" t="s">
        <v>4345</v>
      </c>
      <c r="G3270" t="s">
        <v>2316</v>
      </c>
      <c r="H3270" t="s">
        <v>386</v>
      </c>
      <c r="I3270" t="s">
        <v>204</v>
      </c>
      <c r="J3270" s="1">
        <v>54878</v>
      </c>
      <c r="K3270" t="s">
        <v>762</v>
      </c>
      <c r="L3270">
        <v>1870</v>
      </c>
      <c r="M3270">
        <v>1870</v>
      </c>
      <c r="N3270" t="s">
        <v>719</v>
      </c>
      <c r="O3270" t="s">
        <v>4833</v>
      </c>
      <c r="P3270" t="s">
        <v>4776</v>
      </c>
      <c r="Q3270" t="s">
        <v>4852</v>
      </c>
      <c r="R3270" t="s">
        <v>4773</v>
      </c>
    </row>
    <row r="3271" spans="1:18" x14ac:dyDescent="0.3">
      <c r="A3271">
        <v>2864</v>
      </c>
      <c r="B3271" t="s">
        <v>4874</v>
      </c>
      <c r="C3271" t="s">
        <v>469</v>
      </c>
      <c r="D3271" t="s">
        <v>124</v>
      </c>
      <c r="E3271" s="1">
        <v>45840</v>
      </c>
      <c r="F3271" t="s">
        <v>4361</v>
      </c>
      <c r="G3271" t="s">
        <v>2329</v>
      </c>
      <c r="H3271" t="s">
        <v>468</v>
      </c>
      <c r="I3271" t="s">
        <v>204</v>
      </c>
      <c r="J3271" s="1">
        <v>54878</v>
      </c>
      <c r="K3271" t="s">
        <v>762</v>
      </c>
      <c r="L3271">
        <v>484</v>
      </c>
      <c r="M3271">
        <v>484</v>
      </c>
      <c r="N3271" t="s">
        <v>719</v>
      </c>
      <c r="O3271" t="s">
        <v>4845</v>
      </c>
      <c r="P3271" t="s">
        <v>4776</v>
      </c>
      <c r="Q3271" t="s">
        <v>4845</v>
      </c>
      <c r="R3271" t="s">
        <v>4771</v>
      </c>
    </row>
    <row r="3272" spans="1:18" x14ac:dyDescent="0.3">
      <c r="A3272">
        <v>3873533</v>
      </c>
      <c r="B3272" t="s">
        <v>4874</v>
      </c>
      <c r="C3272" t="s">
        <v>417</v>
      </c>
      <c r="D3272" t="s">
        <v>185</v>
      </c>
      <c r="E3272" s="1">
        <v>45840</v>
      </c>
      <c r="F3272" t="s">
        <v>4335</v>
      </c>
      <c r="G3272" t="s">
        <v>2299</v>
      </c>
      <c r="H3272" t="s">
        <v>461</v>
      </c>
      <c r="I3272" t="s">
        <v>204</v>
      </c>
      <c r="J3272" s="1">
        <v>54878</v>
      </c>
      <c r="K3272" t="s">
        <v>762</v>
      </c>
      <c r="L3272">
        <v>3801.46</v>
      </c>
      <c r="M3272">
        <v>3801.46</v>
      </c>
      <c r="N3272" t="s">
        <v>710</v>
      </c>
      <c r="O3272" t="s">
        <v>1037</v>
      </c>
      <c r="P3272" t="s">
        <v>4780</v>
      </c>
      <c r="Q3272" t="s">
        <v>4852</v>
      </c>
      <c r="R3272" t="s">
        <v>4771</v>
      </c>
    </row>
    <row r="3273" spans="1:18" x14ac:dyDescent="0.3">
      <c r="A3273">
        <v>2864</v>
      </c>
      <c r="B3273" t="s">
        <v>4874</v>
      </c>
      <c r="C3273" t="s">
        <v>469</v>
      </c>
      <c r="D3273" t="s">
        <v>124</v>
      </c>
      <c r="E3273" s="1">
        <v>45840</v>
      </c>
      <c r="F3273" t="s">
        <v>4361</v>
      </c>
      <c r="G3273" t="s">
        <v>2329</v>
      </c>
      <c r="H3273" t="s">
        <v>468</v>
      </c>
      <c r="I3273" t="s">
        <v>204</v>
      </c>
      <c r="J3273" s="1">
        <v>54878</v>
      </c>
      <c r="K3273" t="s">
        <v>762</v>
      </c>
      <c r="L3273">
        <v>484</v>
      </c>
      <c r="M3273">
        <v>-484</v>
      </c>
      <c r="N3273" t="s">
        <v>719</v>
      </c>
      <c r="O3273" t="s">
        <v>4845</v>
      </c>
      <c r="P3273" t="s">
        <v>4776</v>
      </c>
      <c r="Q3273" t="s">
        <v>4845</v>
      </c>
      <c r="R3273" t="s">
        <v>4771</v>
      </c>
    </row>
    <row r="3274" spans="1:18" x14ac:dyDescent="0.3">
      <c r="A3274">
        <v>266</v>
      </c>
      <c r="B3274" t="s">
        <v>1034</v>
      </c>
      <c r="C3274" t="s">
        <v>325</v>
      </c>
      <c r="D3274" t="s">
        <v>193</v>
      </c>
      <c r="E3274" s="1">
        <v>45840</v>
      </c>
      <c r="F3274" t="s">
        <v>4297</v>
      </c>
      <c r="G3274" t="s">
        <v>2309</v>
      </c>
      <c r="H3274" t="s">
        <v>324</v>
      </c>
      <c r="I3274" t="s">
        <v>204</v>
      </c>
      <c r="J3274" s="1">
        <v>54878</v>
      </c>
      <c r="K3274" t="s">
        <v>711</v>
      </c>
      <c r="L3274">
        <v>3900</v>
      </c>
      <c r="M3274">
        <v>3900</v>
      </c>
      <c r="N3274" t="s">
        <v>710</v>
      </c>
      <c r="O3274" t="s">
        <v>4844</v>
      </c>
      <c r="P3274" t="s">
        <v>4779</v>
      </c>
      <c r="Q3274" t="s">
        <v>4901</v>
      </c>
      <c r="R3274" t="s">
        <v>4773</v>
      </c>
    </row>
    <row r="3275" spans="1:18" x14ac:dyDescent="0.3">
      <c r="A3275">
        <v>77901</v>
      </c>
      <c r="B3275" t="s">
        <v>4874</v>
      </c>
      <c r="C3275" t="s">
        <v>634</v>
      </c>
      <c r="D3275" t="s">
        <v>99</v>
      </c>
      <c r="E3275" s="1">
        <v>45839</v>
      </c>
      <c r="F3275" t="s">
        <v>4394</v>
      </c>
      <c r="G3275" t="s">
        <v>2281</v>
      </c>
      <c r="H3275" t="s">
        <v>633</v>
      </c>
      <c r="I3275" t="s">
        <v>204</v>
      </c>
      <c r="J3275" s="1">
        <v>46204</v>
      </c>
      <c r="K3275" t="s">
        <v>762</v>
      </c>
      <c r="L3275">
        <v>2694</v>
      </c>
      <c r="M3275">
        <v>2694</v>
      </c>
      <c r="N3275" t="s">
        <v>719</v>
      </c>
      <c r="O3275" t="s">
        <v>1037</v>
      </c>
      <c r="P3275" t="s">
        <v>4790</v>
      </c>
      <c r="Q3275" t="s">
        <v>4852</v>
      </c>
    </row>
    <row r="3276" spans="1:18" x14ac:dyDescent="0.3">
      <c r="A3276">
        <v>1759</v>
      </c>
      <c r="B3276" t="s">
        <v>4874</v>
      </c>
      <c r="C3276" t="s">
        <v>252</v>
      </c>
      <c r="D3276" t="s">
        <v>183</v>
      </c>
      <c r="E3276" s="1">
        <v>45839</v>
      </c>
      <c r="F3276" t="s">
        <v>4404</v>
      </c>
      <c r="G3276" t="s">
        <v>1270</v>
      </c>
      <c r="H3276" t="s">
        <v>251</v>
      </c>
      <c r="I3276" t="s">
        <v>204</v>
      </c>
      <c r="J3276" s="1">
        <v>46418</v>
      </c>
      <c r="K3276" t="s">
        <v>762</v>
      </c>
      <c r="L3276">
        <v>18900</v>
      </c>
      <c r="M3276">
        <v>18900</v>
      </c>
      <c r="N3276" t="s">
        <v>719</v>
      </c>
      <c r="O3276" t="s">
        <v>4904</v>
      </c>
      <c r="P3276" t="s">
        <v>4792</v>
      </c>
      <c r="Q3276" t="s">
        <v>4904</v>
      </c>
      <c r="R3276" t="s">
        <v>4773</v>
      </c>
    </row>
    <row r="3277" spans="1:18" x14ac:dyDescent="0.3">
      <c r="A3277">
        <v>2571</v>
      </c>
      <c r="B3277" t="s">
        <v>4874</v>
      </c>
      <c r="C3277" t="s">
        <v>630</v>
      </c>
      <c r="D3277" t="s">
        <v>145</v>
      </c>
      <c r="E3277" s="1">
        <v>45839</v>
      </c>
      <c r="F3277" t="s">
        <v>4300</v>
      </c>
      <c r="G3277" t="s">
        <v>2280</v>
      </c>
      <c r="H3277" t="s">
        <v>629</v>
      </c>
      <c r="I3277" t="s">
        <v>204</v>
      </c>
      <c r="J3277" s="1">
        <v>46264</v>
      </c>
      <c r="K3277" t="s">
        <v>720</v>
      </c>
      <c r="L3277">
        <v>1</v>
      </c>
      <c r="M3277">
        <v>18000</v>
      </c>
      <c r="N3277" t="s">
        <v>710</v>
      </c>
      <c r="O3277" t="s">
        <v>4849</v>
      </c>
      <c r="P3277" t="s">
        <v>4777</v>
      </c>
      <c r="Q3277" t="s">
        <v>4855</v>
      </c>
      <c r="R3277" t="s">
        <v>4771</v>
      </c>
    </row>
    <row r="3278" spans="1:18" x14ac:dyDescent="0.3">
      <c r="A3278">
        <v>2572</v>
      </c>
      <c r="B3278" t="s">
        <v>4874</v>
      </c>
      <c r="C3278" t="s">
        <v>630</v>
      </c>
      <c r="D3278" t="s">
        <v>145</v>
      </c>
      <c r="E3278" s="1">
        <v>45839</v>
      </c>
      <c r="F3278" t="s">
        <v>4417</v>
      </c>
      <c r="G3278" t="s">
        <v>2210</v>
      </c>
      <c r="H3278" t="s">
        <v>629</v>
      </c>
      <c r="I3278" t="s">
        <v>204</v>
      </c>
      <c r="J3278" s="1">
        <v>46264</v>
      </c>
      <c r="K3278" t="s">
        <v>720</v>
      </c>
      <c r="L3278">
        <v>1</v>
      </c>
      <c r="M3278">
        <v>23000</v>
      </c>
      <c r="N3278" t="s">
        <v>710</v>
      </c>
      <c r="O3278" t="s">
        <v>4849</v>
      </c>
      <c r="P3278" t="s">
        <v>4777</v>
      </c>
      <c r="Q3278" t="s">
        <v>4855</v>
      </c>
      <c r="R3278" t="s">
        <v>4771</v>
      </c>
    </row>
    <row r="3279" spans="1:18" x14ac:dyDescent="0.3">
      <c r="A3279">
        <v>77901</v>
      </c>
      <c r="B3279" t="s">
        <v>4874</v>
      </c>
      <c r="C3279" t="s">
        <v>634</v>
      </c>
      <c r="D3279" t="s">
        <v>99</v>
      </c>
      <c r="E3279" s="1">
        <v>45839</v>
      </c>
      <c r="F3279" t="s">
        <v>4307</v>
      </c>
      <c r="G3279" t="s">
        <v>2281</v>
      </c>
      <c r="H3279" t="s">
        <v>633</v>
      </c>
      <c r="I3279" t="s">
        <v>204</v>
      </c>
      <c r="J3279" s="1">
        <v>46204</v>
      </c>
      <c r="K3279" t="s">
        <v>762</v>
      </c>
      <c r="L3279">
        <v>2694</v>
      </c>
      <c r="M3279">
        <v>41999.46</v>
      </c>
      <c r="N3279" t="s">
        <v>719</v>
      </c>
      <c r="O3279" t="s">
        <v>1037</v>
      </c>
      <c r="P3279" t="s">
        <v>4790</v>
      </c>
      <c r="Q3279" t="s">
        <v>4852</v>
      </c>
    </row>
    <row r="3280" spans="1:18" x14ac:dyDescent="0.3">
      <c r="A3280">
        <v>77901</v>
      </c>
      <c r="B3280" t="s">
        <v>4874</v>
      </c>
      <c r="C3280" t="s">
        <v>634</v>
      </c>
      <c r="D3280" t="s">
        <v>99</v>
      </c>
      <c r="E3280" s="1">
        <v>45839</v>
      </c>
      <c r="F3280" t="s">
        <v>4308</v>
      </c>
      <c r="G3280" t="s">
        <v>2281</v>
      </c>
      <c r="H3280" t="s">
        <v>633</v>
      </c>
      <c r="I3280" t="s">
        <v>204</v>
      </c>
      <c r="J3280" s="1">
        <v>46204</v>
      </c>
      <c r="K3280" t="s">
        <v>762</v>
      </c>
      <c r="L3280">
        <v>96</v>
      </c>
      <c r="M3280">
        <v>467.52</v>
      </c>
      <c r="N3280" t="s">
        <v>719</v>
      </c>
      <c r="O3280" t="s">
        <v>1037</v>
      </c>
      <c r="P3280" t="s">
        <v>4790</v>
      </c>
      <c r="Q3280" t="s">
        <v>4852</v>
      </c>
    </row>
    <row r="3281" spans="1:18" x14ac:dyDescent="0.3">
      <c r="A3281">
        <v>77901</v>
      </c>
      <c r="B3281" t="s">
        <v>4874</v>
      </c>
      <c r="C3281" t="s">
        <v>634</v>
      </c>
      <c r="D3281" t="s">
        <v>99</v>
      </c>
      <c r="E3281" s="1">
        <v>45839</v>
      </c>
      <c r="F3281" t="s">
        <v>4329</v>
      </c>
      <c r="G3281" t="s">
        <v>2281</v>
      </c>
      <c r="H3281" t="s">
        <v>633</v>
      </c>
      <c r="I3281" t="s">
        <v>204</v>
      </c>
      <c r="J3281" s="1">
        <v>46204</v>
      </c>
      <c r="K3281" t="s">
        <v>762</v>
      </c>
      <c r="L3281">
        <v>28</v>
      </c>
      <c r="M3281">
        <v>372.12</v>
      </c>
      <c r="N3281" t="s">
        <v>719</v>
      </c>
      <c r="O3281" t="s">
        <v>1037</v>
      </c>
      <c r="P3281" t="s">
        <v>4790</v>
      </c>
      <c r="Q3281" t="s">
        <v>4852</v>
      </c>
    </row>
    <row r="3282" spans="1:18" x14ac:dyDescent="0.3">
      <c r="A3282">
        <v>77901</v>
      </c>
      <c r="B3282" t="s">
        <v>4874</v>
      </c>
      <c r="C3282" t="s">
        <v>634</v>
      </c>
      <c r="D3282" t="s">
        <v>99</v>
      </c>
      <c r="E3282" s="1">
        <v>45839</v>
      </c>
      <c r="F3282" t="s">
        <v>4400</v>
      </c>
      <c r="G3282" t="s">
        <v>2281</v>
      </c>
      <c r="H3282" t="s">
        <v>633</v>
      </c>
      <c r="I3282" t="s">
        <v>204</v>
      </c>
      <c r="J3282" s="1">
        <v>46204</v>
      </c>
      <c r="K3282" t="s">
        <v>762</v>
      </c>
      <c r="L3282">
        <v>91</v>
      </c>
      <c r="M3282">
        <v>533.26</v>
      </c>
      <c r="N3282" t="s">
        <v>719</v>
      </c>
      <c r="O3282" t="s">
        <v>1037</v>
      </c>
      <c r="P3282" t="s">
        <v>4790</v>
      </c>
      <c r="Q3282" t="s">
        <v>4852</v>
      </c>
    </row>
    <row r="3283" spans="1:18" x14ac:dyDescent="0.3">
      <c r="A3283">
        <v>77901</v>
      </c>
      <c r="B3283" t="s">
        <v>4874</v>
      </c>
      <c r="C3283" t="s">
        <v>634</v>
      </c>
      <c r="D3283" t="s">
        <v>99</v>
      </c>
      <c r="E3283" s="1">
        <v>45839</v>
      </c>
      <c r="F3283" t="s">
        <v>4310</v>
      </c>
      <c r="G3283" t="s">
        <v>2281</v>
      </c>
      <c r="H3283" t="s">
        <v>633</v>
      </c>
      <c r="I3283" t="s">
        <v>204</v>
      </c>
      <c r="J3283" s="1">
        <v>46204</v>
      </c>
      <c r="K3283" t="s">
        <v>762</v>
      </c>
      <c r="L3283">
        <v>6</v>
      </c>
      <c r="M3283">
        <v>21.96</v>
      </c>
      <c r="N3283" t="s">
        <v>719</v>
      </c>
      <c r="O3283" t="s">
        <v>1037</v>
      </c>
      <c r="P3283" t="s">
        <v>4790</v>
      </c>
      <c r="Q3283" t="s">
        <v>4852</v>
      </c>
    </row>
    <row r="3284" spans="1:18" x14ac:dyDescent="0.3">
      <c r="A3284">
        <v>77901</v>
      </c>
      <c r="B3284" t="s">
        <v>4874</v>
      </c>
      <c r="C3284" t="s">
        <v>634</v>
      </c>
      <c r="D3284" t="s">
        <v>99</v>
      </c>
      <c r="E3284" s="1">
        <v>45839</v>
      </c>
      <c r="F3284" t="s">
        <v>4418</v>
      </c>
      <c r="G3284" t="s">
        <v>2281</v>
      </c>
      <c r="H3284" t="s">
        <v>633</v>
      </c>
      <c r="I3284" t="s">
        <v>204</v>
      </c>
      <c r="J3284" s="1">
        <v>46204</v>
      </c>
      <c r="K3284" t="s">
        <v>762</v>
      </c>
      <c r="L3284">
        <v>1</v>
      </c>
      <c r="M3284">
        <v>11.25</v>
      </c>
      <c r="N3284" t="s">
        <v>719</v>
      </c>
      <c r="O3284" t="s">
        <v>1037</v>
      </c>
      <c r="P3284" t="s">
        <v>4790</v>
      </c>
      <c r="Q3284" t="s">
        <v>4852</v>
      </c>
    </row>
    <row r="3285" spans="1:18" x14ac:dyDescent="0.3">
      <c r="A3285">
        <v>83553</v>
      </c>
      <c r="B3285" t="s">
        <v>4875</v>
      </c>
      <c r="C3285" t="s">
        <v>319</v>
      </c>
      <c r="D3285" t="s">
        <v>36</v>
      </c>
      <c r="E3285" s="1">
        <v>45839</v>
      </c>
      <c r="F3285" t="s">
        <v>4298</v>
      </c>
      <c r="G3285" t="s">
        <v>2292</v>
      </c>
      <c r="H3285" t="s">
        <v>336</v>
      </c>
      <c r="I3285" t="s">
        <v>204</v>
      </c>
      <c r="J3285" s="1">
        <v>46075</v>
      </c>
      <c r="K3285" t="s">
        <v>748</v>
      </c>
      <c r="L3285">
        <v>2</v>
      </c>
      <c r="M3285">
        <v>411.34</v>
      </c>
      <c r="N3285" t="s">
        <v>710</v>
      </c>
      <c r="O3285" t="s">
        <v>1040</v>
      </c>
      <c r="P3285" t="s">
        <v>4784</v>
      </c>
      <c r="Q3285" t="s">
        <v>4856</v>
      </c>
      <c r="R3285" t="s">
        <v>4771</v>
      </c>
    </row>
    <row r="3286" spans="1:18" x14ac:dyDescent="0.3">
      <c r="A3286">
        <v>763</v>
      </c>
      <c r="B3286" t="s">
        <v>1034</v>
      </c>
      <c r="C3286" t="s">
        <v>603</v>
      </c>
      <c r="D3286" t="s">
        <v>69</v>
      </c>
      <c r="E3286" s="1">
        <v>45839</v>
      </c>
      <c r="F3286" t="s">
        <v>4345</v>
      </c>
      <c r="G3286" t="s">
        <v>1049</v>
      </c>
      <c r="H3286" t="s">
        <v>602</v>
      </c>
      <c r="I3286" t="s">
        <v>209</v>
      </c>
      <c r="J3286" s="1">
        <v>46276</v>
      </c>
      <c r="K3286" t="s">
        <v>720</v>
      </c>
      <c r="L3286">
        <v>1</v>
      </c>
      <c r="M3286">
        <v>2918.6</v>
      </c>
      <c r="N3286" t="s">
        <v>954</v>
      </c>
      <c r="O3286" t="s">
        <v>4834</v>
      </c>
      <c r="P3286" t="s">
        <v>952</v>
      </c>
      <c r="Q3286" t="s">
        <v>4901</v>
      </c>
      <c r="R3286" t="s">
        <v>4771</v>
      </c>
    </row>
    <row r="3287" spans="1:18" x14ac:dyDescent="0.3">
      <c r="A3287">
        <v>83552</v>
      </c>
      <c r="B3287" t="s">
        <v>1034</v>
      </c>
      <c r="C3287" t="s">
        <v>319</v>
      </c>
      <c r="D3287" t="s">
        <v>36</v>
      </c>
      <c r="E3287" s="1">
        <v>45839</v>
      </c>
      <c r="F3287" t="s">
        <v>4298</v>
      </c>
      <c r="G3287" t="s">
        <v>2300</v>
      </c>
      <c r="H3287" t="s">
        <v>318</v>
      </c>
      <c r="I3287" t="s">
        <v>204</v>
      </c>
      <c r="J3287" s="1">
        <v>46214</v>
      </c>
      <c r="K3287" t="s">
        <v>711</v>
      </c>
      <c r="L3287">
        <v>2150</v>
      </c>
      <c r="M3287">
        <v>2149.86</v>
      </c>
      <c r="N3287" t="s">
        <v>710</v>
      </c>
      <c r="O3287" t="s">
        <v>1036</v>
      </c>
      <c r="P3287" t="s">
        <v>4784</v>
      </c>
      <c r="Q3287" t="s">
        <v>4901</v>
      </c>
      <c r="R3287" t="s">
        <v>4771</v>
      </c>
    </row>
    <row r="3288" spans="1:18" x14ac:dyDescent="0.3">
      <c r="A3288">
        <v>3274</v>
      </c>
      <c r="B3288" t="s">
        <v>4874</v>
      </c>
      <c r="C3288" t="s">
        <v>612</v>
      </c>
      <c r="D3288" t="s">
        <v>102</v>
      </c>
      <c r="E3288" s="1">
        <v>45839</v>
      </c>
      <c r="F3288" t="s">
        <v>4300</v>
      </c>
      <c r="G3288" t="s">
        <v>1708</v>
      </c>
      <c r="H3288" t="s">
        <v>611</v>
      </c>
      <c r="I3288" t="s">
        <v>209</v>
      </c>
      <c r="J3288" s="1">
        <v>45961</v>
      </c>
      <c r="K3288" t="s">
        <v>720</v>
      </c>
      <c r="L3288">
        <v>20748</v>
      </c>
      <c r="M3288">
        <v>20748</v>
      </c>
      <c r="N3288" t="s">
        <v>710</v>
      </c>
      <c r="O3288" t="s">
        <v>1037</v>
      </c>
      <c r="P3288" t="s">
        <v>4777</v>
      </c>
      <c r="Q3288" t="s">
        <v>4852</v>
      </c>
      <c r="R3288" t="s">
        <v>4773</v>
      </c>
    </row>
    <row r="3289" spans="1:18" x14ac:dyDescent="0.3">
      <c r="A3289">
        <v>2025110</v>
      </c>
      <c r="B3289" t="s">
        <v>4875</v>
      </c>
      <c r="C3289" t="s">
        <v>322</v>
      </c>
      <c r="D3289" t="s">
        <v>158</v>
      </c>
      <c r="E3289" s="1">
        <v>45839</v>
      </c>
      <c r="F3289" t="s">
        <v>4431</v>
      </c>
      <c r="G3289" t="s">
        <v>2231</v>
      </c>
      <c r="H3289" t="s">
        <v>321</v>
      </c>
      <c r="I3289" t="s">
        <v>204</v>
      </c>
      <c r="J3289" s="1">
        <v>46310</v>
      </c>
      <c r="K3289" t="s">
        <v>748</v>
      </c>
      <c r="L3289">
        <v>7573.17</v>
      </c>
      <c r="M3289">
        <v>7573.17</v>
      </c>
      <c r="N3289" t="s">
        <v>710</v>
      </c>
      <c r="O3289" t="s">
        <v>1040</v>
      </c>
      <c r="P3289" t="s">
        <v>4782</v>
      </c>
      <c r="Q3289" t="s">
        <v>4856</v>
      </c>
      <c r="R3289" t="s">
        <v>4773</v>
      </c>
    </row>
    <row r="3290" spans="1:18" x14ac:dyDescent="0.3">
      <c r="A3290">
        <v>68992</v>
      </c>
      <c r="B3290" t="s">
        <v>4874</v>
      </c>
      <c r="C3290" t="s">
        <v>296</v>
      </c>
      <c r="D3290" t="s">
        <v>93</v>
      </c>
      <c r="E3290" s="1">
        <v>45839</v>
      </c>
      <c r="F3290" t="s">
        <v>4362</v>
      </c>
      <c r="G3290" t="s">
        <v>2304</v>
      </c>
      <c r="H3290" t="s">
        <v>295</v>
      </c>
      <c r="I3290" t="s">
        <v>209</v>
      </c>
      <c r="J3290" s="1">
        <v>54878</v>
      </c>
      <c r="K3290" t="s">
        <v>720</v>
      </c>
      <c r="L3290">
        <v>2199.0300000000002</v>
      </c>
      <c r="M3290">
        <v>2199.0300000000002</v>
      </c>
      <c r="N3290" t="s">
        <v>710</v>
      </c>
      <c r="Q3290" t="s">
        <v>4845</v>
      </c>
      <c r="R3290" t="s">
        <v>4772</v>
      </c>
    </row>
    <row r="3291" spans="1:18" x14ac:dyDescent="0.3">
      <c r="A3291">
        <v>83662</v>
      </c>
      <c r="B3291" t="s">
        <v>1034</v>
      </c>
      <c r="C3291" t="s">
        <v>319</v>
      </c>
      <c r="D3291" t="s">
        <v>36</v>
      </c>
      <c r="E3291" s="1">
        <v>45839</v>
      </c>
      <c r="F3291" t="s">
        <v>4298</v>
      </c>
      <c r="G3291" t="s">
        <v>2301</v>
      </c>
      <c r="H3291" t="s">
        <v>318</v>
      </c>
      <c r="I3291" t="s">
        <v>204</v>
      </c>
      <c r="J3291" s="1">
        <v>46214</v>
      </c>
      <c r="K3291" t="s">
        <v>711</v>
      </c>
      <c r="L3291">
        <v>1926</v>
      </c>
      <c r="M3291">
        <v>1926.28</v>
      </c>
      <c r="N3291" t="s">
        <v>710</v>
      </c>
      <c r="O3291" t="s">
        <v>1036</v>
      </c>
      <c r="P3291" t="s">
        <v>4784</v>
      </c>
      <c r="Q3291" t="s">
        <v>4901</v>
      </c>
      <c r="R3291" t="s">
        <v>4771</v>
      </c>
    </row>
    <row r="3292" spans="1:18" x14ac:dyDescent="0.3">
      <c r="A3292">
        <v>1635</v>
      </c>
      <c r="B3292" t="s">
        <v>1034</v>
      </c>
      <c r="C3292" t="s">
        <v>312</v>
      </c>
      <c r="D3292" t="s">
        <v>73</v>
      </c>
      <c r="E3292" s="1">
        <v>45839</v>
      </c>
      <c r="F3292" t="s">
        <v>4300</v>
      </c>
      <c r="G3292" t="s">
        <v>2311</v>
      </c>
      <c r="H3292" t="s">
        <v>311</v>
      </c>
      <c r="I3292" t="s">
        <v>204</v>
      </c>
      <c r="J3292" s="1">
        <v>54878</v>
      </c>
      <c r="K3292" t="s">
        <v>711</v>
      </c>
      <c r="L3292">
        <v>2255</v>
      </c>
      <c r="M3292">
        <v>2255</v>
      </c>
      <c r="N3292" t="s">
        <v>719</v>
      </c>
      <c r="O3292" t="s">
        <v>4834</v>
      </c>
      <c r="P3292" t="s">
        <v>1006</v>
      </c>
      <c r="Q3292" t="s">
        <v>4901</v>
      </c>
      <c r="R3292" t="s">
        <v>4773</v>
      </c>
    </row>
    <row r="3293" spans="1:18" x14ac:dyDescent="0.3">
      <c r="A3293">
        <v>16694</v>
      </c>
      <c r="B3293" t="s">
        <v>1034</v>
      </c>
      <c r="C3293" t="s">
        <v>359</v>
      </c>
      <c r="D3293" t="s">
        <v>53</v>
      </c>
      <c r="E3293" s="1">
        <v>45839</v>
      </c>
      <c r="F3293" t="s">
        <v>4305</v>
      </c>
      <c r="G3293" t="s">
        <v>2307</v>
      </c>
      <c r="H3293" t="s">
        <v>358</v>
      </c>
      <c r="I3293" t="s">
        <v>204</v>
      </c>
      <c r="J3293" s="1">
        <v>54878</v>
      </c>
      <c r="K3293" t="s">
        <v>711</v>
      </c>
      <c r="L3293">
        <v>625.37</v>
      </c>
      <c r="M3293">
        <v>625.37</v>
      </c>
      <c r="N3293" t="s">
        <v>710</v>
      </c>
      <c r="O3293" t="s">
        <v>1036</v>
      </c>
      <c r="P3293" t="s">
        <v>4776</v>
      </c>
      <c r="Q3293" t="s">
        <v>4901</v>
      </c>
      <c r="R3293" t="s">
        <v>4773</v>
      </c>
    </row>
    <row r="3294" spans="1:18" x14ac:dyDescent="0.3">
      <c r="A3294">
        <v>16174</v>
      </c>
      <c r="B3294" t="s">
        <v>1034</v>
      </c>
      <c r="C3294" t="s">
        <v>632</v>
      </c>
      <c r="D3294" t="s">
        <v>41</v>
      </c>
      <c r="E3294" s="1">
        <v>45839</v>
      </c>
      <c r="F3294" t="s">
        <v>4352</v>
      </c>
      <c r="G3294" t="s">
        <v>2047</v>
      </c>
      <c r="H3294" t="s">
        <v>631</v>
      </c>
      <c r="I3294" t="s">
        <v>204</v>
      </c>
      <c r="J3294" s="1">
        <v>50860</v>
      </c>
      <c r="K3294" t="s">
        <v>717</v>
      </c>
      <c r="L3294">
        <v>1</v>
      </c>
      <c r="M3294">
        <v>6240</v>
      </c>
      <c r="N3294" t="s">
        <v>710</v>
      </c>
      <c r="O3294" t="s">
        <v>4833</v>
      </c>
      <c r="P3294" t="s">
        <v>4776</v>
      </c>
      <c r="Q3294" t="s">
        <v>4852</v>
      </c>
      <c r="R3294" t="s">
        <v>4771</v>
      </c>
    </row>
    <row r="3295" spans="1:18" x14ac:dyDescent="0.3">
      <c r="A3295">
        <v>1487</v>
      </c>
      <c r="B3295" t="s">
        <v>1034</v>
      </c>
      <c r="C3295" t="s">
        <v>449</v>
      </c>
      <c r="D3295" t="s">
        <v>20</v>
      </c>
      <c r="E3295" s="1">
        <v>45838</v>
      </c>
      <c r="F3295" t="s">
        <v>4331</v>
      </c>
      <c r="G3295" t="s">
        <v>2295</v>
      </c>
      <c r="H3295" t="s">
        <v>448</v>
      </c>
      <c r="I3295" t="s">
        <v>204</v>
      </c>
      <c r="J3295" s="1">
        <v>46219</v>
      </c>
      <c r="K3295" t="s">
        <v>717</v>
      </c>
      <c r="L3295">
        <v>7608.11</v>
      </c>
      <c r="M3295">
        <v>7608.11</v>
      </c>
      <c r="N3295" t="s">
        <v>710</v>
      </c>
      <c r="O3295" t="s">
        <v>4902</v>
      </c>
      <c r="P3295" t="s">
        <v>4776</v>
      </c>
      <c r="Q3295" t="s">
        <v>4852</v>
      </c>
      <c r="R3295" t="s">
        <v>4771</v>
      </c>
    </row>
    <row r="3296" spans="1:18" x14ac:dyDescent="0.3">
      <c r="A3296">
        <v>424179</v>
      </c>
      <c r="B3296" t="s">
        <v>4874</v>
      </c>
      <c r="C3296" t="s">
        <v>239</v>
      </c>
      <c r="D3296" t="s">
        <v>199</v>
      </c>
      <c r="E3296" s="1">
        <v>45838</v>
      </c>
      <c r="F3296" t="s">
        <v>4325</v>
      </c>
      <c r="G3296" t="s">
        <v>2284</v>
      </c>
      <c r="H3296" t="s">
        <v>268</v>
      </c>
      <c r="I3296" t="s">
        <v>204</v>
      </c>
      <c r="J3296" s="1">
        <v>46172</v>
      </c>
      <c r="K3296" t="s">
        <v>720</v>
      </c>
      <c r="L3296">
        <v>1</v>
      </c>
      <c r="M3296">
        <v>109.9</v>
      </c>
      <c r="N3296" t="s">
        <v>710</v>
      </c>
      <c r="O3296" t="s">
        <v>1038</v>
      </c>
      <c r="P3296" t="s">
        <v>4779</v>
      </c>
      <c r="Q3296" t="s">
        <v>4858</v>
      </c>
      <c r="R3296" t="s">
        <v>4771</v>
      </c>
    </row>
    <row r="3297" spans="1:18" x14ac:dyDescent="0.3">
      <c r="A3297">
        <v>5151597</v>
      </c>
      <c r="B3297" t="s">
        <v>1034</v>
      </c>
      <c r="C3297" t="s">
        <v>463</v>
      </c>
      <c r="D3297" t="s">
        <v>147</v>
      </c>
      <c r="E3297" s="1">
        <v>45835</v>
      </c>
      <c r="F3297" t="s">
        <v>4334</v>
      </c>
      <c r="G3297" t="s">
        <v>2294</v>
      </c>
      <c r="H3297" t="s">
        <v>462</v>
      </c>
      <c r="I3297" t="s">
        <v>204</v>
      </c>
      <c r="J3297" s="1">
        <v>46752</v>
      </c>
      <c r="K3297" t="s">
        <v>717</v>
      </c>
      <c r="L3297">
        <v>1082.6300000000001</v>
      </c>
      <c r="M3297">
        <v>1082.6300000000001</v>
      </c>
      <c r="N3297" t="s">
        <v>719</v>
      </c>
      <c r="O3297" t="s">
        <v>1033</v>
      </c>
      <c r="P3297" t="s">
        <v>4776</v>
      </c>
      <c r="Q3297" t="s">
        <v>4852</v>
      </c>
      <c r="R3297" t="s">
        <v>4771</v>
      </c>
    </row>
    <row r="3298" spans="1:18" x14ac:dyDescent="0.3">
      <c r="A3298">
        <v>202597705</v>
      </c>
      <c r="B3298" t="s">
        <v>1034</v>
      </c>
      <c r="C3298" t="s">
        <v>522</v>
      </c>
      <c r="D3298" t="s">
        <v>50</v>
      </c>
      <c r="E3298" s="1">
        <v>45835</v>
      </c>
      <c r="F3298" t="s">
        <v>4352</v>
      </c>
      <c r="G3298" t="s">
        <v>2291</v>
      </c>
      <c r="H3298" t="s">
        <v>521</v>
      </c>
      <c r="I3298" t="s">
        <v>204</v>
      </c>
      <c r="J3298" s="1">
        <v>46387</v>
      </c>
      <c r="K3298" t="s">
        <v>717</v>
      </c>
      <c r="L3298">
        <v>547.27</v>
      </c>
      <c r="M3298">
        <v>547.27</v>
      </c>
      <c r="N3298" t="s">
        <v>884</v>
      </c>
      <c r="O3298" t="s">
        <v>1037</v>
      </c>
      <c r="P3298" t="s">
        <v>4776</v>
      </c>
      <c r="Q3298" t="s">
        <v>4852</v>
      </c>
      <c r="R3298" t="s">
        <v>4773</v>
      </c>
    </row>
    <row r="3299" spans="1:18" x14ac:dyDescent="0.3">
      <c r="A3299">
        <v>5494</v>
      </c>
      <c r="B3299" t="s">
        <v>4875</v>
      </c>
      <c r="C3299" t="s">
        <v>319</v>
      </c>
      <c r="D3299" t="s">
        <v>36</v>
      </c>
      <c r="E3299" s="1">
        <v>45835</v>
      </c>
      <c r="F3299" t="s">
        <v>4434</v>
      </c>
      <c r="G3299" t="s">
        <v>2208</v>
      </c>
      <c r="H3299" t="s">
        <v>336</v>
      </c>
      <c r="I3299" t="s">
        <v>204</v>
      </c>
      <c r="J3299" s="1">
        <v>46075</v>
      </c>
      <c r="K3299" t="s">
        <v>748</v>
      </c>
      <c r="L3299">
        <v>31490.57</v>
      </c>
      <c r="M3299">
        <v>31490.57</v>
      </c>
      <c r="N3299" t="s">
        <v>710</v>
      </c>
      <c r="O3299" t="s">
        <v>1040</v>
      </c>
      <c r="P3299" t="s">
        <v>4784</v>
      </c>
      <c r="Q3299" t="s">
        <v>4856</v>
      </c>
      <c r="R3299" t="s">
        <v>4771</v>
      </c>
    </row>
    <row r="3300" spans="1:18" x14ac:dyDescent="0.3">
      <c r="A3300">
        <v>82963</v>
      </c>
      <c r="B3300" t="s">
        <v>4875</v>
      </c>
      <c r="C3300" t="s">
        <v>319</v>
      </c>
      <c r="D3300" t="s">
        <v>36</v>
      </c>
      <c r="E3300" s="1">
        <v>45835</v>
      </c>
      <c r="F3300" t="s">
        <v>4434</v>
      </c>
      <c r="G3300" t="s">
        <v>2246</v>
      </c>
      <c r="H3300" t="s">
        <v>336</v>
      </c>
      <c r="I3300" t="s">
        <v>204</v>
      </c>
      <c r="J3300" s="1">
        <v>46075</v>
      </c>
      <c r="K3300" t="s">
        <v>748</v>
      </c>
      <c r="L3300">
        <v>6147.57</v>
      </c>
      <c r="M3300">
        <v>6147.57</v>
      </c>
      <c r="N3300" t="s">
        <v>710</v>
      </c>
      <c r="O3300" t="s">
        <v>1040</v>
      </c>
      <c r="P3300" t="s">
        <v>4784</v>
      </c>
      <c r="Q3300" t="s">
        <v>4856</v>
      </c>
      <c r="R3300" t="s">
        <v>4771</v>
      </c>
    </row>
    <row r="3301" spans="1:18" x14ac:dyDescent="0.3">
      <c r="A3301">
        <v>2552</v>
      </c>
      <c r="B3301" t="s">
        <v>4874</v>
      </c>
      <c r="C3301" t="s">
        <v>630</v>
      </c>
      <c r="D3301" t="s">
        <v>145</v>
      </c>
      <c r="E3301" s="1">
        <v>45834</v>
      </c>
      <c r="F3301" t="s">
        <v>4300</v>
      </c>
      <c r="G3301" t="s">
        <v>2280</v>
      </c>
      <c r="H3301" t="s">
        <v>629</v>
      </c>
      <c r="I3301" t="s">
        <v>204</v>
      </c>
      <c r="J3301" s="1">
        <v>46264</v>
      </c>
      <c r="K3301" t="s">
        <v>720</v>
      </c>
      <c r="L3301">
        <v>1</v>
      </c>
      <c r="M3301">
        <v>18000</v>
      </c>
      <c r="N3301" t="s">
        <v>710</v>
      </c>
      <c r="O3301" t="s">
        <v>4849</v>
      </c>
      <c r="P3301" t="s">
        <v>4777</v>
      </c>
      <c r="Q3301" t="s">
        <v>4855</v>
      </c>
      <c r="R3301" t="s">
        <v>4771</v>
      </c>
    </row>
    <row r="3302" spans="1:18" x14ac:dyDescent="0.3">
      <c r="A3302">
        <v>41728</v>
      </c>
      <c r="B3302" t="s">
        <v>1034</v>
      </c>
      <c r="C3302" t="s">
        <v>327</v>
      </c>
      <c r="D3302" t="s">
        <v>159</v>
      </c>
      <c r="E3302" s="1">
        <v>45834</v>
      </c>
      <c r="F3302" t="s">
        <v>4295</v>
      </c>
      <c r="G3302" t="s">
        <v>2259</v>
      </c>
      <c r="H3302" t="s">
        <v>357</v>
      </c>
      <c r="I3302" t="s">
        <v>204</v>
      </c>
      <c r="J3302" s="1">
        <v>46476</v>
      </c>
      <c r="K3302" t="s">
        <v>711</v>
      </c>
      <c r="L3302">
        <v>2150</v>
      </c>
      <c r="M3302">
        <v>2150</v>
      </c>
      <c r="N3302" t="s">
        <v>890</v>
      </c>
      <c r="O3302" t="s">
        <v>4834</v>
      </c>
      <c r="P3302" t="s">
        <v>4776</v>
      </c>
      <c r="Q3302" t="s">
        <v>4901</v>
      </c>
      <c r="R3302" t="s">
        <v>4773</v>
      </c>
    </row>
    <row r="3303" spans="1:18" x14ac:dyDescent="0.3">
      <c r="A3303">
        <v>158178</v>
      </c>
      <c r="B3303" t="s">
        <v>1034</v>
      </c>
      <c r="C3303" t="s">
        <v>301</v>
      </c>
      <c r="D3303" t="s">
        <v>23</v>
      </c>
      <c r="E3303" s="1">
        <v>45834</v>
      </c>
      <c r="F3303" t="s">
        <v>4321</v>
      </c>
      <c r="G3303" t="s">
        <v>2144</v>
      </c>
      <c r="H3303" t="s">
        <v>323</v>
      </c>
      <c r="I3303" t="s">
        <v>204</v>
      </c>
      <c r="J3303" s="1">
        <v>46538</v>
      </c>
      <c r="K3303" t="s">
        <v>711</v>
      </c>
      <c r="L3303">
        <v>5244.13</v>
      </c>
      <c r="M3303">
        <v>5244.13</v>
      </c>
      <c r="N3303" t="s">
        <v>710</v>
      </c>
      <c r="O3303" t="s">
        <v>1036</v>
      </c>
      <c r="P3303" t="s">
        <v>4782</v>
      </c>
      <c r="Q3303" t="s">
        <v>4901</v>
      </c>
      <c r="R3303" t="s">
        <v>4773</v>
      </c>
    </row>
    <row r="3304" spans="1:18" x14ac:dyDescent="0.3">
      <c r="A3304">
        <v>20251188</v>
      </c>
      <c r="B3304" t="s">
        <v>1034</v>
      </c>
      <c r="C3304" t="s">
        <v>364</v>
      </c>
      <c r="D3304" t="s">
        <v>72</v>
      </c>
      <c r="E3304" s="1">
        <v>45834</v>
      </c>
      <c r="F3304" t="s">
        <v>4295</v>
      </c>
      <c r="G3304" t="s">
        <v>2217</v>
      </c>
      <c r="H3304" t="s">
        <v>363</v>
      </c>
      <c r="I3304" t="s">
        <v>209</v>
      </c>
      <c r="J3304" s="1">
        <v>46092</v>
      </c>
      <c r="K3304" t="s">
        <v>711</v>
      </c>
      <c r="L3304">
        <v>5192</v>
      </c>
      <c r="M3304">
        <v>5192</v>
      </c>
      <c r="N3304" t="s">
        <v>710</v>
      </c>
      <c r="O3304" t="s">
        <v>4834</v>
      </c>
      <c r="P3304" t="s">
        <v>4776</v>
      </c>
      <c r="Q3304" t="s">
        <v>4901</v>
      </c>
      <c r="R3304" t="s">
        <v>4773</v>
      </c>
    </row>
    <row r="3305" spans="1:18" x14ac:dyDescent="0.3">
      <c r="A3305">
        <v>401113</v>
      </c>
      <c r="B3305" t="s">
        <v>4874</v>
      </c>
      <c r="C3305" t="s">
        <v>376</v>
      </c>
      <c r="D3305" t="s">
        <v>35</v>
      </c>
      <c r="E3305" s="1">
        <v>45833</v>
      </c>
      <c r="F3305" t="s">
        <v>4324</v>
      </c>
      <c r="G3305" t="s">
        <v>2255</v>
      </c>
      <c r="H3305" t="s">
        <v>442</v>
      </c>
      <c r="I3305" t="s">
        <v>209</v>
      </c>
      <c r="J3305" s="1">
        <v>54878</v>
      </c>
      <c r="K3305" t="s">
        <v>762</v>
      </c>
      <c r="L3305">
        <v>101322.5</v>
      </c>
      <c r="M3305">
        <v>101322.5</v>
      </c>
      <c r="N3305" t="s">
        <v>710</v>
      </c>
      <c r="Q3305" t="s">
        <v>4852</v>
      </c>
      <c r="R3305" t="s">
        <v>4771</v>
      </c>
    </row>
    <row r="3306" spans="1:18" x14ac:dyDescent="0.3">
      <c r="A3306">
        <v>98174146</v>
      </c>
      <c r="B3306" t="s">
        <v>4874</v>
      </c>
      <c r="C3306" t="s">
        <v>433</v>
      </c>
      <c r="D3306" t="s">
        <v>168</v>
      </c>
      <c r="E3306" s="1">
        <v>45833</v>
      </c>
      <c r="F3306" t="s">
        <v>4319</v>
      </c>
      <c r="G3306" t="s">
        <v>2275</v>
      </c>
      <c r="H3306" t="s">
        <v>432</v>
      </c>
      <c r="I3306" t="s">
        <v>204</v>
      </c>
      <c r="J3306" s="1">
        <v>46473</v>
      </c>
      <c r="K3306" t="s">
        <v>762</v>
      </c>
      <c r="L3306">
        <v>1302</v>
      </c>
      <c r="M3306">
        <v>1301.9000000000001</v>
      </c>
      <c r="N3306" t="s">
        <v>710</v>
      </c>
      <c r="O3306" t="s">
        <v>4833</v>
      </c>
      <c r="P3306" t="s">
        <v>4802</v>
      </c>
      <c r="Q3306" t="s">
        <v>4852</v>
      </c>
      <c r="R3306" t="s">
        <v>4771</v>
      </c>
    </row>
    <row r="3307" spans="1:18" x14ac:dyDescent="0.3">
      <c r="A3307">
        <v>127527</v>
      </c>
      <c r="B3307" t="s">
        <v>1034</v>
      </c>
      <c r="C3307" t="s">
        <v>415</v>
      </c>
      <c r="D3307" t="s">
        <v>60</v>
      </c>
      <c r="E3307" s="1">
        <v>45833</v>
      </c>
      <c r="F3307" t="s">
        <v>4333</v>
      </c>
      <c r="G3307" t="s">
        <v>2270</v>
      </c>
      <c r="H3307" t="s">
        <v>431</v>
      </c>
      <c r="I3307" t="s">
        <v>204</v>
      </c>
      <c r="J3307" s="1">
        <v>46386</v>
      </c>
      <c r="K3307" t="s">
        <v>717</v>
      </c>
      <c r="L3307">
        <v>14923.47</v>
      </c>
      <c r="M3307">
        <v>14923.47</v>
      </c>
      <c r="N3307" t="s">
        <v>814</v>
      </c>
      <c r="O3307" t="s">
        <v>1037</v>
      </c>
      <c r="P3307" t="s">
        <v>4807</v>
      </c>
      <c r="Q3307" t="s">
        <v>4852</v>
      </c>
      <c r="R3307" t="s">
        <v>4771</v>
      </c>
    </row>
    <row r="3308" spans="1:18" x14ac:dyDescent="0.3">
      <c r="A3308">
        <v>127533</v>
      </c>
      <c r="B3308" t="s">
        <v>4875</v>
      </c>
      <c r="C3308" t="s">
        <v>415</v>
      </c>
      <c r="D3308" t="s">
        <v>60</v>
      </c>
      <c r="E3308" s="1">
        <v>45833</v>
      </c>
      <c r="F3308" t="s">
        <v>4333</v>
      </c>
      <c r="G3308" t="s">
        <v>2271</v>
      </c>
      <c r="H3308" t="s">
        <v>414</v>
      </c>
      <c r="I3308" t="s">
        <v>204</v>
      </c>
      <c r="J3308" s="1">
        <v>46386</v>
      </c>
      <c r="K3308" t="s">
        <v>768</v>
      </c>
      <c r="L3308">
        <v>2452.65</v>
      </c>
      <c r="M3308">
        <v>2452.65</v>
      </c>
      <c r="N3308" t="s">
        <v>814</v>
      </c>
      <c r="O3308" t="s">
        <v>1037</v>
      </c>
      <c r="P3308" t="s">
        <v>4807</v>
      </c>
      <c r="Q3308" t="s">
        <v>4852</v>
      </c>
      <c r="R3308" t="s">
        <v>4771</v>
      </c>
    </row>
    <row r="3309" spans="1:18" x14ac:dyDescent="0.3">
      <c r="A3309">
        <v>11577</v>
      </c>
      <c r="B3309" t="s">
        <v>4874</v>
      </c>
      <c r="C3309" t="s">
        <v>237</v>
      </c>
      <c r="D3309" t="s">
        <v>4</v>
      </c>
      <c r="E3309" s="1">
        <v>45833</v>
      </c>
      <c r="F3309" t="s">
        <v>4368</v>
      </c>
      <c r="G3309" t="s">
        <v>2261</v>
      </c>
      <c r="H3309" t="s">
        <v>236</v>
      </c>
      <c r="I3309" t="s">
        <v>204</v>
      </c>
      <c r="J3309" s="1">
        <v>54878</v>
      </c>
      <c r="K3309" t="s">
        <v>720</v>
      </c>
      <c r="L3309">
        <v>1</v>
      </c>
      <c r="M3309">
        <v>4926.1400000000003</v>
      </c>
      <c r="N3309" t="s">
        <v>710</v>
      </c>
      <c r="O3309" t="s">
        <v>1038</v>
      </c>
      <c r="P3309" t="s">
        <v>4776</v>
      </c>
      <c r="Q3309" t="s">
        <v>4858</v>
      </c>
      <c r="R3309" t="s">
        <v>4771</v>
      </c>
    </row>
    <row r="3310" spans="1:18" x14ac:dyDescent="0.3">
      <c r="A3310">
        <v>127532</v>
      </c>
      <c r="B3310" t="s">
        <v>4874</v>
      </c>
      <c r="C3310" t="s">
        <v>415</v>
      </c>
      <c r="D3310" t="s">
        <v>60</v>
      </c>
      <c r="E3310" s="1">
        <v>45833</v>
      </c>
      <c r="F3310" t="s">
        <v>4333</v>
      </c>
      <c r="G3310" t="s">
        <v>2272</v>
      </c>
      <c r="H3310" t="s">
        <v>457</v>
      </c>
      <c r="I3310" t="s">
        <v>204</v>
      </c>
      <c r="J3310" s="1">
        <v>46387</v>
      </c>
      <c r="K3310" t="s">
        <v>762</v>
      </c>
      <c r="L3310">
        <v>4226.96</v>
      </c>
      <c r="M3310">
        <v>4226.96</v>
      </c>
      <c r="N3310" t="s">
        <v>814</v>
      </c>
      <c r="O3310" t="s">
        <v>1037</v>
      </c>
      <c r="P3310" t="s">
        <v>4807</v>
      </c>
      <c r="Q3310" t="s">
        <v>4852</v>
      </c>
      <c r="R3310" t="s">
        <v>4771</v>
      </c>
    </row>
    <row r="3311" spans="1:18" x14ac:dyDescent="0.3">
      <c r="A3311">
        <v>58024</v>
      </c>
      <c r="B3311" t="s">
        <v>4874</v>
      </c>
      <c r="C3311" t="s">
        <v>437</v>
      </c>
      <c r="D3311" t="s">
        <v>150</v>
      </c>
      <c r="E3311" s="1">
        <v>45832</v>
      </c>
      <c r="F3311" t="s">
        <v>4395</v>
      </c>
      <c r="G3311" t="s">
        <v>2269</v>
      </c>
      <c r="H3311" t="s">
        <v>436</v>
      </c>
      <c r="I3311" t="s">
        <v>204</v>
      </c>
      <c r="J3311" s="1">
        <v>54878</v>
      </c>
      <c r="K3311" t="s">
        <v>762</v>
      </c>
      <c r="L3311">
        <v>840</v>
      </c>
      <c r="M3311">
        <v>840</v>
      </c>
      <c r="N3311" t="s">
        <v>719</v>
      </c>
      <c r="O3311" t="s">
        <v>1037</v>
      </c>
      <c r="P3311" t="s">
        <v>4788</v>
      </c>
      <c r="Q3311" t="s">
        <v>4852</v>
      </c>
      <c r="R3311" t="s">
        <v>4771</v>
      </c>
    </row>
    <row r="3312" spans="1:18" x14ac:dyDescent="0.3">
      <c r="A3312">
        <v>140</v>
      </c>
      <c r="B3312" t="s">
        <v>4874</v>
      </c>
      <c r="C3312" t="s">
        <v>565</v>
      </c>
      <c r="D3312" t="s">
        <v>113</v>
      </c>
      <c r="E3312" s="1">
        <v>45832</v>
      </c>
      <c r="F3312" t="s">
        <v>4390</v>
      </c>
      <c r="G3312" t="s">
        <v>2247</v>
      </c>
      <c r="H3312" t="s">
        <v>564</v>
      </c>
      <c r="I3312" t="s">
        <v>204</v>
      </c>
      <c r="J3312" s="1">
        <v>46386</v>
      </c>
      <c r="K3312" t="s">
        <v>720</v>
      </c>
      <c r="L3312">
        <v>1</v>
      </c>
      <c r="M3312">
        <v>5200</v>
      </c>
      <c r="N3312" t="s">
        <v>710</v>
      </c>
      <c r="O3312" t="s">
        <v>1038</v>
      </c>
      <c r="P3312" t="s">
        <v>4777</v>
      </c>
      <c r="Q3312" t="s">
        <v>4858</v>
      </c>
      <c r="R3312" t="s">
        <v>4771</v>
      </c>
    </row>
    <row r="3313" spans="1:18" x14ac:dyDescent="0.3">
      <c r="A3313">
        <v>158039</v>
      </c>
      <c r="B3313" t="s">
        <v>4875</v>
      </c>
      <c r="C3313" t="s">
        <v>301</v>
      </c>
      <c r="D3313" t="s">
        <v>23</v>
      </c>
      <c r="E3313" s="1">
        <v>45832</v>
      </c>
      <c r="F3313" t="s">
        <v>4321</v>
      </c>
      <c r="G3313" t="s">
        <v>2060</v>
      </c>
      <c r="H3313" t="s">
        <v>342</v>
      </c>
      <c r="I3313" t="s">
        <v>204</v>
      </c>
      <c r="J3313" s="1">
        <v>46285</v>
      </c>
      <c r="K3313" t="s">
        <v>748</v>
      </c>
      <c r="L3313">
        <v>4912.03</v>
      </c>
      <c r="M3313">
        <v>4912.03</v>
      </c>
      <c r="N3313" t="s">
        <v>710</v>
      </c>
      <c r="O3313" t="s">
        <v>1040</v>
      </c>
      <c r="P3313" t="s">
        <v>4782</v>
      </c>
      <c r="Q3313" t="s">
        <v>4856</v>
      </c>
      <c r="R3313" t="s">
        <v>4773</v>
      </c>
    </row>
    <row r="3314" spans="1:18" x14ac:dyDescent="0.3">
      <c r="A3314">
        <v>6</v>
      </c>
      <c r="B3314" t="s">
        <v>4875</v>
      </c>
      <c r="C3314" t="s">
        <v>638</v>
      </c>
      <c r="D3314" t="s">
        <v>134</v>
      </c>
      <c r="E3314" s="1">
        <v>45832</v>
      </c>
      <c r="F3314" t="s">
        <v>4296</v>
      </c>
      <c r="G3314" t="s">
        <v>2273</v>
      </c>
      <c r="H3314" t="s">
        <v>639</v>
      </c>
      <c r="I3314" t="s">
        <v>204</v>
      </c>
      <c r="J3314" s="1">
        <v>46537</v>
      </c>
      <c r="K3314" t="s">
        <v>748</v>
      </c>
      <c r="L3314">
        <v>1</v>
      </c>
      <c r="M3314">
        <v>1261</v>
      </c>
      <c r="N3314" t="s">
        <v>710</v>
      </c>
      <c r="O3314" t="s">
        <v>1040</v>
      </c>
      <c r="P3314" t="s">
        <v>4776</v>
      </c>
      <c r="Q3314" t="s">
        <v>4856</v>
      </c>
    </row>
    <row r="3315" spans="1:18" x14ac:dyDescent="0.3">
      <c r="A3315">
        <v>305</v>
      </c>
      <c r="B3315" t="s">
        <v>1034</v>
      </c>
      <c r="C3315" t="s">
        <v>479</v>
      </c>
      <c r="D3315" t="s">
        <v>99</v>
      </c>
      <c r="E3315" s="1">
        <v>45832</v>
      </c>
      <c r="F3315" t="s">
        <v>4329</v>
      </c>
      <c r="G3315" t="s">
        <v>2256</v>
      </c>
      <c r="H3315" t="s">
        <v>478</v>
      </c>
      <c r="I3315" t="s">
        <v>204</v>
      </c>
      <c r="J3315" s="1">
        <v>46239</v>
      </c>
      <c r="K3315" t="s">
        <v>717</v>
      </c>
      <c r="L3315">
        <v>30</v>
      </c>
      <c r="M3315">
        <v>338.7</v>
      </c>
      <c r="N3315" t="s">
        <v>710</v>
      </c>
      <c r="O3315" t="s">
        <v>1037</v>
      </c>
      <c r="P3315" t="s">
        <v>4790</v>
      </c>
      <c r="Q3315" t="s">
        <v>4852</v>
      </c>
      <c r="R3315" t="s">
        <v>4772</v>
      </c>
    </row>
    <row r="3316" spans="1:18" x14ac:dyDescent="0.3">
      <c r="A3316">
        <v>41729</v>
      </c>
      <c r="B3316" t="s">
        <v>1034</v>
      </c>
      <c r="C3316" t="s">
        <v>327</v>
      </c>
      <c r="D3316" t="s">
        <v>159</v>
      </c>
      <c r="E3316" s="1">
        <v>45832</v>
      </c>
      <c r="F3316" t="s">
        <v>4296</v>
      </c>
      <c r="G3316" t="s">
        <v>2260</v>
      </c>
      <c r="H3316" t="s">
        <v>357</v>
      </c>
      <c r="I3316" t="s">
        <v>204</v>
      </c>
      <c r="J3316" s="1">
        <v>46476</v>
      </c>
      <c r="K3316" t="s">
        <v>711</v>
      </c>
      <c r="L3316">
        <v>437.9</v>
      </c>
      <c r="M3316">
        <v>437.9</v>
      </c>
      <c r="N3316" t="s">
        <v>890</v>
      </c>
      <c r="O3316" t="s">
        <v>4834</v>
      </c>
      <c r="P3316" t="s">
        <v>4776</v>
      </c>
      <c r="Q3316" t="s">
        <v>4901</v>
      </c>
      <c r="R3316" t="s">
        <v>4773</v>
      </c>
    </row>
    <row r="3317" spans="1:18" x14ac:dyDescent="0.3">
      <c r="A3317">
        <v>105</v>
      </c>
      <c r="B3317" t="s">
        <v>1034</v>
      </c>
      <c r="C3317" t="s">
        <v>643</v>
      </c>
      <c r="D3317" t="s">
        <v>52</v>
      </c>
      <c r="E3317" s="1">
        <v>45832</v>
      </c>
      <c r="F3317" t="s">
        <v>4318</v>
      </c>
      <c r="G3317" t="s">
        <v>2264</v>
      </c>
      <c r="H3317" t="s">
        <v>642</v>
      </c>
      <c r="I3317" t="s">
        <v>204</v>
      </c>
      <c r="J3317" s="1">
        <v>46548</v>
      </c>
      <c r="K3317" t="s">
        <v>711</v>
      </c>
      <c r="L3317">
        <v>1</v>
      </c>
      <c r="M3317">
        <v>2300</v>
      </c>
      <c r="N3317" t="s">
        <v>710</v>
      </c>
      <c r="O3317" t="s">
        <v>4834</v>
      </c>
      <c r="P3317" t="s">
        <v>4776</v>
      </c>
      <c r="Q3317" t="s">
        <v>4901</v>
      </c>
    </row>
    <row r="3318" spans="1:18" x14ac:dyDescent="0.3">
      <c r="A3318">
        <v>11220381</v>
      </c>
      <c r="B3318" t="s">
        <v>1034</v>
      </c>
      <c r="C3318" t="s">
        <v>452</v>
      </c>
      <c r="D3318" t="s">
        <v>171</v>
      </c>
      <c r="E3318" s="1">
        <v>45832</v>
      </c>
      <c r="F3318" t="s">
        <v>4319</v>
      </c>
      <c r="G3318" t="s">
        <v>2268</v>
      </c>
      <c r="H3318" t="s">
        <v>450</v>
      </c>
      <c r="I3318" t="s">
        <v>209</v>
      </c>
      <c r="J3318" s="1">
        <v>54878</v>
      </c>
      <c r="K3318" t="s">
        <v>717</v>
      </c>
      <c r="L3318">
        <v>2492</v>
      </c>
      <c r="M3318">
        <v>2491.44</v>
      </c>
      <c r="N3318" t="s">
        <v>710</v>
      </c>
      <c r="Q3318" t="s">
        <v>4852</v>
      </c>
      <c r="R3318" t="s">
        <v>4771</v>
      </c>
    </row>
    <row r="3319" spans="1:18" x14ac:dyDescent="0.3">
      <c r="A3319">
        <v>305</v>
      </c>
      <c r="B3319" t="s">
        <v>1034</v>
      </c>
      <c r="C3319" t="s">
        <v>479</v>
      </c>
      <c r="D3319" t="s">
        <v>99</v>
      </c>
      <c r="E3319" s="1">
        <v>45832</v>
      </c>
      <c r="F3319" t="s">
        <v>4312</v>
      </c>
      <c r="G3319" t="s">
        <v>2256</v>
      </c>
      <c r="H3319" t="s">
        <v>478</v>
      </c>
      <c r="I3319" t="s">
        <v>204</v>
      </c>
      <c r="J3319" s="1">
        <v>46239</v>
      </c>
      <c r="K3319" t="s">
        <v>717</v>
      </c>
      <c r="L3319">
        <v>31</v>
      </c>
      <c r="M3319">
        <v>147.25</v>
      </c>
      <c r="N3319" t="s">
        <v>710</v>
      </c>
      <c r="O3319" t="s">
        <v>1037</v>
      </c>
      <c r="P3319" t="s">
        <v>4790</v>
      </c>
      <c r="Q3319" t="s">
        <v>4852</v>
      </c>
      <c r="R3319" t="s">
        <v>4772</v>
      </c>
    </row>
    <row r="3320" spans="1:18" x14ac:dyDescent="0.3">
      <c r="A3320">
        <v>305</v>
      </c>
      <c r="B3320" t="s">
        <v>1034</v>
      </c>
      <c r="C3320" t="s">
        <v>479</v>
      </c>
      <c r="D3320" t="s">
        <v>99</v>
      </c>
      <c r="E3320" s="1">
        <v>45832</v>
      </c>
      <c r="F3320" t="s">
        <v>4372</v>
      </c>
      <c r="G3320" t="s">
        <v>2256</v>
      </c>
      <c r="H3320" t="s">
        <v>478</v>
      </c>
      <c r="I3320" t="s">
        <v>204</v>
      </c>
      <c r="J3320" s="1">
        <v>46239</v>
      </c>
      <c r="K3320" t="s">
        <v>717</v>
      </c>
      <c r="L3320">
        <v>329</v>
      </c>
      <c r="M3320">
        <v>2803.08</v>
      </c>
      <c r="N3320" t="s">
        <v>710</v>
      </c>
      <c r="O3320" t="s">
        <v>1037</v>
      </c>
      <c r="P3320" t="s">
        <v>4790</v>
      </c>
      <c r="Q3320" t="s">
        <v>4852</v>
      </c>
      <c r="R3320" t="s">
        <v>4772</v>
      </c>
    </row>
    <row r="3321" spans="1:18" x14ac:dyDescent="0.3">
      <c r="A3321">
        <v>305</v>
      </c>
      <c r="B3321" t="s">
        <v>1034</v>
      </c>
      <c r="C3321" t="s">
        <v>479</v>
      </c>
      <c r="D3321" t="s">
        <v>99</v>
      </c>
      <c r="E3321" s="1">
        <v>45832</v>
      </c>
      <c r="F3321" t="s">
        <v>4309</v>
      </c>
      <c r="G3321" t="s">
        <v>2256</v>
      </c>
      <c r="H3321" t="s">
        <v>478</v>
      </c>
      <c r="I3321" t="s">
        <v>204</v>
      </c>
      <c r="J3321" s="1">
        <v>46239</v>
      </c>
      <c r="K3321" t="s">
        <v>717</v>
      </c>
      <c r="L3321">
        <v>1</v>
      </c>
      <c r="M3321">
        <v>4.4400000000000004</v>
      </c>
      <c r="N3321" t="s">
        <v>710</v>
      </c>
      <c r="O3321" t="s">
        <v>1037</v>
      </c>
      <c r="P3321" t="s">
        <v>4790</v>
      </c>
      <c r="Q3321" t="s">
        <v>4852</v>
      </c>
      <c r="R3321" t="s">
        <v>4772</v>
      </c>
    </row>
    <row r="3322" spans="1:18" x14ac:dyDescent="0.3">
      <c r="A3322">
        <v>305</v>
      </c>
      <c r="B3322" t="s">
        <v>1034</v>
      </c>
      <c r="C3322" t="s">
        <v>479</v>
      </c>
      <c r="D3322" t="s">
        <v>99</v>
      </c>
      <c r="E3322" s="1">
        <v>45832</v>
      </c>
      <c r="F3322" t="s">
        <v>4308</v>
      </c>
      <c r="G3322" t="s">
        <v>2256</v>
      </c>
      <c r="H3322" t="s">
        <v>478</v>
      </c>
      <c r="I3322" t="s">
        <v>204</v>
      </c>
      <c r="J3322" s="1">
        <v>46239</v>
      </c>
      <c r="K3322" t="s">
        <v>717</v>
      </c>
      <c r="L3322">
        <v>3739</v>
      </c>
      <c r="M3322">
        <v>14806.44</v>
      </c>
      <c r="N3322" t="s">
        <v>710</v>
      </c>
      <c r="O3322" t="s">
        <v>1037</v>
      </c>
      <c r="P3322" t="s">
        <v>4790</v>
      </c>
      <c r="Q3322" t="s">
        <v>4852</v>
      </c>
      <c r="R3322" t="s">
        <v>4772</v>
      </c>
    </row>
    <row r="3323" spans="1:18" x14ac:dyDescent="0.3">
      <c r="A3323">
        <v>305</v>
      </c>
      <c r="B3323" t="s">
        <v>1034</v>
      </c>
      <c r="C3323" t="s">
        <v>479</v>
      </c>
      <c r="D3323" t="s">
        <v>99</v>
      </c>
      <c r="E3323" s="1">
        <v>45832</v>
      </c>
      <c r="F3323" t="s">
        <v>4307</v>
      </c>
      <c r="G3323" t="s">
        <v>2256</v>
      </c>
      <c r="H3323" t="s">
        <v>478</v>
      </c>
      <c r="I3323" t="s">
        <v>204</v>
      </c>
      <c r="J3323" s="1">
        <v>46239</v>
      </c>
      <c r="K3323" t="s">
        <v>717</v>
      </c>
      <c r="L3323">
        <v>5045</v>
      </c>
      <c r="M3323">
        <v>61599.45</v>
      </c>
      <c r="N3323" t="s">
        <v>710</v>
      </c>
      <c r="O3323" t="s">
        <v>1037</v>
      </c>
      <c r="P3323" t="s">
        <v>4790</v>
      </c>
      <c r="Q3323" t="s">
        <v>4852</v>
      </c>
      <c r="R3323" t="s">
        <v>4772</v>
      </c>
    </row>
    <row r="3324" spans="1:18" x14ac:dyDescent="0.3">
      <c r="A3324">
        <v>11220441</v>
      </c>
      <c r="B3324" t="s">
        <v>1034</v>
      </c>
      <c r="C3324" t="s">
        <v>452</v>
      </c>
      <c r="D3324" t="s">
        <v>171</v>
      </c>
      <c r="E3324" s="1">
        <v>45832</v>
      </c>
      <c r="F3324" t="s">
        <v>4319</v>
      </c>
      <c r="G3324" t="s">
        <v>2268</v>
      </c>
      <c r="H3324" t="s">
        <v>450</v>
      </c>
      <c r="I3324" t="s">
        <v>209</v>
      </c>
      <c r="J3324" s="1">
        <v>54878</v>
      </c>
      <c r="K3324" t="s">
        <v>717</v>
      </c>
      <c r="L3324">
        <v>1350</v>
      </c>
      <c r="M3324">
        <v>1349.62</v>
      </c>
      <c r="N3324" t="s">
        <v>710</v>
      </c>
      <c r="Q3324" t="s">
        <v>4852</v>
      </c>
      <c r="R3324" t="s">
        <v>4771</v>
      </c>
    </row>
    <row r="3325" spans="1:18" x14ac:dyDescent="0.3">
      <c r="A3325">
        <v>11220328</v>
      </c>
      <c r="B3325" t="s">
        <v>1034</v>
      </c>
      <c r="C3325" t="s">
        <v>452</v>
      </c>
      <c r="D3325" t="s">
        <v>171</v>
      </c>
      <c r="E3325" s="1">
        <v>45832</v>
      </c>
      <c r="F3325" t="s">
        <v>4319</v>
      </c>
      <c r="G3325" t="s">
        <v>2268</v>
      </c>
      <c r="H3325" t="s">
        <v>450</v>
      </c>
      <c r="I3325" t="s">
        <v>209</v>
      </c>
      <c r="J3325" s="1">
        <v>54878</v>
      </c>
      <c r="K3325" t="s">
        <v>717</v>
      </c>
      <c r="L3325">
        <v>1617</v>
      </c>
      <c r="M3325">
        <v>1616.02</v>
      </c>
      <c r="N3325" t="s">
        <v>710</v>
      </c>
      <c r="Q3325" t="s">
        <v>4852</v>
      </c>
      <c r="R3325" t="s">
        <v>4771</v>
      </c>
    </row>
    <row r="3326" spans="1:18" x14ac:dyDescent="0.3">
      <c r="A3326">
        <v>305</v>
      </c>
      <c r="B3326" t="s">
        <v>1034</v>
      </c>
      <c r="C3326" t="s">
        <v>479</v>
      </c>
      <c r="D3326" t="s">
        <v>99</v>
      </c>
      <c r="E3326" s="1">
        <v>45832</v>
      </c>
      <c r="F3326" t="s">
        <v>4310</v>
      </c>
      <c r="G3326" t="s">
        <v>2256</v>
      </c>
      <c r="H3326" t="s">
        <v>478</v>
      </c>
      <c r="I3326" t="s">
        <v>204</v>
      </c>
      <c r="J3326" s="1">
        <v>46239</v>
      </c>
      <c r="K3326" t="s">
        <v>717</v>
      </c>
      <c r="L3326">
        <v>28</v>
      </c>
      <c r="M3326">
        <v>99.4</v>
      </c>
      <c r="N3326" t="s">
        <v>710</v>
      </c>
      <c r="O3326" t="s">
        <v>1037</v>
      </c>
      <c r="P3326" t="s">
        <v>4790</v>
      </c>
      <c r="Q3326" t="s">
        <v>4852</v>
      </c>
      <c r="R3326" t="s">
        <v>4772</v>
      </c>
    </row>
    <row r="3327" spans="1:18" x14ac:dyDescent="0.3">
      <c r="A3327">
        <v>401872</v>
      </c>
      <c r="B3327" t="s">
        <v>4875</v>
      </c>
      <c r="C3327" t="s">
        <v>376</v>
      </c>
      <c r="D3327" t="s">
        <v>35</v>
      </c>
      <c r="E3327" s="1">
        <v>45831</v>
      </c>
      <c r="F3327" t="s">
        <v>4324</v>
      </c>
      <c r="G3327" t="s">
        <v>2254</v>
      </c>
      <c r="H3327" t="s">
        <v>486</v>
      </c>
      <c r="I3327" t="s">
        <v>209</v>
      </c>
      <c r="J3327" s="1">
        <v>54878</v>
      </c>
      <c r="K3327" t="s">
        <v>768</v>
      </c>
      <c r="L3327">
        <v>41441.480000000003</v>
      </c>
      <c r="M3327">
        <v>41441.480000000003</v>
      </c>
      <c r="N3327" t="s">
        <v>710</v>
      </c>
      <c r="Q3327" t="s">
        <v>4852</v>
      </c>
      <c r="R3327" t="s">
        <v>4771</v>
      </c>
    </row>
    <row r="3328" spans="1:18" x14ac:dyDescent="0.3">
      <c r="A3328">
        <v>2</v>
      </c>
      <c r="B3328" t="s">
        <v>4875</v>
      </c>
      <c r="C3328" t="s">
        <v>638</v>
      </c>
      <c r="D3328" t="s">
        <v>134</v>
      </c>
      <c r="E3328" s="1">
        <v>45831</v>
      </c>
      <c r="F3328" t="s">
        <v>4296</v>
      </c>
      <c r="G3328" t="s">
        <v>2087</v>
      </c>
      <c r="H3328" t="s">
        <v>639</v>
      </c>
      <c r="I3328" t="s">
        <v>204</v>
      </c>
      <c r="J3328" s="1">
        <v>46537</v>
      </c>
      <c r="K3328" t="s">
        <v>748</v>
      </c>
      <c r="L3328">
        <v>1</v>
      </c>
      <c r="M3328">
        <v>-1261</v>
      </c>
      <c r="N3328" t="s">
        <v>710</v>
      </c>
      <c r="O3328" t="s">
        <v>1040</v>
      </c>
      <c r="P3328" t="s">
        <v>4776</v>
      </c>
      <c r="Q3328" t="s">
        <v>4856</v>
      </c>
    </row>
    <row r="3329" spans="1:18" x14ac:dyDescent="0.3">
      <c r="A3329">
        <v>93797</v>
      </c>
      <c r="B3329" t="s">
        <v>1034</v>
      </c>
      <c r="C3329" t="s">
        <v>452</v>
      </c>
      <c r="D3329" t="s">
        <v>171</v>
      </c>
      <c r="E3329" s="1">
        <v>45831</v>
      </c>
      <c r="F3329" t="s">
        <v>4319</v>
      </c>
      <c r="G3329" t="s">
        <v>2251</v>
      </c>
      <c r="H3329" t="s">
        <v>512</v>
      </c>
      <c r="I3329" t="s">
        <v>209</v>
      </c>
      <c r="J3329" s="1">
        <v>45138</v>
      </c>
      <c r="K3329" t="s">
        <v>762</v>
      </c>
      <c r="L3329">
        <v>236</v>
      </c>
      <c r="M3329">
        <v>235.21</v>
      </c>
      <c r="N3329" t="s">
        <v>710</v>
      </c>
      <c r="O3329" t="s">
        <v>4833</v>
      </c>
      <c r="P3329" t="s">
        <v>4802</v>
      </c>
      <c r="Q3329" t="s">
        <v>4852</v>
      </c>
      <c r="R3329" t="s">
        <v>4771</v>
      </c>
    </row>
    <row r="3330" spans="1:18" x14ac:dyDescent="0.3">
      <c r="A3330">
        <v>202534</v>
      </c>
      <c r="B3330" t="s">
        <v>1034</v>
      </c>
      <c r="C3330" t="s">
        <v>507</v>
      </c>
      <c r="D3330" t="s">
        <v>18</v>
      </c>
      <c r="E3330" s="1">
        <v>45831</v>
      </c>
      <c r="F3330" t="s">
        <v>4322</v>
      </c>
      <c r="G3330" t="s">
        <v>1046</v>
      </c>
      <c r="H3330" t="s">
        <v>506</v>
      </c>
      <c r="I3330" t="s">
        <v>204</v>
      </c>
      <c r="J3330" s="1">
        <v>46741</v>
      </c>
      <c r="K3330" t="s">
        <v>711</v>
      </c>
      <c r="L3330">
        <v>1</v>
      </c>
      <c r="M3330">
        <v>19600</v>
      </c>
      <c r="N3330" t="s">
        <v>710</v>
      </c>
      <c r="O3330" t="s">
        <v>1036</v>
      </c>
      <c r="P3330" t="s">
        <v>4777</v>
      </c>
      <c r="Q3330" t="s">
        <v>4901</v>
      </c>
      <c r="R3330" t="s">
        <v>4773</v>
      </c>
    </row>
    <row r="3331" spans="1:18" x14ac:dyDescent="0.3">
      <c r="A3331">
        <v>83036</v>
      </c>
      <c r="B3331" t="s">
        <v>1034</v>
      </c>
      <c r="C3331" t="s">
        <v>319</v>
      </c>
      <c r="D3331" t="s">
        <v>36</v>
      </c>
      <c r="E3331" s="1">
        <v>45831</v>
      </c>
      <c r="F3331" t="s">
        <v>4298</v>
      </c>
      <c r="G3331" t="s">
        <v>2258</v>
      </c>
      <c r="H3331" t="s">
        <v>318</v>
      </c>
      <c r="I3331" t="s">
        <v>204</v>
      </c>
      <c r="J3331" s="1">
        <v>46214</v>
      </c>
      <c r="K3331" t="s">
        <v>711</v>
      </c>
      <c r="L3331">
        <v>1505</v>
      </c>
      <c r="M3331">
        <v>1504.9</v>
      </c>
      <c r="N3331" t="s">
        <v>710</v>
      </c>
      <c r="O3331" t="s">
        <v>1036</v>
      </c>
      <c r="P3331" t="s">
        <v>4784</v>
      </c>
      <c r="Q3331" t="s">
        <v>4901</v>
      </c>
      <c r="R3331" t="s">
        <v>4771</v>
      </c>
    </row>
    <row r="3332" spans="1:18" x14ac:dyDescent="0.3">
      <c r="A3332">
        <v>82981</v>
      </c>
      <c r="B3332" t="s">
        <v>1034</v>
      </c>
      <c r="C3332" t="s">
        <v>319</v>
      </c>
      <c r="D3332" t="s">
        <v>36</v>
      </c>
      <c r="E3332" s="1">
        <v>45831</v>
      </c>
      <c r="F3332" t="s">
        <v>4298</v>
      </c>
      <c r="G3332" t="s">
        <v>2250</v>
      </c>
      <c r="H3332" t="s">
        <v>318</v>
      </c>
      <c r="I3332" t="s">
        <v>204</v>
      </c>
      <c r="J3332" s="1">
        <v>46214</v>
      </c>
      <c r="K3332" t="s">
        <v>711</v>
      </c>
      <c r="L3332">
        <v>1887</v>
      </c>
      <c r="M3332">
        <v>1887.47</v>
      </c>
      <c r="N3332" t="s">
        <v>710</v>
      </c>
      <c r="O3332" t="s">
        <v>1036</v>
      </c>
      <c r="P3332" t="s">
        <v>4784</v>
      </c>
      <c r="Q3332" t="s">
        <v>4901</v>
      </c>
      <c r="R3332" t="s">
        <v>4771</v>
      </c>
    </row>
    <row r="3333" spans="1:18" x14ac:dyDescent="0.3">
      <c r="A3333">
        <v>202546</v>
      </c>
      <c r="B3333" t="s">
        <v>1034</v>
      </c>
      <c r="C3333" t="s">
        <v>507</v>
      </c>
      <c r="D3333" t="s">
        <v>18</v>
      </c>
      <c r="E3333" s="1">
        <v>45831</v>
      </c>
      <c r="F3333" t="s">
        <v>4322</v>
      </c>
      <c r="G3333" t="s">
        <v>1046</v>
      </c>
      <c r="H3333" t="s">
        <v>506</v>
      </c>
      <c r="I3333" t="s">
        <v>204</v>
      </c>
      <c r="J3333" s="1">
        <v>46741</v>
      </c>
      <c r="K3333" t="s">
        <v>711</v>
      </c>
      <c r="L3333">
        <v>1</v>
      </c>
      <c r="M3333">
        <v>7700</v>
      </c>
      <c r="N3333" t="s">
        <v>710</v>
      </c>
      <c r="O3333" t="s">
        <v>1036</v>
      </c>
      <c r="P3333" t="s">
        <v>4777</v>
      </c>
      <c r="Q3333" t="s">
        <v>4901</v>
      </c>
      <c r="R3333" t="s">
        <v>4773</v>
      </c>
    </row>
    <row r="3334" spans="1:18" x14ac:dyDescent="0.3">
      <c r="A3334">
        <v>202525003</v>
      </c>
      <c r="B3334" t="s">
        <v>4874</v>
      </c>
      <c r="C3334" t="s">
        <v>222</v>
      </c>
      <c r="D3334" t="s">
        <v>80</v>
      </c>
      <c r="E3334" s="1">
        <v>45831</v>
      </c>
      <c r="F3334" t="s">
        <v>4406</v>
      </c>
      <c r="G3334" t="s">
        <v>2257</v>
      </c>
      <c r="H3334" t="s">
        <v>223</v>
      </c>
      <c r="I3334" t="s">
        <v>204</v>
      </c>
      <c r="J3334" s="1">
        <v>46504</v>
      </c>
      <c r="K3334" t="s">
        <v>720</v>
      </c>
      <c r="L3334">
        <v>1</v>
      </c>
      <c r="M3334">
        <v>1828.63</v>
      </c>
      <c r="N3334" t="s">
        <v>710</v>
      </c>
      <c r="O3334" t="s">
        <v>4834</v>
      </c>
      <c r="P3334" t="s">
        <v>4778</v>
      </c>
      <c r="Q3334" t="s">
        <v>4858</v>
      </c>
      <c r="R3334" t="s">
        <v>4773</v>
      </c>
    </row>
    <row r="3335" spans="1:18" x14ac:dyDescent="0.3">
      <c r="A3335">
        <v>2086</v>
      </c>
      <c r="B3335" t="s">
        <v>4874</v>
      </c>
      <c r="C3335" t="s">
        <v>616</v>
      </c>
      <c r="D3335" t="s">
        <v>152</v>
      </c>
      <c r="E3335" s="1">
        <v>45831</v>
      </c>
      <c r="F3335" t="s">
        <v>4338</v>
      </c>
      <c r="G3335" t="s">
        <v>2107</v>
      </c>
      <c r="H3335" t="s">
        <v>615</v>
      </c>
      <c r="I3335" t="s">
        <v>204</v>
      </c>
      <c r="J3335" s="1">
        <v>46327</v>
      </c>
      <c r="K3335" t="s">
        <v>720</v>
      </c>
      <c r="L3335">
        <v>1</v>
      </c>
      <c r="M3335">
        <v>101787.59</v>
      </c>
      <c r="N3335" t="s">
        <v>710</v>
      </c>
      <c r="O3335" t="s">
        <v>4834</v>
      </c>
      <c r="P3335" t="s">
        <v>4776</v>
      </c>
      <c r="Q3335" t="s">
        <v>4858</v>
      </c>
      <c r="R3335" t="s">
        <v>4772</v>
      </c>
    </row>
    <row r="3336" spans="1:18" x14ac:dyDescent="0.3">
      <c r="A3336">
        <v>2422880</v>
      </c>
      <c r="B3336" t="s">
        <v>4874</v>
      </c>
      <c r="C3336" t="s">
        <v>403</v>
      </c>
      <c r="D3336" t="s">
        <v>106</v>
      </c>
      <c r="E3336" s="1">
        <v>45831</v>
      </c>
      <c r="F3336" t="s">
        <v>4362</v>
      </c>
      <c r="G3336" t="s">
        <v>2252</v>
      </c>
      <c r="H3336" t="s">
        <v>402</v>
      </c>
      <c r="I3336" t="s">
        <v>204</v>
      </c>
      <c r="J3336" s="1">
        <v>46386</v>
      </c>
      <c r="K3336" t="s">
        <v>762</v>
      </c>
      <c r="L3336">
        <v>23609.87</v>
      </c>
      <c r="M3336">
        <v>23609.87</v>
      </c>
      <c r="N3336" t="s">
        <v>710</v>
      </c>
      <c r="O3336" t="s">
        <v>1037</v>
      </c>
      <c r="P3336" t="s">
        <v>4779</v>
      </c>
      <c r="Q3336" t="s">
        <v>4852</v>
      </c>
      <c r="R3336" t="s">
        <v>4772</v>
      </c>
    </row>
    <row r="3337" spans="1:18" x14ac:dyDescent="0.3">
      <c r="A3337">
        <v>3</v>
      </c>
      <c r="B3337" t="s">
        <v>1034</v>
      </c>
      <c r="C3337" t="s">
        <v>636</v>
      </c>
      <c r="D3337" t="s">
        <v>51</v>
      </c>
      <c r="E3337" s="1">
        <v>45831</v>
      </c>
      <c r="F3337" t="s">
        <v>4297</v>
      </c>
      <c r="G3337" t="s">
        <v>1873</v>
      </c>
      <c r="H3337" t="s">
        <v>635</v>
      </c>
      <c r="I3337" t="s">
        <v>204</v>
      </c>
      <c r="J3337" s="1">
        <v>46193</v>
      </c>
      <c r="K3337" t="s">
        <v>711</v>
      </c>
      <c r="L3337">
        <v>1</v>
      </c>
      <c r="M3337">
        <v>7933</v>
      </c>
      <c r="N3337" t="s">
        <v>710</v>
      </c>
      <c r="O3337" t="s">
        <v>4844</v>
      </c>
      <c r="P3337" t="s">
        <v>4779</v>
      </c>
      <c r="Q3337" t="s">
        <v>4845</v>
      </c>
      <c r="R3337" t="s">
        <v>4771</v>
      </c>
    </row>
    <row r="3338" spans="1:18" x14ac:dyDescent="0.3">
      <c r="A3338">
        <v>402662</v>
      </c>
      <c r="B3338" t="s">
        <v>1034</v>
      </c>
      <c r="C3338" t="s">
        <v>376</v>
      </c>
      <c r="D3338" t="s">
        <v>35</v>
      </c>
      <c r="E3338" s="1">
        <v>45831</v>
      </c>
      <c r="F3338" t="s">
        <v>4324</v>
      </c>
      <c r="G3338" t="s">
        <v>2253</v>
      </c>
      <c r="H3338" t="s">
        <v>375</v>
      </c>
      <c r="I3338" t="s">
        <v>209</v>
      </c>
      <c r="J3338" s="1">
        <v>54878</v>
      </c>
      <c r="K3338" t="s">
        <v>717</v>
      </c>
      <c r="L3338">
        <v>144098.66</v>
      </c>
      <c r="M3338">
        <v>144098.66</v>
      </c>
      <c r="N3338" t="s">
        <v>710</v>
      </c>
      <c r="O3338" t="s">
        <v>1037</v>
      </c>
      <c r="P3338" t="s">
        <v>4807</v>
      </c>
      <c r="Q3338" t="s">
        <v>4852</v>
      </c>
      <c r="R3338" t="s">
        <v>4771</v>
      </c>
    </row>
    <row r="3339" spans="1:18" x14ac:dyDescent="0.3">
      <c r="A3339">
        <v>553374</v>
      </c>
      <c r="B3339" t="s">
        <v>1034</v>
      </c>
      <c r="C3339" t="s">
        <v>376</v>
      </c>
      <c r="D3339" t="s">
        <v>35</v>
      </c>
      <c r="E3339" s="1">
        <v>45831</v>
      </c>
      <c r="F3339" t="s">
        <v>4302</v>
      </c>
      <c r="G3339" t="s">
        <v>2262</v>
      </c>
      <c r="H3339" t="s">
        <v>377</v>
      </c>
      <c r="I3339" t="s">
        <v>209</v>
      </c>
      <c r="J3339" s="1">
        <v>54878</v>
      </c>
      <c r="K3339" t="s">
        <v>717</v>
      </c>
      <c r="L3339">
        <v>236.5</v>
      </c>
      <c r="M3339">
        <v>236.5</v>
      </c>
      <c r="N3339" t="s">
        <v>710</v>
      </c>
      <c r="Q3339" t="s">
        <v>4852</v>
      </c>
      <c r="R3339" t="s">
        <v>4771</v>
      </c>
    </row>
    <row r="3340" spans="1:18" x14ac:dyDescent="0.3">
      <c r="A3340">
        <v>41693</v>
      </c>
      <c r="B3340" t="s">
        <v>4875</v>
      </c>
      <c r="C3340" t="s">
        <v>327</v>
      </c>
      <c r="D3340" t="s">
        <v>159</v>
      </c>
      <c r="E3340" s="1">
        <v>45827</v>
      </c>
      <c r="F3340" t="s">
        <v>4295</v>
      </c>
      <c r="G3340" t="s">
        <v>2245</v>
      </c>
      <c r="H3340" t="s">
        <v>326</v>
      </c>
      <c r="I3340" t="s">
        <v>204</v>
      </c>
      <c r="J3340" s="1">
        <v>54878</v>
      </c>
      <c r="K3340" t="s">
        <v>748</v>
      </c>
      <c r="L3340">
        <v>2150</v>
      </c>
      <c r="M3340">
        <v>2150</v>
      </c>
      <c r="N3340" t="s">
        <v>719</v>
      </c>
      <c r="O3340" t="s">
        <v>4834</v>
      </c>
      <c r="P3340" t="s">
        <v>4776</v>
      </c>
      <c r="Q3340" t="s">
        <v>4856</v>
      </c>
      <c r="R3340" t="s">
        <v>4773</v>
      </c>
    </row>
    <row r="3341" spans="1:18" x14ac:dyDescent="0.3">
      <c r="A3341">
        <v>41692</v>
      </c>
      <c r="B3341" t="s">
        <v>4875</v>
      </c>
      <c r="C3341" t="s">
        <v>327</v>
      </c>
      <c r="D3341" t="s">
        <v>159</v>
      </c>
      <c r="E3341" s="1">
        <v>45827</v>
      </c>
      <c r="F3341" t="s">
        <v>4295</v>
      </c>
      <c r="G3341" t="s">
        <v>2244</v>
      </c>
      <c r="H3341" t="s">
        <v>326</v>
      </c>
      <c r="I3341" t="s">
        <v>204</v>
      </c>
      <c r="J3341" s="1">
        <v>54878</v>
      </c>
      <c r="K3341" t="s">
        <v>748</v>
      </c>
      <c r="L3341">
        <v>2491.41</v>
      </c>
      <c r="M3341">
        <v>2491.41</v>
      </c>
      <c r="N3341" t="s">
        <v>719</v>
      </c>
      <c r="O3341" t="s">
        <v>4834</v>
      </c>
      <c r="P3341" t="s">
        <v>4776</v>
      </c>
      <c r="Q3341" t="s">
        <v>4856</v>
      </c>
      <c r="R3341" t="s">
        <v>4773</v>
      </c>
    </row>
    <row r="3342" spans="1:18" x14ac:dyDescent="0.3">
      <c r="A3342">
        <v>823488</v>
      </c>
      <c r="B3342" t="s">
        <v>1034</v>
      </c>
      <c r="C3342" t="s">
        <v>276</v>
      </c>
      <c r="D3342" t="s">
        <v>5</v>
      </c>
      <c r="E3342" s="1">
        <v>45827</v>
      </c>
      <c r="F3342" t="s">
        <v>4315</v>
      </c>
      <c r="G3342" t="s">
        <v>2238</v>
      </c>
      <c r="H3342" t="s">
        <v>275</v>
      </c>
      <c r="I3342" t="s">
        <v>204</v>
      </c>
      <c r="J3342" s="1">
        <v>46904</v>
      </c>
      <c r="K3342" t="s">
        <v>717</v>
      </c>
      <c r="L3342">
        <v>5190.67</v>
      </c>
      <c r="M3342">
        <v>5190.67</v>
      </c>
      <c r="N3342" t="s">
        <v>710</v>
      </c>
      <c r="O3342" t="s">
        <v>1037</v>
      </c>
      <c r="P3342" t="s">
        <v>4776</v>
      </c>
      <c r="Q3342" t="s">
        <v>4852</v>
      </c>
      <c r="R3342" t="s">
        <v>4773</v>
      </c>
    </row>
    <row r="3343" spans="1:18" x14ac:dyDescent="0.3">
      <c r="A3343">
        <v>202599</v>
      </c>
      <c r="B3343" t="s">
        <v>4875</v>
      </c>
      <c r="C3343" t="s">
        <v>322</v>
      </c>
      <c r="D3343" t="s">
        <v>158</v>
      </c>
      <c r="E3343" s="1">
        <v>45827</v>
      </c>
      <c r="F3343" t="s">
        <v>4432</v>
      </c>
      <c r="G3343" t="s">
        <v>2130</v>
      </c>
      <c r="H3343" t="s">
        <v>352</v>
      </c>
      <c r="I3343" t="s">
        <v>204</v>
      </c>
      <c r="J3343" s="1">
        <v>46310</v>
      </c>
      <c r="K3343" t="s">
        <v>748</v>
      </c>
      <c r="L3343">
        <v>2898.55</v>
      </c>
      <c r="M3343">
        <v>2898.55</v>
      </c>
      <c r="N3343" t="s">
        <v>710</v>
      </c>
      <c r="O3343" t="s">
        <v>1040</v>
      </c>
      <c r="P3343" t="s">
        <v>4782</v>
      </c>
      <c r="Q3343" t="s">
        <v>4856</v>
      </c>
      <c r="R3343" t="s">
        <v>4773</v>
      </c>
    </row>
    <row r="3344" spans="1:18" x14ac:dyDescent="0.3">
      <c r="A3344">
        <v>757</v>
      </c>
      <c r="B3344" t="s">
        <v>1034</v>
      </c>
      <c r="C3344" t="s">
        <v>603</v>
      </c>
      <c r="D3344" t="s">
        <v>69</v>
      </c>
      <c r="E3344" s="1">
        <v>45827</v>
      </c>
      <c r="F3344" t="s">
        <v>4345</v>
      </c>
      <c r="G3344" t="s">
        <v>1049</v>
      </c>
      <c r="H3344" t="s">
        <v>602</v>
      </c>
      <c r="I3344" t="s">
        <v>209</v>
      </c>
      <c r="J3344" s="1">
        <v>46276</v>
      </c>
      <c r="K3344" t="s">
        <v>720</v>
      </c>
      <c r="L3344">
        <v>1</v>
      </c>
      <c r="M3344">
        <v>2918.6</v>
      </c>
      <c r="N3344" t="s">
        <v>954</v>
      </c>
      <c r="O3344" t="s">
        <v>4834</v>
      </c>
      <c r="P3344" t="s">
        <v>952</v>
      </c>
      <c r="Q3344" t="s">
        <v>4901</v>
      </c>
      <c r="R3344" t="s">
        <v>4771</v>
      </c>
    </row>
    <row r="3345" spans="1:18" x14ac:dyDescent="0.3">
      <c r="A3345">
        <v>82428</v>
      </c>
      <c r="B3345" t="s">
        <v>1034</v>
      </c>
      <c r="C3345" t="s">
        <v>319</v>
      </c>
      <c r="D3345" t="s">
        <v>36</v>
      </c>
      <c r="E3345" s="1">
        <v>45827</v>
      </c>
      <c r="F3345" t="s">
        <v>4298</v>
      </c>
      <c r="G3345" t="s">
        <v>2263</v>
      </c>
      <c r="H3345" t="s">
        <v>318</v>
      </c>
      <c r="I3345" t="s">
        <v>204</v>
      </c>
      <c r="J3345" s="1">
        <v>46214</v>
      </c>
      <c r="K3345" t="s">
        <v>711</v>
      </c>
      <c r="L3345">
        <v>1280</v>
      </c>
      <c r="M3345">
        <v>1279.76</v>
      </c>
      <c r="N3345" t="s">
        <v>710</v>
      </c>
      <c r="O3345" t="s">
        <v>1036</v>
      </c>
      <c r="P3345" t="s">
        <v>4784</v>
      </c>
      <c r="Q3345" t="s">
        <v>4901</v>
      </c>
      <c r="R3345" t="s">
        <v>4771</v>
      </c>
    </row>
    <row r="3346" spans="1:18" x14ac:dyDescent="0.3">
      <c r="A3346">
        <v>6890</v>
      </c>
      <c r="B3346" t="s">
        <v>1035</v>
      </c>
      <c r="C3346" t="s">
        <v>230</v>
      </c>
      <c r="D3346" t="s">
        <v>85</v>
      </c>
      <c r="E3346" s="1">
        <v>45826</v>
      </c>
      <c r="F3346" t="s">
        <v>4348</v>
      </c>
      <c r="G3346" t="s">
        <v>2248</v>
      </c>
      <c r="H3346" t="s">
        <v>229</v>
      </c>
      <c r="I3346" t="s">
        <v>204</v>
      </c>
      <c r="J3346" s="1">
        <v>46203</v>
      </c>
      <c r="K3346" t="s">
        <v>744</v>
      </c>
      <c r="L3346">
        <v>5988.57</v>
      </c>
      <c r="M3346">
        <v>5988.57</v>
      </c>
      <c r="N3346" t="s">
        <v>710</v>
      </c>
      <c r="O3346" t="s">
        <v>1033</v>
      </c>
      <c r="P3346" t="s">
        <v>4781</v>
      </c>
      <c r="Q3346" t="s">
        <v>4852</v>
      </c>
      <c r="R3346" t="s">
        <v>4771</v>
      </c>
    </row>
    <row r="3347" spans="1:18" x14ac:dyDescent="0.3">
      <c r="A3347">
        <v>408088</v>
      </c>
      <c r="B3347" t="s">
        <v>4874</v>
      </c>
      <c r="C3347" t="s">
        <v>239</v>
      </c>
      <c r="D3347" t="s">
        <v>199</v>
      </c>
      <c r="E3347" s="1">
        <v>45826</v>
      </c>
      <c r="F3347" t="s">
        <v>4325</v>
      </c>
      <c r="G3347" t="s">
        <v>2240</v>
      </c>
      <c r="H3347" t="s">
        <v>268</v>
      </c>
      <c r="I3347" t="s">
        <v>204</v>
      </c>
      <c r="J3347" s="1">
        <v>46172</v>
      </c>
      <c r="K3347" t="s">
        <v>720</v>
      </c>
      <c r="L3347">
        <v>1</v>
      </c>
      <c r="M3347">
        <v>712.5</v>
      </c>
      <c r="N3347" t="s">
        <v>710</v>
      </c>
      <c r="O3347" t="s">
        <v>1038</v>
      </c>
      <c r="P3347" t="s">
        <v>4779</v>
      </c>
      <c r="Q3347" t="s">
        <v>4858</v>
      </c>
      <c r="R3347" t="s">
        <v>4771</v>
      </c>
    </row>
    <row r="3348" spans="1:18" x14ac:dyDescent="0.3">
      <c r="A3348">
        <v>478257</v>
      </c>
      <c r="B3348" t="s">
        <v>4875</v>
      </c>
      <c r="C3348" t="s">
        <v>338</v>
      </c>
      <c r="D3348" t="s">
        <v>31</v>
      </c>
      <c r="E3348" s="1">
        <v>45826</v>
      </c>
      <c r="F3348" t="s">
        <v>4299</v>
      </c>
      <c r="G3348" t="s">
        <v>2209</v>
      </c>
      <c r="H3348" t="s">
        <v>353</v>
      </c>
      <c r="I3348" t="s">
        <v>204</v>
      </c>
      <c r="J3348" s="1">
        <v>54878</v>
      </c>
      <c r="K3348" t="s">
        <v>748</v>
      </c>
      <c r="L3348">
        <v>5387</v>
      </c>
      <c r="M3348">
        <v>5387.18</v>
      </c>
      <c r="N3348" t="s">
        <v>710</v>
      </c>
      <c r="O3348" t="s">
        <v>1040</v>
      </c>
      <c r="P3348" t="s">
        <v>4785</v>
      </c>
      <c r="Q3348" t="s">
        <v>4856</v>
      </c>
      <c r="R3348" t="s">
        <v>4773</v>
      </c>
    </row>
    <row r="3349" spans="1:18" x14ac:dyDescent="0.3">
      <c r="A3349">
        <v>15250</v>
      </c>
      <c r="B3349" t="s">
        <v>4874</v>
      </c>
      <c r="C3349" t="s">
        <v>439</v>
      </c>
      <c r="D3349" t="s">
        <v>156</v>
      </c>
      <c r="E3349" s="1">
        <v>45826</v>
      </c>
      <c r="F3349" t="s">
        <v>4396</v>
      </c>
      <c r="G3349" t="s">
        <v>2236</v>
      </c>
      <c r="H3349" t="s">
        <v>438</v>
      </c>
      <c r="I3349" t="s">
        <v>204</v>
      </c>
      <c r="J3349" s="1">
        <v>46265</v>
      </c>
      <c r="K3349" t="s">
        <v>762</v>
      </c>
      <c r="L3349">
        <v>23487.279999999999</v>
      </c>
      <c r="M3349">
        <v>23487.279999999999</v>
      </c>
      <c r="N3349" t="s">
        <v>710</v>
      </c>
      <c r="O3349" t="s">
        <v>1037</v>
      </c>
      <c r="P3349" t="s">
        <v>4789</v>
      </c>
      <c r="Q3349" t="s">
        <v>4852</v>
      </c>
      <c r="R3349" t="s">
        <v>4771</v>
      </c>
    </row>
    <row r="3350" spans="1:18" x14ac:dyDescent="0.3">
      <c r="A3350">
        <v>505680</v>
      </c>
      <c r="B3350" t="s">
        <v>4874</v>
      </c>
      <c r="C3350" t="s">
        <v>433</v>
      </c>
      <c r="D3350" t="s">
        <v>168</v>
      </c>
      <c r="E3350" s="1">
        <v>45826</v>
      </c>
      <c r="F3350" t="s">
        <v>4319</v>
      </c>
      <c r="G3350" t="s">
        <v>2241</v>
      </c>
      <c r="H3350" t="s">
        <v>432</v>
      </c>
      <c r="I3350" t="s">
        <v>204</v>
      </c>
      <c r="J3350" s="1">
        <v>46473</v>
      </c>
      <c r="K3350" t="s">
        <v>762</v>
      </c>
      <c r="L3350">
        <v>114</v>
      </c>
      <c r="M3350">
        <v>113.65</v>
      </c>
      <c r="N3350" t="s">
        <v>710</v>
      </c>
      <c r="O3350" t="s">
        <v>4833</v>
      </c>
      <c r="P3350" t="s">
        <v>4802</v>
      </c>
      <c r="Q3350" t="s">
        <v>4852</v>
      </c>
      <c r="R3350" t="s">
        <v>4771</v>
      </c>
    </row>
    <row r="3351" spans="1:18" x14ac:dyDescent="0.3">
      <c r="A3351">
        <v>502820</v>
      </c>
      <c r="B3351" t="s">
        <v>4874</v>
      </c>
      <c r="C3351" t="s">
        <v>433</v>
      </c>
      <c r="D3351" t="s">
        <v>168</v>
      </c>
      <c r="E3351" s="1">
        <v>45826</v>
      </c>
      <c r="F3351" t="s">
        <v>4319</v>
      </c>
      <c r="G3351" t="s">
        <v>2243</v>
      </c>
      <c r="H3351" t="s">
        <v>432</v>
      </c>
      <c r="I3351" t="s">
        <v>204</v>
      </c>
      <c r="J3351" s="1">
        <v>46473</v>
      </c>
      <c r="K3351" t="s">
        <v>762</v>
      </c>
      <c r="L3351">
        <v>180</v>
      </c>
      <c r="M3351">
        <v>180</v>
      </c>
      <c r="N3351" t="s">
        <v>710</v>
      </c>
      <c r="O3351" t="s">
        <v>4833</v>
      </c>
      <c r="P3351" t="s">
        <v>4802</v>
      </c>
      <c r="Q3351" t="s">
        <v>4852</v>
      </c>
      <c r="R3351" t="s">
        <v>4771</v>
      </c>
    </row>
    <row r="3352" spans="1:18" x14ac:dyDescent="0.3">
      <c r="A3352">
        <v>1237</v>
      </c>
      <c r="B3352" t="s">
        <v>4874</v>
      </c>
      <c r="C3352" t="s">
        <v>305</v>
      </c>
      <c r="D3352" t="s">
        <v>59</v>
      </c>
      <c r="E3352" s="1">
        <v>45826</v>
      </c>
      <c r="F3352" t="s">
        <v>4359</v>
      </c>
      <c r="G3352" t="s">
        <v>2234</v>
      </c>
      <c r="H3352" t="s">
        <v>304</v>
      </c>
      <c r="I3352" t="s">
        <v>204</v>
      </c>
      <c r="J3352" s="1">
        <v>46481</v>
      </c>
      <c r="K3352" t="s">
        <v>720</v>
      </c>
      <c r="L3352">
        <v>1</v>
      </c>
      <c r="M3352">
        <v>2356.08</v>
      </c>
      <c r="N3352" t="s">
        <v>809</v>
      </c>
      <c r="O3352" t="s">
        <v>1038</v>
      </c>
      <c r="P3352" t="s">
        <v>4783</v>
      </c>
      <c r="Q3352" t="s">
        <v>4858</v>
      </c>
      <c r="R3352" t="s">
        <v>4771</v>
      </c>
    </row>
    <row r="3353" spans="1:18" x14ac:dyDescent="0.3">
      <c r="A3353">
        <v>764450</v>
      </c>
      <c r="B3353" t="s">
        <v>1034</v>
      </c>
      <c r="C3353" t="s">
        <v>376</v>
      </c>
      <c r="D3353" t="s">
        <v>35</v>
      </c>
      <c r="E3353" s="1">
        <v>45826</v>
      </c>
      <c r="F3353" t="s">
        <v>4302</v>
      </c>
      <c r="G3353" t="s">
        <v>2098</v>
      </c>
      <c r="H3353" t="s">
        <v>377</v>
      </c>
      <c r="I3353" t="s">
        <v>209</v>
      </c>
      <c r="J3353" s="1">
        <v>54878</v>
      </c>
      <c r="K3353" t="s">
        <v>717</v>
      </c>
      <c r="L3353">
        <v>40673.07</v>
      </c>
      <c r="M3353">
        <v>40673.07</v>
      </c>
      <c r="N3353" t="s">
        <v>710</v>
      </c>
      <c r="Q3353" t="s">
        <v>4852</v>
      </c>
      <c r="R3353" t="s">
        <v>4771</v>
      </c>
    </row>
    <row r="3354" spans="1:18" x14ac:dyDescent="0.3">
      <c r="A3354">
        <v>8475</v>
      </c>
      <c r="B3354" t="s">
        <v>1034</v>
      </c>
      <c r="C3354" t="s">
        <v>267</v>
      </c>
      <c r="D3354" t="s">
        <v>186</v>
      </c>
      <c r="E3354" s="1">
        <v>45826</v>
      </c>
      <c r="F3354" t="s">
        <v>4350</v>
      </c>
      <c r="G3354" t="s">
        <v>2225</v>
      </c>
      <c r="H3354" t="s">
        <v>266</v>
      </c>
      <c r="I3354" t="s">
        <v>204</v>
      </c>
      <c r="J3354" s="1">
        <v>46259</v>
      </c>
      <c r="K3354" t="s">
        <v>717</v>
      </c>
      <c r="L3354">
        <v>8051.8</v>
      </c>
      <c r="M3354">
        <v>8051.8</v>
      </c>
      <c r="N3354" t="s">
        <v>710</v>
      </c>
      <c r="O3354" t="s">
        <v>1037</v>
      </c>
      <c r="P3354" t="s">
        <v>4780</v>
      </c>
      <c r="Q3354" t="s">
        <v>4852</v>
      </c>
      <c r="R3354" t="s">
        <v>4772</v>
      </c>
    </row>
    <row r="3355" spans="1:18" x14ac:dyDescent="0.3">
      <c r="A3355">
        <v>8476</v>
      </c>
      <c r="B3355" t="s">
        <v>1034</v>
      </c>
      <c r="C3355" t="s">
        <v>267</v>
      </c>
      <c r="D3355" t="s">
        <v>186</v>
      </c>
      <c r="E3355" s="1">
        <v>45826</v>
      </c>
      <c r="F3355" t="s">
        <v>4350</v>
      </c>
      <c r="G3355" t="s">
        <v>2225</v>
      </c>
      <c r="H3355" t="s">
        <v>266</v>
      </c>
      <c r="I3355" t="s">
        <v>204</v>
      </c>
      <c r="J3355" s="1">
        <v>46259</v>
      </c>
      <c r="K3355" t="s">
        <v>717</v>
      </c>
      <c r="L3355">
        <v>18890.34</v>
      </c>
      <c r="M3355">
        <v>18890.34</v>
      </c>
      <c r="N3355" t="s">
        <v>710</v>
      </c>
      <c r="O3355" t="s">
        <v>1037</v>
      </c>
      <c r="P3355" t="s">
        <v>4780</v>
      </c>
      <c r="Q3355" t="s">
        <v>4852</v>
      </c>
      <c r="R3355" t="s">
        <v>4772</v>
      </c>
    </row>
    <row r="3356" spans="1:18" x14ac:dyDescent="0.3">
      <c r="A3356">
        <v>8478</v>
      </c>
      <c r="B3356" t="s">
        <v>1034</v>
      </c>
      <c r="C3356" t="s">
        <v>267</v>
      </c>
      <c r="D3356" t="s">
        <v>186</v>
      </c>
      <c r="E3356" s="1">
        <v>45826</v>
      </c>
      <c r="F3356" t="s">
        <v>4350</v>
      </c>
      <c r="G3356" t="s">
        <v>2225</v>
      </c>
      <c r="H3356" t="s">
        <v>266</v>
      </c>
      <c r="I3356" t="s">
        <v>204</v>
      </c>
      <c r="J3356" s="1">
        <v>46259</v>
      </c>
      <c r="K3356" t="s">
        <v>717</v>
      </c>
      <c r="L3356">
        <v>15428.48</v>
      </c>
      <c r="M3356">
        <v>15428.48</v>
      </c>
      <c r="N3356" t="s">
        <v>710</v>
      </c>
      <c r="O3356" t="s">
        <v>1037</v>
      </c>
      <c r="P3356" t="s">
        <v>4780</v>
      </c>
      <c r="Q3356" t="s">
        <v>4852</v>
      </c>
      <c r="R3356" t="s">
        <v>4772</v>
      </c>
    </row>
    <row r="3357" spans="1:18" x14ac:dyDescent="0.3">
      <c r="A3357">
        <v>8477</v>
      </c>
      <c r="B3357" t="s">
        <v>1034</v>
      </c>
      <c r="C3357" t="s">
        <v>267</v>
      </c>
      <c r="D3357" t="s">
        <v>186</v>
      </c>
      <c r="E3357" s="1">
        <v>45826</v>
      </c>
      <c r="F3357" t="s">
        <v>4350</v>
      </c>
      <c r="G3357" t="s">
        <v>2225</v>
      </c>
      <c r="H3357" t="s">
        <v>266</v>
      </c>
      <c r="I3357" t="s">
        <v>204</v>
      </c>
      <c r="J3357" s="1">
        <v>46259</v>
      </c>
      <c r="K3357" t="s">
        <v>717</v>
      </c>
      <c r="L3357">
        <v>54825.45</v>
      </c>
      <c r="M3357">
        <v>54825.45</v>
      </c>
      <c r="N3357" t="s">
        <v>710</v>
      </c>
      <c r="O3357" t="s">
        <v>1037</v>
      </c>
      <c r="P3357" t="s">
        <v>4780</v>
      </c>
      <c r="Q3357" t="s">
        <v>4852</v>
      </c>
      <c r="R3357" t="s">
        <v>4772</v>
      </c>
    </row>
    <row r="3358" spans="1:18" x14ac:dyDescent="0.3">
      <c r="A3358">
        <v>8480</v>
      </c>
      <c r="B3358" t="s">
        <v>1034</v>
      </c>
      <c r="C3358" t="s">
        <v>267</v>
      </c>
      <c r="D3358" t="s">
        <v>186</v>
      </c>
      <c r="E3358" s="1">
        <v>45826</v>
      </c>
      <c r="F3358" t="s">
        <v>4350</v>
      </c>
      <c r="G3358" t="s">
        <v>2225</v>
      </c>
      <c r="H3358" t="s">
        <v>266</v>
      </c>
      <c r="I3358" t="s">
        <v>204</v>
      </c>
      <c r="J3358" s="1">
        <v>46259</v>
      </c>
      <c r="K3358" t="s">
        <v>717</v>
      </c>
      <c r="L3358">
        <v>21034.560000000001</v>
      </c>
      <c r="M3358">
        <v>21034.560000000001</v>
      </c>
      <c r="N3358" t="s">
        <v>710</v>
      </c>
      <c r="O3358" t="s">
        <v>1037</v>
      </c>
      <c r="P3358" t="s">
        <v>4780</v>
      </c>
      <c r="Q3358" t="s">
        <v>4852</v>
      </c>
      <c r="R3358" t="s">
        <v>4772</v>
      </c>
    </row>
    <row r="3359" spans="1:18" x14ac:dyDescent="0.3">
      <c r="A3359">
        <v>6878</v>
      </c>
      <c r="B3359" t="s">
        <v>1035</v>
      </c>
      <c r="C3359" t="s">
        <v>230</v>
      </c>
      <c r="D3359" t="s">
        <v>85</v>
      </c>
      <c r="E3359" s="1">
        <v>45826</v>
      </c>
      <c r="F3359" t="s">
        <v>4348</v>
      </c>
      <c r="G3359" t="s">
        <v>2248</v>
      </c>
      <c r="H3359" t="s">
        <v>229</v>
      </c>
      <c r="I3359" t="s">
        <v>204</v>
      </c>
      <c r="J3359" s="1">
        <v>46203</v>
      </c>
      <c r="K3359" t="s">
        <v>744</v>
      </c>
      <c r="L3359">
        <v>3181.54</v>
      </c>
      <c r="M3359">
        <v>3181.54</v>
      </c>
      <c r="N3359" t="s">
        <v>710</v>
      </c>
      <c r="O3359" t="s">
        <v>1033</v>
      </c>
      <c r="P3359" t="s">
        <v>4781</v>
      </c>
      <c r="Q3359" t="s">
        <v>4852</v>
      </c>
      <c r="R3359" t="s">
        <v>4771</v>
      </c>
    </row>
    <row r="3360" spans="1:18" x14ac:dyDescent="0.3">
      <c r="A3360">
        <v>6844</v>
      </c>
      <c r="B3360" t="s">
        <v>1035</v>
      </c>
      <c r="C3360" t="s">
        <v>230</v>
      </c>
      <c r="D3360" t="s">
        <v>85</v>
      </c>
      <c r="E3360" s="1">
        <v>45826</v>
      </c>
      <c r="F3360" t="s">
        <v>4436</v>
      </c>
      <c r="G3360" t="s">
        <v>2249</v>
      </c>
      <c r="H3360" t="s">
        <v>229</v>
      </c>
      <c r="I3360" t="s">
        <v>204</v>
      </c>
      <c r="J3360" s="1">
        <v>46203</v>
      </c>
      <c r="K3360" t="s">
        <v>744</v>
      </c>
      <c r="L3360">
        <v>5793.36</v>
      </c>
      <c r="M3360">
        <v>5793.36</v>
      </c>
      <c r="N3360" t="s">
        <v>710</v>
      </c>
      <c r="O3360" t="s">
        <v>1033</v>
      </c>
      <c r="P3360" t="s">
        <v>4781</v>
      </c>
      <c r="Q3360" t="s">
        <v>4852</v>
      </c>
      <c r="R3360" t="s">
        <v>4771</v>
      </c>
    </row>
    <row r="3361" spans="1:18" x14ac:dyDescent="0.3">
      <c r="A3361">
        <v>8479</v>
      </c>
      <c r="B3361" t="s">
        <v>1034</v>
      </c>
      <c r="C3361" t="s">
        <v>267</v>
      </c>
      <c r="D3361" t="s">
        <v>186</v>
      </c>
      <c r="E3361" s="1">
        <v>45826</v>
      </c>
      <c r="F3361" t="s">
        <v>4350</v>
      </c>
      <c r="G3361" t="s">
        <v>2225</v>
      </c>
      <c r="H3361" t="s">
        <v>266</v>
      </c>
      <c r="I3361" t="s">
        <v>204</v>
      </c>
      <c r="J3361" s="1">
        <v>46259</v>
      </c>
      <c r="K3361" t="s">
        <v>717</v>
      </c>
      <c r="L3361">
        <v>26400</v>
      </c>
      <c r="M3361">
        <v>26400</v>
      </c>
      <c r="N3361" t="s">
        <v>710</v>
      </c>
      <c r="O3361" t="s">
        <v>1037</v>
      </c>
      <c r="P3361" t="s">
        <v>4780</v>
      </c>
      <c r="Q3361" t="s">
        <v>4852</v>
      </c>
      <c r="R3361" t="s">
        <v>4772</v>
      </c>
    </row>
    <row r="3362" spans="1:18" x14ac:dyDescent="0.3">
      <c r="A3362">
        <v>15251</v>
      </c>
      <c r="B3362" t="s">
        <v>4876</v>
      </c>
      <c r="C3362" t="s">
        <v>439</v>
      </c>
      <c r="D3362" t="s">
        <v>156</v>
      </c>
      <c r="E3362" s="1">
        <v>45826</v>
      </c>
      <c r="F3362" t="s">
        <v>4396</v>
      </c>
      <c r="G3362" t="s">
        <v>2235</v>
      </c>
      <c r="H3362" t="s">
        <v>485</v>
      </c>
      <c r="I3362" t="s">
        <v>204</v>
      </c>
      <c r="J3362" s="1">
        <v>54878</v>
      </c>
      <c r="K3362" t="s">
        <v>839</v>
      </c>
      <c r="L3362">
        <v>5230.6400000000003</v>
      </c>
      <c r="M3362">
        <v>5230.6400000000003</v>
      </c>
      <c r="N3362" t="s">
        <v>710</v>
      </c>
      <c r="O3362" t="s">
        <v>1037</v>
      </c>
      <c r="P3362" t="s">
        <v>4776</v>
      </c>
      <c r="Q3362" t="s">
        <v>4852</v>
      </c>
      <c r="R3362" t="s">
        <v>4771</v>
      </c>
    </row>
    <row r="3363" spans="1:18" x14ac:dyDescent="0.3">
      <c r="A3363">
        <v>11220441</v>
      </c>
      <c r="B3363" t="s">
        <v>1034</v>
      </c>
      <c r="C3363" t="s">
        <v>452</v>
      </c>
      <c r="D3363" t="s">
        <v>171</v>
      </c>
      <c r="E3363" s="1">
        <v>45826</v>
      </c>
      <c r="F3363" t="s">
        <v>4319</v>
      </c>
      <c r="G3363" t="s">
        <v>2108</v>
      </c>
      <c r="H3363" t="s">
        <v>450</v>
      </c>
      <c r="I3363" t="s">
        <v>209</v>
      </c>
      <c r="J3363" s="1">
        <v>54878</v>
      </c>
      <c r="K3363" t="s">
        <v>717</v>
      </c>
      <c r="L3363">
        <v>1350</v>
      </c>
      <c r="M3363">
        <v>-1349.62</v>
      </c>
      <c r="N3363" t="s">
        <v>710</v>
      </c>
      <c r="Q3363" t="s">
        <v>4852</v>
      </c>
      <c r="R3363" t="s">
        <v>4771</v>
      </c>
    </row>
    <row r="3364" spans="1:18" x14ac:dyDescent="0.3">
      <c r="A3364">
        <v>409395</v>
      </c>
      <c r="B3364" t="s">
        <v>1035</v>
      </c>
      <c r="C3364" t="s">
        <v>239</v>
      </c>
      <c r="D3364" t="s">
        <v>199</v>
      </c>
      <c r="E3364" s="1">
        <v>45826</v>
      </c>
      <c r="F3364" t="s">
        <v>4325</v>
      </c>
      <c r="G3364" t="s">
        <v>2239</v>
      </c>
      <c r="H3364" t="s">
        <v>238</v>
      </c>
      <c r="I3364" t="s">
        <v>204</v>
      </c>
      <c r="J3364" s="1">
        <v>54878</v>
      </c>
      <c r="K3364" t="s">
        <v>754</v>
      </c>
      <c r="L3364">
        <v>1</v>
      </c>
      <c r="M3364">
        <v>75.08</v>
      </c>
      <c r="N3364" t="s">
        <v>710</v>
      </c>
      <c r="O3364" t="s">
        <v>4903</v>
      </c>
      <c r="P3364" t="s">
        <v>4779</v>
      </c>
      <c r="Q3364" t="s">
        <v>4858</v>
      </c>
      <c r="R3364" t="s">
        <v>4771</v>
      </c>
    </row>
    <row r="3365" spans="1:18" x14ac:dyDescent="0.3">
      <c r="A3365">
        <v>11220381</v>
      </c>
      <c r="B3365" t="s">
        <v>1034</v>
      </c>
      <c r="C3365" t="s">
        <v>452</v>
      </c>
      <c r="D3365" t="s">
        <v>171</v>
      </c>
      <c r="E3365" s="1">
        <v>45826</v>
      </c>
      <c r="F3365" t="s">
        <v>4319</v>
      </c>
      <c r="G3365" t="s">
        <v>2108</v>
      </c>
      <c r="H3365" t="s">
        <v>450</v>
      </c>
      <c r="I3365" t="s">
        <v>209</v>
      </c>
      <c r="J3365" s="1">
        <v>54878</v>
      </c>
      <c r="K3365" t="s">
        <v>717</v>
      </c>
      <c r="L3365">
        <v>2492</v>
      </c>
      <c r="M3365">
        <v>-2491.44</v>
      </c>
      <c r="N3365" t="s">
        <v>710</v>
      </c>
      <c r="Q3365" t="s">
        <v>4852</v>
      </c>
      <c r="R3365" t="s">
        <v>4771</v>
      </c>
    </row>
    <row r="3366" spans="1:18" x14ac:dyDescent="0.3">
      <c r="A3366">
        <v>771560</v>
      </c>
      <c r="B3366" t="s">
        <v>1034</v>
      </c>
      <c r="C3366" t="s">
        <v>433</v>
      </c>
      <c r="D3366" t="s">
        <v>168</v>
      </c>
      <c r="E3366" s="1">
        <v>45826</v>
      </c>
      <c r="F3366" t="s">
        <v>4319</v>
      </c>
      <c r="G3366" t="s">
        <v>2242</v>
      </c>
      <c r="H3366" t="s">
        <v>432</v>
      </c>
      <c r="I3366" t="s">
        <v>204</v>
      </c>
      <c r="J3366" s="1">
        <v>46473</v>
      </c>
      <c r="K3366" t="s">
        <v>762</v>
      </c>
      <c r="L3366">
        <v>313</v>
      </c>
      <c r="M3366">
        <v>312.32</v>
      </c>
      <c r="N3366" t="s">
        <v>710</v>
      </c>
      <c r="O3366" t="s">
        <v>4833</v>
      </c>
      <c r="P3366" t="s">
        <v>4802</v>
      </c>
      <c r="Q3366" t="s">
        <v>4852</v>
      </c>
      <c r="R3366" t="s">
        <v>4771</v>
      </c>
    </row>
    <row r="3367" spans="1:18" x14ac:dyDescent="0.3">
      <c r="A3367">
        <v>823494</v>
      </c>
      <c r="B3367" t="s">
        <v>1034</v>
      </c>
      <c r="C3367" t="s">
        <v>276</v>
      </c>
      <c r="D3367" t="s">
        <v>5</v>
      </c>
      <c r="E3367" s="1">
        <v>45826</v>
      </c>
      <c r="F3367" t="s">
        <v>4315</v>
      </c>
      <c r="G3367" t="s">
        <v>2237</v>
      </c>
      <c r="H3367" t="s">
        <v>275</v>
      </c>
      <c r="I3367" t="s">
        <v>204</v>
      </c>
      <c r="J3367" s="1">
        <v>46904</v>
      </c>
      <c r="K3367" t="s">
        <v>717</v>
      </c>
      <c r="L3367">
        <v>36994.879999999997</v>
      </c>
      <c r="M3367">
        <v>36994.879999999997</v>
      </c>
      <c r="N3367" t="s">
        <v>710</v>
      </c>
      <c r="O3367" t="s">
        <v>1037</v>
      </c>
      <c r="P3367" t="s">
        <v>4776</v>
      </c>
      <c r="Q3367" t="s">
        <v>4852</v>
      </c>
      <c r="R3367" t="s">
        <v>4773</v>
      </c>
    </row>
    <row r="3368" spans="1:18" x14ac:dyDescent="0.3">
      <c r="A3368">
        <v>202510</v>
      </c>
      <c r="B3368" t="s">
        <v>1034</v>
      </c>
      <c r="C3368" t="s">
        <v>516</v>
      </c>
      <c r="D3368" t="s">
        <v>12</v>
      </c>
      <c r="E3368" s="1">
        <v>45826</v>
      </c>
      <c r="F3368" t="s">
        <v>4337</v>
      </c>
      <c r="G3368" t="s">
        <v>2233</v>
      </c>
      <c r="H3368" t="s">
        <v>515</v>
      </c>
      <c r="I3368" t="s">
        <v>204</v>
      </c>
      <c r="J3368" s="1">
        <v>46489</v>
      </c>
      <c r="K3368" t="s">
        <v>711</v>
      </c>
      <c r="L3368">
        <v>3580</v>
      </c>
      <c r="M3368">
        <v>3580</v>
      </c>
      <c r="N3368" t="s">
        <v>884</v>
      </c>
      <c r="O3368" t="s">
        <v>1037</v>
      </c>
      <c r="P3368" t="s">
        <v>4776</v>
      </c>
      <c r="Q3368" t="s">
        <v>4852</v>
      </c>
      <c r="R3368" t="s">
        <v>4772</v>
      </c>
    </row>
    <row r="3369" spans="1:18" x14ac:dyDescent="0.3">
      <c r="A3369">
        <v>11220328</v>
      </c>
      <c r="B3369" t="s">
        <v>1034</v>
      </c>
      <c r="C3369" t="s">
        <v>452</v>
      </c>
      <c r="D3369" t="s">
        <v>171</v>
      </c>
      <c r="E3369" s="1">
        <v>45826</v>
      </c>
      <c r="F3369" t="s">
        <v>4319</v>
      </c>
      <c r="G3369" t="s">
        <v>2108</v>
      </c>
      <c r="H3369" t="s">
        <v>450</v>
      </c>
      <c r="I3369" t="s">
        <v>209</v>
      </c>
      <c r="J3369" s="1">
        <v>54878</v>
      </c>
      <c r="K3369" t="s">
        <v>717</v>
      </c>
      <c r="L3369">
        <v>1617</v>
      </c>
      <c r="M3369">
        <v>-1616.02</v>
      </c>
      <c r="N3369" t="s">
        <v>710</v>
      </c>
      <c r="Q3369" t="s">
        <v>4852</v>
      </c>
      <c r="R3369" t="s">
        <v>4771</v>
      </c>
    </row>
    <row r="3370" spans="1:18" x14ac:dyDescent="0.3">
      <c r="A3370">
        <v>63453</v>
      </c>
      <c r="B3370" t="s">
        <v>4874</v>
      </c>
      <c r="C3370" t="s">
        <v>614</v>
      </c>
      <c r="D3370" t="s">
        <v>74</v>
      </c>
      <c r="E3370" s="1">
        <v>45825</v>
      </c>
      <c r="F3370" t="s">
        <v>4362</v>
      </c>
      <c r="G3370" t="s">
        <v>2031</v>
      </c>
      <c r="H3370" t="s">
        <v>613</v>
      </c>
      <c r="I3370" t="s">
        <v>204</v>
      </c>
      <c r="J3370" s="1">
        <v>46993</v>
      </c>
      <c r="K3370" t="s">
        <v>720</v>
      </c>
      <c r="L3370">
        <v>1</v>
      </c>
      <c r="M3370">
        <v>1515</v>
      </c>
      <c r="N3370" t="s">
        <v>710</v>
      </c>
      <c r="O3370" t="s">
        <v>1038</v>
      </c>
      <c r="P3370" t="s">
        <v>4779</v>
      </c>
      <c r="Q3370" t="s">
        <v>4858</v>
      </c>
      <c r="R3370" t="s">
        <v>4771</v>
      </c>
    </row>
    <row r="3371" spans="1:18" x14ac:dyDescent="0.3">
      <c r="A3371">
        <v>19608</v>
      </c>
      <c r="B3371" t="s">
        <v>4874</v>
      </c>
      <c r="C3371" t="s">
        <v>539</v>
      </c>
      <c r="D3371" t="s">
        <v>189</v>
      </c>
      <c r="E3371" s="1">
        <v>45825</v>
      </c>
      <c r="F3371" t="s">
        <v>4327</v>
      </c>
      <c r="G3371" t="s">
        <v>2226</v>
      </c>
      <c r="H3371" t="s">
        <v>573</v>
      </c>
      <c r="I3371" t="s">
        <v>209</v>
      </c>
      <c r="J3371" s="1">
        <v>45808</v>
      </c>
      <c r="K3371" t="s">
        <v>762</v>
      </c>
      <c r="L3371">
        <v>5499.6</v>
      </c>
      <c r="M3371">
        <v>5499.6</v>
      </c>
      <c r="N3371" t="s">
        <v>890</v>
      </c>
      <c r="Q3371" t="s">
        <v>807</v>
      </c>
    </row>
    <row r="3372" spans="1:18" x14ac:dyDescent="0.3">
      <c r="A3372">
        <v>110825</v>
      </c>
      <c r="B3372" t="s">
        <v>4874</v>
      </c>
      <c r="C3372" t="s">
        <v>227</v>
      </c>
      <c r="D3372" t="s">
        <v>191</v>
      </c>
      <c r="E3372" s="1">
        <v>45825</v>
      </c>
      <c r="F3372" t="s">
        <v>4387</v>
      </c>
      <c r="G3372" t="s">
        <v>2229</v>
      </c>
      <c r="H3372" t="s">
        <v>577</v>
      </c>
      <c r="I3372" t="s">
        <v>204</v>
      </c>
      <c r="J3372" s="1">
        <v>46493</v>
      </c>
      <c r="K3372" t="s">
        <v>762</v>
      </c>
      <c r="L3372">
        <v>62472.5</v>
      </c>
      <c r="M3372">
        <v>62472.5</v>
      </c>
      <c r="N3372" t="s">
        <v>809</v>
      </c>
      <c r="O3372" t="s">
        <v>4904</v>
      </c>
      <c r="P3372" t="s">
        <v>4792</v>
      </c>
      <c r="Q3372" t="s">
        <v>4904</v>
      </c>
      <c r="R3372" t="s">
        <v>4772</v>
      </c>
    </row>
    <row r="3373" spans="1:18" x14ac:dyDescent="0.3">
      <c r="A3373">
        <v>206356</v>
      </c>
      <c r="B3373" t="s">
        <v>4874</v>
      </c>
      <c r="C3373" t="s">
        <v>391</v>
      </c>
      <c r="D3373" t="s">
        <v>104</v>
      </c>
      <c r="E3373" s="1">
        <v>45825</v>
      </c>
      <c r="F3373" t="s">
        <v>4306</v>
      </c>
      <c r="G3373" t="s">
        <v>2206</v>
      </c>
      <c r="H3373" t="s">
        <v>390</v>
      </c>
      <c r="I3373" t="s">
        <v>204</v>
      </c>
      <c r="J3373" s="1">
        <v>54878</v>
      </c>
      <c r="K3373" t="s">
        <v>762</v>
      </c>
      <c r="L3373">
        <v>838.58</v>
      </c>
      <c r="M3373">
        <v>838.58</v>
      </c>
      <c r="N3373" t="s">
        <v>710</v>
      </c>
      <c r="O3373" t="s">
        <v>4833</v>
      </c>
      <c r="P3373" t="s">
        <v>4776</v>
      </c>
      <c r="Q3373" t="s">
        <v>4852</v>
      </c>
      <c r="R3373" t="s">
        <v>4773</v>
      </c>
    </row>
    <row r="3374" spans="1:18" x14ac:dyDescent="0.3">
      <c r="A3374">
        <v>187354</v>
      </c>
      <c r="B3374" t="s">
        <v>4874</v>
      </c>
      <c r="C3374" t="s">
        <v>391</v>
      </c>
      <c r="D3374" t="s">
        <v>104</v>
      </c>
      <c r="E3374" s="1">
        <v>45825</v>
      </c>
      <c r="F3374" t="s">
        <v>4354</v>
      </c>
      <c r="G3374" t="s">
        <v>2206</v>
      </c>
      <c r="H3374" t="s">
        <v>390</v>
      </c>
      <c r="I3374" t="s">
        <v>204</v>
      </c>
      <c r="J3374" s="1">
        <v>54878</v>
      </c>
      <c r="K3374" t="s">
        <v>762</v>
      </c>
      <c r="L3374">
        <v>211.58</v>
      </c>
      <c r="M3374">
        <v>211.58</v>
      </c>
      <c r="N3374" t="s">
        <v>710</v>
      </c>
      <c r="O3374" t="s">
        <v>4833</v>
      </c>
      <c r="P3374" t="s">
        <v>4776</v>
      </c>
      <c r="Q3374" t="s">
        <v>4852</v>
      </c>
      <c r="R3374" t="s">
        <v>4773</v>
      </c>
    </row>
    <row r="3375" spans="1:18" x14ac:dyDescent="0.3">
      <c r="A3375">
        <v>272986</v>
      </c>
      <c r="B3375" t="s">
        <v>4874</v>
      </c>
      <c r="C3375" t="s">
        <v>391</v>
      </c>
      <c r="D3375" t="s">
        <v>104</v>
      </c>
      <c r="E3375" s="1">
        <v>45825</v>
      </c>
      <c r="F3375" t="s">
        <v>4315</v>
      </c>
      <c r="G3375" t="s">
        <v>2206</v>
      </c>
      <c r="H3375" t="s">
        <v>390</v>
      </c>
      <c r="I3375" t="s">
        <v>204</v>
      </c>
      <c r="J3375" s="1">
        <v>54878</v>
      </c>
      <c r="K3375" t="s">
        <v>762</v>
      </c>
      <c r="L3375">
        <v>82.81</v>
      </c>
      <c r="M3375">
        <v>82.81</v>
      </c>
      <c r="N3375" t="s">
        <v>710</v>
      </c>
      <c r="O3375" t="s">
        <v>4833</v>
      </c>
      <c r="P3375" t="s">
        <v>4776</v>
      </c>
      <c r="Q3375" t="s">
        <v>4852</v>
      </c>
      <c r="R3375" t="s">
        <v>4773</v>
      </c>
    </row>
    <row r="3376" spans="1:18" x14ac:dyDescent="0.3">
      <c r="A3376">
        <v>2788</v>
      </c>
      <c r="B3376" t="s">
        <v>4874</v>
      </c>
      <c r="C3376" t="s">
        <v>372</v>
      </c>
      <c r="D3376" t="s">
        <v>105</v>
      </c>
      <c r="E3376" s="1">
        <v>45825</v>
      </c>
      <c r="F3376" t="s">
        <v>4408</v>
      </c>
      <c r="G3376" t="s">
        <v>2232</v>
      </c>
      <c r="H3376" t="s">
        <v>371</v>
      </c>
      <c r="I3376" t="s">
        <v>209</v>
      </c>
      <c r="J3376" s="1">
        <v>45904</v>
      </c>
      <c r="K3376" t="s">
        <v>720</v>
      </c>
      <c r="L3376">
        <v>8685</v>
      </c>
      <c r="M3376">
        <v>8685</v>
      </c>
      <c r="N3376" t="s">
        <v>719</v>
      </c>
      <c r="O3376" t="s">
        <v>1038</v>
      </c>
      <c r="P3376" t="s">
        <v>4777</v>
      </c>
      <c r="Q3376" t="s">
        <v>4858</v>
      </c>
      <c r="R3376" t="s">
        <v>4773</v>
      </c>
    </row>
    <row r="3377" spans="1:18" x14ac:dyDescent="0.3">
      <c r="A3377">
        <v>2459</v>
      </c>
      <c r="B3377" t="s">
        <v>4875</v>
      </c>
      <c r="C3377" t="s">
        <v>278</v>
      </c>
      <c r="D3377" t="s">
        <v>17</v>
      </c>
      <c r="E3377" s="1">
        <v>45825</v>
      </c>
      <c r="F3377" t="s">
        <v>4340</v>
      </c>
      <c r="G3377" t="s">
        <v>2211</v>
      </c>
      <c r="H3377" t="s">
        <v>277</v>
      </c>
      <c r="I3377" t="s">
        <v>204</v>
      </c>
      <c r="J3377" s="1">
        <v>54878</v>
      </c>
      <c r="K3377" t="s">
        <v>748</v>
      </c>
      <c r="L3377">
        <v>1500</v>
      </c>
      <c r="M3377">
        <v>1500</v>
      </c>
      <c r="N3377" t="s">
        <v>710</v>
      </c>
      <c r="O3377" t="s">
        <v>1040</v>
      </c>
      <c r="P3377" t="s">
        <v>4776</v>
      </c>
      <c r="Q3377" t="s">
        <v>4856</v>
      </c>
      <c r="R3377" t="s">
        <v>4771</v>
      </c>
    </row>
    <row r="3378" spans="1:18" x14ac:dyDescent="0.3">
      <c r="A3378">
        <v>5455</v>
      </c>
      <c r="B3378" t="s">
        <v>1034</v>
      </c>
      <c r="C3378" t="s">
        <v>208</v>
      </c>
      <c r="D3378" t="s">
        <v>164</v>
      </c>
      <c r="E3378" s="1">
        <v>45825</v>
      </c>
      <c r="F3378" t="s">
        <v>4341</v>
      </c>
      <c r="G3378" t="s">
        <v>2223</v>
      </c>
      <c r="H3378" t="s">
        <v>604</v>
      </c>
      <c r="I3378" t="s">
        <v>204</v>
      </c>
      <c r="J3378" s="1">
        <v>46256</v>
      </c>
      <c r="K3378" t="s">
        <v>711</v>
      </c>
      <c r="L3378">
        <v>1</v>
      </c>
      <c r="M3378">
        <v>760</v>
      </c>
      <c r="N3378" t="s">
        <v>710</v>
      </c>
      <c r="O3378" t="s">
        <v>1036</v>
      </c>
      <c r="P3378" t="s">
        <v>4784</v>
      </c>
      <c r="Q3378" t="s">
        <v>4901</v>
      </c>
    </row>
    <row r="3379" spans="1:18" x14ac:dyDescent="0.3">
      <c r="A3379">
        <v>5455</v>
      </c>
      <c r="B3379" t="s">
        <v>1034</v>
      </c>
      <c r="C3379" t="s">
        <v>208</v>
      </c>
      <c r="D3379" t="s">
        <v>164</v>
      </c>
      <c r="E3379" s="1">
        <v>45825</v>
      </c>
      <c r="F3379" t="s">
        <v>4343</v>
      </c>
      <c r="G3379" t="s">
        <v>2223</v>
      </c>
      <c r="H3379" t="s">
        <v>604</v>
      </c>
      <c r="I3379" t="s">
        <v>204</v>
      </c>
      <c r="J3379" s="1">
        <v>46256</v>
      </c>
      <c r="K3379" t="s">
        <v>711</v>
      </c>
      <c r="L3379">
        <v>3</v>
      </c>
      <c r="M3379">
        <v>420</v>
      </c>
      <c r="N3379" t="s">
        <v>710</v>
      </c>
      <c r="O3379" t="s">
        <v>1036</v>
      </c>
      <c r="P3379" t="s">
        <v>4784</v>
      </c>
      <c r="Q3379" t="s">
        <v>4901</v>
      </c>
    </row>
    <row r="3380" spans="1:18" x14ac:dyDescent="0.3">
      <c r="A3380">
        <v>5455</v>
      </c>
      <c r="B3380" t="s">
        <v>1034</v>
      </c>
      <c r="C3380" t="s">
        <v>208</v>
      </c>
      <c r="D3380" t="s">
        <v>164</v>
      </c>
      <c r="E3380" s="1">
        <v>45825</v>
      </c>
      <c r="F3380" t="s">
        <v>4342</v>
      </c>
      <c r="G3380" t="s">
        <v>2223</v>
      </c>
      <c r="H3380" t="s">
        <v>604</v>
      </c>
      <c r="I3380" t="s">
        <v>204</v>
      </c>
      <c r="J3380" s="1">
        <v>46256</v>
      </c>
      <c r="K3380" t="s">
        <v>711</v>
      </c>
      <c r="L3380">
        <v>2</v>
      </c>
      <c r="M3380">
        <v>680</v>
      </c>
      <c r="N3380" t="s">
        <v>710</v>
      </c>
      <c r="O3380" t="s">
        <v>1036</v>
      </c>
      <c r="P3380" t="s">
        <v>4784</v>
      </c>
      <c r="Q3380" t="s">
        <v>4901</v>
      </c>
    </row>
    <row r="3381" spans="1:18" x14ac:dyDescent="0.3">
      <c r="A3381">
        <v>3657</v>
      </c>
      <c r="B3381" t="s">
        <v>1034</v>
      </c>
      <c r="C3381" t="s">
        <v>267</v>
      </c>
      <c r="D3381" t="s">
        <v>186</v>
      </c>
      <c r="E3381" s="1">
        <v>45825</v>
      </c>
      <c r="F3381" t="s">
        <v>4349</v>
      </c>
      <c r="G3381" t="s">
        <v>2225</v>
      </c>
      <c r="H3381" t="s">
        <v>266</v>
      </c>
      <c r="I3381" t="s">
        <v>204</v>
      </c>
      <c r="J3381" s="1">
        <v>46259</v>
      </c>
      <c r="K3381" t="s">
        <v>717</v>
      </c>
      <c r="L3381">
        <v>42656.21</v>
      </c>
      <c r="M3381">
        <v>42656.21</v>
      </c>
      <c r="N3381" t="s">
        <v>710</v>
      </c>
      <c r="O3381" t="s">
        <v>1037</v>
      </c>
      <c r="P3381" t="s">
        <v>4780</v>
      </c>
      <c r="Q3381" t="s">
        <v>4852</v>
      </c>
      <c r="R3381" t="s">
        <v>4772</v>
      </c>
    </row>
    <row r="3382" spans="1:18" x14ac:dyDescent="0.3">
      <c r="A3382">
        <v>2085</v>
      </c>
      <c r="B3382" t="s">
        <v>1034</v>
      </c>
      <c r="C3382" t="s">
        <v>616</v>
      </c>
      <c r="D3382" t="s">
        <v>152</v>
      </c>
      <c r="E3382" s="1">
        <v>45825</v>
      </c>
      <c r="F3382" t="s">
        <v>4338</v>
      </c>
      <c r="G3382" t="s">
        <v>2145</v>
      </c>
      <c r="H3382" t="s">
        <v>621</v>
      </c>
      <c r="I3382" t="s">
        <v>204</v>
      </c>
      <c r="J3382" s="1">
        <v>46349</v>
      </c>
      <c r="K3382" t="s">
        <v>711</v>
      </c>
      <c r="L3382">
        <v>67259.55</v>
      </c>
      <c r="M3382">
        <v>67259.55</v>
      </c>
      <c r="N3382" t="s">
        <v>710</v>
      </c>
      <c r="O3382" t="s">
        <v>4904</v>
      </c>
      <c r="P3382" t="s">
        <v>4796</v>
      </c>
      <c r="Q3382" t="s">
        <v>4901</v>
      </c>
      <c r="R3382" t="s">
        <v>4772</v>
      </c>
    </row>
    <row r="3383" spans="1:18" x14ac:dyDescent="0.3">
      <c r="A3383">
        <v>9102</v>
      </c>
      <c r="B3383" t="s">
        <v>1034</v>
      </c>
      <c r="C3383" t="s">
        <v>624</v>
      </c>
      <c r="D3383" t="s">
        <v>68</v>
      </c>
      <c r="E3383" s="1">
        <v>45825</v>
      </c>
      <c r="F3383" t="s">
        <v>4367</v>
      </c>
      <c r="G3383" t="s">
        <v>2200</v>
      </c>
      <c r="H3383" t="s">
        <v>623</v>
      </c>
      <c r="I3383" t="s">
        <v>204</v>
      </c>
      <c r="J3383" s="1">
        <v>46017</v>
      </c>
      <c r="K3383" t="s">
        <v>839</v>
      </c>
      <c r="L3383">
        <v>1600</v>
      </c>
      <c r="M3383">
        <v>1600</v>
      </c>
      <c r="N3383" t="s">
        <v>710</v>
      </c>
      <c r="O3383" t="s">
        <v>1041</v>
      </c>
      <c r="P3383" t="s">
        <v>4776</v>
      </c>
      <c r="Q3383" t="s">
        <v>4852</v>
      </c>
      <c r="R3383" t="s">
        <v>4771</v>
      </c>
    </row>
    <row r="3384" spans="1:18" x14ac:dyDescent="0.3">
      <c r="A3384">
        <v>2083</v>
      </c>
      <c r="B3384" t="s">
        <v>4875</v>
      </c>
      <c r="C3384" t="s">
        <v>616</v>
      </c>
      <c r="D3384" t="s">
        <v>152</v>
      </c>
      <c r="E3384" s="1">
        <v>45825</v>
      </c>
      <c r="F3384" t="s">
        <v>4338</v>
      </c>
      <c r="G3384" t="s">
        <v>2055</v>
      </c>
      <c r="H3384" t="s">
        <v>622</v>
      </c>
      <c r="I3384" t="s">
        <v>204</v>
      </c>
      <c r="J3384" s="1">
        <v>46351</v>
      </c>
      <c r="K3384" t="s">
        <v>748</v>
      </c>
      <c r="L3384">
        <v>1</v>
      </c>
      <c r="M3384">
        <v>28600.99</v>
      </c>
      <c r="N3384" t="s">
        <v>710</v>
      </c>
      <c r="O3384" t="s">
        <v>4904</v>
      </c>
      <c r="P3384" t="s">
        <v>4796</v>
      </c>
      <c r="Q3384" t="s">
        <v>4856</v>
      </c>
      <c r="R3384" t="s">
        <v>4772</v>
      </c>
    </row>
    <row r="3385" spans="1:18" x14ac:dyDescent="0.3">
      <c r="A3385">
        <v>288</v>
      </c>
      <c r="B3385" t="s">
        <v>4874</v>
      </c>
      <c r="C3385" t="s">
        <v>575</v>
      </c>
      <c r="D3385" t="s">
        <v>174</v>
      </c>
      <c r="E3385" s="1">
        <v>45824</v>
      </c>
      <c r="F3385" t="s">
        <v>4412</v>
      </c>
      <c r="G3385" t="s">
        <v>2230</v>
      </c>
      <c r="H3385" t="s">
        <v>574</v>
      </c>
      <c r="I3385" t="s">
        <v>204</v>
      </c>
      <c r="J3385" s="1">
        <v>46203</v>
      </c>
      <c r="K3385" t="s">
        <v>720</v>
      </c>
      <c r="L3385">
        <v>1</v>
      </c>
      <c r="M3385">
        <v>3540</v>
      </c>
      <c r="N3385" t="s">
        <v>890</v>
      </c>
      <c r="O3385" t="s">
        <v>1039</v>
      </c>
      <c r="P3385" t="s">
        <v>4776</v>
      </c>
      <c r="Q3385" t="s">
        <v>4858</v>
      </c>
      <c r="R3385" t="s">
        <v>4771</v>
      </c>
    </row>
    <row r="3386" spans="1:18" x14ac:dyDescent="0.3">
      <c r="A3386">
        <v>82766</v>
      </c>
      <c r="B3386" t="s">
        <v>1034</v>
      </c>
      <c r="C3386" t="s">
        <v>319</v>
      </c>
      <c r="D3386" t="s">
        <v>36</v>
      </c>
      <c r="E3386" s="1">
        <v>45824</v>
      </c>
      <c r="F3386" t="s">
        <v>4298</v>
      </c>
      <c r="G3386" t="s">
        <v>2228</v>
      </c>
      <c r="H3386" t="s">
        <v>318</v>
      </c>
      <c r="I3386" t="s">
        <v>204</v>
      </c>
      <c r="J3386" s="1">
        <v>46214</v>
      </c>
      <c r="K3386" t="s">
        <v>711</v>
      </c>
      <c r="L3386">
        <v>1936</v>
      </c>
      <c r="M3386">
        <v>1934.87</v>
      </c>
      <c r="N3386" t="s">
        <v>710</v>
      </c>
      <c r="O3386" t="s">
        <v>1036</v>
      </c>
      <c r="P3386" t="s">
        <v>4784</v>
      </c>
      <c r="Q3386" t="s">
        <v>4901</v>
      </c>
      <c r="R3386" t="s">
        <v>4771</v>
      </c>
    </row>
    <row r="3387" spans="1:18" x14ac:dyDescent="0.3">
      <c r="A3387">
        <v>478338</v>
      </c>
      <c r="B3387" t="s">
        <v>1034</v>
      </c>
      <c r="C3387" t="s">
        <v>338</v>
      </c>
      <c r="D3387" t="s">
        <v>31</v>
      </c>
      <c r="E3387" s="1">
        <v>45824</v>
      </c>
      <c r="F3387" t="s">
        <v>4299</v>
      </c>
      <c r="G3387" t="s">
        <v>2227</v>
      </c>
      <c r="H3387" t="s">
        <v>337</v>
      </c>
      <c r="I3387" t="s">
        <v>204</v>
      </c>
      <c r="J3387" s="1">
        <v>54878</v>
      </c>
      <c r="K3387" t="s">
        <v>711</v>
      </c>
      <c r="L3387">
        <v>26466</v>
      </c>
      <c r="M3387">
        <v>26465.58</v>
      </c>
      <c r="N3387" t="s">
        <v>710</v>
      </c>
      <c r="O3387" t="s">
        <v>1036</v>
      </c>
      <c r="P3387" t="s">
        <v>4785</v>
      </c>
      <c r="Q3387" t="s">
        <v>4901</v>
      </c>
      <c r="R3387" t="s">
        <v>4773</v>
      </c>
    </row>
    <row r="3388" spans="1:18" x14ac:dyDescent="0.3">
      <c r="A3388">
        <v>6070</v>
      </c>
      <c r="B3388" t="s">
        <v>1034</v>
      </c>
      <c r="C3388" t="s">
        <v>208</v>
      </c>
      <c r="D3388" t="s">
        <v>164</v>
      </c>
      <c r="E3388" s="1">
        <v>45824</v>
      </c>
      <c r="F3388" t="s">
        <v>4297</v>
      </c>
      <c r="G3388" t="s">
        <v>2224</v>
      </c>
      <c r="H3388" t="s">
        <v>604</v>
      </c>
      <c r="I3388" t="s">
        <v>204</v>
      </c>
      <c r="J3388" s="1">
        <v>46256</v>
      </c>
      <c r="K3388" t="s">
        <v>711</v>
      </c>
      <c r="L3388">
        <v>2</v>
      </c>
      <c r="M3388">
        <v>120</v>
      </c>
      <c r="N3388" t="s">
        <v>710</v>
      </c>
      <c r="O3388" t="s">
        <v>1036</v>
      </c>
      <c r="P3388" t="s">
        <v>4784</v>
      </c>
      <c r="Q3388" t="s">
        <v>4901</v>
      </c>
    </row>
    <row r="3389" spans="1:18" x14ac:dyDescent="0.3">
      <c r="A3389">
        <v>6070</v>
      </c>
      <c r="B3389" t="s">
        <v>1034</v>
      </c>
      <c r="C3389" t="s">
        <v>208</v>
      </c>
      <c r="D3389" t="s">
        <v>164</v>
      </c>
      <c r="E3389" s="1">
        <v>45824</v>
      </c>
      <c r="F3389" t="s">
        <v>4297</v>
      </c>
      <c r="G3389" t="s">
        <v>2224</v>
      </c>
      <c r="H3389" t="s">
        <v>604</v>
      </c>
      <c r="I3389" t="s">
        <v>204</v>
      </c>
      <c r="J3389" s="1">
        <v>46256</v>
      </c>
      <c r="K3389" t="s">
        <v>711</v>
      </c>
      <c r="L3389">
        <v>3</v>
      </c>
      <c r="M3389">
        <v>180</v>
      </c>
      <c r="N3389" t="s">
        <v>710</v>
      </c>
      <c r="O3389" t="s">
        <v>1036</v>
      </c>
      <c r="P3389" t="s">
        <v>4784</v>
      </c>
      <c r="Q3389" t="s">
        <v>4901</v>
      </c>
    </row>
    <row r="3390" spans="1:18" x14ac:dyDescent="0.3">
      <c r="A3390">
        <v>6070</v>
      </c>
      <c r="B3390" t="s">
        <v>1034</v>
      </c>
      <c r="C3390" t="s">
        <v>208</v>
      </c>
      <c r="D3390" t="s">
        <v>164</v>
      </c>
      <c r="E3390" s="1">
        <v>45824</v>
      </c>
      <c r="F3390" t="s">
        <v>4297</v>
      </c>
      <c r="G3390" t="s">
        <v>2224</v>
      </c>
      <c r="H3390" t="s">
        <v>604</v>
      </c>
      <c r="I3390" t="s">
        <v>204</v>
      </c>
      <c r="J3390" s="1">
        <v>46256</v>
      </c>
      <c r="K3390" t="s">
        <v>711</v>
      </c>
      <c r="L3390">
        <v>1</v>
      </c>
      <c r="M3390">
        <v>60</v>
      </c>
      <c r="N3390" t="s">
        <v>710</v>
      </c>
      <c r="O3390" t="s">
        <v>1036</v>
      </c>
      <c r="P3390" t="s">
        <v>4784</v>
      </c>
      <c r="Q3390" t="s">
        <v>4901</v>
      </c>
    </row>
    <row r="3391" spans="1:18" x14ac:dyDescent="0.3">
      <c r="A3391">
        <v>6070</v>
      </c>
      <c r="B3391" t="s">
        <v>1034</v>
      </c>
      <c r="C3391" t="s">
        <v>208</v>
      </c>
      <c r="D3391" t="s">
        <v>164</v>
      </c>
      <c r="E3391" s="1">
        <v>45824</v>
      </c>
      <c r="F3391" t="s">
        <v>4297</v>
      </c>
      <c r="G3391" t="s">
        <v>2224</v>
      </c>
      <c r="H3391" t="s">
        <v>604</v>
      </c>
      <c r="I3391" t="s">
        <v>204</v>
      </c>
      <c r="J3391" s="1">
        <v>46256</v>
      </c>
      <c r="K3391" t="s">
        <v>711</v>
      </c>
      <c r="L3391">
        <v>2</v>
      </c>
      <c r="M3391">
        <v>120</v>
      </c>
      <c r="N3391" t="s">
        <v>710</v>
      </c>
      <c r="O3391" t="s">
        <v>1036</v>
      </c>
      <c r="P3391" t="s">
        <v>4784</v>
      </c>
      <c r="Q3391" t="s">
        <v>4901</v>
      </c>
    </row>
    <row r="3392" spans="1:18" x14ac:dyDescent="0.3">
      <c r="A3392">
        <v>6070</v>
      </c>
      <c r="B3392" t="s">
        <v>1034</v>
      </c>
      <c r="C3392" t="s">
        <v>208</v>
      </c>
      <c r="D3392" t="s">
        <v>164</v>
      </c>
      <c r="E3392" s="1">
        <v>45824</v>
      </c>
      <c r="F3392" t="s">
        <v>4297</v>
      </c>
      <c r="G3392" t="s">
        <v>2224</v>
      </c>
      <c r="H3392" t="s">
        <v>604</v>
      </c>
      <c r="I3392" t="s">
        <v>204</v>
      </c>
      <c r="J3392" s="1">
        <v>46256</v>
      </c>
      <c r="K3392" t="s">
        <v>711</v>
      </c>
      <c r="L3392">
        <v>4</v>
      </c>
      <c r="M3392">
        <v>240</v>
      </c>
      <c r="N3392" t="s">
        <v>710</v>
      </c>
      <c r="O3392" t="s">
        <v>1036</v>
      </c>
      <c r="P3392" t="s">
        <v>4784</v>
      </c>
      <c r="Q3392" t="s">
        <v>4901</v>
      </c>
    </row>
    <row r="3393" spans="1:18" x14ac:dyDescent="0.3">
      <c r="A3393">
        <v>9</v>
      </c>
      <c r="B3393" t="s">
        <v>4874</v>
      </c>
      <c r="C3393" t="s">
        <v>626</v>
      </c>
      <c r="D3393" t="s">
        <v>184</v>
      </c>
      <c r="E3393" s="1">
        <v>45824</v>
      </c>
      <c r="F3393" t="s">
        <v>4414</v>
      </c>
      <c r="G3393" t="s">
        <v>2166</v>
      </c>
      <c r="H3393" t="s">
        <v>625</v>
      </c>
      <c r="I3393" t="s">
        <v>204</v>
      </c>
      <c r="J3393" s="1">
        <v>46440</v>
      </c>
      <c r="K3393" t="s">
        <v>720</v>
      </c>
      <c r="L3393">
        <v>1</v>
      </c>
      <c r="M3393">
        <v>20710</v>
      </c>
      <c r="N3393" t="s">
        <v>710</v>
      </c>
      <c r="O3393" t="s">
        <v>1039</v>
      </c>
      <c r="P3393" t="s">
        <v>4777</v>
      </c>
      <c r="Q3393" t="s">
        <v>4858</v>
      </c>
      <c r="R3393" t="s">
        <v>4773</v>
      </c>
    </row>
    <row r="3394" spans="1:18" x14ac:dyDescent="0.3">
      <c r="A3394">
        <v>22013</v>
      </c>
      <c r="B3394" t="s">
        <v>4874</v>
      </c>
      <c r="C3394" t="s">
        <v>592</v>
      </c>
      <c r="D3394" t="s">
        <v>8</v>
      </c>
      <c r="E3394" s="1">
        <v>45824</v>
      </c>
      <c r="F3394" t="s">
        <v>4363</v>
      </c>
      <c r="G3394" t="s">
        <v>2212</v>
      </c>
      <c r="H3394" t="s">
        <v>601</v>
      </c>
      <c r="I3394" t="s">
        <v>209</v>
      </c>
      <c r="J3394" s="1">
        <v>45945</v>
      </c>
      <c r="K3394" t="s">
        <v>762</v>
      </c>
      <c r="L3394">
        <v>430.37</v>
      </c>
      <c r="M3394">
        <v>430.37</v>
      </c>
      <c r="N3394" t="s">
        <v>890</v>
      </c>
      <c r="O3394" t="s">
        <v>4833</v>
      </c>
      <c r="P3394" t="s">
        <v>950</v>
      </c>
      <c r="Q3394" t="s">
        <v>4852</v>
      </c>
      <c r="R3394" t="s">
        <v>807</v>
      </c>
    </row>
    <row r="3395" spans="1:18" x14ac:dyDescent="0.3">
      <c r="A3395">
        <v>22032</v>
      </c>
      <c r="B3395" t="s">
        <v>4874</v>
      </c>
      <c r="C3395" t="s">
        <v>592</v>
      </c>
      <c r="D3395" t="s">
        <v>8</v>
      </c>
      <c r="E3395" s="1">
        <v>45824</v>
      </c>
      <c r="F3395" t="s">
        <v>4352</v>
      </c>
      <c r="G3395" t="s">
        <v>2213</v>
      </c>
      <c r="H3395" t="s">
        <v>601</v>
      </c>
      <c r="I3395" t="s">
        <v>209</v>
      </c>
      <c r="J3395" s="1">
        <v>45945</v>
      </c>
      <c r="K3395" t="s">
        <v>762</v>
      </c>
      <c r="L3395">
        <v>1052.8</v>
      </c>
      <c r="M3395">
        <v>1052.8</v>
      </c>
      <c r="N3395" t="s">
        <v>890</v>
      </c>
      <c r="O3395" t="s">
        <v>4833</v>
      </c>
      <c r="P3395" t="s">
        <v>950</v>
      </c>
      <c r="Q3395" t="s">
        <v>4852</v>
      </c>
      <c r="R3395" t="s">
        <v>807</v>
      </c>
    </row>
    <row r="3396" spans="1:18" x14ac:dyDescent="0.3">
      <c r="A3396">
        <v>99493</v>
      </c>
      <c r="B3396" t="s">
        <v>1034</v>
      </c>
      <c r="C3396" t="s">
        <v>502</v>
      </c>
      <c r="D3396" t="s">
        <v>2</v>
      </c>
      <c r="E3396" s="1">
        <v>45824</v>
      </c>
      <c r="F3396" t="s">
        <v>4303</v>
      </c>
      <c r="G3396" t="s">
        <v>2207</v>
      </c>
      <c r="H3396" t="s">
        <v>501</v>
      </c>
      <c r="I3396" t="s">
        <v>204</v>
      </c>
      <c r="J3396" s="1">
        <v>54878</v>
      </c>
      <c r="K3396" t="s">
        <v>717</v>
      </c>
      <c r="L3396">
        <v>1884.23</v>
      </c>
      <c r="M3396">
        <v>1884.23</v>
      </c>
      <c r="N3396" t="s">
        <v>710</v>
      </c>
      <c r="O3396" t="s">
        <v>4833</v>
      </c>
      <c r="P3396" t="s">
        <v>4776</v>
      </c>
      <c r="Q3396" t="s">
        <v>4852</v>
      </c>
      <c r="R3396" t="s">
        <v>4774</v>
      </c>
    </row>
    <row r="3397" spans="1:18" x14ac:dyDescent="0.3">
      <c r="A3397">
        <v>292969</v>
      </c>
      <c r="B3397" t="s">
        <v>4874</v>
      </c>
      <c r="C3397" t="s">
        <v>491</v>
      </c>
      <c r="D3397" t="s">
        <v>33</v>
      </c>
      <c r="E3397" s="1">
        <v>45821</v>
      </c>
      <c r="F3397" t="s">
        <v>4407</v>
      </c>
      <c r="G3397" t="s">
        <v>2153</v>
      </c>
      <c r="H3397" t="s">
        <v>490</v>
      </c>
      <c r="I3397" t="s">
        <v>204</v>
      </c>
      <c r="J3397" s="1">
        <v>54878</v>
      </c>
      <c r="K3397" t="s">
        <v>762</v>
      </c>
      <c r="L3397">
        <v>229.54</v>
      </c>
      <c r="M3397">
        <v>229.54</v>
      </c>
      <c r="N3397" t="s">
        <v>710</v>
      </c>
      <c r="O3397" t="s">
        <v>4845</v>
      </c>
      <c r="P3397" t="s">
        <v>4776</v>
      </c>
      <c r="Q3397" t="s">
        <v>4845</v>
      </c>
      <c r="R3397" t="s">
        <v>4771</v>
      </c>
    </row>
    <row r="3398" spans="1:18" x14ac:dyDescent="0.3">
      <c r="A3398">
        <v>3099</v>
      </c>
      <c r="B3398" t="s">
        <v>1034</v>
      </c>
      <c r="C3398" t="s">
        <v>590</v>
      </c>
      <c r="D3398" t="s">
        <v>79</v>
      </c>
      <c r="E3398" s="1">
        <v>45821</v>
      </c>
      <c r="F3398" t="s">
        <v>4365</v>
      </c>
      <c r="G3398" t="s">
        <v>2214</v>
      </c>
      <c r="H3398" t="s">
        <v>589</v>
      </c>
      <c r="I3398" t="s">
        <v>204</v>
      </c>
      <c r="J3398" s="1">
        <v>46387</v>
      </c>
      <c r="K3398" t="s">
        <v>717</v>
      </c>
      <c r="L3398">
        <v>1260</v>
      </c>
      <c r="M3398">
        <v>1260</v>
      </c>
      <c r="N3398" t="s">
        <v>814</v>
      </c>
      <c r="O3398" t="s">
        <v>4845</v>
      </c>
      <c r="P3398" t="s">
        <v>4793</v>
      </c>
      <c r="Q3398" t="s">
        <v>4845</v>
      </c>
      <c r="R3398" t="s">
        <v>4773</v>
      </c>
    </row>
    <row r="3399" spans="1:18" x14ac:dyDescent="0.3">
      <c r="A3399">
        <v>41581</v>
      </c>
      <c r="B3399" t="s">
        <v>1034</v>
      </c>
      <c r="C3399" t="s">
        <v>327</v>
      </c>
      <c r="D3399" t="s">
        <v>159</v>
      </c>
      <c r="E3399" s="1">
        <v>45821</v>
      </c>
      <c r="F3399" t="s">
        <v>4296</v>
      </c>
      <c r="G3399" t="s">
        <v>2025</v>
      </c>
      <c r="H3399" t="s">
        <v>357</v>
      </c>
      <c r="I3399" t="s">
        <v>204</v>
      </c>
      <c r="J3399" s="1">
        <v>46476</v>
      </c>
      <c r="K3399" t="s">
        <v>711</v>
      </c>
      <c r="L3399">
        <v>1014.3</v>
      </c>
      <c r="M3399">
        <v>1014.3</v>
      </c>
      <c r="N3399" t="s">
        <v>890</v>
      </c>
      <c r="O3399" t="s">
        <v>4834</v>
      </c>
      <c r="P3399" t="s">
        <v>4776</v>
      </c>
      <c r="Q3399" t="s">
        <v>4901</v>
      </c>
      <c r="R3399" t="s">
        <v>4773</v>
      </c>
    </row>
    <row r="3400" spans="1:18" x14ac:dyDescent="0.3">
      <c r="A3400">
        <v>41673</v>
      </c>
      <c r="B3400" t="s">
        <v>1034</v>
      </c>
      <c r="C3400" t="s">
        <v>327</v>
      </c>
      <c r="D3400" t="s">
        <v>159</v>
      </c>
      <c r="E3400" s="1">
        <v>45821</v>
      </c>
      <c r="F3400" t="s">
        <v>4295</v>
      </c>
      <c r="G3400" t="s">
        <v>2221</v>
      </c>
      <c r="H3400" t="s">
        <v>357</v>
      </c>
      <c r="I3400" t="s">
        <v>204</v>
      </c>
      <c r="J3400" s="1">
        <v>46476</v>
      </c>
      <c r="K3400" t="s">
        <v>711</v>
      </c>
      <c r="L3400">
        <v>2150</v>
      </c>
      <c r="M3400">
        <v>2150</v>
      </c>
      <c r="N3400" t="s">
        <v>890</v>
      </c>
      <c r="O3400" t="s">
        <v>4834</v>
      </c>
      <c r="P3400" t="s">
        <v>4776</v>
      </c>
      <c r="Q3400" t="s">
        <v>4901</v>
      </c>
      <c r="R3400" t="s">
        <v>4773</v>
      </c>
    </row>
    <row r="3401" spans="1:18" x14ac:dyDescent="0.3">
      <c r="A3401">
        <v>41672</v>
      </c>
      <c r="B3401" t="s">
        <v>1034</v>
      </c>
      <c r="C3401" t="s">
        <v>327</v>
      </c>
      <c r="D3401" t="s">
        <v>159</v>
      </c>
      <c r="E3401" s="1">
        <v>45821</v>
      </c>
      <c r="F3401" t="s">
        <v>4295</v>
      </c>
      <c r="G3401" t="s">
        <v>2222</v>
      </c>
      <c r="H3401" t="s">
        <v>357</v>
      </c>
      <c r="I3401" t="s">
        <v>204</v>
      </c>
      <c r="J3401" s="1">
        <v>46476</v>
      </c>
      <c r="K3401" t="s">
        <v>711</v>
      </c>
      <c r="L3401">
        <v>1677.38</v>
      </c>
      <c r="M3401">
        <v>1677.38</v>
      </c>
      <c r="N3401" t="s">
        <v>890</v>
      </c>
      <c r="O3401" t="s">
        <v>4834</v>
      </c>
      <c r="P3401" t="s">
        <v>4776</v>
      </c>
      <c r="Q3401" t="s">
        <v>4901</v>
      </c>
      <c r="R3401" t="s">
        <v>4773</v>
      </c>
    </row>
    <row r="3402" spans="1:18" x14ac:dyDescent="0.3">
      <c r="A3402">
        <v>41671</v>
      </c>
      <c r="B3402" t="s">
        <v>1034</v>
      </c>
      <c r="C3402" t="s">
        <v>327</v>
      </c>
      <c r="D3402" t="s">
        <v>159</v>
      </c>
      <c r="E3402" s="1">
        <v>45821</v>
      </c>
      <c r="F3402" t="s">
        <v>4295</v>
      </c>
      <c r="G3402" t="s">
        <v>2219</v>
      </c>
      <c r="H3402" t="s">
        <v>357</v>
      </c>
      <c r="I3402" t="s">
        <v>204</v>
      </c>
      <c r="J3402" s="1">
        <v>46476</v>
      </c>
      <c r="K3402" t="s">
        <v>711</v>
      </c>
      <c r="L3402">
        <v>2150</v>
      </c>
      <c r="M3402">
        <v>2150</v>
      </c>
      <c r="N3402" t="s">
        <v>890</v>
      </c>
      <c r="O3402" t="s">
        <v>4834</v>
      </c>
      <c r="P3402" t="s">
        <v>4776</v>
      </c>
      <c r="Q3402" t="s">
        <v>4901</v>
      </c>
      <c r="R3402" t="s">
        <v>4773</v>
      </c>
    </row>
    <row r="3403" spans="1:18" x14ac:dyDescent="0.3">
      <c r="A3403">
        <v>41670</v>
      </c>
      <c r="B3403" t="s">
        <v>1034</v>
      </c>
      <c r="C3403" t="s">
        <v>327</v>
      </c>
      <c r="D3403" t="s">
        <v>159</v>
      </c>
      <c r="E3403" s="1">
        <v>45821</v>
      </c>
      <c r="F3403" t="s">
        <v>4296</v>
      </c>
      <c r="G3403" t="s">
        <v>2220</v>
      </c>
      <c r="H3403" t="s">
        <v>357</v>
      </c>
      <c r="I3403" t="s">
        <v>204</v>
      </c>
      <c r="J3403" s="1">
        <v>46476</v>
      </c>
      <c r="K3403" t="s">
        <v>711</v>
      </c>
      <c r="L3403">
        <v>880.33</v>
      </c>
      <c r="M3403">
        <v>880.33</v>
      </c>
      <c r="N3403" t="s">
        <v>890</v>
      </c>
      <c r="O3403" t="s">
        <v>4834</v>
      </c>
      <c r="P3403" t="s">
        <v>4776</v>
      </c>
      <c r="Q3403" t="s">
        <v>4901</v>
      </c>
      <c r="R3403" t="s">
        <v>4773</v>
      </c>
    </row>
    <row r="3404" spans="1:18" x14ac:dyDescent="0.3">
      <c r="A3404">
        <v>41802</v>
      </c>
      <c r="B3404" t="s">
        <v>1034</v>
      </c>
      <c r="C3404" t="s">
        <v>220</v>
      </c>
      <c r="D3404" t="s">
        <v>15</v>
      </c>
      <c r="E3404" s="1">
        <v>45821</v>
      </c>
      <c r="F3404" t="s">
        <v>4304</v>
      </c>
      <c r="G3404" t="s">
        <v>2218</v>
      </c>
      <c r="H3404" t="s">
        <v>219</v>
      </c>
      <c r="I3404" t="s">
        <v>204</v>
      </c>
      <c r="J3404" s="1">
        <v>54878</v>
      </c>
      <c r="K3404" t="s">
        <v>711</v>
      </c>
      <c r="L3404">
        <v>1261</v>
      </c>
      <c r="M3404">
        <v>1261</v>
      </c>
      <c r="N3404" t="s">
        <v>710</v>
      </c>
      <c r="O3404" t="s">
        <v>4834</v>
      </c>
      <c r="P3404" t="s">
        <v>4776</v>
      </c>
      <c r="Q3404" t="s">
        <v>4901</v>
      </c>
      <c r="R3404" t="s">
        <v>4773</v>
      </c>
    </row>
    <row r="3405" spans="1:18" x14ac:dyDescent="0.3">
      <c r="A3405">
        <v>588050</v>
      </c>
      <c r="B3405" t="s">
        <v>1034</v>
      </c>
      <c r="C3405" t="s">
        <v>248</v>
      </c>
      <c r="D3405" t="s">
        <v>13</v>
      </c>
      <c r="E3405" s="1">
        <v>45821</v>
      </c>
      <c r="F3405" t="s">
        <v>4297</v>
      </c>
      <c r="G3405" t="s">
        <v>2133</v>
      </c>
      <c r="H3405" t="s">
        <v>315</v>
      </c>
      <c r="I3405" t="s">
        <v>204</v>
      </c>
      <c r="J3405" s="1">
        <v>46073</v>
      </c>
      <c r="K3405" t="s">
        <v>711</v>
      </c>
      <c r="L3405">
        <v>5391.91</v>
      </c>
      <c r="M3405">
        <v>5391.91</v>
      </c>
      <c r="N3405" t="s">
        <v>710</v>
      </c>
      <c r="O3405" t="s">
        <v>1036</v>
      </c>
      <c r="P3405" t="s">
        <v>4779</v>
      </c>
      <c r="Q3405" t="s">
        <v>4901</v>
      </c>
      <c r="R3405" t="s">
        <v>4773</v>
      </c>
    </row>
    <row r="3406" spans="1:18" x14ac:dyDescent="0.3">
      <c r="A3406">
        <v>56279</v>
      </c>
      <c r="B3406" t="s">
        <v>4874</v>
      </c>
      <c r="C3406" t="s">
        <v>437</v>
      </c>
      <c r="D3406" t="s">
        <v>150</v>
      </c>
      <c r="E3406" s="1">
        <v>45820</v>
      </c>
      <c r="F3406" t="s">
        <v>4395</v>
      </c>
      <c r="G3406" t="s">
        <v>2216</v>
      </c>
      <c r="H3406" t="s">
        <v>436</v>
      </c>
      <c r="I3406" t="s">
        <v>204</v>
      </c>
      <c r="J3406" s="1">
        <v>54878</v>
      </c>
      <c r="K3406" t="s">
        <v>762</v>
      </c>
      <c r="L3406">
        <v>840</v>
      </c>
      <c r="M3406">
        <v>840</v>
      </c>
      <c r="N3406" t="s">
        <v>719</v>
      </c>
      <c r="O3406" t="s">
        <v>1037</v>
      </c>
      <c r="P3406" t="s">
        <v>4788</v>
      </c>
      <c r="Q3406" t="s">
        <v>4852</v>
      </c>
      <c r="R3406" t="s">
        <v>4771</v>
      </c>
    </row>
    <row r="3407" spans="1:18" x14ac:dyDescent="0.3">
      <c r="A3407">
        <v>629396</v>
      </c>
      <c r="B3407" t="s">
        <v>4874</v>
      </c>
      <c r="C3407" t="s">
        <v>491</v>
      </c>
      <c r="D3407" t="s">
        <v>33</v>
      </c>
      <c r="E3407" s="1">
        <v>45820</v>
      </c>
      <c r="F3407" t="s">
        <v>4389</v>
      </c>
      <c r="G3407" t="s">
        <v>2153</v>
      </c>
      <c r="H3407" t="s">
        <v>490</v>
      </c>
      <c r="I3407" t="s">
        <v>204</v>
      </c>
      <c r="J3407" s="1">
        <v>54878</v>
      </c>
      <c r="K3407" t="s">
        <v>762</v>
      </c>
      <c r="L3407">
        <v>70.75</v>
      </c>
      <c r="M3407">
        <v>70.75</v>
      </c>
      <c r="N3407" t="s">
        <v>710</v>
      </c>
      <c r="O3407" t="s">
        <v>4845</v>
      </c>
      <c r="P3407" t="s">
        <v>4776</v>
      </c>
      <c r="Q3407" t="s">
        <v>4845</v>
      </c>
      <c r="R3407" t="s">
        <v>4771</v>
      </c>
    </row>
    <row r="3408" spans="1:18" x14ac:dyDescent="0.3">
      <c r="A3408">
        <v>2025100</v>
      </c>
      <c r="B3408" t="s">
        <v>4875</v>
      </c>
      <c r="C3408" t="s">
        <v>322</v>
      </c>
      <c r="D3408" t="s">
        <v>158</v>
      </c>
      <c r="E3408" s="1">
        <v>45820</v>
      </c>
      <c r="F3408" t="s">
        <v>4433</v>
      </c>
      <c r="G3408" t="s">
        <v>2126</v>
      </c>
      <c r="H3408" t="s">
        <v>346</v>
      </c>
      <c r="I3408" t="s">
        <v>204</v>
      </c>
      <c r="J3408" s="1">
        <v>46310</v>
      </c>
      <c r="K3408" t="s">
        <v>748</v>
      </c>
      <c r="L3408">
        <v>30644.799999999999</v>
      </c>
      <c r="M3408">
        <v>30644.799999999999</v>
      </c>
      <c r="N3408" t="s">
        <v>710</v>
      </c>
      <c r="O3408" t="s">
        <v>1040</v>
      </c>
      <c r="P3408" t="s">
        <v>4782</v>
      </c>
      <c r="Q3408" t="s">
        <v>4856</v>
      </c>
      <c r="R3408" t="s">
        <v>4773</v>
      </c>
    </row>
    <row r="3409" spans="1:18" x14ac:dyDescent="0.3">
      <c r="A3409">
        <v>41803</v>
      </c>
      <c r="B3409" t="s">
        <v>4875</v>
      </c>
      <c r="C3409" t="s">
        <v>220</v>
      </c>
      <c r="D3409" t="s">
        <v>15</v>
      </c>
      <c r="E3409" s="1">
        <v>45820</v>
      </c>
      <c r="F3409" t="s">
        <v>4304</v>
      </c>
      <c r="G3409" t="s">
        <v>2215</v>
      </c>
      <c r="H3409" t="s">
        <v>273</v>
      </c>
      <c r="I3409" t="s">
        <v>204</v>
      </c>
      <c r="J3409" s="1">
        <v>54878</v>
      </c>
      <c r="K3409" t="s">
        <v>748</v>
      </c>
      <c r="L3409">
        <v>1261</v>
      </c>
      <c r="M3409">
        <v>1261</v>
      </c>
      <c r="N3409" t="s">
        <v>710</v>
      </c>
      <c r="O3409" t="s">
        <v>4834</v>
      </c>
      <c r="P3409" t="s">
        <v>4776</v>
      </c>
      <c r="Q3409" t="s">
        <v>4856</v>
      </c>
      <c r="R3409" t="s">
        <v>4773</v>
      </c>
    </row>
    <row r="3410" spans="1:18" x14ac:dyDescent="0.3">
      <c r="A3410">
        <v>49179</v>
      </c>
      <c r="B3410" t="s">
        <v>1034</v>
      </c>
      <c r="C3410" t="s">
        <v>232</v>
      </c>
      <c r="D3410" t="s">
        <v>87</v>
      </c>
      <c r="E3410" s="1">
        <v>45820</v>
      </c>
      <c r="F3410" t="s">
        <v>4304</v>
      </c>
      <c r="G3410" t="s">
        <v>1885</v>
      </c>
      <c r="H3410" t="s">
        <v>231</v>
      </c>
      <c r="I3410" t="s">
        <v>204</v>
      </c>
      <c r="J3410" s="1">
        <v>47208</v>
      </c>
      <c r="K3410" t="s">
        <v>711</v>
      </c>
      <c r="L3410">
        <v>11793</v>
      </c>
      <c r="M3410">
        <v>11793</v>
      </c>
      <c r="N3410" t="s">
        <v>710</v>
      </c>
      <c r="O3410" t="s">
        <v>4834</v>
      </c>
      <c r="P3410" t="s">
        <v>4776</v>
      </c>
      <c r="Q3410" t="s">
        <v>4901</v>
      </c>
      <c r="R3410" t="s">
        <v>4773</v>
      </c>
    </row>
    <row r="3411" spans="1:18" x14ac:dyDescent="0.3">
      <c r="A3411">
        <v>202598</v>
      </c>
      <c r="B3411" t="s">
        <v>4875</v>
      </c>
      <c r="C3411" t="s">
        <v>322</v>
      </c>
      <c r="D3411" t="s">
        <v>158</v>
      </c>
      <c r="E3411" s="1">
        <v>45820</v>
      </c>
      <c r="F3411" t="s">
        <v>4431</v>
      </c>
      <c r="G3411" t="s">
        <v>2128</v>
      </c>
      <c r="H3411" t="s">
        <v>321</v>
      </c>
      <c r="I3411" t="s">
        <v>204</v>
      </c>
      <c r="J3411" s="1">
        <v>46310</v>
      </c>
      <c r="K3411" t="s">
        <v>748</v>
      </c>
      <c r="L3411">
        <v>9443.73</v>
      </c>
      <c r="M3411">
        <v>9443.73</v>
      </c>
      <c r="N3411" t="s">
        <v>710</v>
      </c>
      <c r="O3411" t="s">
        <v>1040</v>
      </c>
      <c r="P3411" t="s">
        <v>4782</v>
      </c>
      <c r="Q3411" t="s">
        <v>4856</v>
      </c>
      <c r="R3411" t="s">
        <v>4773</v>
      </c>
    </row>
    <row r="3412" spans="1:18" x14ac:dyDescent="0.3">
      <c r="A3412">
        <v>48990</v>
      </c>
      <c r="B3412" t="s">
        <v>4875</v>
      </c>
      <c r="C3412" t="s">
        <v>208</v>
      </c>
      <c r="D3412" t="s">
        <v>164</v>
      </c>
      <c r="E3412" s="1">
        <v>45820</v>
      </c>
      <c r="F3412" t="s">
        <v>4297</v>
      </c>
      <c r="G3412" t="s">
        <v>2088</v>
      </c>
      <c r="H3412" t="s">
        <v>605</v>
      </c>
      <c r="I3412" t="s">
        <v>204</v>
      </c>
      <c r="J3412" s="1">
        <v>46256</v>
      </c>
      <c r="K3412" t="s">
        <v>748</v>
      </c>
      <c r="L3412">
        <v>1</v>
      </c>
      <c r="M3412">
        <v>120</v>
      </c>
      <c r="N3412" t="s">
        <v>710</v>
      </c>
      <c r="O3412" t="s">
        <v>1040</v>
      </c>
      <c r="P3412" t="s">
        <v>4795</v>
      </c>
      <c r="Q3412" t="s">
        <v>4856</v>
      </c>
    </row>
    <row r="3413" spans="1:18" x14ac:dyDescent="0.3">
      <c r="A3413">
        <v>264</v>
      </c>
      <c r="B3413" t="s">
        <v>1034</v>
      </c>
      <c r="C3413" t="s">
        <v>325</v>
      </c>
      <c r="D3413" t="s">
        <v>193</v>
      </c>
      <c r="E3413" s="1">
        <v>45820</v>
      </c>
      <c r="F3413" t="s">
        <v>4297</v>
      </c>
      <c r="G3413" t="s">
        <v>2115</v>
      </c>
      <c r="H3413" t="s">
        <v>324</v>
      </c>
      <c r="I3413" t="s">
        <v>204</v>
      </c>
      <c r="J3413" s="1">
        <v>54878</v>
      </c>
      <c r="K3413" t="s">
        <v>711</v>
      </c>
      <c r="L3413">
        <v>3900</v>
      </c>
      <c r="M3413">
        <v>3900</v>
      </c>
      <c r="N3413" t="s">
        <v>710</v>
      </c>
      <c r="O3413" t="s">
        <v>4844</v>
      </c>
      <c r="P3413" t="s">
        <v>4779</v>
      </c>
      <c r="Q3413" t="s">
        <v>4901</v>
      </c>
      <c r="R3413" t="s">
        <v>4773</v>
      </c>
    </row>
    <row r="3414" spans="1:18" x14ac:dyDescent="0.3">
      <c r="A3414">
        <v>77743</v>
      </c>
      <c r="B3414" t="s">
        <v>4874</v>
      </c>
      <c r="C3414" t="s">
        <v>634</v>
      </c>
      <c r="D3414" t="s">
        <v>99</v>
      </c>
      <c r="E3414" s="1">
        <v>45819</v>
      </c>
      <c r="F3414" t="s">
        <v>4329</v>
      </c>
      <c r="G3414" t="s">
        <v>2198</v>
      </c>
      <c r="H3414" t="s">
        <v>633</v>
      </c>
      <c r="I3414" t="s">
        <v>204</v>
      </c>
      <c r="J3414" s="1">
        <v>46204</v>
      </c>
      <c r="K3414" t="s">
        <v>762</v>
      </c>
      <c r="L3414">
        <v>33</v>
      </c>
      <c r="M3414">
        <v>405.9</v>
      </c>
      <c r="N3414" t="s">
        <v>719</v>
      </c>
      <c r="O3414" t="s">
        <v>1037</v>
      </c>
      <c r="P3414" t="s">
        <v>4790</v>
      </c>
      <c r="Q3414" t="s">
        <v>4852</v>
      </c>
    </row>
    <row r="3415" spans="1:18" x14ac:dyDescent="0.3">
      <c r="A3415">
        <v>354912</v>
      </c>
      <c r="B3415" t="s">
        <v>4874</v>
      </c>
      <c r="C3415" t="s">
        <v>435</v>
      </c>
      <c r="D3415" t="s">
        <v>30</v>
      </c>
      <c r="E3415" s="1">
        <v>45819</v>
      </c>
      <c r="F3415" t="s">
        <v>4351</v>
      </c>
      <c r="G3415" t="s">
        <v>2171</v>
      </c>
      <c r="H3415" t="s">
        <v>434</v>
      </c>
      <c r="I3415" t="s">
        <v>204</v>
      </c>
      <c r="J3415" s="1">
        <v>46752</v>
      </c>
      <c r="K3415" t="s">
        <v>785</v>
      </c>
      <c r="L3415">
        <v>1</v>
      </c>
      <c r="M3415">
        <v>174667.1</v>
      </c>
      <c r="N3415" t="s">
        <v>998</v>
      </c>
      <c r="O3415" t="s">
        <v>1038</v>
      </c>
      <c r="P3415" t="s">
        <v>4787</v>
      </c>
      <c r="Q3415" t="s">
        <v>4858</v>
      </c>
      <c r="R3415" t="s">
        <v>4771</v>
      </c>
    </row>
    <row r="3416" spans="1:18" x14ac:dyDescent="0.3">
      <c r="A3416">
        <v>54514</v>
      </c>
      <c r="B3416" t="s">
        <v>4874</v>
      </c>
      <c r="C3416" t="s">
        <v>514</v>
      </c>
      <c r="D3416" t="s">
        <v>47</v>
      </c>
      <c r="E3416" s="1">
        <v>45819</v>
      </c>
      <c r="F3416" t="s">
        <v>4362</v>
      </c>
      <c r="G3416" t="s">
        <v>2204</v>
      </c>
      <c r="H3416" t="s">
        <v>513</v>
      </c>
      <c r="I3416" t="s">
        <v>204</v>
      </c>
      <c r="J3416" s="1">
        <v>46386</v>
      </c>
      <c r="K3416" t="s">
        <v>762</v>
      </c>
      <c r="L3416">
        <v>7296.71</v>
      </c>
      <c r="M3416">
        <v>7296.71</v>
      </c>
      <c r="N3416" t="s">
        <v>710</v>
      </c>
      <c r="O3416" t="s">
        <v>4833</v>
      </c>
      <c r="P3416" t="s">
        <v>4779</v>
      </c>
      <c r="Q3416" t="s">
        <v>4852</v>
      </c>
    </row>
    <row r="3417" spans="1:18" x14ac:dyDescent="0.3">
      <c r="A3417">
        <v>18652</v>
      </c>
      <c r="B3417" t="s">
        <v>4874</v>
      </c>
      <c r="C3417" t="s">
        <v>212</v>
      </c>
      <c r="D3417" t="s">
        <v>62</v>
      </c>
      <c r="E3417" s="1">
        <v>45819</v>
      </c>
      <c r="F3417" t="s">
        <v>4318</v>
      </c>
      <c r="G3417" t="s">
        <v>2193</v>
      </c>
      <c r="H3417" t="s">
        <v>211</v>
      </c>
      <c r="I3417" t="s">
        <v>204</v>
      </c>
      <c r="J3417" s="1">
        <v>54878</v>
      </c>
      <c r="K3417" t="s">
        <v>720</v>
      </c>
      <c r="L3417">
        <v>1</v>
      </c>
      <c r="M3417">
        <v>1000</v>
      </c>
      <c r="N3417" t="s">
        <v>719</v>
      </c>
      <c r="O3417" t="s">
        <v>4834</v>
      </c>
      <c r="P3417" t="s">
        <v>4776</v>
      </c>
      <c r="Q3417" t="s">
        <v>4858</v>
      </c>
      <c r="R3417" t="s">
        <v>4771</v>
      </c>
    </row>
    <row r="3418" spans="1:18" x14ac:dyDescent="0.3">
      <c r="A3418">
        <v>77743</v>
      </c>
      <c r="B3418" t="s">
        <v>4874</v>
      </c>
      <c r="C3418" t="s">
        <v>634</v>
      </c>
      <c r="D3418" t="s">
        <v>99</v>
      </c>
      <c r="E3418" s="1">
        <v>45819</v>
      </c>
      <c r="F3418" t="s">
        <v>4394</v>
      </c>
      <c r="G3418" t="s">
        <v>2198</v>
      </c>
      <c r="H3418" t="s">
        <v>633</v>
      </c>
      <c r="I3418" t="s">
        <v>204</v>
      </c>
      <c r="J3418" s="1">
        <v>46204</v>
      </c>
      <c r="K3418" t="s">
        <v>762</v>
      </c>
      <c r="L3418">
        <v>2164</v>
      </c>
      <c r="M3418">
        <v>2164</v>
      </c>
      <c r="N3418" t="s">
        <v>719</v>
      </c>
      <c r="O3418" t="s">
        <v>1037</v>
      </c>
      <c r="P3418" t="s">
        <v>4790</v>
      </c>
      <c r="Q3418" t="s">
        <v>4852</v>
      </c>
    </row>
    <row r="3419" spans="1:18" x14ac:dyDescent="0.3">
      <c r="A3419">
        <v>77743</v>
      </c>
      <c r="B3419" t="s">
        <v>4874</v>
      </c>
      <c r="C3419" t="s">
        <v>634</v>
      </c>
      <c r="D3419" t="s">
        <v>99</v>
      </c>
      <c r="E3419" s="1">
        <v>45819</v>
      </c>
      <c r="F3419" t="s">
        <v>4308</v>
      </c>
      <c r="G3419" t="s">
        <v>2198</v>
      </c>
      <c r="H3419" t="s">
        <v>633</v>
      </c>
      <c r="I3419" t="s">
        <v>204</v>
      </c>
      <c r="J3419" s="1">
        <v>46204</v>
      </c>
      <c r="K3419" t="s">
        <v>762</v>
      </c>
      <c r="L3419">
        <v>89</v>
      </c>
      <c r="M3419">
        <v>401.39</v>
      </c>
      <c r="N3419" t="s">
        <v>719</v>
      </c>
      <c r="O3419" t="s">
        <v>1037</v>
      </c>
      <c r="P3419" t="s">
        <v>4790</v>
      </c>
      <c r="Q3419" t="s">
        <v>4852</v>
      </c>
    </row>
    <row r="3420" spans="1:18" x14ac:dyDescent="0.3">
      <c r="A3420">
        <v>77743</v>
      </c>
      <c r="B3420" t="s">
        <v>4874</v>
      </c>
      <c r="C3420" t="s">
        <v>634</v>
      </c>
      <c r="D3420" t="s">
        <v>99</v>
      </c>
      <c r="E3420" s="1">
        <v>45819</v>
      </c>
      <c r="F3420" t="s">
        <v>4403</v>
      </c>
      <c r="G3420" t="s">
        <v>2198</v>
      </c>
      <c r="H3420" t="s">
        <v>633</v>
      </c>
      <c r="I3420" t="s">
        <v>204</v>
      </c>
      <c r="J3420" s="1">
        <v>46204</v>
      </c>
      <c r="K3420" t="s">
        <v>762</v>
      </c>
      <c r="L3420">
        <v>1</v>
      </c>
      <c r="M3420">
        <v>2.95</v>
      </c>
      <c r="N3420" t="s">
        <v>719</v>
      </c>
      <c r="O3420" t="s">
        <v>1037</v>
      </c>
      <c r="P3420" t="s">
        <v>4790</v>
      </c>
      <c r="Q3420" t="s">
        <v>4852</v>
      </c>
    </row>
    <row r="3421" spans="1:18" x14ac:dyDescent="0.3">
      <c r="A3421">
        <v>77743</v>
      </c>
      <c r="B3421" t="s">
        <v>4874</v>
      </c>
      <c r="C3421" t="s">
        <v>634</v>
      </c>
      <c r="D3421" t="s">
        <v>99</v>
      </c>
      <c r="E3421" s="1">
        <v>45819</v>
      </c>
      <c r="F3421" t="s">
        <v>4400</v>
      </c>
      <c r="G3421" t="s">
        <v>2198</v>
      </c>
      <c r="H3421" t="s">
        <v>633</v>
      </c>
      <c r="I3421" t="s">
        <v>204</v>
      </c>
      <c r="J3421" s="1">
        <v>46204</v>
      </c>
      <c r="K3421" t="s">
        <v>762</v>
      </c>
      <c r="L3421">
        <v>5</v>
      </c>
      <c r="M3421">
        <v>27.1</v>
      </c>
      <c r="N3421" t="s">
        <v>719</v>
      </c>
      <c r="O3421" t="s">
        <v>1037</v>
      </c>
      <c r="P3421" t="s">
        <v>4790</v>
      </c>
      <c r="Q3421" t="s">
        <v>4852</v>
      </c>
    </row>
    <row r="3422" spans="1:18" x14ac:dyDescent="0.3">
      <c r="A3422">
        <v>1932</v>
      </c>
      <c r="B3422" t="s">
        <v>1034</v>
      </c>
      <c r="C3422" t="s">
        <v>616</v>
      </c>
      <c r="D3422" t="s">
        <v>152</v>
      </c>
      <c r="E3422" s="1">
        <v>45819</v>
      </c>
      <c r="F3422" t="s">
        <v>4338</v>
      </c>
      <c r="G3422" t="s">
        <v>1844</v>
      </c>
      <c r="H3422" t="s">
        <v>621</v>
      </c>
      <c r="I3422" t="s">
        <v>204</v>
      </c>
      <c r="J3422" s="1">
        <v>46349</v>
      </c>
      <c r="K3422" t="s">
        <v>711</v>
      </c>
      <c r="L3422">
        <v>67259.55</v>
      </c>
      <c r="M3422">
        <v>67259.55</v>
      </c>
      <c r="N3422" t="s">
        <v>710</v>
      </c>
      <c r="O3422" t="s">
        <v>4904</v>
      </c>
      <c r="P3422" t="s">
        <v>4796</v>
      </c>
      <c r="Q3422" t="s">
        <v>4901</v>
      </c>
      <c r="R3422" t="s">
        <v>4772</v>
      </c>
    </row>
    <row r="3423" spans="1:18" x14ac:dyDescent="0.3">
      <c r="A3423">
        <v>77743</v>
      </c>
      <c r="B3423" t="s">
        <v>4874</v>
      </c>
      <c r="C3423" t="s">
        <v>634</v>
      </c>
      <c r="D3423" t="s">
        <v>99</v>
      </c>
      <c r="E3423" s="1">
        <v>45819</v>
      </c>
      <c r="F3423" t="s">
        <v>4398</v>
      </c>
      <c r="G3423" t="s">
        <v>2198</v>
      </c>
      <c r="H3423" t="s">
        <v>633</v>
      </c>
      <c r="I3423" t="s">
        <v>204</v>
      </c>
      <c r="J3423" s="1">
        <v>46204</v>
      </c>
      <c r="K3423" t="s">
        <v>762</v>
      </c>
      <c r="L3423">
        <v>100</v>
      </c>
      <c r="M3423">
        <v>10</v>
      </c>
      <c r="N3423" t="s">
        <v>719</v>
      </c>
      <c r="O3423" t="s">
        <v>1037</v>
      </c>
      <c r="P3423" t="s">
        <v>4790</v>
      </c>
      <c r="Q3423" t="s">
        <v>4852</v>
      </c>
    </row>
    <row r="3424" spans="1:18" x14ac:dyDescent="0.3">
      <c r="A3424">
        <v>77743</v>
      </c>
      <c r="B3424" t="s">
        <v>4874</v>
      </c>
      <c r="C3424" t="s">
        <v>634</v>
      </c>
      <c r="D3424" t="s">
        <v>99</v>
      </c>
      <c r="E3424" s="1">
        <v>45819</v>
      </c>
      <c r="F3424" t="s">
        <v>4394</v>
      </c>
      <c r="G3424" t="s">
        <v>2198</v>
      </c>
      <c r="H3424" t="s">
        <v>633</v>
      </c>
      <c r="I3424" t="s">
        <v>204</v>
      </c>
      <c r="J3424" s="1">
        <v>46204</v>
      </c>
      <c r="K3424" t="s">
        <v>762</v>
      </c>
      <c r="L3424">
        <v>2</v>
      </c>
      <c r="M3424">
        <v>20.8</v>
      </c>
      <c r="N3424" t="s">
        <v>719</v>
      </c>
      <c r="O3424" t="s">
        <v>1037</v>
      </c>
      <c r="P3424" t="s">
        <v>4790</v>
      </c>
      <c r="Q3424" t="s">
        <v>4852</v>
      </c>
    </row>
    <row r="3425" spans="1:18" x14ac:dyDescent="0.3">
      <c r="A3425">
        <v>4731</v>
      </c>
      <c r="B3425" t="s">
        <v>4874</v>
      </c>
      <c r="C3425" t="s">
        <v>456</v>
      </c>
      <c r="D3425" t="s">
        <v>71</v>
      </c>
      <c r="E3425" s="1">
        <v>45819</v>
      </c>
      <c r="F3425" t="s">
        <v>4401</v>
      </c>
      <c r="G3425" t="s">
        <v>2201</v>
      </c>
      <c r="H3425" t="s">
        <v>455</v>
      </c>
      <c r="I3425" t="s">
        <v>204</v>
      </c>
      <c r="J3425" s="1">
        <v>54878</v>
      </c>
      <c r="K3425" t="s">
        <v>762</v>
      </c>
      <c r="L3425">
        <v>6885.9</v>
      </c>
      <c r="M3425">
        <v>6885.9</v>
      </c>
      <c r="N3425" t="s">
        <v>710</v>
      </c>
      <c r="O3425" t="s">
        <v>1042</v>
      </c>
      <c r="P3425" t="s">
        <v>1006</v>
      </c>
      <c r="Q3425" t="s">
        <v>4852</v>
      </c>
      <c r="R3425" t="s">
        <v>4771</v>
      </c>
    </row>
    <row r="3426" spans="1:18" x14ac:dyDescent="0.3">
      <c r="A3426">
        <v>313630</v>
      </c>
      <c r="B3426" t="s">
        <v>4874</v>
      </c>
      <c r="C3426" t="s">
        <v>426</v>
      </c>
      <c r="D3426" t="s">
        <v>54</v>
      </c>
      <c r="E3426" s="1">
        <v>45819</v>
      </c>
      <c r="F3426" t="s">
        <v>4409</v>
      </c>
      <c r="G3426" t="s">
        <v>2172</v>
      </c>
      <c r="H3426" t="s">
        <v>425</v>
      </c>
      <c r="I3426" t="s">
        <v>204</v>
      </c>
      <c r="J3426" s="1">
        <v>46752</v>
      </c>
      <c r="K3426" t="s">
        <v>785</v>
      </c>
      <c r="L3426">
        <v>1</v>
      </c>
      <c r="M3426">
        <v>100161.03</v>
      </c>
      <c r="N3426" t="s">
        <v>710</v>
      </c>
      <c r="O3426" t="s">
        <v>1038</v>
      </c>
      <c r="P3426" t="s">
        <v>4787</v>
      </c>
      <c r="Q3426" t="s">
        <v>4858</v>
      </c>
      <c r="R3426" t="s">
        <v>4771</v>
      </c>
    </row>
    <row r="3427" spans="1:18" x14ac:dyDescent="0.3">
      <c r="A3427">
        <v>354662</v>
      </c>
      <c r="B3427" t="s">
        <v>1034</v>
      </c>
      <c r="C3427" t="s">
        <v>435</v>
      </c>
      <c r="D3427" t="s">
        <v>30</v>
      </c>
      <c r="E3427" s="1">
        <v>45819</v>
      </c>
      <c r="F3427" t="s">
        <v>4351</v>
      </c>
      <c r="G3427" t="s">
        <v>2170</v>
      </c>
      <c r="H3427" t="s">
        <v>434</v>
      </c>
      <c r="I3427" t="s">
        <v>204</v>
      </c>
      <c r="J3427" s="1">
        <v>46752</v>
      </c>
      <c r="K3427" t="s">
        <v>785</v>
      </c>
      <c r="L3427">
        <v>1</v>
      </c>
      <c r="M3427">
        <v>184846.4</v>
      </c>
      <c r="N3427" t="s">
        <v>998</v>
      </c>
      <c r="O3427" t="s">
        <v>1038</v>
      </c>
      <c r="P3427" t="s">
        <v>4787</v>
      </c>
      <c r="Q3427" t="s">
        <v>4858</v>
      </c>
      <c r="R3427" t="s">
        <v>4771</v>
      </c>
    </row>
    <row r="3428" spans="1:18" x14ac:dyDescent="0.3">
      <c r="A3428">
        <v>41580</v>
      </c>
      <c r="B3428" t="s">
        <v>1034</v>
      </c>
      <c r="C3428" t="s">
        <v>327</v>
      </c>
      <c r="D3428" t="s">
        <v>159</v>
      </c>
      <c r="E3428" s="1">
        <v>45819</v>
      </c>
      <c r="F3428" t="s">
        <v>4295</v>
      </c>
      <c r="G3428" t="s">
        <v>2024</v>
      </c>
      <c r="H3428" t="s">
        <v>357</v>
      </c>
      <c r="I3428" t="s">
        <v>204</v>
      </c>
      <c r="J3428" s="1">
        <v>46476</v>
      </c>
      <c r="K3428" t="s">
        <v>711</v>
      </c>
      <c r="L3428">
        <v>2150</v>
      </c>
      <c r="M3428">
        <v>2150</v>
      </c>
      <c r="N3428" t="s">
        <v>890</v>
      </c>
      <c r="O3428" t="s">
        <v>4834</v>
      </c>
      <c r="P3428" t="s">
        <v>4776</v>
      </c>
      <c r="Q3428" t="s">
        <v>4901</v>
      </c>
      <c r="R3428" t="s">
        <v>4773</v>
      </c>
    </row>
    <row r="3429" spans="1:18" x14ac:dyDescent="0.3">
      <c r="A3429">
        <v>41582</v>
      </c>
      <c r="B3429" t="s">
        <v>1034</v>
      </c>
      <c r="C3429" t="s">
        <v>327</v>
      </c>
      <c r="D3429" t="s">
        <v>159</v>
      </c>
      <c r="E3429" s="1">
        <v>45819</v>
      </c>
      <c r="F3429" t="s">
        <v>4295</v>
      </c>
      <c r="G3429" t="s">
        <v>2082</v>
      </c>
      <c r="H3429" t="s">
        <v>357</v>
      </c>
      <c r="I3429" t="s">
        <v>204</v>
      </c>
      <c r="J3429" s="1">
        <v>46476</v>
      </c>
      <c r="K3429" t="s">
        <v>711</v>
      </c>
      <c r="L3429">
        <v>2150</v>
      </c>
      <c r="M3429">
        <v>2150</v>
      </c>
      <c r="N3429" t="s">
        <v>890</v>
      </c>
      <c r="O3429" t="s">
        <v>4834</v>
      </c>
      <c r="P3429" t="s">
        <v>4776</v>
      </c>
      <c r="Q3429" t="s">
        <v>4901</v>
      </c>
      <c r="R3429" t="s">
        <v>4773</v>
      </c>
    </row>
    <row r="3430" spans="1:18" x14ac:dyDescent="0.3">
      <c r="A3430">
        <v>41583</v>
      </c>
      <c r="B3430" t="s">
        <v>1034</v>
      </c>
      <c r="C3430" t="s">
        <v>327</v>
      </c>
      <c r="D3430" t="s">
        <v>159</v>
      </c>
      <c r="E3430" s="1">
        <v>45819</v>
      </c>
      <c r="F3430" t="s">
        <v>4295</v>
      </c>
      <c r="G3430" t="s">
        <v>2083</v>
      </c>
      <c r="H3430" t="s">
        <v>357</v>
      </c>
      <c r="I3430" t="s">
        <v>204</v>
      </c>
      <c r="J3430" s="1">
        <v>46476</v>
      </c>
      <c r="K3430" t="s">
        <v>711</v>
      </c>
      <c r="L3430">
        <v>1469.48</v>
      </c>
      <c r="M3430">
        <v>1469.48</v>
      </c>
      <c r="N3430" t="s">
        <v>890</v>
      </c>
      <c r="O3430" t="s">
        <v>4834</v>
      </c>
      <c r="P3430" t="s">
        <v>4776</v>
      </c>
      <c r="Q3430" t="s">
        <v>4901</v>
      </c>
      <c r="R3430" t="s">
        <v>4773</v>
      </c>
    </row>
    <row r="3431" spans="1:18" x14ac:dyDescent="0.3">
      <c r="A3431">
        <v>6962</v>
      </c>
      <c r="B3431" t="s">
        <v>4874</v>
      </c>
      <c r="C3431" t="s">
        <v>628</v>
      </c>
      <c r="D3431" t="s">
        <v>25</v>
      </c>
      <c r="E3431" s="1">
        <v>45819</v>
      </c>
      <c r="F3431" t="s">
        <v>4415</v>
      </c>
      <c r="G3431" t="s">
        <v>2080</v>
      </c>
      <c r="H3431" t="s">
        <v>627</v>
      </c>
      <c r="I3431" t="s">
        <v>209</v>
      </c>
      <c r="J3431" s="1">
        <v>46476</v>
      </c>
      <c r="K3431" t="s">
        <v>720</v>
      </c>
      <c r="L3431">
        <v>1</v>
      </c>
      <c r="M3431">
        <v>370</v>
      </c>
      <c r="N3431" t="s">
        <v>710</v>
      </c>
      <c r="O3431" t="s">
        <v>1038</v>
      </c>
      <c r="P3431" t="s">
        <v>4776</v>
      </c>
      <c r="Q3431" t="s">
        <v>4858</v>
      </c>
      <c r="R3431" t="s">
        <v>4771</v>
      </c>
    </row>
    <row r="3432" spans="1:18" x14ac:dyDescent="0.3">
      <c r="A3432">
        <v>77743</v>
      </c>
      <c r="B3432" t="s">
        <v>4874</v>
      </c>
      <c r="C3432" t="s">
        <v>634</v>
      </c>
      <c r="D3432" t="s">
        <v>99</v>
      </c>
      <c r="E3432" s="1">
        <v>45819</v>
      </c>
      <c r="F3432" t="s">
        <v>4310</v>
      </c>
      <c r="G3432" t="s">
        <v>2198</v>
      </c>
      <c r="H3432" t="s">
        <v>633</v>
      </c>
      <c r="I3432" t="s">
        <v>204</v>
      </c>
      <c r="J3432" s="1">
        <v>46204</v>
      </c>
      <c r="K3432" t="s">
        <v>762</v>
      </c>
      <c r="L3432">
        <v>99</v>
      </c>
      <c r="M3432">
        <v>335.61</v>
      </c>
      <c r="N3432" t="s">
        <v>719</v>
      </c>
      <c r="O3432" t="s">
        <v>1037</v>
      </c>
      <c r="P3432" t="s">
        <v>4790</v>
      </c>
      <c r="Q3432" t="s">
        <v>4852</v>
      </c>
    </row>
    <row r="3433" spans="1:18" x14ac:dyDescent="0.3">
      <c r="A3433">
        <v>6961</v>
      </c>
      <c r="B3433" t="s">
        <v>4874</v>
      </c>
      <c r="C3433" t="s">
        <v>628</v>
      </c>
      <c r="D3433" t="s">
        <v>25</v>
      </c>
      <c r="E3433" s="1">
        <v>45819</v>
      </c>
      <c r="F3433" t="s">
        <v>4415</v>
      </c>
      <c r="G3433" t="s">
        <v>2110</v>
      </c>
      <c r="H3433" t="s">
        <v>627</v>
      </c>
      <c r="I3433" t="s">
        <v>209</v>
      </c>
      <c r="J3433" s="1">
        <v>46476</v>
      </c>
      <c r="K3433" t="s">
        <v>720</v>
      </c>
      <c r="L3433">
        <v>1</v>
      </c>
      <c r="M3433">
        <v>370</v>
      </c>
      <c r="N3433" t="s">
        <v>710</v>
      </c>
      <c r="O3433" t="s">
        <v>1038</v>
      </c>
      <c r="P3433" t="s">
        <v>4776</v>
      </c>
      <c r="Q3433" t="s">
        <v>4858</v>
      </c>
      <c r="R3433" t="s">
        <v>4771</v>
      </c>
    </row>
    <row r="3434" spans="1:18" x14ac:dyDescent="0.3">
      <c r="A3434">
        <v>77743</v>
      </c>
      <c r="B3434" t="s">
        <v>4874</v>
      </c>
      <c r="C3434" t="s">
        <v>634</v>
      </c>
      <c r="D3434" t="s">
        <v>99</v>
      </c>
      <c r="E3434" s="1">
        <v>45819</v>
      </c>
      <c r="F3434" t="s">
        <v>4307</v>
      </c>
      <c r="G3434" t="s">
        <v>2198</v>
      </c>
      <c r="H3434" t="s">
        <v>633</v>
      </c>
      <c r="I3434" t="s">
        <v>204</v>
      </c>
      <c r="J3434" s="1">
        <v>46204</v>
      </c>
      <c r="K3434" t="s">
        <v>762</v>
      </c>
      <c r="L3434">
        <v>2164</v>
      </c>
      <c r="M3434">
        <v>31075.040000000001</v>
      </c>
      <c r="N3434" t="s">
        <v>719</v>
      </c>
      <c r="O3434" t="s">
        <v>1037</v>
      </c>
      <c r="P3434" t="s">
        <v>4790</v>
      </c>
      <c r="Q3434" t="s">
        <v>4852</v>
      </c>
    </row>
    <row r="3435" spans="1:18" x14ac:dyDescent="0.3">
      <c r="A3435">
        <v>354682</v>
      </c>
      <c r="B3435" t="s">
        <v>4875</v>
      </c>
      <c r="C3435" t="s">
        <v>435</v>
      </c>
      <c r="D3435" t="s">
        <v>30</v>
      </c>
      <c r="E3435" s="1">
        <v>45819</v>
      </c>
      <c r="F3435" t="s">
        <v>4351</v>
      </c>
      <c r="G3435" t="s">
        <v>2169</v>
      </c>
      <c r="H3435" t="s">
        <v>434</v>
      </c>
      <c r="I3435" t="s">
        <v>204</v>
      </c>
      <c r="J3435" s="1">
        <v>46752</v>
      </c>
      <c r="K3435" t="s">
        <v>785</v>
      </c>
      <c r="L3435">
        <v>1</v>
      </c>
      <c r="M3435">
        <v>71911.45</v>
      </c>
      <c r="N3435" t="s">
        <v>998</v>
      </c>
      <c r="O3435" t="s">
        <v>1038</v>
      </c>
      <c r="P3435" t="s">
        <v>4787</v>
      </c>
      <c r="Q3435" t="s">
        <v>4858</v>
      </c>
      <c r="R3435" t="s">
        <v>4771</v>
      </c>
    </row>
    <row r="3436" spans="1:18" x14ac:dyDescent="0.3">
      <c r="A3436">
        <v>202521</v>
      </c>
      <c r="B3436" t="s">
        <v>4875</v>
      </c>
      <c r="C3436" t="s">
        <v>651</v>
      </c>
      <c r="D3436" t="s">
        <v>46</v>
      </c>
      <c r="E3436" s="1">
        <v>45818</v>
      </c>
      <c r="F3436" t="s">
        <v>4435</v>
      </c>
      <c r="G3436" t="s">
        <v>2189</v>
      </c>
      <c r="H3436" t="s">
        <v>650</v>
      </c>
      <c r="I3436" t="s">
        <v>204</v>
      </c>
      <c r="J3436" s="1">
        <v>46173</v>
      </c>
      <c r="K3436" t="s">
        <v>748</v>
      </c>
      <c r="L3436">
        <v>1</v>
      </c>
      <c r="M3436">
        <v>1090</v>
      </c>
      <c r="N3436" t="s">
        <v>710</v>
      </c>
      <c r="O3436" t="s">
        <v>1040</v>
      </c>
      <c r="P3436" t="s">
        <v>4779</v>
      </c>
      <c r="Q3436" t="s">
        <v>4856</v>
      </c>
    </row>
    <row r="3437" spans="1:18" x14ac:dyDescent="0.3">
      <c r="A3437">
        <v>5473</v>
      </c>
      <c r="B3437" t="s">
        <v>4875</v>
      </c>
      <c r="C3437" t="s">
        <v>319</v>
      </c>
      <c r="D3437" t="s">
        <v>36</v>
      </c>
      <c r="E3437" s="1">
        <v>45818</v>
      </c>
      <c r="F3437" t="s">
        <v>4434</v>
      </c>
      <c r="G3437" t="s">
        <v>2131</v>
      </c>
      <c r="H3437" t="s">
        <v>336</v>
      </c>
      <c r="I3437" t="s">
        <v>204</v>
      </c>
      <c r="J3437" s="1">
        <v>46075</v>
      </c>
      <c r="K3437" t="s">
        <v>748</v>
      </c>
      <c r="L3437">
        <v>31925.759999999998</v>
      </c>
      <c r="M3437">
        <v>31925.759999999998</v>
      </c>
      <c r="N3437" t="s">
        <v>710</v>
      </c>
      <c r="O3437" t="s">
        <v>1040</v>
      </c>
      <c r="P3437" t="s">
        <v>4784</v>
      </c>
      <c r="Q3437" t="s">
        <v>4856</v>
      </c>
      <c r="R3437" t="s">
        <v>4771</v>
      </c>
    </row>
    <row r="3438" spans="1:18" x14ac:dyDescent="0.3">
      <c r="A3438">
        <v>2843</v>
      </c>
      <c r="B3438" t="s">
        <v>4874</v>
      </c>
      <c r="C3438" t="s">
        <v>533</v>
      </c>
      <c r="D3438" t="s">
        <v>103</v>
      </c>
      <c r="E3438" s="1">
        <v>45818</v>
      </c>
      <c r="F3438" t="s">
        <v>4416</v>
      </c>
      <c r="G3438" t="s">
        <v>2109</v>
      </c>
      <c r="H3438" t="s">
        <v>532</v>
      </c>
      <c r="I3438" t="s">
        <v>204</v>
      </c>
      <c r="J3438" s="1">
        <v>46568</v>
      </c>
      <c r="K3438" t="s">
        <v>892</v>
      </c>
      <c r="L3438">
        <v>10378.5</v>
      </c>
      <c r="M3438">
        <v>10378.5</v>
      </c>
      <c r="N3438" t="s">
        <v>710</v>
      </c>
      <c r="O3438" t="s">
        <v>4811</v>
      </c>
      <c r="P3438" t="s">
        <v>4776</v>
      </c>
      <c r="Q3438" t="s">
        <v>4859</v>
      </c>
      <c r="R3438" t="s">
        <v>4771</v>
      </c>
    </row>
    <row r="3439" spans="1:18" x14ac:dyDescent="0.3">
      <c r="A3439">
        <v>722402</v>
      </c>
      <c r="B3439" t="s">
        <v>4874</v>
      </c>
      <c r="C3439" t="s">
        <v>389</v>
      </c>
      <c r="D3439" t="s">
        <v>32</v>
      </c>
      <c r="E3439" s="1">
        <v>45818</v>
      </c>
      <c r="F3439" t="s">
        <v>4299</v>
      </c>
      <c r="G3439" t="s">
        <v>2205</v>
      </c>
      <c r="H3439" t="s">
        <v>388</v>
      </c>
      <c r="I3439" t="s">
        <v>204</v>
      </c>
      <c r="J3439" s="1">
        <v>46752</v>
      </c>
      <c r="K3439" t="s">
        <v>785</v>
      </c>
      <c r="L3439">
        <v>1</v>
      </c>
      <c r="M3439">
        <v>41674.160000000003</v>
      </c>
      <c r="N3439" t="s">
        <v>710</v>
      </c>
      <c r="O3439" t="s">
        <v>1038</v>
      </c>
      <c r="P3439" t="s">
        <v>4785</v>
      </c>
      <c r="Q3439" t="s">
        <v>4858</v>
      </c>
      <c r="R3439" t="s">
        <v>4771</v>
      </c>
    </row>
    <row r="3440" spans="1:18" x14ac:dyDescent="0.3">
      <c r="A3440">
        <v>2059</v>
      </c>
      <c r="B3440" t="s">
        <v>4874</v>
      </c>
      <c r="C3440" t="s">
        <v>616</v>
      </c>
      <c r="D3440" t="s">
        <v>152</v>
      </c>
      <c r="E3440" s="1">
        <v>45818</v>
      </c>
      <c r="F3440" t="s">
        <v>4338</v>
      </c>
      <c r="G3440" t="s">
        <v>1807</v>
      </c>
      <c r="H3440" t="s">
        <v>615</v>
      </c>
      <c r="I3440" t="s">
        <v>204</v>
      </c>
      <c r="J3440" s="1">
        <v>46327</v>
      </c>
      <c r="K3440" t="s">
        <v>720</v>
      </c>
      <c r="L3440">
        <v>1</v>
      </c>
      <c r="M3440">
        <v>101787.58</v>
      </c>
      <c r="N3440" t="s">
        <v>710</v>
      </c>
      <c r="O3440" t="s">
        <v>4834</v>
      </c>
      <c r="P3440" t="s">
        <v>4776</v>
      </c>
      <c r="Q3440" t="s">
        <v>4858</v>
      </c>
      <c r="R3440" t="s">
        <v>4772</v>
      </c>
    </row>
    <row r="3441" spans="1:18" x14ac:dyDescent="0.3">
      <c r="A3441">
        <v>181250</v>
      </c>
      <c r="B3441" t="s">
        <v>4874</v>
      </c>
      <c r="C3441" t="s">
        <v>411</v>
      </c>
      <c r="D3441" t="s">
        <v>154</v>
      </c>
      <c r="E3441" s="1">
        <v>45818</v>
      </c>
      <c r="F3441" t="s">
        <v>4315</v>
      </c>
      <c r="G3441" t="s">
        <v>2203</v>
      </c>
      <c r="H3441" t="s">
        <v>410</v>
      </c>
      <c r="I3441" t="s">
        <v>204</v>
      </c>
      <c r="J3441" s="1">
        <v>46344</v>
      </c>
      <c r="K3441" t="s">
        <v>762</v>
      </c>
      <c r="L3441">
        <v>3012.36</v>
      </c>
      <c r="M3441">
        <v>3012.36</v>
      </c>
      <c r="N3441" t="s">
        <v>710</v>
      </c>
      <c r="O3441" t="s">
        <v>4833</v>
      </c>
      <c r="P3441" t="s">
        <v>4776</v>
      </c>
      <c r="Q3441" t="s">
        <v>4852</v>
      </c>
      <c r="R3441" t="s">
        <v>4773</v>
      </c>
    </row>
    <row r="3442" spans="1:18" x14ac:dyDescent="0.3">
      <c r="A3442">
        <v>181541</v>
      </c>
      <c r="B3442" t="s">
        <v>4874</v>
      </c>
      <c r="C3442" t="s">
        <v>411</v>
      </c>
      <c r="D3442" t="s">
        <v>154</v>
      </c>
      <c r="E3442" s="1">
        <v>45818</v>
      </c>
      <c r="F3442" t="s">
        <v>4345</v>
      </c>
      <c r="G3442" t="s">
        <v>2202</v>
      </c>
      <c r="H3442" t="s">
        <v>410</v>
      </c>
      <c r="I3442" t="s">
        <v>204</v>
      </c>
      <c r="J3442" s="1">
        <v>46344</v>
      </c>
      <c r="K3442" t="s">
        <v>762</v>
      </c>
      <c r="L3442">
        <v>16275.21</v>
      </c>
      <c r="M3442">
        <v>16275.21</v>
      </c>
      <c r="N3442" t="s">
        <v>710</v>
      </c>
      <c r="O3442" t="s">
        <v>4833</v>
      </c>
      <c r="P3442" t="s">
        <v>4776</v>
      </c>
      <c r="Q3442" t="s">
        <v>4852</v>
      </c>
      <c r="R3442" t="s">
        <v>4773</v>
      </c>
    </row>
    <row r="3443" spans="1:18" x14ac:dyDescent="0.3">
      <c r="A3443">
        <v>110308</v>
      </c>
      <c r="B3443" t="s">
        <v>4874</v>
      </c>
      <c r="C3443" t="s">
        <v>227</v>
      </c>
      <c r="D3443" t="s">
        <v>191</v>
      </c>
      <c r="E3443" s="1">
        <v>45818</v>
      </c>
      <c r="F3443" t="s">
        <v>4387</v>
      </c>
      <c r="G3443" t="s">
        <v>2141</v>
      </c>
      <c r="H3443" t="s">
        <v>577</v>
      </c>
      <c r="I3443" t="s">
        <v>204</v>
      </c>
      <c r="J3443" s="1">
        <v>46493</v>
      </c>
      <c r="K3443" t="s">
        <v>762</v>
      </c>
      <c r="L3443">
        <v>62472.5</v>
      </c>
      <c r="M3443">
        <v>62472.5</v>
      </c>
      <c r="N3443" t="s">
        <v>809</v>
      </c>
      <c r="O3443" t="s">
        <v>4904</v>
      </c>
      <c r="P3443" t="s">
        <v>4792</v>
      </c>
      <c r="Q3443" t="s">
        <v>4904</v>
      </c>
      <c r="R3443" t="s">
        <v>4772</v>
      </c>
    </row>
    <row r="3444" spans="1:18" x14ac:dyDescent="0.3">
      <c r="A3444">
        <v>2025882</v>
      </c>
      <c r="B3444" t="s">
        <v>4875</v>
      </c>
      <c r="C3444" t="s">
        <v>550</v>
      </c>
      <c r="D3444" t="s">
        <v>189</v>
      </c>
      <c r="E3444" s="1">
        <v>45818</v>
      </c>
      <c r="F3444" t="s">
        <v>4338</v>
      </c>
      <c r="G3444" t="s">
        <v>2162</v>
      </c>
      <c r="H3444" t="s">
        <v>569</v>
      </c>
      <c r="I3444" t="s">
        <v>204</v>
      </c>
      <c r="J3444" s="1">
        <v>46599</v>
      </c>
      <c r="K3444" t="s">
        <v>768</v>
      </c>
      <c r="L3444">
        <v>23437.4</v>
      </c>
      <c r="M3444">
        <v>23437.4</v>
      </c>
      <c r="N3444" t="s">
        <v>710</v>
      </c>
      <c r="O3444" t="s">
        <v>4904</v>
      </c>
      <c r="P3444" t="s">
        <v>4792</v>
      </c>
      <c r="Q3444" t="s">
        <v>4904</v>
      </c>
      <c r="R3444" t="s">
        <v>4772</v>
      </c>
    </row>
    <row r="3445" spans="1:18" x14ac:dyDescent="0.3">
      <c r="A3445">
        <v>2030</v>
      </c>
      <c r="B3445" t="s">
        <v>1034</v>
      </c>
      <c r="C3445" t="s">
        <v>616</v>
      </c>
      <c r="D3445" t="s">
        <v>152</v>
      </c>
      <c r="E3445" s="1">
        <v>45818</v>
      </c>
      <c r="F3445" t="s">
        <v>4338</v>
      </c>
      <c r="G3445" t="s">
        <v>1910</v>
      </c>
      <c r="H3445" t="s">
        <v>621</v>
      </c>
      <c r="I3445" t="s">
        <v>204</v>
      </c>
      <c r="J3445" s="1">
        <v>46349</v>
      </c>
      <c r="K3445" t="s">
        <v>711</v>
      </c>
      <c r="L3445">
        <v>67259.55</v>
      </c>
      <c r="M3445">
        <v>67259.55</v>
      </c>
      <c r="N3445" t="s">
        <v>710</v>
      </c>
      <c r="O3445" t="s">
        <v>4904</v>
      </c>
      <c r="P3445" t="s">
        <v>4796</v>
      </c>
      <c r="Q3445" t="s">
        <v>4901</v>
      </c>
      <c r="R3445" t="s">
        <v>4772</v>
      </c>
    </row>
    <row r="3446" spans="1:18" x14ac:dyDescent="0.3">
      <c r="A3446">
        <v>2025182</v>
      </c>
      <c r="B3446" t="s">
        <v>1034</v>
      </c>
      <c r="C3446" t="s">
        <v>552</v>
      </c>
      <c r="D3446" t="s">
        <v>190</v>
      </c>
      <c r="E3446" s="1">
        <v>45818</v>
      </c>
      <c r="F3446" t="s">
        <v>4339</v>
      </c>
      <c r="G3446" t="s">
        <v>2159</v>
      </c>
      <c r="H3446" t="s">
        <v>583</v>
      </c>
      <c r="I3446" t="s">
        <v>204</v>
      </c>
      <c r="J3446" s="1">
        <v>46441</v>
      </c>
      <c r="K3446" t="s">
        <v>717</v>
      </c>
      <c r="L3446">
        <v>64252.04</v>
      </c>
      <c r="M3446">
        <v>64252.04</v>
      </c>
      <c r="N3446" t="s">
        <v>710</v>
      </c>
      <c r="O3446" t="s">
        <v>4904</v>
      </c>
      <c r="P3446" t="s">
        <v>4792</v>
      </c>
      <c r="Q3446" t="s">
        <v>4904</v>
      </c>
      <c r="R3446" t="s">
        <v>4772</v>
      </c>
    </row>
    <row r="3447" spans="1:18" x14ac:dyDescent="0.3">
      <c r="A3447">
        <v>2025883</v>
      </c>
      <c r="B3447" t="s">
        <v>1034</v>
      </c>
      <c r="C3447" t="s">
        <v>550</v>
      </c>
      <c r="D3447" t="s">
        <v>189</v>
      </c>
      <c r="E3447" s="1">
        <v>45818</v>
      </c>
      <c r="F3447" t="s">
        <v>4338</v>
      </c>
      <c r="G3447" t="s">
        <v>2160</v>
      </c>
      <c r="H3447" t="s">
        <v>582</v>
      </c>
      <c r="I3447" t="s">
        <v>204</v>
      </c>
      <c r="J3447" s="1">
        <v>46599</v>
      </c>
      <c r="K3447" t="s">
        <v>717</v>
      </c>
      <c r="L3447">
        <v>27301.11</v>
      </c>
      <c r="M3447">
        <v>27301.11</v>
      </c>
      <c r="N3447" t="s">
        <v>710</v>
      </c>
      <c r="O3447" t="s">
        <v>4904</v>
      </c>
      <c r="P3447" t="s">
        <v>4792</v>
      </c>
      <c r="Q3447" t="s">
        <v>4904</v>
      </c>
      <c r="R3447" t="s">
        <v>4772</v>
      </c>
    </row>
    <row r="3448" spans="1:18" x14ac:dyDescent="0.3">
      <c r="A3448">
        <v>49180</v>
      </c>
      <c r="B3448" t="s">
        <v>1034</v>
      </c>
      <c r="C3448" t="s">
        <v>232</v>
      </c>
      <c r="D3448" t="s">
        <v>87</v>
      </c>
      <c r="E3448" s="1">
        <v>45818</v>
      </c>
      <c r="F3448" t="s">
        <v>4304</v>
      </c>
      <c r="G3448" t="s">
        <v>1886</v>
      </c>
      <c r="H3448" t="s">
        <v>231</v>
      </c>
      <c r="I3448" t="s">
        <v>204</v>
      </c>
      <c r="J3448" s="1">
        <v>47208</v>
      </c>
      <c r="K3448" t="s">
        <v>711</v>
      </c>
      <c r="L3448">
        <v>3000</v>
      </c>
      <c r="M3448">
        <v>3000</v>
      </c>
      <c r="N3448" t="s">
        <v>710</v>
      </c>
      <c r="O3448" t="s">
        <v>4834</v>
      </c>
      <c r="P3448" t="s">
        <v>4776</v>
      </c>
      <c r="Q3448" t="s">
        <v>4901</v>
      </c>
      <c r="R3448" t="s">
        <v>4773</v>
      </c>
    </row>
    <row r="3449" spans="1:18" x14ac:dyDescent="0.3">
      <c r="A3449">
        <v>309872</v>
      </c>
      <c r="B3449" t="s">
        <v>1034</v>
      </c>
      <c r="C3449" t="s">
        <v>500</v>
      </c>
      <c r="D3449" t="s">
        <v>16</v>
      </c>
      <c r="E3449" s="1">
        <v>45817</v>
      </c>
      <c r="F3449" t="s">
        <v>4306</v>
      </c>
      <c r="G3449" t="s">
        <v>2175</v>
      </c>
      <c r="H3449" t="s">
        <v>499</v>
      </c>
      <c r="I3449" t="s">
        <v>204</v>
      </c>
      <c r="J3449" s="1">
        <v>54878</v>
      </c>
      <c r="K3449" t="s">
        <v>717</v>
      </c>
      <c r="L3449">
        <v>1633.45</v>
      </c>
      <c r="M3449">
        <v>1633.45</v>
      </c>
      <c r="N3449" t="s">
        <v>710</v>
      </c>
      <c r="O3449" t="s">
        <v>4833</v>
      </c>
      <c r="P3449" t="s">
        <v>4786</v>
      </c>
      <c r="Q3449" t="s">
        <v>4852</v>
      </c>
      <c r="R3449" t="s">
        <v>4773</v>
      </c>
    </row>
    <row r="3450" spans="1:18" x14ac:dyDescent="0.3">
      <c r="A3450">
        <v>6792</v>
      </c>
      <c r="B3450" t="s">
        <v>1035</v>
      </c>
      <c r="C3450" t="s">
        <v>230</v>
      </c>
      <c r="D3450" t="s">
        <v>85</v>
      </c>
      <c r="E3450" s="1">
        <v>45817</v>
      </c>
      <c r="F3450" t="s">
        <v>4348</v>
      </c>
      <c r="G3450" t="s">
        <v>2147</v>
      </c>
      <c r="H3450" t="s">
        <v>229</v>
      </c>
      <c r="I3450" t="s">
        <v>204</v>
      </c>
      <c r="J3450" s="1">
        <v>46203</v>
      </c>
      <c r="K3450" t="s">
        <v>744</v>
      </c>
      <c r="L3450">
        <v>18802.560000000001</v>
      </c>
      <c r="M3450">
        <v>18802.560000000001</v>
      </c>
      <c r="N3450" t="s">
        <v>710</v>
      </c>
      <c r="O3450" t="s">
        <v>1033</v>
      </c>
      <c r="P3450" t="s">
        <v>4781</v>
      </c>
      <c r="Q3450" t="s">
        <v>4852</v>
      </c>
      <c r="R3450" t="s">
        <v>4771</v>
      </c>
    </row>
    <row r="3451" spans="1:18" x14ac:dyDescent="0.3">
      <c r="A3451">
        <v>202541</v>
      </c>
      <c r="B3451" t="s">
        <v>1034</v>
      </c>
      <c r="C3451" t="s">
        <v>507</v>
      </c>
      <c r="D3451" t="s">
        <v>18</v>
      </c>
      <c r="E3451" s="1">
        <v>45817</v>
      </c>
      <c r="F3451" t="s">
        <v>4322</v>
      </c>
      <c r="G3451" t="s">
        <v>2114</v>
      </c>
      <c r="H3451" t="s">
        <v>506</v>
      </c>
      <c r="I3451" t="s">
        <v>204</v>
      </c>
      <c r="J3451" s="1">
        <v>46741</v>
      </c>
      <c r="K3451" t="s">
        <v>711</v>
      </c>
      <c r="L3451">
        <v>21</v>
      </c>
      <c r="M3451">
        <v>7350</v>
      </c>
      <c r="N3451" t="s">
        <v>710</v>
      </c>
      <c r="O3451" t="s">
        <v>1036</v>
      </c>
      <c r="P3451" t="s">
        <v>4777</v>
      </c>
      <c r="Q3451" t="s">
        <v>4901</v>
      </c>
      <c r="R3451" t="s">
        <v>4773</v>
      </c>
    </row>
    <row r="3452" spans="1:18" x14ac:dyDescent="0.3">
      <c r="A3452">
        <v>202541</v>
      </c>
      <c r="B3452" t="s">
        <v>1034</v>
      </c>
      <c r="C3452" t="s">
        <v>507</v>
      </c>
      <c r="D3452" t="s">
        <v>18</v>
      </c>
      <c r="E3452" s="1">
        <v>45817</v>
      </c>
      <c r="F3452" t="s">
        <v>4322</v>
      </c>
      <c r="G3452" t="s">
        <v>2114</v>
      </c>
      <c r="H3452" t="s">
        <v>506</v>
      </c>
      <c r="I3452" t="s">
        <v>204</v>
      </c>
      <c r="J3452" s="1">
        <v>46741</v>
      </c>
      <c r="K3452" t="s">
        <v>711</v>
      </c>
      <c r="L3452">
        <v>21</v>
      </c>
      <c r="M3452">
        <v>7350</v>
      </c>
      <c r="N3452" t="s">
        <v>710</v>
      </c>
      <c r="O3452" t="s">
        <v>1036</v>
      </c>
      <c r="P3452" t="s">
        <v>4777</v>
      </c>
      <c r="Q3452" t="s">
        <v>4901</v>
      </c>
      <c r="R3452" t="s">
        <v>4773</v>
      </c>
    </row>
    <row r="3453" spans="1:18" x14ac:dyDescent="0.3">
      <c r="A3453">
        <v>45065</v>
      </c>
      <c r="B3453" t="s">
        <v>1034</v>
      </c>
      <c r="C3453" t="s">
        <v>497</v>
      </c>
      <c r="D3453" t="s">
        <v>58</v>
      </c>
      <c r="E3453" s="1">
        <v>45817</v>
      </c>
      <c r="F3453" t="s">
        <v>4316</v>
      </c>
      <c r="G3453" t="s">
        <v>2187</v>
      </c>
      <c r="H3453" t="s">
        <v>498</v>
      </c>
      <c r="I3453" t="s">
        <v>204</v>
      </c>
      <c r="J3453" s="1">
        <v>46265</v>
      </c>
      <c r="K3453" t="s">
        <v>717</v>
      </c>
      <c r="L3453">
        <v>537.17999999999995</v>
      </c>
      <c r="M3453">
        <v>537.17999999999995</v>
      </c>
      <c r="N3453" t="s">
        <v>710</v>
      </c>
      <c r="O3453" t="s">
        <v>4833</v>
      </c>
      <c r="P3453" t="s">
        <v>4776</v>
      </c>
      <c r="Q3453" t="s">
        <v>4852</v>
      </c>
      <c r="R3453" t="s">
        <v>4773</v>
      </c>
    </row>
    <row r="3454" spans="1:18" x14ac:dyDescent="0.3">
      <c r="A3454">
        <v>112634</v>
      </c>
      <c r="B3454" t="s">
        <v>1034</v>
      </c>
      <c r="C3454" t="s">
        <v>497</v>
      </c>
      <c r="D3454" t="s">
        <v>58</v>
      </c>
      <c r="E3454" s="1">
        <v>45817</v>
      </c>
      <c r="F3454" t="s">
        <v>4354</v>
      </c>
      <c r="G3454" t="s">
        <v>2186</v>
      </c>
      <c r="H3454" t="s">
        <v>496</v>
      </c>
      <c r="I3454" t="s">
        <v>204</v>
      </c>
      <c r="J3454" s="1">
        <v>46265</v>
      </c>
      <c r="K3454" t="s">
        <v>717</v>
      </c>
      <c r="L3454">
        <v>4985.58</v>
      </c>
      <c r="M3454">
        <v>4985.58</v>
      </c>
      <c r="N3454" t="s">
        <v>710</v>
      </c>
      <c r="O3454" t="s">
        <v>4833</v>
      </c>
      <c r="P3454" t="s">
        <v>4776</v>
      </c>
      <c r="Q3454" t="s">
        <v>4852</v>
      </c>
      <c r="R3454" t="s">
        <v>4773</v>
      </c>
    </row>
    <row r="3455" spans="1:18" x14ac:dyDescent="0.3">
      <c r="A3455">
        <v>490692</v>
      </c>
      <c r="B3455" t="s">
        <v>1034</v>
      </c>
      <c r="C3455" t="s">
        <v>333</v>
      </c>
      <c r="D3455" t="s">
        <v>29</v>
      </c>
      <c r="E3455" s="1">
        <v>45817</v>
      </c>
      <c r="F3455" t="s">
        <v>4317</v>
      </c>
      <c r="G3455" t="s">
        <v>2195</v>
      </c>
      <c r="H3455" t="s">
        <v>332</v>
      </c>
      <c r="I3455" t="s">
        <v>204</v>
      </c>
      <c r="J3455" s="1">
        <v>54878</v>
      </c>
      <c r="K3455" t="s">
        <v>711</v>
      </c>
      <c r="L3455">
        <v>136</v>
      </c>
      <c r="M3455">
        <v>136.22</v>
      </c>
      <c r="N3455" t="s">
        <v>710</v>
      </c>
      <c r="O3455" t="s">
        <v>1036</v>
      </c>
      <c r="P3455" t="s">
        <v>4776</v>
      </c>
      <c r="Q3455" t="s">
        <v>4901</v>
      </c>
      <c r="R3455" t="s">
        <v>4771</v>
      </c>
    </row>
    <row r="3456" spans="1:18" x14ac:dyDescent="0.3">
      <c r="A3456">
        <v>41635</v>
      </c>
      <c r="B3456" t="s">
        <v>1034</v>
      </c>
      <c r="C3456" t="s">
        <v>327</v>
      </c>
      <c r="D3456" t="s">
        <v>159</v>
      </c>
      <c r="E3456" s="1">
        <v>45817</v>
      </c>
      <c r="F3456" t="s">
        <v>4295</v>
      </c>
      <c r="G3456" t="s">
        <v>2184</v>
      </c>
      <c r="H3456" t="s">
        <v>357</v>
      </c>
      <c r="I3456" t="s">
        <v>204</v>
      </c>
      <c r="J3456" s="1">
        <v>46476</v>
      </c>
      <c r="K3456" t="s">
        <v>711</v>
      </c>
      <c r="L3456">
        <v>2150</v>
      </c>
      <c r="M3456">
        <v>2150</v>
      </c>
      <c r="N3456" t="s">
        <v>890</v>
      </c>
      <c r="O3456" t="s">
        <v>4834</v>
      </c>
      <c r="P3456" t="s">
        <v>4776</v>
      </c>
      <c r="Q3456" t="s">
        <v>4901</v>
      </c>
      <c r="R3456" t="s">
        <v>4773</v>
      </c>
    </row>
    <row r="3457" spans="1:18" x14ac:dyDescent="0.3">
      <c r="A3457">
        <v>41636</v>
      </c>
      <c r="B3457" t="s">
        <v>1034</v>
      </c>
      <c r="C3457" t="s">
        <v>327</v>
      </c>
      <c r="D3457" t="s">
        <v>159</v>
      </c>
      <c r="E3457" s="1">
        <v>45817</v>
      </c>
      <c r="F3457" t="s">
        <v>4296</v>
      </c>
      <c r="G3457" t="s">
        <v>2185</v>
      </c>
      <c r="H3457" t="s">
        <v>357</v>
      </c>
      <c r="I3457" t="s">
        <v>204</v>
      </c>
      <c r="J3457" s="1">
        <v>46476</v>
      </c>
      <c r="K3457" t="s">
        <v>711</v>
      </c>
      <c r="L3457">
        <v>517.17999999999995</v>
      </c>
      <c r="M3457">
        <v>517.17999999999995</v>
      </c>
      <c r="N3457" t="s">
        <v>890</v>
      </c>
      <c r="O3457" t="s">
        <v>4834</v>
      </c>
      <c r="P3457" t="s">
        <v>4776</v>
      </c>
      <c r="Q3457" t="s">
        <v>4901</v>
      </c>
      <c r="R3457" t="s">
        <v>4773</v>
      </c>
    </row>
    <row r="3458" spans="1:18" x14ac:dyDescent="0.3">
      <c r="A3458">
        <v>104257</v>
      </c>
      <c r="B3458" t="s">
        <v>1034</v>
      </c>
      <c r="C3458" t="s">
        <v>495</v>
      </c>
      <c r="D3458" t="s">
        <v>44</v>
      </c>
      <c r="E3458" s="1">
        <v>45817</v>
      </c>
      <c r="F3458" t="s">
        <v>4303</v>
      </c>
      <c r="G3458" t="s">
        <v>2142</v>
      </c>
      <c r="H3458" t="s">
        <v>494</v>
      </c>
      <c r="I3458" t="s">
        <v>204</v>
      </c>
      <c r="J3458" s="1">
        <v>54878</v>
      </c>
      <c r="K3458" t="s">
        <v>717</v>
      </c>
      <c r="L3458">
        <v>1796</v>
      </c>
      <c r="M3458">
        <v>1795.56</v>
      </c>
      <c r="N3458" t="s">
        <v>710</v>
      </c>
      <c r="O3458" t="s">
        <v>4833</v>
      </c>
      <c r="P3458" t="s">
        <v>4776</v>
      </c>
      <c r="Q3458" t="s">
        <v>4852</v>
      </c>
      <c r="R3458" t="s">
        <v>4773</v>
      </c>
    </row>
    <row r="3459" spans="1:18" x14ac:dyDescent="0.3">
      <c r="A3459">
        <v>49378</v>
      </c>
      <c r="B3459" t="s">
        <v>1034</v>
      </c>
      <c r="C3459" t="s">
        <v>790</v>
      </c>
      <c r="D3459" t="s">
        <v>19</v>
      </c>
      <c r="E3459" s="1">
        <v>45817</v>
      </c>
      <c r="F3459" t="s">
        <v>4348</v>
      </c>
      <c r="G3459" t="s">
        <v>2168</v>
      </c>
      <c r="H3459" t="s">
        <v>287</v>
      </c>
      <c r="I3459" t="s">
        <v>209</v>
      </c>
      <c r="J3459" s="1">
        <v>54878</v>
      </c>
      <c r="K3459" t="s">
        <v>711</v>
      </c>
      <c r="L3459">
        <v>1</v>
      </c>
      <c r="M3459">
        <v>2950</v>
      </c>
      <c r="N3459" t="s">
        <v>710</v>
      </c>
      <c r="O3459" t="s">
        <v>1037</v>
      </c>
      <c r="P3459" t="s">
        <v>4781</v>
      </c>
      <c r="Q3459" t="s">
        <v>4852</v>
      </c>
      <c r="R3459" t="s">
        <v>4771</v>
      </c>
    </row>
    <row r="3460" spans="1:18" x14ac:dyDescent="0.3">
      <c r="A3460">
        <v>20717</v>
      </c>
      <c r="B3460" t="s">
        <v>1034</v>
      </c>
      <c r="C3460" t="s">
        <v>243</v>
      </c>
      <c r="D3460" t="s">
        <v>61</v>
      </c>
      <c r="E3460" s="1">
        <v>45817</v>
      </c>
      <c r="F3460" t="s">
        <v>4304</v>
      </c>
      <c r="G3460" t="s">
        <v>2050</v>
      </c>
      <c r="H3460" t="s">
        <v>246</v>
      </c>
      <c r="I3460" t="s">
        <v>204</v>
      </c>
      <c r="J3460" s="1">
        <v>46203</v>
      </c>
      <c r="K3460" t="s">
        <v>711</v>
      </c>
      <c r="L3460">
        <v>4783.17</v>
      </c>
      <c r="M3460">
        <v>4783.17</v>
      </c>
      <c r="N3460" t="s">
        <v>710</v>
      </c>
      <c r="O3460" t="s">
        <v>4834</v>
      </c>
      <c r="P3460" t="s">
        <v>4776</v>
      </c>
      <c r="Q3460" t="s">
        <v>4901</v>
      </c>
      <c r="R3460" t="s">
        <v>4771</v>
      </c>
    </row>
    <row r="3461" spans="1:18" x14ac:dyDescent="0.3">
      <c r="A3461">
        <v>309871</v>
      </c>
      <c r="B3461" t="s">
        <v>1034</v>
      </c>
      <c r="C3461" t="s">
        <v>500</v>
      </c>
      <c r="D3461" t="s">
        <v>16</v>
      </c>
      <c r="E3461" s="1">
        <v>45817</v>
      </c>
      <c r="F3461" t="s">
        <v>4306</v>
      </c>
      <c r="G3461" t="s">
        <v>2175</v>
      </c>
      <c r="H3461" t="s">
        <v>499</v>
      </c>
      <c r="I3461" t="s">
        <v>204</v>
      </c>
      <c r="J3461" s="1">
        <v>54878</v>
      </c>
      <c r="K3461" t="s">
        <v>717</v>
      </c>
      <c r="L3461">
        <v>1633.45</v>
      </c>
      <c r="M3461">
        <v>1633.45</v>
      </c>
      <c r="N3461" t="s">
        <v>710</v>
      </c>
      <c r="O3461" t="s">
        <v>4833</v>
      </c>
      <c r="P3461" t="s">
        <v>4786</v>
      </c>
      <c r="Q3461" t="s">
        <v>4852</v>
      </c>
      <c r="R3461" t="s">
        <v>4773</v>
      </c>
    </row>
    <row r="3462" spans="1:18" x14ac:dyDescent="0.3">
      <c r="A3462">
        <v>180445345</v>
      </c>
      <c r="B3462" t="s">
        <v>1034</v>
      </c>
      <c r="C3462" t="s">
        <v>585</v>
      </c>
      <c r="D3462" t="s">
        <v>179</v>
      </c>
      <c r="E3462" s="1">
        <v>45817</v>
      </c>
      <c r="F3462" t="s">
        <v>4306</v>
      </c>
      <c r="G3462" t="s">
        <v>2173</v>
      </c>
      <c r="H3462" t="s">
        <v>584</v>
      </c>
      <c r="I3462" t="s">
        <v>204</v>
      </c>
      <c r="J3462" s="1">
        <v>46477</v>
      </c>
      <c r="K3462" t="s">
        <v>717</v>
      </c>
      <c r="L3462">
        <v>1139.9000000000001</v>
      </c>
      <c r="M3462">
        <v>1139.9000000000001</v>
      </c>
      <c r="N3462" t="s">
        <v>719</v>
      </c>
      <c r="O3462" t="s">
        <v>4833</v>
      </c>
      <c r="P3462" t="s">
        <v>4786</v>
      </c>
      <c r="Q3462" t="s">
        <v>4852</v>
      </c>
      <c r="R3462" t="s">
        <v>4771</v>
      </c>
    </row>
    <row r="3463" spans="1:18" x14ac:dyDescent="0.3">
      <c r="A3463">
        <v>6791</v>
      </c>
      <c r="B3463" t="s">
        <v>1035</v>
      </c>
      <c r="C3463" t="s">
        <v>230</v>
      </c>
      <c r="D3463" t="s">
        <v>85</v>
      </c>
      <c r="E3463" s="1">
        <v>45817</v>
      </c>
      <c r="F3463" t="s">
        <v>4348</v>
      </c>
      <c r="G3463" t="s">
        <v>2147</v>
      </c>
      <c r="H3463" t="s">
        <v>229</v>
      </c>
      <c r="I3463" t="s">
        <v>204</v>
      </c>
      <c r="J3463" s="1">
        <v>46203</v>
      </c>
      <c r="K3463" t="s">
        <v>744</v>
      </c>
      <c r="L3463">
        <v>48517.85</v>
      </c>
      <c r="M3463">
        <v>48517.85</v>
      </c>
      <c r="N3463" t="s">
        <v>710</v>
      </c>
      <c r="O3463" t="s">
        <v>1033</v>
      </c>
      <c r="P3463" t="s">
        <v>4781</v>
      </c>
      <c r="Q3463" t="s">
        <v>4852</v>
      </c>
      <c r="R3463" t="s">
        <v>4771</v>
      </c>
    </row>
    <row r="3464" spans="1:18" x14ac:dyDescent="0.3">
      <c r="A3464">
        <v>180445289</v>
      </c>
      <c r="B3464" t="s">
        <v>4875</v>
      </c>
      <c r="C3464" t="s">
        <v>585</v>
      </c>
      <c r="D3464" t="s">
        <v>179</v>
      </c>
      <c r="E3464" s="1">
        <v>45817</v>
      </c>
      <c r="F3464" t="s">
        <v>4306</v>
      </c>
      <c r="G3464" t="s">
        <v>2174</v>
      </c>
      <c r="H3464" t="s">
        <v>586</v>
      </c>
      <c r="I3464" t="s">
        <v>204</v>
      </c>
      <c r="J3464" s="1">
        <v>46477</v>
      </c>
      <c r="K3464" t="s">
        <v>768</v>
      </c>
      <c r="L3464">
        <v>1139.9000000000001</v>
      </c>
      <c r="M3464">
        <v>1139.9000000000001</v>
      </c>
      <c r="N3464" t="s">
        <v>719</v>
      </c>
      <c r="O3464" t="s">
        <v>4833</v>
      </c>
      <c r="P3464" t="s">
        <v>4786</v>
      </c>
      <c r="Q3464" t="s">
        <v>4852</v>
      </c>
      <c r="R3464" t="s">
        <v>4771</v>
      </c>
    </row>
    <row r="3465" spans="1:18" x14ac:dyDescent="0.3">
      <c r="A3465">
        <v>39</v>
      </c>
      <c r="B3465" t="s">
        <v>4876</v>
      </c>
      <c r="C3465" t="s">
        <v>476</v>
      </c>
      <c r="D3465" t="s">
        <v>195</v>
      </c>
      <c r="E3465" s="1">
        <v>45817</v>
      </c>
      <c r="F3465" t="s">
        <v>4401</v>
      </c>
      <c r="G3465" t="s">
        <v>2127</v>
      </c>
      <c r="H3465" t="s">
        <v>475</v>
      </c>
      <c r="I3465" t="s">
        <v>204</v>
      </c>
      <c r="J3465" s="1">
        <v>54878</v>
      </c>
      <c r="K3465" t="s">
        <v>839</v>
      </c>
      <c r="L3465">
        <v>39330</v>
      </c>
      <c r="M3465">
        <v>39330</v>
      </c>
      <c r="N3465" t="s">
        <v>710</v>
      </c>
      <c r="O3465" t="s">
        <v>1042</v>
      </c>
      <c r="P3465" t="s">
        <v>1006</v>
      </c>
      <c r="Q3465" t="s">
        <v>4852</v>
      </c>
      <c r="R3465" t="s">
        <v>4771</v>
      </c>
    </row>
    <row r="3466" spans="1:18" x14ac:dyDescent="0.3">
      <c r="A3466">
        <v>1234</v>
      </c>
      <c r="B3466" t="s">
        <v>4874</v>
      </c>
      <c r="C3466" t="s">
        <v>305</v>
      </c>
      <c r="D3466" t="s">
        <v>59</v>
      </c>
      <c r="E3466" s="1">
        <v>45817</v>
      </c>
      <c r="F3466" t="s">
        <v>4359</v>
      </c>
      <c r="G3466" t="s">
        <v>2181</v>
      </c>
      <c r="H3466" t="s">
        <v>304</v>
      </c>
      <c r="I3466" t="s">
        <v>204</v>
      </c>
      <c r="J3466" s="1">
        <v>46481</v>
      </c>
      <c r="K3466" t="s">
        <v>720</v>
      </c>
      <c r="L3466">
        <v>1</v>
      </c>
      <c r="M3466">
        <v>1622.34</v>
      </c>
      <c r="N3466" t="s">
        <v>809</v>
      </c>
      <c r="O3466" t="s">
        <v>1038</v>
      </c>
      <c r="P3466" t="s">
        <v>4783</v>
      </c>
      <c r="Q3466" t="s">
        <v>4858</v>
      </c>
      <c r="R3466" t="s">
        <v>4771</v>
      </c>
    </row>
    <row r="3467" spans="1:18" x14ac:dyDescent="0.3">
      <c r="A3467">
        <v>1233</v>
      </c>
      <c r="B3467" t="s">
        <v>4874</v>
      </c>
      <c r="C3467" t="s">
        <v>305</v>
      </c>
      <c r="D3467" t="s">
        <v>59</v>
      </c>
      <c r="E3467" s="1">
        <v>45817</v>
      </c>
      <c r="F3467" t="s">
        <v>4359</v>
      </c>
      <c r="G3467" t="s">
        <v>2101</v>
      </c>
      <c r="H3467" t="s">
        <v>304</v>
      </c>
      <c r="I3467" t="s">
        <v>204</v>
      </c>
      <c r="J3467" s="1">
        <v>46481</v>
      </c>
      <c r="K3467" t="s">
        <v>720</v>
      </c>
      <c r="L3467">
        <v>1</v>
      </c>
      <c r="M3467">
        <v>4816.18</v>
      </c>
      <c r="N3467" t="s">
        <v>809</v>
      </c>
      <c r="O3467" t="s">
        <v>1038</v>
      </c>
      <c r="P3467" t="s">
        <v>4783</v>
      </c>
      <c r="Q3467" t="s">
        <v>4858</v>
      </c>
      <c r="R3467" t="s">
        <v>4771</v>
      </c>
    </row>
    <row r="3468" spans="1:18" x14ac:dyDescent="0.3">
      <c r="A3468">
        <v>288</v>
      </c>
      <c r="B3468" t="s">
        <v>4874</v>
      </c>
      <c r="C3468" t="s">
        <v>645</v>
      </c>
      <c r="D3468" t="s">
        <v>76</v>
      </c>
      <c r="E3468" s="1">
        <v>45817</v>
      </c>
      <c r="F3468" t="s">
        <v>4318</v>
      </c>
      <c r="G3468" t="s">
        <v>2192</v>
      </c>
      <c r="H3468" t="s">
        <v>644</v>
      </c>
      <c r="I3468" t="s">
        <v>204</v>
      </c>
      <c r="J3468" s="1">
        <v>46478</v>
      </c>
      <c r="K3468" t="s">
        <v>720</v>
      </c>
      <c r="L3468">
        <v>1</v>
      </c>
      <c r="M3468">
        <v>4027.7</v>
      </c>
      <c r="N3468" t="s">
        <v>710</v>
      </c>
      <c r="O3468" t="s">
        <v>1038</v>
      </c>
      <c r="P3468" t="s">
        <v>4776</v>
      </c>
      <c r="Q3468" t="s">
        <v>4858</v>
      </c>
      <c r="R3468" t="s">
        <v>4773</v>
      </c>
    </row>
    <row r="3469" spans="1:18" x14ac:dyDescent="0.3">
      <c r="A3469">
        <v>807667</v>
      </c>
      <c r="B3469" t="s">
        <v>4874</v>
      </c>
      <c r="C3469" t="s">
        <v>298</v>
      </c>
      <c r="D3469" t="s">
        <v>11</v>
      </c>
      <c r="E3469" s="1">
        <v>45817</v>
      </c>
      <c r="F3469" t="s">
        <v>4297</v>
      </c>
      <c r="G3469" t="s">
        <v>2191</v>
      </c>
      <c r="H3469" t="s">
        <v>297</v>
      </c>
      <c r="I3469" t="s">
        <v>204</v>
      </c>
      <c r="J3469" s="1">
        <v>54878</v>
      </c>
      <c r="K3469" t="s">
        <v>720</v>
      </c>
      <c r="L3469">
        <v>1</v>
      </c>
      <c r="M3469">
        <v>1225.32</v>
      </c>
      <c r="N3469" t="s">
        <v>710</v>
      </c>
      <c r="O3469" t="s">
        <v>1038</v>
      </c>
      <c r="P3469" t="s">
        <v>4779</v>
      </c>
      <c r="Q3469" t="s">
        <v>4858</v>
      </c>
      <c r="R3469" t="s">
        <v>4771</v>
      </c>
    </row>
    <row r="3470" spans="1:18" x14ac:dyDescent="0.3">
      <c r="A3470">
        <v>30903</v>
      </c>
      <c r="B3470" t="s">
        <v>4874</v>
      </c>
      <c r="C3470" t="s">
        <v>296</v>
      </c>
      <c r="D3470" t="s">
        <v>93</v>
      </c>
      <c r="E3470" s="1">
        <v>45817</v>
      </c>
      <c r="F3470" t="s">
        <v>4362</v>
      </c>
      <c r="G3470" t="s">
        <v>2156</v>
      </c>
      <c r="H3470" t="s">
        <v>295</v>
      </c>
      <c r="I3470" t="s">
        <v>209</v>
      </c>
      <c r="J3470" s="1">
        <v>54878</v>
      </c>
      <c r="K3470" t="s">
        <v>720</v>
      </c>
      <c r="L3470">
        <v>25</v>
      </c>
      <c r="M3470">
        <v>25</v>
      </c>
      <c r="N3470" t="s">
        <v>710</v>
      </c>
      <c r="Q3470" t="s">
        <v>4845</v>
      </c>
      <c r="R3470" t="s">
        <v>4772</v>
      </c>
    </row>
    <row r="3471" spans="1:18" x14ac:dyDescent="0.3">
      <c r="A3471">
        <v>487473</v>
      </c>
      <c r="B3471" t="s">
        <v>4874</v>
      </c>
      <c r="C3471" t="s">
        <v>333</v>
      </c>
      <c r="D3471" t="s">
        <v>29</v>
      </c>
      <c r="E3471" s="1">
        <v>45817</v>
      </c>
      <c r="F3471" t="s">
        <v>4317</v>
      </c>
      <c r="G3471" t="s">
        <v>2196</v>
      </c>
      <c r="H3471" t="s">
        <v>460</v>
      </c>
      <c r="I3471" t="s">
        <v>204</v>
      </c>
      <c r="J3471" s="1">
        <v>54878</v>
      </c>
      <c r="K3471" t="s">
        <v>785</v>
      </c>
      <c r="L3471">
        <v>1</v>
      </c>
      <c r="M3471">
        <v>137.62</v>
      </c>
      <c r="N3471" t="s">
        <v>710</v>
      </c>
      <c r="O3471" t="s">
        <v>1038</v>
      </c>
      <c r="P3471" t="s">
        <v>4776</v>
      </c>
      <c r="Q3471" t="s">
        <v>4858</v>
      </c>
      <c r="R3471" t="s">
        <v>4771</v>
      </c>
    </row>
    <row r="3472" spans="1:18" x14ac:dyDescent="0.3">
      <c r="A3472">
        <v>202440</v>
      </c>
      <c r="B3472" t="s">
        <v>4874</v>
      </c>
      <c r="C3472" t="s">
        <v>441</v>
      </c>
      <c r="D3472" t="s">
        <v>38</v>
      </c>
      <c r="E3472" s="1">
        <v>45817</v>
      </c>
      <c r="F3472" t="s">
        <v>4393</v>
      </c>
      <c r="G3472" t="s">
        <v>2179</v>
      </c>
      <c r="H3472" t="s">
        <v>440</v>
      </c>
      <c r="I3472" t="s">
        <v>204</v>
      </c>
      <c r="J3472" s="1">
        <v>46191</v>
      </c>
      <c r="K3472" t="s">
        <v>762</v>
      </c>
      <c r="L3472">
        <v>10035</v>
      </c>
      <c r="M3472">
        <v>10035</v>
      </c>
      <c r="N3472" t="s">
        <v>710</v>
      </c>
      <c r="O3472" t="s">
        <v>4833</v>
      </c>
      <c r="P3472" t="s">
        <v>4786</v>
      </c>
      <c r="Q3472" t="s">
        <v>4852</v>
      </c>
      <c r="R3472" t="s">
        <v>4773</v>
      </c>
    </row>
    <row r="3473" spans="1:18" x14ac:dyDescent="0.3">
      <c r="A3473">
        <v>493763</v>
      </c>
      <c r="B3473" t="s">
        <v>4875</v>
      </c>
      <c r="C3473" t="s">
        <v>333</v>
      </c>
      <c r="D3473" t="s">
        <v>29</v>
      </c>
      <c r="E3473" s="1">
        <v>45817</v>
      </c>
      <c r="F3473" t="s">
        <v>4317</v>
      </c>
      <c r="G3473" t="s">
        <v>2197</v>
      </c>
      <c r="H3473" t="s">
        <v>335</v>
      </c>
      <c r="I3473" t="s">
        <v>204</v>
      </c>
      <c r="J3473" s="1">
        <v>54878</v>
      </c>
      <c r="K3473" t="s">
        <v>748</v>
      </c>
      <c r="L3473">
        <v>103</v>
      </c>
      <c r="M3473">
        <v>102.7</v>
      </c>
      <c r="N3473" t="s">
        <v>710</v>
      </c>
      <c r="O3473" t="s">
        <v>1040</v>
      </c>
      <c r="P3473" t="s">
        <v>4776</v>
      </c>
      <c r="Q3473" t="s">
        <v>4856</v>
      </c>
      <c r="R3473" t="s">
        <v>4771</v>
      </c>
    </row>
    <row r="3474" spans="1:18" x14ac:dyDescent="0.3">
      <c r="A3474">
        <v>79817</v>
      </c>
      <c r="B3474" t="s">
        <v>4874</v>
      </c>
      <c r="C3474" t="s">
        <v>422</v>
      </c>
      <c r="D3474" t="s">
        <v>37</v>
      </c>
      <c r="E3474" s="1">
        <v>45817</v>
      </c>
      <c r="F3474" t="s">
        <v>4306</v>
      </c>
      <c r="G3474" t="s">
        <v>2183</v>
      </c>
      <c r="H3474" t="s">
        <v>421</v>
      </c>
      <c r="I3474" t="s">
        <v>204</v>
      </c>
      <c r="J3474" s="1">
        <v>46080</v>
      </c>
      <c r="K3474" t="s">
        <v>762</v>
      </c>
      <c r="L3474">
        <v>800</v>
      </c>
      <c r="M3474">
        <v>800</v>
      </c>
      <c r="N3474" t="s">
        <v>710</v>
      </c>
      <c r="O3474" t="s">
        <v>4833</v>
      </c>
      <c r="P3474" t="s">
        <v>4786</v>
      </c>
      <c r="Q3474" t="s">
        <v>4852</v>
      </c>
      <c r="R3474" t="s">
        <v>4773</v>
      </c>
    </row>
    <row r="3475" spans="1:18" x14ac:dyDescent="0.3">
      <c r="A3475">
        <v>39910973</v>
      </c>
      <c r="B3475" t="s">
        <v>4874</v>
      </c>
      <c r="C3475" t="s">
        <v>428</v>
      </c>
      <c r="D3475" t="s">
        <v>127</v>
      </c>
      <c r="E3475" s="1">
        <v>45817</v>
      </c>
      <c r="F3475" t="s">
        <v>4336</v>
      </c>
      <c r="G3475" t="s">
        <v>2190</v>
      </c>
      <c r="H3475" t="s">
        <v>427</v>
      </c>
      <c r="I3475" t="s">
        <v>209</v>
      </c>
      <c r="J3475" s="1">
        <v>54878</v>
      </c>
      <c r="K3475" t="s">
        <v>762</v>
      </c>
      <c r="L3475">
        <v>69994.179999999993</v>
      </c>
      <c r="M3475">
        <v>69994.179999999993</v>
      </c>
      <c r="N3475" t="s">
        <v>710</v>
      </c>
      <c r="Q3475" t="s">
        <v>4852</v>
      </c>
      <c r="R3475" t="s">
        <v>4772</v>
      </c>
    </row>
    <row r="3476" spans="1:18" x14ac:dyDescent="0.3">
      <c r="A3476">
        <v>3941</v>
      </c>
      <c r="B3476" t="s">
        <v>4874</v>
      </c>
      <c r="C3476" t="s">
        <v>444</v>
      </c>
      <c r="D3476" t="s">
        <v>21</v>
      </c>
      <c r="E3476" s="1">
        <v>45817</v>
      </c>
      <c r="F3476" t="s">
        <v>4380</v>
      </c>
      <c r="G3476" t="s">
        <v>2199</v>
      </c>
      <c r="H3476" t="s">
        <v>443</v>
      </c>
      <c r="I3476" t="s">
        <v>209</v>
      </c>
      <c r="J3476" s="1">
        <v>54878</v>
      </c>
      <c r="K3476" t="s">
        <v>762</v>
      </c>
      <c r="L3476">
        <v>1</v>
      </c>
      <c r="M3476">
        <v>760</v>
      </c>
      <c r="N3476" t="s">
        <v>710</v>
      </c>
      <c r="O3476" t="s">
        <v>1037</v>
      </c>
      <c r="P3476" t="s">
        <v>4808</v>
      </c>
      <c r="Q3476" t="s">
        <v>4852</v>
      </c>
      <c r="R3476" t="s">
        <v>4772</v>
      </c>
    </row>
    <row r="3477" spans="1:18" x14ac:dyDescent="0.3">
      <c r="A3477">
        <v>1226488</v>
      </c>
      <c r="B3477" t="s">
        <v>4874</v>
      </c>
      <c r="C3477" t="s">
        <v>472</v>
      </c>
      <c r="D3477" t="s">
        <v>48</v>
      </c>
      <c r="E3477" s="1">
        <v>45817</v>
      </c>
      <c r="F3477" t="s">
        <v>4315</v>
      </c>
      <c r="G3477" t="s">
        <v>2194</v>
      </c>
      <c r="H3477" t="s">
        <v>471</v>
      </c>
      <c r="I3477" t="s">
        <v>204</v>
      </c>
      <c r="J3477" s="1">
        <v>46270</v>
      </c>
      <c r="K3477" t="s">
        <v>762</v>
      </c>
      <c r="L3477">
        <v>521.97</v>
      </c>
      <c r="M3477">
        <v>521.97</v>
      </c>
      <c r="N3477" t="s">
        <v>710</v>
      </c>
      <c r="O3477" t="s">
        <v>4845</v>
      </c>
      <c r="P3477" t="s">
        <v>4776</v>
      </c>
      <c r="Q3477" t="s">
        <v>4845</v>
      </c>
      <c r="R3477" t="s">
        <v>4773</v>
      </c>
    </row>
    <row r="3478" spans="1:18" x14ac:dyDescent="0.3">
      <c r="A3478">
        <v>1226491</v>
      </c>
      <c r="B3478" t="s">
        <v>4874</v>
      </c>
      <c r="C3478" t="s">
        <v>472</v>
      </c>
      <c r="D3478" t="s">
        <v>48</v>
      </c>
      <c r="E3478" s="1">
        <v>45817</v>
      </c>
      <c r="F3478" t="s">
        <v>4345</v>
      </c>
      <c r="G3478" t="s">
        <v>2194</v>
      </c>
      <c r="H3478" t="s">
        <v>471</v>
      </c>
      <c r="I3478" t="s">
        <v>204</v>
      </c>
      <c r="J3478" s="1">
        <v>46270</v>
      </c>
      <c r="K3478" t="s">
        <v>762</v>
      </c>
      <c r="L3478">
        <v>52.2</v>
      </c>
      <c r="M3478">
        <v>52.2</v>
      </c>
      <c r="N3478" t="s">
        <v>710</v>
      </c>
      <c r="O3478" t="s">
        <v>4845</v>
      </c>
      <c r="P3478" t="s">
        <v>4776</v>
      </c>
      <c r="Q3478" t="s">
        <v>4845</v>
      </c>
      <c r="R3478" t="s">
        <v>4773</v>
      </c>
    </row>
    <row r="3479" spans="1:18" x14ac:dyDescent="0.3">
      <c r="A3479">
        <v>17447</v>
      </c>
      <c r="B3479" t="s">
        <v>4875</v>
      </c>
      <c r="C3479" t="s">
        <v>355</v>
      </c>
      <c r="D3479" t="s">
        <v>143</v>
      </c>
      <c r="E3479" s="1">
        <v>45817</v>
      </c>
      <c r="F3479" t="s">
        <v>4318</v>
      </c>
      <c r="G3479" t="s">
        <v>2188</v>
      </c>
      <c r="H3479" t="s">
        <v>354</v>
      </c>
      <c r="I3479" t="s">
        <v>204</v>
      </c>
      <c r="J3479" s="1">
        <v>54878</v>
      </c>
      <c r="K3479" t="s">
        <v>748</v>
      </c>
      <c r="L3479">
        <v>632.79999999999995</v>
      </c>
      <c r="M3479">
        <v>632.79999999999995</v>
      </c>
      <c r="N3479" t="s">
        <v>710</v>
      </c>
      <c r="O3479" t="s">
        <v>4834</v>
      </c>
      <c r="P3479" t="s">
        <v>4776</v>
      </c>
      <c r="Q3479" t="s">
        <v>4856</v>
      </c>
      <c r="R3479" t="s">
        <v>4771</v>
      </c>
    </row>
    <row r="3480" spans="1:18" x14ac:dyDescent="0.3">
      <c r="A3480">
        <v>39907962</v>
      </c>
      <c r="B3480" t="s">
        <v>4874</v>
      </c>
      <c r="C3480" t="s">
        <v>428</v>
      </c>
      <c r="D3480" t="s">
        <v>127</v>
      </c>
      <c r="E3480" s="1">
        <v>45817</v>
      </c>
      <c r="F3480" t="s">
        <v>4336</v>
      </c>
      <c r="G3480" t="s">
        <v>2081</v>
      </c>
      <c r="H3480" t="s">
        <v>427</v>
      </c>
      <c r="I3480" t="s">
        <v>209</v>
      </c>
      <c r="J3480" s="1">
        <v>54878</v>
      </c>
      <c r="K3480" t="s">
        <v>762</v>
      </c>
      <c r="L3480">
        <v>2753.8</v>
      </c>
      <c r="M3480">
        <v>2753.8</v>
      </c>
      <c r="N3480" t="s">
        <v>710</v>
      </c>
      <c r="Q3480" t="s">
        <v>4852</v>
      </c>
      <c r="R3480" t="s">
        <v>4772</v>
      </c>
    </row>
    <row r="3481" spans="1:18" x14ac:dyDescent="0.3">
      <c r="A3481">
        <v>82442</v>
      </c>
      <c r="B3481" t="s">
        <v>1034</v>
      </c>
      <c r="C3481" t="s">
        <v>319</v>
      </c>
      <c r="D3481" t="s">
        <v>36</v>
      </c>
      <c r="E3481" s="1">
        <v>45814</v>
      </c>
      <c r="F3481" t="s">
        <v>4298</v>
      </c>
      <c r="G3481" t="s">
        <v>2167</v>
      </c>
      <c r="H3481" t="s">
        <v>318</v>
      </c>
      <c r="I3481" t="s">
        <v>204</v>
      </c>
      <c r="J3481" s="1">
        <v>46214</v>
      </c>
      <c r="K3481" t="s">
        <v>711</v>
      </c>
      <c r="L3481">
        <v>2580</v>
      </c>
      <c r="M3481">
        <v>2579.83</v>
      </c>
      <c r="N3481" t="s">
        <v>710</v>
      </c>
      <c r="O3481" t="s">
        <v>1036</v>
      </c>
      <c r="P3481" t="s">
        <v>4784</v>
      </c>
      <c r="Q3481" t="s">
        <v>4901</v>
      </c>
      <c r="R3481" t="s">
        <v>4771</v>
      </c>
    </row>
    <row r="3482" spans="1:18" x14ac:dyDescent="0.3">
      <c r="A3482">
        <v>82444</v>
      </c>
      <c r="B3482" t="s">
        <v>4875</v>
      </c>
      <c r="C3482" t="s">
        <v>319</v>
      </c>
      <c r="D3482" t="s">
        <v>36</v>
      </c>
      <c r="E3482" s="1">
        <v>45814</v>
      </c>
      <c r="F3482" t="s">
        <v>4298</v>
      </c>
      <c r="G3482" t="s">
        <v>2163</v>
      </c>
      <c r="H3482" t="s">
        <v>336</v>
      </c>
      <c r="I3482" t="s">
        <v>204</v>
      </c>
      <c r="J3482" s="1">
        <v>46075</v>
      </c>
      <c r="K3482" t="s">
        <v>748</v>
      </c>
      <c r="L3482">
        <v>3</v>
      </c>
      <c r="M3482">
        <v>617.01</v>
      </c>
      <c r="N3482" t="s">
        <v>710</v>
      </c>
      <c r="O3482" t="s">
        <v>1040</v>
      </c>
      <c r="P3482" t="s">
        <v>4784</v>
      </c>
      <c r="Q3482" t="s">
        <v>4856</v>
      </c>
      <c r="R3482" t="s">
        <v>4771</v>
      </c>
    </row>
    <row r="3483" spans="1:18" x14ac:dyDescent="0.3">
      <c r="A3483">
        <v>2</v>
      </c>
      <c r="B3483" t="s">
        <v>4875</v>
      </c>
      <c r="C3483" t="s">
        <v>638</v>
      </c>
      <c r="D3483" t="s">
        <v>134</v>
      </c>
      <c r="E3483" s="1">
        <v>45813</v>
      </c>
      <c r="F3483" t="s">
        <v>4296</v>
      </c>
      <c r="G3483" t="s">
        <v>2087</v>
      </c>
      <c r="H3483" t="s">
        <v>639</v>
      </c>
      <c r="I3483" t="s">
        <v>204</v>
      </c>
      <c r="J3483" s="1">
        <v>46537</v>
      </c>
      <c r="K3483" t="s">
        <v>748</v>
      </c>
      <c r="L3483">
        <v>1</v>
      </c>
      <c r="M3483">
        <v>1261</v>
      </c>
      <c r="N3483" t="s">
        <v>710</v>
      </c>
      <c r="O3483" t="s">
        <v>1040</v>
      </c>
      <c r="P3483" t="s">
        <v>4776</v>
      </c>
      <c r="Q3483" t="s">
        <v>4856</v>
      </c>
    </row>
    <row r="3484" spans="1:18" x14ac:dyDescent="0.3">
      <c r="A3484">
        <v>225486</v>
      </c>
      <c r="B3484" t="s">
        <v>4875</v>
      </c>
      <c r="C3484" t="s">
        <v>493</v>
      </c>
      <c r="D3484" t="s">
        <v>197</v>
      </c>
      <c r="E3484" s="1">
        <v>45813</v>
      </c>
      <c r="F3484" t="s">
        <v>4306</v>
      </c>
      <c r="G3484" t="s">
        <v>2158</v>
      </c>
      <c r="H3484" t="s">
        <v>492</v>
      </c>
      <c r="I3484" t="s">
        <v>204</v>
      </c>
      <c r="J3484" s="1">
        <v>54878</v>
      </c>
      <c r="K3484" t="s">
        <v>768</v>
      </c>
      <c r="L3484">
        <v>799</v>
      </c>
      <c r="M3484">
        <v>799</v>
      </c>
      <c r="N3484" t="s">
        <v>710</v>
      </c>
      <c r="O3484" t="s">
        <v>4833</v>
      </c>
      <c r="P3484" t="s">
        <v>4786</v>
      </c>
      <c r="Q3484" t="s">
        <v>4852</v>
      </c>
      <c r="R3484" t="s">
        <v>4773</v>
      </c>
    </row>
    <row r="3485" spans="1:18" x14ac:dyDescent="0.3">
      <c r="A3485">
        <v>225487</v>
      </c>
      <c r="B3485" t="s">
        <v>4875</v>
      </c>
      <c r="C3485" t="s">
        <v>493</v>
      </c>
      <c r="D3485" t="s">
        <v>197</v>
      </c>
      <c r="E3485" s="1">
        <v>45813</v>
      </c>
      <c r="F3485" t="s">
        <v>4306</v>
      </c>
      <c r="G3485" t="s">
        <v>2158</v>
      </c>
      <c r="H3485" t="s">
        <v>492</v>
      </c>
      <c r="I3485" t="s">
        <v>204</v>
      </c>
      <c r="J3485" s="1">
        <v>54878</v>
      </c>
      <c r="K3485" t="s">
        <v>768</v>
      </c>
      <c r="L3485">
        <v>650</v>
      </c>
      <c r="M3485">
        <v>650</v>
      </c>
      <c r="N3485" t="s">
        <v>710</v>
      </c>
      <c r="O3485" t="s">
        <v>4833</v>
      </c>
      <c r="P3485" t="s">
        <v>4786</v>
      </c>
      <c r="Q3485" t="s">
        <v>4852</v>
      </c>
      <c r="R3485" t="s">
        <v>4773</v>
      </c>
    </row>
    <row r="3486" spans="1:18" x14ac:dyDescent="0.3">
      <c r="A3486">
        <v>2435</v>
      </c>
      <c r="B3486" t="s">
        <v>4875</v>
      </c>
      <c r="C3486" t="s">
        <v>541</v>
      </c>
      <c r="D3486" t="s">
        <v>173</v>
      </c>
      <c r="E3486" s="1">
        <v>45813</v>
      </c>
      <c r="F3486" t="s">
        <v>4326</v>
      </c>
      <c r="G3486" t="s">
        <v>2086</v>
      </c>
      <c r="H3486" t="s">
        <v>542</v>
      </c>
      <c r="I3486" t="s">
        <v>204</v>
      </c>
      <c r="J3486" s="1">
        <v>46537</v>
      </c>
      <c r="K3486" t="s">
        <v>748</v>
      </c>
      <c r="L3486">
        <v>1</v>
      </c>
      <c r="M3486">
        <v>2337.9499999999998</v>
      </c>
      <c r="N3486" t="s">
        <v>814</v>
      </c>
      <c r="O3486" t="s">
        <v>1040</v>
      </c>
      <c r="P3486" t="s">
        <v>4791</v>
      </c>
      <c r="Q3486" t="s">
        <v>4856</v>
      </c>
      <c r="R3486" t="s">
        <v>4773</v>
      </c>
    </row>
    <row r="3487" spans="1:18" x14ac:dyDescent="0.3">
      <c r="A3487">
        <v>104</v>
      </c>
      <c r="B3487" t="s">
        <v>1034</v>
      </c>
      <c r="C3487" t="s">
        <v>618</v>
      </c>
      <c r="D3487" t="s">
        <v>112</v>
      </c>
      <c r="E3487" s="1">
        <v>45813</v>
      </c>
      <c r="F3487" t="s">
        <v>4361</v>
      </c>
      <c r="G3487" t="s">
        <v>2149</v>
      </c>
      <c r="H3487" t="s">
        <v>617</v>
      </c>
      <c r="I3487" t="s">
        <v>204</v>
      </c>
      <c r="J3487" s="1">
        <v>46347</v>
      </c>
      <c r="K3487" t="s">
        <v>711</v>
      </c>
      <c r="L3487">
        <v>1</v>
      </c>
      <c r="M3487">
        <v>930</v>
      </c>
      <c r="N3487" t="s">
        <v>818</v>
      </c>
      <c r="O3487" t="s">
        <v>1036</v>
      </c>
      <c r="P3487" t="s">
        <v>4776</v>
      </c>
      <c r="Q3487" t="s">
        <v>4901</v>
      </c>
      <c r="R3487" t="s">
        <v>4771</v>
      </c>
    </row>
    <row r="3488" spans="1:18" x14ac:dyDescent="0.3">
      <c r="A3488">
        <v>33408</v>
      </c>
      <c r="B3488" t="s">
        <v>1034</v>
      </c>
      <c r="C3488" t="s">
        <v>314</v>
      </c>
      <c r="D3488" t="s">
        <v>39</v>
      </c>
      <c r="E3488" s="1">
        <v>45813</v>
      </c>
      <c r="F3488" t="s">
        <v>4347</v>
      </c>
      <c r="G3488" t="s">
        <v>1943</v>
      </c>
      <c r="H3488" t="s">
        <v>313</v>
      </c>
      <c r="I3488" t="s">
        <v>204</v>
      </c>
      <c r="J3488" s="1">
        <v>46237</v>
      </c>
      <c r="K3488" t="s">
        <v>711</v>
      </c>
      <c r="L3488">
        <v>664.4</v>
      </c>
      <c r="M3488">
        <v>664.4</v>
      </c>
      <c r="N3488" t="s">
        <v>710</v>
      </c>
      <c r="O3488" t="s">
        <v>4834</v>
      </c>
      <c r="P3488" t="s">
        <v>4779</v>
      </c>
      <c r="Q3488" t="s">
        <v>4901</v>
      </c>
      <c r="R3488" t="s">
        <v>4773</v>
      </c>
    </row>
    <row r="3489" spans="1:18" x14ac:dyDescent="0.3">
      <c r="A3489">
        <v>587353</v>
      </c>
      <c r="B3489" t="s">
        <v>1034</v>
      </c>
      <c r="C3489" t="s">
        <v>376</v>
      </c>
      <c r="D3489" t="s">
        <v>35</v>
      </c>
      <c r="E3489" s="1">
        <v>45813</v>
      </c>
      <c r="F3489" t="s">
        <v>4324</v>
      </c>
      <c r="G3489" t="s">
        <v>2099</v>
      </c>
      <c r="H3489" t="s">
        <v>375</v>
      </c>
      <c r="I3489" t="s">
        <v>209</v>
      </c>
      <c r="J3489" s="1">
        <v>54878</v>
      </c>
      <c r="K3489" t="s">
        <v>717</v>
      </c>
      <c r="L3489">
        <v>2633.48</v>
      </c>
      <c r="M3489">
        <v>2633.48</v>
      </c>
      <c r="N3489" t="s">
        <v>710</v>
      </c>
      <c r="O3489" t="s">
        <v>1037</v>
      </c>
      <c r="P3489" t="s">
        <v>4807</v>
      </c>
      <c r="Q3489" t="s">
        <v>4852</v>
      </c>
      <c r="R3489" t="s">
        <v>4771</v>
      </c>
    </row>
    <row r="3490" spans="1:18" x14ac:dyDescent="0.3">
      <c r="A3490">
        <v>41619</v>
      </c>
      <c r="B3490" t="s">
        <v>1034</v>
      </c>
      <c r="C3490" t="s">
        <v>327</v>
      </c>
      <c r="D3490" t="s">
        <v>159</v>
      </c>
      <c r="E3490" s="1">
        <v>45813</v>
      </c>
      <c r="F3490" t="s">
        <v>4296</v>
      </c>
      <c r="G3490" t="s">
        <v>2123</v>
      </c>
      <c r="H3490" t="s">
        <v>357</v>
      </c>
      <c r="I3490" t="s">
        <v>204</v>
      </c>
      <c r="J3490" s="1">
        <v>46476</v>
      </c>
      <c r="K3490" t="s">
        <v>711</v>
      </c>
      <c r="L3490">
        <v>1211.78</v>
      </c>
      <c r="M3490">
        <v>1211.78</v>
      </c>
      <c r="N3490" t="s">
        <v>890</v>
      </c>
      <c r="O3490" t="s">
        <v>4834</v>
      </c>
      <c r="P3490" t="s">
        <v>4776</v>
      </c>
      <c r="Q3490" t="s">
        <v>4901</v>
      </c>
      <c r="R3490" t="s">
        <v>4773</v>
      </c>
    </row>
    <row r="3491" spans="1:18" x14ac:dyDescent="0.3">
      <c r="A3491">
        <v>41618</v>
      </c>
      <c r="B3491" t="s">
        <v>1034</v>
      </c>
      <c r="C3491" t="s">
        <v>327</v>
      </c>
      <c r="D3491" t="s">
        <v>159</v>
      </c>
      <c r="E3491" s="1">
        <v>45813</v>
      </c>
      <c r="F3491" t="s">
        <v>4295</v>
      </c>
      <c r="G3491" t="s">
        <v>2122</v>
      </c>
      <c r="H3491" t="s">
        <v>357</v>
      </c>
      <c r="I3491" t="s">
        <v>204</v>
      </c>
      <c r="J3491" s="1">
        <v>46476</v>
      </c>
      <c r="K3491" t="s">
        <v>711</v>
      </c>
      <c r="L3491">
        <v>2150</v>
      </c>
      <c r="M3491">
        <v>2150</v>
      </c>
      <c r="N3491" t="s">
        <v>890</v>
      </c>
      <c r="O3491" t="s">
        <v>4834</v>
      </c>
      <c r="P3491" t="s">
        <v>4776</v>
      </c>
      <c r="Q3491" t="s">
        <v>4901</v>
      </c>
      <c r="R3491" t="s">
        <v>4773</v>
      </c>
    </row>
    <row r="3492" spans="1:18" x14ac:dyDescent="0.3">
      <c r="A3492">
        <v>41617</v>
      </c>
      <c r="B3492" t="s">
        <v>1034</v>
      </c>
      <c r="C3492" t="s">
        <v>327</v>
      </c>
      <c r="D3492" t="s">
        <v>159</v>
      </c>
      <c r="E3492" s="1">
        <v>45813</v>
      </c>
      <c r="F3492" t="s">
        <v>4295</v>
      </c>
      <c r="G3492" t="s">
        <v>2125</v>
      </c>
      <c r="H3492" t="s">
        <v>357</v>
      </c>
      <c r="I3492" t="s">
        <v>204</v>
      </c>
      <c r="J3492" s="1">
        <v>46476</v>
      </c>
      <c r="K3492" t="s">
        <v>711</v>
      </c>
      <c r="L3492">
        <v>722.93</v>
      </c>
      <c r="M3492">
        <v>722.93</v>
      </c>
      <c r="N3492" t="s">
        <v>890</v>
      </c>
      <c r="O3492" t="s">
        <v>4834</v>
      </c>
      <c r="P3492" t="s">
        <v>4776</v>
      </c>
      <c r="Q3492" t="s">
        <v>4901</v>
      </c>
      <c r="R3492" t="s">
        <v>4773</v>
      </c>
    </row>
    <row r="3493" spans="1:18" x14ac:dyDescent="0.3">
      <c r="A3493">
        <v>41616</v>
      </c>
      <c r="B3493" t="s">
        <v>1034</v>
      </c>
      <c r="C3493" t="s">
        <v>327</v>
      </c>
      <c r="D3493" t="s">
        <v>159</v>
      </c>
      <c r="E3493" s="1">
        <v>45813</v>
      </c>
      <c r="F3493" t="s">
        <v>4295</v>
      </c>
      <c r="G3493" t="s">
        <v>2124</v>
      </c>
      <c r="H3493" t="s">
        <v>357</v>
      </c>
      <c r="I3493" t="s">
        <v>204</v>
      </c>
      <c r="J3493" s="1">
        <v>46476</v>
      </c>
      <c r="K3493" t="s">
        <v>711</v>
      </c>
      <c r="L3493">
        <v>2150</v>
      </c>
      <c r="M3493">
        <v>2150</v>
      </c>
      <c r="N3493" t="s">
        <v>890</v>
      </c>
      <c r="O3493" t="s">
        <v>4834</v>
      </c>
      <c r="P3493" t="s">
        <v>4776</v>
      </c>
      <c r="Q3493" t="s">
        <v>4901</v>
      </c>
      <c r="R3493" t="s">
        <v>4773</v>
      </c>
    </row>
    <row r="3494" spans="1:18" x14ac:dyDescent="0.3">
      <c r="A3494">
        <v>202537</v>
      </c>
      <c r="B3494" t="s">
        <v>1034</v>
      </c>
      <c r="C3494" t="s">
        <v>507</v>
      </c>
      <c r="D3494" t="s">
        <v>18</v>
      </c>
      <c r="E3494" s="1">
        <v>45813</v>
      </c>
      <c r="F3494" t="s">
        <v>4322</v>
      </c>
      <c r="G3494" t="s">
        <v>2052</v>
      </c>
      <c r="H3494" t="s">
        <v>506</v>
      </c>
      <c r="I3494" t="s">
        <v>204</v>
      </c>
      <c r="J3494" s="1">
        <v>46741</v>
      </c>
      <c r="K3494" t="s">
        <v>711</v>
      </c>
      <c r="L3494">
        <v>21</v>
      </c>
      <c r="M3494">
        <v>7350</v>
      </c>
      <c r="N3494" t="s">
        <v>710</v>
      </c>
      <c r="O3494" t="s">
        <v>1036</v>
      </c>
      <c r="P3494" t="s">
        <v>4777</v>
      </c>
      <c r="Q3494" t="s">
        <v>4901</v>
      </c>
      <c r="R3494" t="s">
        <v>4773</v>
      </c>
    </row>
    <row r="3495" spans="1:18" x14ac:dyDescent="0.3">
      <c r="A3495">
        <v>202537</v>
      </c>
      <c r="B3495" t="s">
        <v>1034</v>
      </c>
      <c r="C3495" t="s">
        <v>507</v>
      </c>
      <c r="D3495" t="s">
        <v>18</v>
      </c>
      <c r="E3495" s="1">
        <v>45813</v>
      </c>
      <c r="F3495" t="s">
        <v>4322</v>
      </c>
      <c r="G3495" t="s">
        <v>2052</v>
      </c>
      <c r="H3495" t="s">
        <v>506</v>
      </c>
      <c r="I3495" t="s">
        <v>204</v>
      </c>
      <c r="J3495" s="1">
        <v>46741</v>
      </c>
      <c r="K3495" t="s">
        <v>711</v>
      </c>
      <c r="L3495">
        <v>22</v>
      </c>
      <c r="M3495">
        <v>7700</v>
      </c>
      <c r="N3495" t="s">
        <v>710</v>
      </c>
      <c r="O3495" t="s">
        <v>1036</v>
      </c>
      <c r="P3495" t="s">
        <v>4777</v>
      </c>
      <c r="Q3495" t="s">
        <v>4901</v>
      </c>
      <c r="R3495" t="s">
        <v>4773</v>
      </c>
    </row>
    <row r="3496" spans="1:18" x14ac:dyDescent="0.3">
      <c r="A3496">
        <v>3718</v>
      </c>
      <c r="B3496" t="s">
        <v>1034</v>
      </c>
      <c r="C3496" t="s">
        <v>535</v>
      </c>
      <c r="D3496" t="s">
        <v>148</v>
      </c>
      <c r="E3496" s="1">
        <v>45813</v>
      </c>
      <c r="F3496" t="s">
        <v>4355</v>
      </c>
      <c r="G3496" t="s">
        <v>2165</v>
      </c>
      <c r="H3496" t="s">
        <v>534</v>
      </c>
      <c r="I3496" t="s">
        <v>209</v>
      </c>
      <c r="J3496" s="1">
        <v>46295</v>
      </c>
      <c r="K3496" t="s">
        <v>711</v>
      </c>
      <c r="L3496">
        <v>1</v>
      </c>
      <c r="M3496">
        <v>3200</v>
      </c>
      <c r="N3496" t="s">
        <v>890</v>
      </c>
      <c r="O3496" t="s">
        <v>1036</v>
      </c>
      <c r="P3496" t="s">
        <v>4779</v>
      </c>
      <c r="Q3496" t="s">
        <v>4856</v>
      </c>
      <c r="R3496" t="s">
        <v>807</v>
      </c>
    </row>
    <row r="3497" spans="1:18" x14ac:dyDescent="0.3">
      <c r="A3497">
        <v>9397</v>
      </c>
      <c r="B3497" t="s">
        <v>1034</v>
      </c>
      <c r="C3497" t="s">
        <v>624</v>
      </c>
      <c r="D3497" t="s">
        <v>68</v>
      </c>
      <c r="E3497" s="1">
        <v>45813</v>
      </c>
      <c r="F3497" t="s">
        <v>4367</v>
      </c>
      <c r="G3497" t="s">
        <v>2154</v>
      </c>
      <c r="H3497" t="s">
        <v>623</v>
      </c>
      <c r="I3497" t="s">
        <v>204</v>
      </c>
      <c r="J3497" s="1">
        <v>46017</v>
      </c>
      <c r="K3497" t="s">
        <v>839</v>
      </c>
      <c r="L3497">
        <v>1600</v>
      </c>
      <c r="M3497">
        <v>1600</v>
      </c>
      <c r="N3497" t="s">
        <v>710</v>
      </c>
      <c r="O3497" t="s">
        <v>1041</v>
      </c>
      <c r="P3497" t="s">
        <v>4776</v>
      </c>
      <c r="Q3497" t="s">
        <v>4852</v>
      </c>
      <c r="R3497" t="s">
        <v>4771</v>
      </c>
    </row>
    <row r="3498" spans="1:18" x14ac:dyDescent="0.3">
      <c r="A3498">
        <v>2774</v>
      </c>
      <c r="B3498" t="s">
        <v>4874</v>
      </c>
      <c r="C3498" t="s">
        <v>372</v>
      </c>
      <c r="D3498" t="s">
        <v>105</v>
      </c>
      <c r="E3498" s="1">
        <v>45813</v>
      </c>
      <c r="F3498" t="s">
        <v>4408</v>
      </c>
      <c r="G3498" t="s">
        <v>2148</v>
      </c>
      <c r="H3498" t="s">
        <v>371</v>
      </c>
      <c r="I3498" t="s">
        <v>209</v>
      </c>
      <c r="J3498" s="1">
        <v>45904</v>
      </c>
      <c r="K3498" t="s">
        <v>720</v>
      </c>
      <c r="L3498">
        <v>10289</v>
      </c>
      <c r="M3498">
        <v>10289</v>
      </c>
      <c r="N3498" t="s">
        <v>719</v>
      </c>
      <c r="O3498" t="s">
        <v>1038</v>
      </c>
      <c r="P3498" t="s">
        <v>4777</v>
      </c>
      <c r="Q3498" t="s">
        <v>4858</v>
      </c>
      <c r="R3498" t="s">
        <v>4773</v>
      </c>
    </row>
    <row r="3499" spans="1:18" x14ac:dyDescent="0.3">
      <c r="A3499">
        <v>37705</v>
      </c>
      <c r="B3499" t="s">
        <v>4874</v>
      </c>
      <c r="C3499" t="s">
        <v>447</v>
      </c>
      <c r="D3499" t="s">
        <v>57</v>
      </c>
      <c r="E3499" s="1">
        <v>45813</v>
      </c>
      <c r="F3499" t="s">
        <v>4383</v>
      </c>
      <c r="G3499" t="s">
        <v>2150</v>
      </c>
      <c r="H3499" t="s">
        <v>446</v>
      </c>
      <c r="I3499" t="s">
        <v>204</v>
      </c>
      <c r="J3499" s="1">
        <v>46203</v>
      </c>
      <c r="K3499" t="s">
        <v>762</v>
      </c>
      <c r="L3499">
        <v>753.16</v>
      </c>
      <c r="M3499">
        <v>753.16</v>
      </c>
      <c r="N3499" t="s">
        <v>710</v>
      </c>
      <c r="O3499" t="s">
        <v>1038</v>
      </c>
      <c r="P3499" t="s">
        <v>4776</v>
      </c>
      <c r="Q3499" t="s">
        <v>4858</v>
      </c>
      <c r="R3499" t="s">
        <v>4774</v>
      </c>
    </row>
    <row r="3500" spans="1:18" x14ac:dyDescent="0.3">
      <c r="A3500">
        <v>110148</v>
      </c>
      <c r="B3500" t="s">
        <v>4874</v>
      </c>
      <c r="C3500" t="s">
        <v>379</v>
      </c>
      <c r="D3500" t="s">
        <v>131</v>
      </c>
      <c r="E3500" s="1">
        <v>45813</v>
      </c>
      <c r="F3500" t="s">
        <v>4315</v>
      </c>
      <c r="G3500" t="s">
        <v>2176</v>
      </c>
      <c r="H3500" t="s">
        <v>378</v>
      </c>
      <c r="I3500" t="s">
        <v>204</v>
      </c>
      <c r="J3500" s="1">
        <v>54878</v>
      </c>
      <c r="K3500" t="s">
        <v>762</v>
      </c>
      <c r="L3500">
        <v>68.510000000000005</v>
      </c>
      <c r="M3500">
        <v>68.510000000000005</v>
      </c>
      <c r="N3500" t="s">
        <v>710</v>
      </c>
      <c r="O3500" t="s">
        <v>4833</v>
      </c>
      <c r="P3500" t="s">
        <v>4776</v>
      </c>
      <c r="Q3500" t="s">
        <v>4852</v>
      </c>
      <c r="R3500" t="s">
        <v>4773</v>
      </c>
    </row>
    <row r="3501" spans="1:18" x14ac:dyDescent="0.3">
      <c r="A3501">
        <v>5395</v>
      </c>
      <c r="B3501" t="s">
        <v>4874</v>
      </c>
      <c r="C3501" t="s">
        <v>401</v>
      </c>
      <c r="D3501" t="s">
        <v>187</v>
      </c>
      <c r="E3501" s="1">
        <v>45813</v>
      </c>
      <c r="F3501" t="s">
        <v>4345</v>
      </c>
      <c r="G3501" t="s">
        <v>2152</v>
      </c>
      <c r="H3501" t="s">
        <v>400</v>
      </c>
      <c r="I3501" t="s">
        <v>204</v>
      </c>
      <c r="J3501" s="1">
        <v>54878</v>
      </c>
      <c r="K3501" t="s">
        <v>762</v>
      </c>
      <c r="L3501">
        <v>390</v>
      </c>
      <c r="M3501">
        <v>390</v>
      </c>
      <c r="N3501" t="s">
        <v>710</v>
      </c>
      <c r="O3501" t="s">
        <v>4833</v>
      </c>
      <c r="P3501" t="s">
        <v>4776</v>
      </c>
      <c r="Q3501" t="s">
        <v>4852</v>
      </c>
      <c r="R3501" t="s">
        <v>4773</v>
      </c>
    </row>
    <row r="3502" spans="1:18" x14ac:dyDescent="0.3">
      <c r="A3502">
        <v>184</v>
      </c>
      <c r="B3502" t="s">
        <v>4874</v>
      </c>
      <c r="C3502" t="s">
        <v>607</v>
      </c>
      <c r="D3502" t="s">
        <v>81</v>
      </c>
      <c r="E3502" s="1">
        <v>45813</v>
      </c>
      <c r="F3502" t="s">
        <v>4357</v>
      </c>
      <c r="G3502" t="s">
        <v>2132</v>
      </c>
      <c r="H3502" t="s">
        <v>606</v>
      </c>
      <c r="I3502" t="s">
        <v>204</v>
      </c>
      <c r="J3502" s="1">
        <v>46387</v>
      </c>
      <c r="K3502" t="s">
        <v>720</v>
      </c>
      <c r="L3502">
        <v>1</v>
      </c>
      <c r="M3502">
        <v>27951.1</v>
      </c>
      <c r="N3502" t="s">
        <v>710</v>
      </c>
      <c r="O3502" t="s">
        <v>1038</v>
      </c>
      <c r="P3502" t="s">
        <v>4777</v>
      </c>
      <c r="Q3502" t="s">
        <v>4858</v>
      </c>
      <c r="R3502" t="s">
        <v>4773</v>
      </c>
    </row>
    <row r="3503" spans="1:18" x14ac:dyDescent="0.3">
      <c r="A3503">
        <v>569</v>
      </c>
      <c r="B3503" t="s">
        <v>4874</v>
      </c>
      <c r="C3503" t="s">
        <v>259</v>
      </c>
      <c r="D3503" t="s">
        <v>122</v>
      </c>
      <c r="E3503" s="1">
        <v>45813</v>
      </c>
      <c r="F3503" t="s">
        <v>4390</v>
      </c>
      <c r="G3503" t="s">
        <v>2182</v>
      </c>
      <c r="H3503" t="s">
        <v>258</v>
      </c>
      <c r="I3503" t="s">
        <v>204</v>
      </c>
      <c r="J3503" s="1">
        <v>46337</v>
      </c>
      <c r="K3503" t="s">
        <v>720</v>
      </c>
      <c r="L3503">
        <v>1</v>
      </c>
      <c r="M3503">
        <v>31930.400000000001</v>
      </c>
      <c r="N3503" t="s">
        <v>710</v>
      </c>
      <c r="O3503" t="s">
        <v>1038</v>
      </c>
      <c r="P3503" t="s">
        <v>4777</v>
      </c>
      <c r="Q3503" t="s">
        <v>4858</v>
      </c>
      <c r="R3503" t="s">
        <v>4771</v>
      </c>
    </row>
    <row r="3504" spans="1:18" x14ac:dyDescent="0.3">
      <c r="A3504">
        <v>67565</v>
      </c>
      <c r="B3504" t="s">
        <v>4874</v>
      </c>
      <c r="C3504" t="s">
        <v>296</v>
      </c>
      <c r="D3504" t="s">
        <v>93</v>
      </c>
      <c r="E3504" s="1">
        <v>45813</v>
      </c>
      <c r="F3504" t="s">
        <v>4362</v>
      </c>
      <c r="G3504" t="s">
        <v>2155</v>
      </c>
      <c r="H3504" t="s">
        <v>295</v>
      </c>
      <c r="I3504" t="s">
        <v>209</v>
      </c>
      <c r="J3504" s="1">
        <v>54878</v>
      </c>
      <c r="K3504" t="s">
        <v>720</v>
      </c>
      <c r="L3504">
        <v>5997.35</v>
      </c>
      <c r="M3504">
        <v>5997.35</v>
      </c>
      <c r="N3504" t="s">
        <v>710</v>
      </c>
      <c r="Q3504" t="s">
        <v>4845</v>
      </c>
      <c r="R3504" t="s">
        <v>4772</v>
      </c>
    </row>
    <row r="3505" spans="1:18" x14ac:dyDescent="0.3">
      <c r="A3505">
        <v>1731</v>
      </c>
      <c r="B3505" t="s">
        <v>4874</v>
      </c>
      <c r="C3505" t="s">
        <v>647</v>
      </c>
      <c r="D3505" t="s">
        <v>130</v>
      </c>
      <c r="E3505" s="1">
        <v>45813</v>
      </c>
      <c r="F3505" t="s">
        <v>4363</v>
      </c>
      <c r="G3505" t="s">
        <v>2140</v>
      </c>
      <c r="H3505" t="s">
        <v>646</v>
      </c>
      <c r="I3505" t="s">
        <v>204</v>
      </c>
      <c r="J3505" s="1">
        <v>46522</v>
      </c>
      <c r="K3505" t="s">
        <v>762</v>
      </c>
      <c r="L3505">
        <v>2081.4</v>
      </c>
      <c r="M3505">
        <v>2081.4</v>
      </c>
      <c r="N3505" t="s">
        <v>890</v>
      </c>
      <c r="O3505" t="s">
        <v>1044</v>
      </c>
      <c r="P3505" t="s">
        <v>4776</v>
      </c>
      <c r="Q3505" t="s">
        <v>4852</v>
      </c>
    </row>
    <row r="3506" spans="1:18" x14ac:dyDescent="0.3">
      <c r="A3506">
        <v>191907</v>
      </c>
      <c r="B3506" t="s">
        <v>4874</v>
      </c>
      <c r="C3506" t="s">
        <v>467</v>
      </c>
      <c r="D3506" t="s">
        <v>175</v>
      </c>
      <c r="E3506" s="1">
        <v>45813</v>
      </c>
      <c r="F3506" t="s">
        <v>4315</v>
      </c>
      <c r="G3506" t="s">
        <v>2151</v>
      </c>
      <c r="H3506" t="s">
        <v>466</v>
      </c>
      <c r="I3506" t="s">
        <v>204</v>
      </c>
      <c r="J3506" s="1">
        <v>46266</v>
      </c>
      <c r="K3506" t="s">
        <v>762</v>
      </c>
      <c r="L3506">
        <v>10771.59</v>
      </c>
      <c r="M3506">
        <v>10771.59</v>
      </c>
      <c r="N3506" t="s">
        <v>710</v>
      </c>
      <c r="O3506" t="s">
        <v>4845</v>
      </c>
      <c r="P3506" t="s">
        <v>4776</v>
      </c>
      <c r="Q3506" t="s">
        <v>4845</v>
      </c>
      <c r="R3506" t="s">
        <v>4773</v>
      </c>
    </row>
    <row r="3507" spans="1:18" x14ac:dyDescent="0.3">
      <c r="A3507">
        <v>7094</v>
      </c>
      <c r="B3507" t="s">
        <v>4874</v>
      </c>
      <c r="C3507" t="s">
        <v>387</v>
      </c>
      <c r="D3507" t="s">
        <v>42</v>
      </c>
      <c r="E3507" s="1">
        <v>45813</v>
      </c>
      <c r="F3507" t="s">
        <v>4345</v>
      </c>
      <c r="G3507" t="s">
        <v>2129</v>
      </c>
      <c r="H3507" t="s">
        <v>386</v>
      </c>
      <c r="I3507" t="s">
        <v>204</v>
      </c>
      <c r="J3507" s="1">
        <v>54878</v>
      </c>
      <c r="K3507" t="s">
        <v>762</v>
      </c>
      <c r="L3507">
        <v>1870</v>
      </c>
      <c r="M3507">
        <v>1870</v>
      </c>
      <c r="N3507" t="s">
        <v>719</v>
      </c>
      <c r="O3507" t="s">
        <v>4833</v>
      </c>
      <c r="P3507" t="s">
        <v>4776</v>
      </c>
      <c r="Q3507" t="s">
        <v>4852</v>
      </c>
      <c r="R3507" t="s">
        <v>4773</v>
      </c>
    </row>
    <row r="3508" spans="1:18" x14ac:dyDescent="0.3">
      <c r="A3508">
        <v>7085</v>
      </c>
      <c r="B3508" t="s">
        <v>4874</v>
      </c>
      <c r="C3508" t="s">
        <v>484</v>
      </c>
      <c r="D3508" t="s">
        <v>140</v>
      </c>
      <c r="E3508" s="1">
        <v>45813</v>
      </c>
      <c r="F3508" t="s">
        <v>4345</v>
      </c>
      <c r="G3508" t="s">
        <v>2137</v>
      </c>
      <c r="H3508" t="s">
        <v>483</v>
      </c>
      <c r="I3508" t="s">
        <v>204</v>
      </c>
      <c r="J3508" s="1">
        <v>46508</v>
      </c>
      <c r="K3508" t="s">
        <v>762</v>
      </c>
      <c r="L3508">
        <v>49060</v>
      </c>
      <c r="M3508">
        <v>49060</v>
      </c>
      <c r="N3508" t="s">
        <v>710</v>
      </c>
      <c r="O3508" t="s">
        <v>4833</v>
      </c>
      <c r="P3508" t="s">
        <v>4776</v>
      </c>
      <c r="Q3508" t="s">
        <v>4852</v>
      </c>
      <c r="R3508" t="s">
        <v>4773</v>
      </c>
    </row>
    <row r="3509" spans="1:18" x14ac:dyDescent="0.3">
      <c r="A3509">
        <v>1730</v>
      </c>
      <c r="B3509" t="s">
        <v>4874</v>
      </c>
      <c r="C3509" t="s">
        <v>647</v>
      </c>
      <c r="D3509" t="s">
        <v>130</v>
      </c>
      <c r="E3509" s="1">
        <v>45813</v>
      </c>
      <c r="F3509" t="s">
        <v>4363</v>
      </c>
      <c r="G3509" t="s">
        <v>2140</v>
      </c>
      <c r="H3509" t="s">
        <v>646</v>
      </c>
      <c r="I3509" t="s">
        <v>204</v>
      </c>
      <c r="J3509" s="1">
        <v>46522</v>
      </c>
      <c r="K3509" t="s">
        <v>762</v>
      </c>
      <c r="L3509">
        <v>13100</v>
      </c>
      <c r="M3509">
        <v>13100</v>
      </c>
      <c r="N3509" t="s">
        <v>890</v>
      </c>
      <c r="O3509" t="s">
        <v>1044</v>
      </c>
      <c r="P3509" t="s">
        <v>4776</v>
      </c>
      <c r="Q3509" t="s">
        <v>4852</v>
      </c>
    </row>
    <row r="3510" spans="1:18" x14ac:dyDescent="0.3">
      <c r="A3510">
        <v>704008</v>
      </c>
      <c r="B3510" t="s">
        <v>4874</v>
      </c>
      <c r="C3510" t="s">
        <v>409</v>
      </c>
      <c r="D3510" t="s">
        <v>28</v>
      </c>
      <c r="E3510" s="1">
        <v>45813</v>
      </c>
      <c r="F3510" t="s">
        <v>4388</v>
      </c>
      <c r="G3510" t="s">
        <v>2136</v>
      </c>
      <c r="H3510" t="s">
        <v>408</v>
      </c>
      <c r="I3510" t="s">
        <v>204</v>
      </c>
      <c r="J3510" s="1">
        <v>54878</v>
      </c>
      <c r="K3510" t="s">
        <v>762</v>
      </c>
      <c r="L3510">
        <v>21307</v>
      </c>
      <c r="M3510">
        <v>21306.1</v>
      </c>
      <c r="N3510" t="s">
        <v>710</v>
      </c>
      <c r="O3510" t="s">
        <v>4833</v>
      </c>
      <c r="P3510" t="s">
        <v>4776</v>
      </c>
      <c r="Q3510" t="s">
        <v>4852</v>
      </c>
      <c r="R3510" t="s">
        <v>4773</v>
      </c>
    </row>
    <row r="3511" spans="1:18" x14ac:dyDescent="0.3">
      <c r="A3511">
        <v>588273</v>
      </c>
      <c r="B3511" t="s">
        <v>4874</v>
      </c>
      <c r="C3511" t="s">
        <v>248</v>
      </c>
      <c r="D3511" t="s">
        <v>13</v>
      </c>
      <c r="E3511" s="1">
        <v>45813</v>
      </c>
      <c r="F3511" t="s">
        <v>4297</v>
      </c>
      <c r="G3511" t="s">
        <v>2180</v>
      </c>
      <c r="H3511" t="s">
        <v>247</v>
      </c>
      <c r="I3511" t="s">
        <v>204</v>
      </c>
      <c r="J3511" s="1">
        <v>54878</v>
      </c>
      <c r="K3511" t="s">
        <v>720</v>
      </c>
      <c r="L3511">
        <v>1</v>
      </c>
      <c r="M3511">
        <v>488.4</v>
      </c>
      <c r="N3511" t="s">
        <v>710</v>
      </c>
      <c r="O3511" t="s">
        <v>1038</v>
      </c>
      <c r="P3511" t="s">
        <v>4779</v>
      </c>
      <c r="Q3511" t="s">
        <v>4858</v>
      </c>
      <c r="R3511" t="s">
        <v>4773</v>
      </c>
    </row>
    <row r="3512" spans="1:18" x14ac:dyDescent="0.3">
      <c r="A3512">
        <v>2434</v>
      </c>
      <c r="B3512" t="s">
        <v>4874</v>
      </c>
      <c r="C3512" t="s">
        <v>541</v>
      </c>
      <c r="D3512" t="s">
        <v>173</v>
      </c>
      <c r="E3512" s="1">
        <v>45813</v>
      </c>
      <c r="F3512" t="s">
        <v>4326</v>
      </c>
      <c r="G3512" t="s">
        <v>2178</v>
      </c>
      <c r="H3512" t="s">
        <v>548</v>
      </c>
      <c r="I3512" t="s">
        <v>204</v>
      </c>
      <c r="J3512" s="1">
        <v>46387</v>
      </c>
      <c r="K3512" t="s">
        <v>720</v>
      </c>
      <c r="L3512">
        <v>1</v>
      </c>
      <c r="M3512">
        <v>2300</v>
      </c>
      <c r="N3512" t="s">
        <v>710</v>
      </c>
      <c r="O3512" t="s">
        <v>1038</v>
      </c>
      <c r="P3512" t="s">
        <v>4791</v>
      </c>
      <c r="Q3512" t="s">
        <v>4858</v>
      </c>
      <c r="R3512" t="s">
        <v>4773</v>
      </c>
    </row>
    <row r="3513" spans="1:18" x14ac:dyDescent="0.3">
      <c r="A3513">
        <v>379401</v>
      </c>
      <c r="B3513" t="s">
        <v>4874</v>
      </c>
      <c r="C3513" t="s">
        <v>250</v>
      </c>
      <c r="D3513" t="s">
        <v>55</v>
      </c>
      <c r="E3513" s="1">
        <v>45813</v>
      </c>
      <c r="F3513" t="s">
        <v>4391</v>
      </c>
      <c r="G3513" t="s">
        <v>2177</v>
      </c>
      <c r="H3513" t="s">
        <v>249</v>
      </c>
      <c r="I3513" t="s">
        <v>204</v>
      </c>
      <c r="J3513" s="1">
        <v>54878</v>
      </c>
      <c r="K3513" t="s">
        <v>720</v>
      </c>
      <c r="L3513">
        <v>1</v>
      </c>
      <c r="M3513">
        <v>643.59</v>
      </c>
      <c r="N3513" t="s">
        <v>719</v>
      </c>
      <c r="O3513" t="s">
        <v>1038</v>
      </c>
      <c r="P3513" t="s">
        <v>4778</v>
      </c>
      <c r="Q3513" t="s">
        <v>4858</v>
      </c>
      <c r="R3513" t="s">
        <v>4771</v>
      </c>
    </row>
    <row r="3514" spans="1:18" x14ac:dyDescent="0.3">
      <c r="A3514">
        <v>156839</v>
      </c>
      <c r="B3514" t="s">
        <v>4874</v>
      </c>
      <c r="C3514" t="s">
        <v>301</v>
      </c>
      <c r="D3514" t="s">
        <v>23</v>
      </c>
      <c r="E3514" s="1">
        <v>45813</v>
      </c>
      <c r="F3514" t="s">
        <v>4321</v>
      </c>
      <c r="G3514" t="s">
        <v>2164</v>
      </c>
      <c r="H3514" t="s">
        <v>300</v>
      </c>
      <c r="I3514" t="s">
        <v>204</v>
      </c>
      <c r="J3514" s="1">
        <v>46418</v>
      </c>
      <c r="K3514" t="s">
        <v>720</v>
      </c>
      <c r="L3514">
        <v>1</v>
      </c>
      <c r="M3514">
        <v>5140.3900000000003</v>
      </c>
      <c r="N3514" t="s">
        <v>710</v>
      </c>
      <c r="O3514" t="s">
        <v>1038</v>
      </c>
      <c r="P3514" t="s">
        <v>4782</v>
      </c>
      <c r="Q3514" t="s">
        <v>4858</v>
      </c>
      <c r="R3514" t="s">
        <v>4773</v>
      </c>
    </row>
    <row r="3515" spans="1:18" x14ac:dyDescent="0.3">
      <c r="A3515">
        <v>1818055</v>
      </c>
      <c r="B3515" t="s">
        <v>4874</v>
      </c>
      <c r="C3515" t="s">
        <v>417</v>
      </c>
      <c r="D3515" t="s">
        <v>185</v>
      </c>
      <c r="E3515" s="1">
        <v>45813</v>
      </c>
      <c r="F3515" t="s">
        <v>4346</v>
      </c>
      <c r="G3515" t="s">
        <v>1890</v>
      </c>
      <c r="H3515" t="s">
        <v>461</v>
      </c>
      <c r="I3515" t="s">
        <v>204</v>
      </c>
      <c r="J3515" s="1">
        <v>54878</v>
      </c>
      <c r="K3515" t="s">
        <v>762</v>
      </c>
      <c r="L3515">
        <v>18719.48</v>
      </c>
      <c r="M3515">
        <v>18719.48</v>
      </c>
      <c r="N3515" t="s">
        <v>710</v>
      </c>
      <c r="O3515" t="s">
        <v>1037</v>
      </c>
      <c r="P3515" t="s">
        <v>4780</v>
      </c>
      <c r="Q3515" t="s">
        <v>4852</v>
      </c>
      <c r="R3515" t="s">
        <v>4771</v>
      </c>
    </row>
    <row r="3516" spans="1:18" x14ac:dyDescent="0.3">
      <c r="A3516">
        <v>303</v>
      </c>
      <c r="B3516" t="s">
        <v>1034</v>
      </c>
      <c r="C3516" t="s">
        <v>479</v>
      </c>
      <c r="D3516" t="s">
        <v>99</v>
      </c>
      <c r="E3516" s="1">
        <v>45812</v>
      </c>
      <c r="F3516" t="s">
        <v>4307</v>
      </c>
      <c r="G3516" t="s">
        <v>2157</v>
      </c>
      <c r="H3516" t="s">
        <v>478</v>
      </c>
      <c r="I3516" t="s">
        <v>204</v>
      </c>
      <c r="J3516" s="1">
        <v>46239</v>
      </c>
      <c r="K3516" t="s">
        <v>717</v>
      </c>
      <c r="L3516">
        <v>3980</v>
      </c>
      <c r="M3516">
        <v>48595.8</v>
      </c>
      <c r="N3516" t="s">
        <v>710</v>
      </c>
      <c r="O3516" t="s">
        <v>1037</v>
      </c>
      <c r="P3516" t="s">
        <v>4790</v>
      </c>
      <c r="Q3516" t="s">
        <v>4852</v>
      </c>
      <c r="R3516" t="s">
        <v>4772</v>
      </c>
    </row>
    <row r="3517" spans="1:18" x14ac:dyDescent="0.3">
      <c r="A3517">
        <v>2436</v>
      </c>
      <c r="B3517" t="s">
        <v>1034</v>
      </c>
      <c r="C3517" t="s">
        <v>541</v>
      </c>
      <c r="D3517" t="s">
        <v>173</v>
      </c>
      <c r="E3517" s="1">
        <v>45812</v>
      </c>
      <c r="F3517" t="s">
        <v>4326</v>
      </c>
      <c r="G3517" t="s">
        <v>2139</v>
      </c>
      <c r="H3517" t="s">
        <v>540</v>
      </c>
      <c r="I3517" t="s">
        <v>204</v>
      </c>
      <c r="J3517" s="1">
        <v>46386</v>
      </c>
      <c r="K3517" t="s">
        <v>711</v>
      </c>
      <c r="L3517">
        <v>1</v>
      </c>
      <c r="M3517">
        <v>2337.9499999999998</v>
      </c>
      <c r="N3517" t="s">
        <v>890</v>
      </c>
      <c r="O3517" t="s">
        <v>1036</v>
      </c>
      <c r="P3517" t="s">
        <v>4791</v>
      </c>
      <c r="Q3517" t="s">
        <v>4901</v>
      </c>
      <c r="R3517" t="s">
        <v>4773</v>
      </c>
    </row>
    <row r="3518" spans="1:18" x14ac:dyDescent="0.3">
      <c r="A3518">
        <v>758132</v>
      </c>
      <c r="B3518" t="s">
        <v>1034</v>
      </c>
      <c r="C3518" t="s">
        <v>609</v>
      </c>
      <c r="D3518" t="s">
        <v>182</v>
      </c>
      <c r="E3518" s="1">
        <v>45812</v>
      </c>
      <c r="F3518" t="s">
        <v>4336</v>
      </c>
      <c r="G3518" t="s">
        <v>2118</v>
      </c>
      <c r="H3518" t="s">
        <v>608</v>
      </c>
      <c r="I3518" t="s">
        <v>204</v>
      </c>
      <c r="J3518" s="1">
        <v>46281</v>
      </c>
      <c r="K3518" t="s">
        <v>717</v>
      </c>
      <c r="L3518">
        <v>174236.61</v>
      </c>
      <c r="M3518">
        <v>174236.61</v>
      </c>
      <c r="N3518" t="s">
        <v>719</v>
      </c>
      <c r="O3518" t="s">
        <v>1037</v>
      </c>
      <c r="P3518" t="s">
        <v>4794</v>
      </c>
      <c r="Q3518" t="s">
        <v>4852</v>
      </c>
      <c r="R3518" t="s">
        <v>4772</v>
      </c>
    </row>
    <row r="3519" spans="1:18" x14ac:dyDescent="0.3">
      <c r="A3519">
        <v>1598</v>
      </c>
      <c r="B3519" t="s">
        <v>1034</v>
      </c>
      <c r="C3519" t="s">
        <v>312</v>
      </c>
      <c r="D3519" t="s">
        <v>73</v>
      </c>
      <c r="E3519" s="1">
        <v>45812</v>
      </c>
      <c r="F3519" t="s">
        <v>4300</v>
      </c>
      <c r="G3519" t="s">
        <v>2135</v>
      </c>
      <c r="H3519" t="s">
        <v>311</v>
      </c>
      <c r="I3519" t="s">
        <v>204</v>
      </c>
      <c r="J3519" s="1">
        <v>54878</v>
      </c>
      <c r="K3519" t="s">
        <v>711</v>
      </c>
      <c r="L3519">
        <v>2255</v>
      </c>
      <c r="M3519">
        <v>2255</v>
      </c>
      <c r="N3519" t="s">
        <v>719</v>
      </c>
      <c r="O3519" t="s">
        <v>4834</v>
      </c>
      <c r="P3519" t="s">
        <v>1006</v>
      </c>
      <c r="Q3519" t="s">
        <v>4901</v>
      </c>
      <c r="R3519" t="s">
        <v>4773</v>
      </c>
    </row>
    <row r="3520" spans="1:18" x14ac:dyDescent="0.3">
      <c r="A3520">
        <v>1851140</v>
      </c>
      <c r="B3520" t="s">
        <v>1034</v>
      </c>
      <c r="C3520" t="s">
        <v>417</v>
      </c>
      <c r="D3520" t="s">
        <v>185</v>
      </c>
      <c r="E3520" s="1">
        <v>45812</v>
      </c>
      <c r="F3520" t="s">
        <v>4346</v>
      </c>
      <c r="G3520" t="s">
        <v>2103</v>
      </c>
      <c r="H3520" t="s">
        <v>416</v>
      </c>
      <c r="I3520" t="s">
        <v>204</v>
      </c>
      <c r="J3520" s="1">
        <v>54878</v>
      </c>
      <c r="K3520" t="s">
        <v>717</v>
      </c>
      <c r="L3520">
        <v>3177.72</v>
      </c>
      <c r="M3520">
        <v>3177.72</v>
      </c>
      <c r="N3520" t="s">
        <v>710</v>
      </c>
      <c r="O3520" t="s">
        <v>1037</v>
      </c>
      <c r="P3520" t="s">
        <v>4780</v>
      </c>
      <c r="Q3520" t="s">
        <v>4852</v>
      </c>
      <c r="R3520" t="s">
        <v>4771</v>
      </c>
    </row>
    <row r="3521" spans="1:18" x14ac:dyDescent="0.3">
      <c r="A3521">
        <v>1817430</v>
      </c>
      <c r="B3521" t="s">
        <v>1034</v>
      </c>
      <c r="C3521" t="s">
        <v>417</v>
      </c>
      <c r="D3521" t="s">
        <v>185</v>
      </c>
      <c r="E3521" s="1">
        <v>45812</v>
      </c>
      <c r="F3521" t="s">
        <v>4346</v>
      </c>
      <c r="G3521" t="s">
        <v>1889</v>
      </c>
      <c r="H3521" t="s">
        <v>416</v>
      </c>
      <c r="I3521" t="s">
        <v>204</v>
      </c>
      <c r="J3521" s="1">
        <v>54878</v>
      </c>
      <c r="K3521" t="s">
        <v>717</v>
      </c>
      <c r="L3521">
        <v>2705.4</v>
      </c>
      <c r="M3521">
        <v>2705.4</v>
      </c>
      <c r="N3521" t="s">
        <v>710</v>
      </c>
      <c r="O3521" t="s">
        <v>1037</v>
      </c>
      <c r="P3521" t="s">
        <v>4780</v>
      </c>
      <c r="Q3521" t="s">
        <v>4852</v>
      </c>
      <c r="R3521" t="s">
        <v>4771</v>
      </c>
    </row>
    <row r="3522" spans="1:18" x14ac:dyDescent="0.3">
      <c r="A3522">
        <v>762001</v>
      </c>
      <c r="B3522" t="s">
        <v>1034</v>
      </c>
      <c r="C3522" t="s">
        <v>609</v>
      </c>
      <c r="D3522" t="s">
        <v>182</v>
      </c>
      <c r="E3522" s="1">
        <v>45812</v>
      </c>
      <c r="F3522" t="s">
        <v>4336</v>
      </c>
      <c r="G3522" t="s">
        <v>2118</v>
      </c>
      <c r="H3522" t="s">
        <v>608</v>
      </c>
      <c r="I3522" t="s">
        <v>204</v>
      </c>
      <c r="J3522" s="1">
        <v>46281</v>
      </c>
      <c r="K3522" t="s">
        <v>717</v>
      </c>
      <c r="L3522">
        <v>26399.98</v>
      </c>
      <c r="M3522">
        <v>26399.98</v>
      </c>
      <c r="N3522" t="s">
        <v>719</v>
      </c>
      <c r="O3522" t="s">
        <v>1037</v>
      </c>
      <c r="P3522" t="s">
        <v>4794</v>
      </c>
      <c r="Q3522" t="s">
        <v>4852</v>
      </c>
      <c r="R3522" t="s">
        <v>4772</v>
      </c>
    </row>
    <row r="3523" spans="1:18" x14ac:dyDescent="0.3">
      <c r="A3523">
        <v>7180</v>
      </c>
      <c r="B3523" t="s">
        <v>1034</v>
      </c>
      <c r="C3523" t="s">
        <v>559</v>
      </c>
      <c r="D3523" t="s">
        <v>89</v>
      </c>
      <c r="E3523" s="1">
        <v>45812</v>
      </c>
      <c r="F3523" t="s">
        <v>4359</v>
      </c>
      <c r="G3523" t="s">
        <v>2022</v>
      </c>
      <c r="H3523" t="s">
        <v>558</v>
      </c>
      <c r="I3523" t="s">
        <v>209</v>
      </c>
      <c r="J3523" s="1">
        <v>45565</v>
      </c>
      <c r="K3523" t="s">
        <v>711</v>
      </c>
      <c r="L3523">
        <v>1</v>
      </c>
      <c r="M3523">
        <v>2703.21</v>
      </c>
      <c r="N3523" t="s">
        <v>710</v>
      </c>
      <c r="P3523" t="s">
        <v>4783</v>
      </c>
      <c r="Q3523" t="s">
        <v>4901</v>
      </c>
      <c r="R3523" t="s">
        <v>4771</v>
      </c>
    </row>
    <row r="3524" spans="1:18" x14ac:dyDescent="0.3">
      <c r="A3524">
        <v>303</v>
      </c>
      <c r="B3524" t="s">
        <v>1034</v>
      </c>
      <c r="C3524" t="s">
        <v>479</v>
      </c>
      <c r="D3524" t="s">
        <v>99</v>
      </c>
      <c r="E3524" s="1">
        <v>45812</v>
      </c>
      <c r="F3524" t="s">
        <v>4308</v>
      </c>
      <c r="G3524" t="s">
        <v>2157</v>
      </c>
      <c r="H3524" t="s">
        <v>478</v>
      </c>
      <c r="I3524" t="s">
        <v>204</v>
      </c>
      <c r="J3524" s="1">
        <v>46239</v>
      </c>
      <c r="K3524" t="s">
        <v>717</v>
      </c>
      <c r="L3524">
        <v>2907</v>
      </c>
      <c r="M3524">
        <v>11511.72</v>
      </c>
      <c r="N3524" t="s">
        <v>710</v>
      </c>
      <c r="O3524" t="s">
        <v>1037</v>
      </c>
      <c r="P3524" t="s">
        <v>4790</v>
      </c>
      <c r="Q3524" t="s">
        <v>4852</v>
      </c>
      <c r="R3524" t="s">
        <v>4772</v>
      </c>
    </row>
    <row r="3525" spans="1:18" x14ac:dyDescent="0.3">
      <c r="A3525">
        <v>304</v>
      </c>
      <c r="B3525" t="s">
        <v>1034</v>
      </c>
      <c r="C3525" t="s">
        <v>479</v>
      </c>
      <c r="D3525" t="s">
        <v>99</v>
      </c>
      <c r="E3525" s="1">
        <v>45812</v>
      </c>
      <c r="F3525" t="s">
        <v>4307</v>
      </c>
      <c r="G3525" t="s">
        <v>2161</v>
      </c>
      <c r="H3525" t="s">
        <v>478</v>
      </c>
      <c r="I3525" t="s">
        <v>204</v>
      </c>
      <c r="J3525" s="1">
        <v>46239</v>
      </c>
      <c r="K3525" t="s">
        <v>717</v>
      </c>
      <c r="L3525">
        <v>17</v>
      </c>
      <c r="M3525">
        <v>383.01</v>
      </c>
      <c r="N3525" t="s">
        <v>710</v>
      </c>
      <c r="O3525" t="s">
        <v>1037</v>
      </c>
      <c r="P3525" t="s">
        <v>4790</v>
      </c>
      <c r="Q3525" t="s">
        <v>4852</v>
      </c>
      <c r="R3525" t="s">
        <v>4772</v>
      </c>
    </row>
    <row r="3526" spans="1:18" x14ac:dyDescent="0.3">
      <c r="A3526">
        <v>303</v>
      </c>
      <c r="B3526" t="s">
        <v>1034</v>
      </c>
      <c r="C3526" t="s">
        <v>479</v>
      </c>
      <c r="D3526" t="s">
        <v>99</v>
      </c>
      <c r="E3526" s="1">
        <v>45812</v>
      </c>
      <c r="F3526" t="s">
        <v>4312</v>
      </c>
      <c r="G3526" t="s">
        <v>2157</v>
      </c>
      <c r="H3526" t="s">
        <v>478</v>
      </c>
      <c r="I3526" t="s">
        <v>204</v>
      </c>
      <c r="J3526" s="1">
        <v>46239</v>
      </c>
      <c r="K3526" t="s">
        <v>717</v>
      </c>
      <c r="L3526">
        <v>80</v>
      </c>
      <c r="M3526">
        <v>380</v>
      </c>
      <c r="N3526" t="s">
        <v>710</v>
      </c>
      <c r="O3526" t="s">
        <v>1037</v>
      </c>
      <c r="P3526" t="s">
        <v>4790</v>
      </c>
      <c r="Q3526" t="s">
        <v>4852</v>
      </c>
      <c r="R3526" t="s">
        <v>4772</v>
      </c>
    </row>
    <row r="3527" spans="1:18" x14ac:dyDescent="0.3">
      <c r="A3527">
        <v>303</v>
      </c>
      <c r="B3527" t="s">
        <v>1034</v>
      </c>
      <c r="C3527" t="s">
        <v>479</v>
      </c>
      <c r="D3527" t="s">
        <v>99</v>
      </c>
      <c r="E3527" s="1">
        <v>45812</v>
      </c>
      <c r="F3527" t="s">
        <v>4311</v>
      </c>
      <c r="G3527" t="s">
        <v>2157</v>
      </c>
      <c r="H3527" t="s">
        <v>478</v>
      </c>
      <c r="I3527" t="s">
        <v>204</v>
      </c>
      <c r="J3527" s="1">
        <v>46239</v>
      </c>
      <c r="K3527" t="s">
        <v>717</v>
      </c>
      <c r="L3527">
        <v>187</v>
      </c>
      <c r="M3527">
        <v>1593.24</v>
      </c>
      <c r="N3527" t="s">
        <v>710</v>
      </c>
      <c r="O3527" t="s">
        <v>1037</v>
      </c>
      <c r="P3527" t="s">
        <v>4790</v>
      </c>
      <c r="Q3527" t="s">
        <v>4852</v>
      </c>
      <c r="R3527" t="s">
        <v>4772</v>
      </c>
    </row>
    <row r="3528" spans="1:18" x14ac:dyDescent="0.3">
      <c r="A3528">
        <v>304</v>
      </c>
      <c r="B3528" t="s">
        <v>1034</v>
      </c>
      <c r="C3528" t="s">
        <v>479</v>
      </c>
      <c r="D3528" t="s">
        <v>99</v>
      </c>
      <c r="E3528" s="1">
        <v>45812</v>
      </c>
      <c r="F3528" t="s">
        <v>4307</v>
      </c>
      <c r="G3528" t="s">
        <v>2161</v>
      </c>
      <c r="H3528" t="s">
        <v>478</v>
      </c>
      <c r="I3528" t="s">
        <v>204</v>
      </c>
      <c r="J3528" s="1">
        <v>46239</v>
      </c>
      <c r="K3528" t="s">
        <v>717</v>
      </c>
      <c r="L3528">
        <v>1</v>
      </c>
      <c r="M3528">
        <v>11.98</v>
      </c>
      <c r="N3528" t="s">
        <v>710</v>
      </c>
      <c r="O3528" t="s">
        <v>1037</v>
      </c>
      <c r="P3528" t="s">
        <v>4790</v>
      </c>
      <c r="Q3528" t="s">
        <v>4852</v>
      </c>
      <c r="R3528" t="s">
        <v>4772</v>
      </c>
    </row>
    <row r="3529" spans="1:18" x14ac:dyDescent="0.3">
      <c r="A3529">
        <v>304</v>
      </c>
      <c r="B3529" t="s">
        <v>1034</v>
      </c>
      <c r="C3529" t="s">
        <v>479</v>
      </c>
      <c r="D3529" t="s">
        <v>99</v>
      </c>
      <c r="E3529" s="1">
        <v>45812</v>
      </c>
      <c r="F3529" t="s">
        <v>4307</v>
      </c>
      <c r="G3529" t="s">
        <v>2161</v>
      </c>
      <c r="H3529" t="s">
        <v>478</v>
      </c>
      <c r="I3529" t="s">
        <v>204</v>
      </c>
      <c r="J3529" s="1">
        <v>46239</v>
      </c>
      <c r="K3529" t="s">
        <v>717</v>
      </c>
      <c r="L3529">
        <v>9</v>
      </c>
      <c r="M3529">
        <v>138.78</v>
      </c>
      <c r="N3529" t="s">
        <v>710</v>
      </c>
      <c r="O3529" t="s">
        <v>1037</v>
      </c>
      <c r="P3529" t="s">
        <v>4790</v>
      </c>
      <c r="Q3529" t="s">
        <v>4852</v>
      </c>
      <c r="R3529" t="s">
        <v>4772</v>
      </c>
    </row>
    <row r="3530" spans="1:18" x14ac:dyDescent="0.3">
      <c r="A3530">
        <v>1230</v>
      </c>
      <c r="B3530" t="s">
        <v>4874</v>
      </c>
      <c r="C3530" t="s">
        <v>305</v>
      </c>
      <c r="D3530" t="s">
        <v>59</v>
      </c>
      <c r="E3530" s="1">
        <v>45812</v>
      </c>
      <c r="F3530" t="s">
        <v>4359</v>
      </c>
      <c r="G3530" t="s">
        <v>2100</v>
      </c>
      <c r="H3530" t="s">
        <v>304</v>
      </c>
      <c r="I3530" t="s">
        <v>204</v>
      </c>
      <c r="J3530" s="1">
        <v>46481</v>
      </c>
      <c r="K3530" t="s">
        <v>720</v>
      </c>
      <c r="L3530">
        <v>1</v>
      </c>
      <c r="M3530">
        <v>374.3</v>
      </c>
      <c r="N3530" t="s">
        <v>809</v>
      </c>
      <c r="O3530" t="s">
        <v>1038</v>
      </c>
      <c r="P3530" t="s">
        <v>4783</v>
      </c>
      <c r="Q3530" t="s">
        <v>4858</v>
      </c>
      <c r="R3530" t="s">
        <v>4771</v>
      </c>
    </row>
    <row r="3531" spans="1:18" x14ac:dyDescent="0.3">
      <c r="A3531">
        <v>20253702</v>
      </c>
      <c r="B3531" t="s">
        <v>1034</v>
      </c>
      <c r="C3531" t="s">
        <v>203</v>
      </c>
      <c r="D3531" t="s">
        <v>118</v>
      </c>
      <c r="E3531" s="1">
        <v>45812</v>
      </c>
      <c r="F3531" t="s">
        <v>4353</v>
      </c>
      <c r="G3531" t="s">
        <v>2116</v>
      </c>
      <c r="H3531" t="s">
        <v>202</v>
      </c>
      <c r="I3531" t="s">
        <v>204</v>
      </c>
      <c r="J3531" s="1">
        <v>46387</v>
      </c>
      <c r="K3531" t="s">
        <v>717</v>
      </c>
      <c r="L3531">
        <v>76.599999999999994</v>
      </c>
      <c r="M3531">
        <v>76.599999999999994</v>
      </c>
      <c r="N3531" t="s">
        <v>710</v>
      </c>
      <c r="O3531" t="s">
        <v>1037</v>
      </c>
      <c r="P3531" t="s">
        <v>4776</v>
      </c>
      <c r="Q3531" t="s">
        <v>4852</v>
      </c>
      <c r="R3531" t="s">
        <v>4772</v>
      </c>
    </row>
    <row r="3532" spans="1:18" x14ac:dyDescent="0.3">
      <c r="A3532">
        <v>466782</v>
      </c>
      <c r="B3532" t="s">
        <v>4874</v>
      </c>
      <c r="C3532" t="s">
        <v>433</v>
      </c>
      <c r="D3532" t="s">
        <v>168</v>
      </c>
      <c r="E3532" s="1">
        <v>45812</v>
      </c>
      <c r="F3532" t="s">
        <v>4319</v>
      </c>
      <c r="G3532" t="s">
        <v>2146</v>
      </c>
      <c r="H3532" t="s">
        <v>432</v>
      </c>
      <c r="I3532" t="s">
        <v>204</v>
      </c>
      <c r="J3532" s="1">
        <v>46473</v>
      </c>
      <c r="K3532" t="s">
        <v>762</v>
      </c>
      <c r="L3532">
        <v>4285</v>
      </c>
      <c r="M3532">
        <v>4284.7</v>
      </c>
      <c r="N3532" t="s">
        <v>710</v>
      </c>
      <c r="O3532" t="s">
        <v>4833</v>
      </c>
      <c r="P3532" t="s">
        <v>4802</v>
      </c>
      <c r="Q3532" t="s">
        <v>4852</v>
      </c>
      <c r="R3532" t="s">
        <v>4771</v>
      </c>
    </row>
    <row r="3533" spans="1:18" x14ac:dyDescent="0.3">
      <c r="A3533">
        <v>327597</v>
      </c>
      <c r="B3533" t="s">
        <v>4874</v>
      </c>
      <c r="C3533" t="s">
        <v>407</v>
      </c>
      <c r="D3533" t="s">
        <v>170</v>
      </c>
      <c r="E3533" s="1">
        <v>45812</v>
      </c>
      <c r="F3533" t="s">
        <v>4388</v>
      </c>
      <c r="G3533" t="s">
        <v>2134</v>
      </c>
      <c r="H3533" t="s">
        <v>406</v>
      </c>
      <c r="I3533" t="s">
        <v>204</v>
      </c>
      <c r="J3533" s="1">
        <v>46387</v>
      </c>
      <c r="K3533" t="s">
        <v>762</v>
      </c>
      <c r="L3533">
        <v>33742</v>
      </c>
      <c r="M3533">
        <v>33741.980000000003</v>
      </c>
      <c r="N3533" t="s">
        <v>710</v>
      </c>
      <c r="O3533" t="s">
        <v>4833</v>
      </c>
      <c r="P3533" t="s">
        <v>4776</v>
      </c>
      <c r="Q3533" t="s">
        <v>4852</v>
      </c>
      <c r="R3533" t="s">
        <v>4771</v>
      </c>
    </row>
    <row r="3534" spans="1:18" x14ac:dyDescent="0.3">
      <c r="A3534">
        <v>303</v>
      </c>
      <c r="B3534" t="s">
        <v>1034</v>
      </c>
      <c r="C3534" t="s">
        <v>479</v>
      </c>
      <c r="D3534" t="s">
        <v>99</v>
      </c>
      <c r="E3534" s="1">
        <v>45812</v>
      </c>
      <c r="F3534" t="s">
        <v>4310</v>
      </c>
      <c r="G3534" t="s">
        <v>2157</v>
      </c>
      <c r="H3534" t="s">
        <v>478</v>
      </c>
      <c r="I3534" t="s">
        <v>204</v>
      </c>
      <c r="J3534" s="1">
        <v>46239</v>
      </c>
      <c r="K3534" t="s">
        <v>717</v>
      </c>
      <c r="L3534">
        <v>70</v>
      </c>
      <c r="M3534">
        <v>248.5</v>
      </c>
      <c r="N3534" t="s">
        <v>710</v>
      </c>
      <c r="O3534" t="s">
        <v>1037</v>
      </c>
      <c r="P3534" t="s">
        <v>4790</v>
      </c>
      <c r="Q3534" t="s">
        <v>4852</v>
      </c>
      <c r="R3534" t="s">
        <v>4772</v>
      </c>
    </row>
    <row r="3535" spans="1:18" x14ac:dyDescent="0.3">
      <c r="A3535">
        <v>1232</v>
      </c>
      <c r="B3535" t="s">
        <v>4874</v>
      </c>
      <c r="C3535" t="s">
        <v>305</v>
      </c>
      <c r="D3535" t="s">
        <v>59</v>
      </c>
      <c r="E3535" s="1">
        <v>45812</v>
      </c>
      <c r="F3535" t="s">
        <v>4359</v>
      </c>
      <c r="G3535" t="s">
        <v>2075</v>
      </c>
      <c r="H3535" t="s">
        <v>304</v>
      </c>
      <c r="I3535" t="s">
        <v>204</v>
      </c>
      <c r="J3535" s="1">
        <v>46481</v>
      </c>
      <c r="K3535" t="s">
        <v>720</v>
      </c>
      <c r="L3535">
        <v>1</v>
      </c>
      <c r="M3535">
        <v>5577</v>
      </c>
      <c r="N3535" t="s">
        <v>809</v>
      </c>
      <c r="O3535" t="s">
        <v>1038</v>
      </c>
      <c r="P3535" t="s">
        <v>4783</v>
      </c>
      <c r="Q3535" t="s">
        <v>4858</v>
      </c>
      <c r="R3535" t="s">
        <v>4771</v>
      </c>
    </row>
    <row r="3536" spans="1:18" x14ac:dyDescent="0.3">
      <c r="A3536">
        <v>1231</v>
      </c>
      <c r="B3536" t="s">
        <v>4874</v>
      </c>
      <c r="C3536" t="s">
        <v>305</v>
      </c>
      <c r="D3536" t="s">
        <v>59</v>
      </c>
      <c r="E3536" s="1">
        <v>45812</v>
      </c>
      <c r="F3536" t="s">
        <v>4359</v>
      </c>
      <c r="G3536" t="s">
        <v>2029</v>
      </c>
      <c r="H3536" t="s">
        <v>304</v>
      </c>
      <c r="I3536" t="s">
        <v>204</v>
      </c>
      <c r="J3536" s="1">
        <v>46481</v>
      </c>
      <c r="K3536" t="s">
        <v>720</v>
      </c>
      <c r="L3536">
        <v>1</v>
      </c>
      <c r="M3536">
        <v>960</v>
      </c>
      <c r="N3536" t="s">
        <v>809</v>
      </c>
      <c r="O3536" t="s">
        <v>1038</v>
      </c>
      <c r="P3536" t="s">
        <v>4783</v>
      </c>
      <c r="Q3536" t="s">
        <v>4858</v>
      </c>
      <c r="R3536" t="s">
        <v>4771</v>
      </c>
    </row>
    <row r="3537" spans="1:18" x14ac:dyDescent="0.3">
      <c r="A3537">
        <v>194</v>
      </c>
      <c r="B3537" t="s">
        <v>4874</v>
      </c>
      <c r="C3537" t="s">
        <v>568</v>
      </c>
      <c r="D3537" t="s">
        <v>64</v>
      </c>
      <c r="E3537" s="1">
        <v>45812</v>
      </c>
      <c r="F3537" t="s">
        <v>4321</v>
      </c>
      <c r="G3537" t="s">
        <v>2048</v>
      </c>
      <c r="H3537" t="s">
        <v>576</v>
      </c>
      <c r="I3537" t="s">
        <v>209</v>
      </c>
      <c r="J3537" s="1">
        <v>46262</v>
      </c>
      <c r="K3537" t="s">
        <v>762</v>
      </c>
      <c r="L3537">
        <v>1</v>
      </c>
      <c r="M3537">
        <v>2500</v>
      </c>
      <c r="N3537" t="s">
        <v>710</v>
      </c>
      <c r="O3537" t="s">
        <v>1038</v>
      </c>
      <c r="P3537" t="s">
        <v>4782</v>
      </c>
      <c r="Q3537" t="s">
        <v>4858</v>
      </c>
      <c r="R3537" t="s">
        <v>4771</v>
      </c>
    </row>
    <row r="3538" spans="1:18" x14ac:dyDescent="0.3">
      <c r="A3538">
        <v>758131</v>
      </c>
      <c r="B3538" t="s">
        <v>4875</v>
      </c>
      <c r="C3538" t="s">
        <v>609</v>
      </c>
      <c r="D3538" t="s">
        <v>182</v>
      </c>
      <c r="E3538" s="1">
        <v>45812</v>
      </c>
      <c r="F3538" t="s">
        <v>4336</v>
      </c>
      <c r="G3538" t="s">
        <v>2119</v>
      </c>
      <c r="H3538" t="s">
        <v>610</v>
      </c>
      <c r="I3538" t="s">
        <v>204</v>
      </c>
      <c r="J3538" s="1">
        <v>46282</v>
      </c>
      <c r="K3538" t="s">
        <v>768</v>
      </c>
      <c r="L3538">
        <v>45174.55</v>
      </c>
      <c r="M3538">
        <v>45174.55</v>
      </c>
      <c r="N3538" t="s">
        <v>710</v>
      </c>
      <c r="O3538" t="s">
        <v>1037</v>
      </c>
      <c r="P3538" t="s">
        <v>4794</v>
      </c>
      <c r="Q3538" t="s">
        <v>4852</v>
      </c>
      <c r="R3538" t="s">
        <v>4772</v>
      </c>
    </row>
    <row r="3539" spans="1:18" x14ac:dyDescent="0.3">
      <c r="A3539">
        <v>762000</v>
      </c>
      <c r="B3539" t="s">
        <v>4875</v>
      </c>
      <c r="C3539" t="s">
        <v>609</v>
      </c>
      <c r="D3539" t="s">
        <v>182</v>
      </c>
      <c r="E3539" s="1">
        <v>45812</v>
      </c>
      <c r="F3539" t="s">
        <v>4336</v>
      </c>
      <c r="G3539" t="s">
        <v>2119</v>
      </c>
      <c r="H3539" t="s">
        <v>610</v>
      </c>
      <c r="I3539" t="s">
        <v>204</v>
      </c>
      <c r="J3539" s="1">
        <v>46282</v>
      </c>
      <c r="K3539" t="s">
        <v>768</v>
      </c>
      <c r="L3539">
        <v>5314.98</v>
      </c>
      <c r="M3539">
        <v>5314.98</v>
      </c>
      <c r="N3539" t="s">
        <v>710</v>
      </c>
      <c r="O3539" t="s">
        <v>1037</v>
      </c>
      <c r="P3539" t="s">
        <v>4794</v>
      </c>
      <c r="Q3539" t="s">
        <v>4852</v>
      </c>
      <c r="R3539" t="s">
        <v>4772</v>
      </c>
    </row>
    <row r="3540" spans="1:18" x14ac:dyDescent="0.3">
      <c r="A3540">
        <v>1031423</v>
      </c>
      <c r="B3540" t="s">
        <v>4875</v>
      </c>
      <c r="C3540" t="s">
        <v>203</v>
      </c>
      <c r="D3540" t="s">
        <v>118</v>
      </c>
      <c r="E3540" s="1">
        <v>45812</v>
      </c>
      <c r="F3540" t="s">
        <v>4353</v>
      </c>
      <c r="G3540" t="s">
        <v>2117</v>
      </c>
      <c r="H3540" t="s">
        <v>202</v>
      </c>
      <c r="I3540" t="s">
        <v>204</v>
      </c>
      <c r="J3540" s="1">
        <v>46387</v>
      </c>
      <c r="K3540" t="s">
        <v>717</v>
      </c>
      <c r="L3540">
        <v>361.78</v>
      </c>
      <c r="M3540">
        <v>361.78</v>
      </c>
      <c r="N3540" t="s">
        <v>710</v>
      </c>
      <c r="O3540" t="s">
        <v>1037</v>
      </c>
      <c r="P3540" t="s">
        <v>4776</v>
      </c>
      <c r="Q3540" t="s">
        <v>4852</v>
      </c>
      <c r="R3540" t="s">
        <v>4772</v>
      </c>
    </row>
    <row r="3541" spans="1:18" x14ac:dyDescent="0.3">
      <c r="A3541">
        <v>588046</v>
      </c>
      <c r="B3541" t="s">
        <v>4875</v>
      </c>
      <c r="C3541" t="s">
        <v>248</v>
      </c>
      <c r="D3541" t="s">
        <v>13</v>
      </c>
      <c r="E3541" s="1">
        <v>45812</v>
      </c>
      <c r="F3541" t="s">
        <v>4430</v>
      </c>
      <c r="G3541" t="s">
        <v>2085</v>
      </c>
      <c r="H3541" t="s">
        <v>351</v>
      </c>
      <c r="I3541" t="s">
        <v>204</v>
      </c>
      <c r="J3541" s="1">
        <v>54878</v>
      </c>
      <c r="K3541" t="s">
        <v>748</v>
      </c>
      <c r="L3541">
        <v>1450.04</v>
      </c>
      <c r="M3541">
        <v>1450.04</v>
      </c>
      <c r="N3541" t="s">
        <v>710</v>
      </c>
      <c r="O3541" t="s">
        <v>1040</v>
      </c>
      <c r="P3541" t="s">
        <v>4779</v>
      </c>
      <c r="Q3541" t="s">
        <v>4856</v>
      </c>
      <c r="R3541" t="s">
        <v>4773</v>
      </c>
    </row>
    <row r="3542" spans="1:18" x14ac:dyDescent="0.3">
      <c r="A3542">
        <v>539</v>
      </c>
      <c r="B3542" t="s">
        <v>4874</v>
      </c>
      <c r="C3542" t="s">
        <v>649</v>
      </c>
      <c r="D3542" t="s">
        <v>88</v>
      </c>
      <c r="E3542" s="1">
        <v>45812</v>
      </c>
      <c r="F3542" t="s">
        <v>4414</v>
      </c>
      <c r="G3542" t="s">
        <v>2106</v>
      </c>
      <c r="H3542" t="s">
        <v>648</v>
      </c>
      <c r="I3542" t="s">
        <v>204</v>
      </c>
      <c r="J3542" s="1">
        <v>47847</v>
      </c>
      <c r="K3542" t="s">
        <v>762</v>
      </c>
      <c r="L3542">
        <v>3300</v>
      </c>
      <c r="M3542">
        <v>3300</v>
      </c>
      <c r="N3542" t="s">
        <v>710</v>
      </c>
      <c r="O3542" t="s">
        <v>4811</v>
      </c>
      <c r="P3542" t="s">
        <v>4776</v>
      </c>
      <c r="Q3542" t="s">
        <v>4859</v>
      </c>
    </row>
    <row r="3543" spans="1:18" x14ac:dyDescent="0.3">
      <c r="A3543">
        <v>3692</v>
      </c>
      <c r="B3543" t="s">
        <v>4874</v>
      </c>
      <c r="C3543" t="s">
        <v>225</v>
      </c>
      <c r="D3543" t="s">
        <v>166</v>
      </c>
      <c r="E3543" s="1">
        <v>45812</v>
      </c>
      <c r="F3543" t="s">
        <v>4383</v>
      </c>
      <c r="G3543" t="s">
        <v>2143</v>
      </c>
      <c r="H3543" t="s">
        <v>224</v>
      </c>
      <c r="I3543" t="s">
        <v>204</v>
      </c>
      <c r="J3543" s="1">
        <v>54878</v>
      </c>
      <c r="K3543" t="s">
        <v>720</v>
      </c>
      <c r="L3543">
        <v>476.36</v>
      </c>
      <c r="M3543">
        <v>476.36</v>
      </c>
      <c r="N3543" t="s">
        <v>710</v>
      </c>
      <c r="O3543" t="s">
        <v>4849</v>
      </c>
      <c r="P3543" t="s">
        <v>4776</v>
      </c>
      <c r="Q3543" t="s">
        <v>4855</v>
      </c>
      <c r="R3543" t="s">
        <v>4773</v>
      </c>
    </row>
    <row r="3544" spans="1:18" x14ac:dyDescent="0.3">
      <c r="A3544">
        <v>3811014</v>
      </c>
      <c r="B3544" t="s">
        <v>4874</v>
      </c>
      <c r="C3544" t="s">
        <v>417</v>
      </c>
      <c r="D3544" t="s">
        <v>185</v>
      </c>
      <c r="E3544" s="1">
        <v>45812</v>
      </c>
      <c r="F3544" t="s">
        <v>4335</v>
      </c>
      <c r="G3544" t="s">
        <v>1890</v>
      </c>
      <c r="H3544" t="s">
        <v>461</v>
      </c>
      <c r="I3544" t="s">
        <v>204</v>
      </c>
      <c r="J3544" s="1">
        <v>54878</v>
      </c>
      <c r="K3544" t="s">
        <v>762</v>
      </c>
      <c r="L3544">
        <v>2246.35</v>
      </c>
      <c r="M3544">
        <v>2246.35</v>
      </c>
      <c r="N3544" t="s">
        <v>710</v>
      </c>
      <c r="O3544" t="s">
        <v>1037</v>
      </c>
      <c r="P3544" t="s">
        <v>4780</v>
      </c>
      <c r="Q3544" t="s">
        <v>4852</v>
      </c>
      <c r="R3544" t="s">
        <v>4771</v>
      </c>
    </row>
    <row r="3545" spans="1:18" x14ac:dyDescent="0.3">
      <c r="A3545">
        <v>3155</v>
      </c>
      <c r="B3545" t="s">
        <v>4874</v>
      </c>
      <c r="C3545" t="s">
        <v>572</v>
      </c>
      <c r="D3545" t="s">
        <v>43</v>
      </c>
      <c r="E3545" s="1">
        <v>45812</v>
      </c>
      <c r="F3545" t="s">
        <v>4321</v>
      </c>
      <c r="G3545" t="s">
        <v>2121</v>
      </c>
      <c r="H3545" t="s">
        <v>571</v>
      </c>
      <c r="I3545" t="s">
        <v>204</v>
      </c>
      <c r="J3545" s="1">
        <v>46387</v>
      </c>
      <c r="K3545" t="s">
        <v>720</v>
      </c>
      <c r="L3545">
        <v>1</v>
      </c>
      <c r="M3545">
        <v>19322.59</v>
      </c>
      <c r="N3545" t="s">
        <v>814</v>
      </c>
      <c r="O3545" t="s">
        <v>1038</v>
      </c>
      <c r="P3545" t="s">
        <v>4782</v>
      </c>
      <c r="Q3545" t="s">
        <v>4858</v>
      </c>
      <c r="R3545" t="s">
        <v>4771</v>
      </c>
    </row>
    <row r="3546" spans="1:18" x14ac:dyDescent="0.3">
      <c r="A3546">
        <v>2744</v>
      </c>
      <c r="B3546" t="s">
        <v>4874</v>
      </c>
      <c r="C3546" t="s">
        <v>372</v>
      </c>
      <c r="D3546" t="s">
        <v>105</v>
      </c>
      <c r="E3546" s="1">
        <v>45812</v>
      </c>
      <c r="F3546" t="s">
        <v>4408</v>
      </c>
      <c r="G3546" t="s">
        <v>2028</v>
      </c>
      <c r="H3546" t="s">
        <v>371</v>
      </c>
      <c r="I3546" t="s">
        <v>209</v>
      </c>
      <c r="J3546" s="1">
        <v>45904</v>
      </c>
      <c r="K3546" t="s">
        <v>720</v>
      </c>
      <c r="L3546">
        <v>2055</v>
      </c>
      <c r="M3546">
        <v>2055</v>
      </c>
      <c r="N3546" t="s">
        <v>719</v>
      </c>
      <c r="O3546" t="s">
        <v>1038</v>
      </c>
      <c r="P3546" t="s">
        <v>4777</v>
      </c>
      <c r="Q3546" t="s">
        <v>4858</v>
      </c>
      <c r="R3546" t="s">
        <v>4773</v>
      </c>
    </row>
    <row r="3547" spans="1:18" x14ac:dyDescent="0.3">
      <c r="A3547">
        <v>739868</v>
      </c>
      <c r="B3547" t="s">
        <v>4874</v>
      </c>
      <c r="C3547" t="s">
        <v>376</v>
      </c>
      <c r="D3547" t="s">
        <v>35</v>
      </c>
      <c r="E3547" s="1">
        <v>45811</v>
      </c>
      <c r="F3547" t="s">
        <v>4324</v>
      </c>
      <c r="G3547" t="s">
        <v>2095</v>
      </c>
      <c r="H3547" t="s">
        <v>442</v>
      </c>
      <c r="I3547" t="s">
        <v>209</v>
      </c>
      <c r="J3547" s="1">
        <v>54878</v>
      </c>
      <c r="K3547" t="s">
        <v>762</v>
      </c>
      <c r="L3547">
        <v>900</v>
      </c>
      <c r="M3547">
        <v>900</v>
      </c>
      <c r="N3547" t="s">
        <v>710</v>
      </c>
      <c r="Q3547" t="s">
        <v>4852</v>
      </c>
      <c r="R3547" t="s">
        <v>4771</v>
      </c>
    </row>
    <row r="3548" spans="1:18" x14ac:dyDescent="0.3">
      <c r="A3548">
        <v>732265</v>
      </c>
      <c r="B3548" t="s">
        <v>4874</v>
      </c>
      <c r="C3548" t="s">
        <v>376</v>
      </c>
      <c r="D3548" t="s">
        <v>35</v>
      </c>
      <c r="E3548" s="1">
        <v>45811</v>
      </c>
      <c r="F3548" t="s">
        <v>4324</v>
      </c>
      <c r="G3548" t="s">
        <v>2095</v>
      </c>
      <c r="H3548" t="s">
        <v>442</v>
      </c>
      <c r="I3548" t="s">
        <v>209</v>
      </c>
      <c r="J3548" s="1">
        <v>54878</v>
      </c>
      <c r="K3548" t="s">
        <v>762</v>
      </c>
      <c r="L3548">
        <v>3575</v>
      </c>
      <c r="M3548">
        <v>3575</v>
      </c>
      <c r="N3548" t="s">
        <v>710</v>
      </c>
      <c r="Q3548" t="s">
        <v>4852</v>
      </c>
      <c r="R3548" t="s">
        <v>4771</v>
      </c>
    </row>
    <row r="3549" spans="1:18" x14ac:dyDescent="0.3">
      <c r="A3549">
        <v>2512</v>
      </c>
      <c r="B3549" t="s">
        <v>4874</v>
      </c>
      <c r="C3549" t="s">
        <v>630</v>
      </c>
      <c r="D3549" t="s">
        <v>145</v>
      </c>
      <c r="E3549" s="1">
        <v>45811</v>
      </c>
      <c r="F3549" t="s">
        <v>4417</v>
      </c>
      <c r="G3549" t="s">
        <v>2094</v>
      </c>
      <c r="H3549" t="s">
        <v>629</v>
      </c>
      <c r="I3549" t="s">
        <v>204</v>
      </c>
      <c r="J3549" s="1">
        <v>46264</v>
      </c>
      <c r="K3549" t="s">
        <v>720</v>
      </c>
      <c r="L3549">
        <v>1</v>
      </c>
      <c r="M3549">
        <v>23000</v>
      </c>
      <c r="N3549" t="s">
        <v>710</v>
      </c>
      <c r="O3549" t="s">
        <v>4849</v>
      </c>
      <c r="P3549" t="s">
        <v>4777</v>
      </c>
      <c r="Q3549" t="s">
        <v>4855</v>
      </c>
      <c r="R3549" t="s">
        <v>4771</v>
      </c>
    </row>
    <row r="3550" spans="1:18" x14ac:dyDescent="0.3">
      <c r="A3550">
        <v>3249</v>
      </c>
      <c r="B3550" t="s">
        <v>4874</v>
      </c>
      <c r="C3550" t="s">
        <v>612</v>
      </c>
      <c r="D3550" t="s">
        <v>102</v>
      </c>
      <c r="E3550" s="1">
        <v>45811</v>
      </c>
      <c r="F3550" t="s">
        <v>4300</v>
      </c>
      <c r="G3550" t="s">
        <v>1708</v>
      </c>
      <c r="H3550" t="s">
        <v>611</v>
      </c>
      <c r="I3550" t="s">
        <v>209</v>
      </c>
      <c r="J3550" s="1">
        <v>45961</v>
      </c>
      <c r="K3550" t="s">
        <v>720</v>
      </c>
      <c r="L3550">
        <v>20748</v>
      </c>
      <c r="M3550">
        <v>20748</v>
      </c>
      <c r="N3550" t="s">
        <v>710</v>
      </c>
      <c r="O3550" t="s">
        <v>1037</v>
      </c>
      <c r="P3550" t="s">
        <v>4777</v>
      </c>
      <c r="Q3550" t="s">
        <v>4852</v>
      </c>
      <c r="R3550" t="s">
        <v>4773</v>
      </c>
    </row>
    <row r="3551" spans="1:18" x14ac:dyDescent="0.3">
      <c r="A3551">
        <v>537</v>
      </c>
      <c r="B3551" t="s">
        <v>4874</v>
      </c>
      <c r="C3551" t="s">
        <v>649</v>
      </c>
      <c r="D3551" t="s">
        <v>88</v>
      </c>
      <c r="E3551" s="1">
        <v>45811</v>
      </c>
      <c r="F3551" t="s">
        <v>4414</v>
      </c>
      <c r="G3551" t="s">
        <v>1947</v>
      </c>
      <c r="H3551" t="s">
        <v>648</v>
      </c>
      <c r="I3551" t="s">
        <v>204</v>
      </c>
      <c r="J3551" s="1">
        <v>47847</v>
      </c>
      <c r="K3551" t="s">
        <v>762</v>
      </c>
      <c r="L3551">
        <v>1</v>
      </c>
      <c r="M3551">
        <v>5775</v>
      </c>
      <c r="N3551" t="s">
        <v>710</v>
      </c>
      <c r="O3551" t="s">
        <v>4811</v>
      </c>
      <c r="P3551" t="s">
        <v>4776</v>
      </c>
      <c r="Q3551" t="s">
        <v>4859</v>
      </c>
    </row>
    <row r="3552" spans="1:18" x14ac:dyDescent="0.3">
      <c r="A3552">
        <v>1851529</v>
      </c>
      <c r="B3552" t="s">
        <v>4874</v>
      </c>
      <c r="C3552" t="s">
        <v>417</v>
      </c>
      <c r="D3552" t="s">
        <v>185</v>
      </c>
      <c r="E3552" s="1">
        <v>45811</v>
      </c>
      <c r="F3552" t="s">
        <v>4346</v>
      </c>
      <c r="G3552" t="s">
        <v>2102</v>
      </c>
      <c r="H3552" t="s">
        <v>461</v>
      </c>
      <c r="I3552" t="s">
        <v>204</v>
      </c>
      <c r="J3552" s="1">
        <v>54878</v>
      </c>
      <c r="K3552" t="s">
        <v>762</v>
      </c>
      <c r="L3552">
        <v>18966.46</v>
      </c>
      <c r="M3552">
        <v>18966.46</v>
      </c>
      <c r="N3552" t="s">
        <v>710</v>
      </c>
      <c r="O3552" t="s">
        <v>1037</v>
      </c>
      <c r="P3552" t="s">
        <v>4780</v>
      </c>
      <c r="Q3552" t="s">
        <v>4852</v>
      </c>
      <c r="R3552" t="s">
        <v>4771</v>
      </c>
    </row>
    <row r="3553" spans="1:18" x14ac:dyDescent="0.3">
      <c r="A3553">
        <v>15944</v>
      </c>
      <c r="B3553" t="s">
        <v>1034</v>
      </c>
      <c r="C3553" t="s">
        <v>632</v>
      </c>
      <c r="D3553" t="s">
        <v>41</v>
      </c>
      <c r="E3553" s="1">
        <v>45811</v>
      </c>
      <c r="F3553" t="s">
        <v>4352</v>
      </c>
      <c r="G3553" t="s">
        <v>2047</v>
      </c>
      <c r="H3553" t="s">
        <v>631</v>
      </c>
      <c r="I3553" t="s">
        <v>204</v>
      </c>
      <c r="J3553" s="1">
        <v>50860</v>
      </c>
      <c r="K3553" t="s">
        <v>717</v>
      </c>
      <c r="L3553">
        <v>1</v>
      </c>
      <c r="M3553">
        <v>6240</v>
      </c>
      <c r="N3553" t="s">
        <v>710</v>
      </c>
      <c r="O3553" t="s">
        <v>4833</v>
      </c>
      <c r="P3553" t="s">
        <v>4776</v>
      </c>
      <c r="Q3553" t="s">
        <v>4852</v>
      </c>
      <c r="R3553" t="s">
        <v>4771</v>
      </c>
    </row>
    <row r="3554" spans="1:18" x14ac:dyDescent="0.3">
      <c r="A3554">
        <v>3843994</v>
      </c>
      <c r="B3554" t="s">
        <v>1034</v>
      </c>
      <c r="C3554" t="s">
        <v>417</v>
      </c>
      <c r="D3554" t="s">
        <v>185</v>
      </c>
      <c r="E3554" s="1">
        <v>45811</v>
      </c>
      <c r="F3554" t="s">
        <v>4335</v>
      </c>
      <c r="G3554" t="s">
        <v>2103</v>
      </c>
      <c r="H3554" t="s">
        <v>416</v>
      </c>
      <c r="I3554" t="s">
        <v>204</v>
      </c>
      <c r="J3554" s="1">
        <v>54878</v>
      </c>
      <c r="K3554" t="s">
        <v>717</v>
      </c>
      <c r="L3554">
        <v>963.04</v>
      </c>
      <c r="M3554">
        <v>963.04</v>
      </c>
      <c r="N3554" t="s">
        <v>710</v>
      </c>
      <c r="O3554" t="s">
        <v>1037</v>
      </c>
      <c r="P3554" t="s">
        <v>4780</v>
      </c>
      <c r="Q3554" t="s">
        <v>4852</v>
      </c>
      <c r="R3554" t="s">
        <v>4771</v>
      </c>
    </row>
    <row r="3555" spans="1:18" x14ac:dyDescent="0.3">
      <c r="A3555">
        <v>16608</v>
      </c>
      <c r="B3555" t="s">
        <v>1034</v>
      </c>
      <c r="C3555" t="s">
        <v>359</v>
      </c>
      <c r="D3555" t="s">
        <v>53</v>
      </c>
      <c r="E3555" s="1">
        <v>45811</v>
      </c>
      <c r="F3555" t="s">
        <v>4305</v>
      </c>
      <c r="G3555" t="s">
        <v>2120</v>
      </c>
      <c r="H3555" t="s">
        <v>358</v>
      </c>
      <c r="I3555" t="s">
        <v>204</v>
      </c>
      <c r="J3555" s="1">
        <v>54878</v>
      </c>
      <c r="K3555" t="s">
        <v>711</v>
      </c>
      <c r="L3555">
        <v>625.37</v>
      </c>
      <c r="M3555">
        <v>625.37</v>
      </c>
      <c r="N3555" t="s">
        <v>710</v>
      </c>
      <c r="O3555" t="s">
        <v>1036</v>
      </c>
      <c r="P3555" t="s">
        <v>4776</v>
      </c>
      <c r="Q3555" t="s">
        <v>4901</v>
      </c>
      <c r="R3555" t="s">
        <v>4773</v>
      </c>
    </row>
    <row r="3556" spans="1:18" x14ac:dyDescent="0.3">
      <c r="A3556">
        <v>3844383</v>
      </c>
      <c r="B3556" t="s">
        <v>4874</v>
      </c>
      <c r="C3556" t="s">
        <v>417</v>
      </c>
      <c r="D3556" t="s">
        <v>185</v>
      </c>
      <c r="E3556" s="1">
        <v>45811</v>
      </c>
      <c r="F3556" t="s">
        <v>4335</v>
      </c>
      <c r="G3556" t="s">
        <v>2102</v>
      </c>
      <c r="H3556" t="s">
        <v>461</v>
      </c>
      <c r="I3556" t="s">
        <v>204</v>
      </c>
      <c r="J3556" s="1">
        <v>54878</v>
      </c>
      <c r="K3556" t="s">
        <v>762</v>
      </c>
      <c r="L3556">
        <v>3650.97</v>
      </c>
      <c r="M3556">
        <v>3650.97</v>
      </c>
      <c r="N3556" t="s">
        <v>710</v>
      </c>
      <c r="O3556" t="s">
        <v>1037</v>
      </c>
      <c r="P3556" t="s">
        <v>4780</v>
      </c>
      <c r="Q3556" t="s">
        <v>4852</v>
      </c>
      <c r="R3556" t="s">
        <v>4771</v>
      </c>
    </row>
    <row r="3557" spans="1:18" x14ac:dyDescent="0.3">
      <c r="A3557">
        <v>1599</v>
      </c>
      <c r="B3557" t="s">
        <v>4875</v>
      </c>
      <c r="C3557" t="s">
        <v>312</v>
      </c>
      <c r="D3557" t="s">
        <v>73</v>
      </c>
      <c r="E3557" s="1">
        <v>45810</v>
      </c>
      <c r="F3557" t="s">
        <v>4300</v>
      </c>
      <c r="G3557" t="s">
        <v>2084</v>
      </c>
      <c r="H3557" t="s">
        <v>365</v>
      </c>
      <c r="I3557" t="s">
        <v>204</v>
      </c>
      <c r="J3557" s="1">
        <v>46418</v>
      </c>
      <c r="K3557" t="s">
        <v>748</v>
      </c>
      <c r="L3557">
        <v>2255</v>
      </c>
      <c r="M3557">
        <v>2255</v>
      </c>
      <c r="N3557" t="s">
        <v>710</v>
      </c>
      <c r="O3557" t="s">
        <v>4834</v>
      </c>
      <c r="P3557" t="s">
        <v>1006</v>
      </c>
      <c r="Q3557" t="s">
        <v>4856</v>
      </c>
      <c r="R3557" t="s">
        <v>4773</v>
      </c>
    </row>
    <row r="3558" spans="1:18" x14ac:dyDescent="0.3">
      <c r="A3558">
        <v>202594</v>
      </c>
      <c r="B3558" t="s">
        <v>4875</v>
      </c>
      <c r="C3558" t="s">
        <v>322</v>
      </c>
      <c r="D3558" t="s">
        <v>158</v>
      </c>
      <c r="E3558" s="1">
        <v>45810</v>
      </c>
      <c r="F3558" t="s">
        <v>4431</v>
      </c>
      <c r="G3558" t="s">
        <v>2020</v>
      </c>
      <c r="H3558" t="s">
        <v>321</v>
      </c>
      <c r="I3558" t="s">
        <v>204</v>
      </c>
      <c r="J3558" s="1">
        <v>46310</v>
      </c>
      <c r="K3558" t="s">
        <v>748</v>
      </c>
      <c r="L3558">
        <v>14340.96</v>
      </c>
      <c r="M3558">
        <v>14340.96</v>
      </c>
      <c r="N3558" t="s">
        <v>710</v>
      </c>
      <c r="O3558" t="s">
        <v>1040</v>
      </c>
      <c r="P3558" t="s">
        <v>4782</v>
      </c>
      <c r="Q3558" t="s">
        <v>4856</v>
      </c>
      <c r="R3558" t="s">
        <v>4773</v>
      </c>
    </row>
    <row r="3559" spans="1:18" x14ac:dyDescent="0.3">
      <c r="A3559">
        <v>42</v>
      </c>
      <c r="B3559" t="s">
        <v>4875</v>
      </c>
      <c r="C3559" t="s">
        <v>561</v>
      </c>
      <c r="D3559" t="s">
        <v>121</v>
      </c>
      <c r="E3559" s="1">
        <v>45810</v>
      </c>
      <c r="F3559" t="s">
        <v>4390</v>
      </c>
      <c r="G3559" t="s">
        <v>2059</v>
      </c>
      <c r="H3559" t="s">
        <v>560</v>
      </c>
      <c r="I3559" t="s">
        <v>204</v>
      </c>
      <c r="J3559" s="1">
        <v>46732</v>
      </c>
      <c r="K3559" t="s">
        <v>748</v>
      </c>
      <c r="L3559">
        <v>6700</v>
      </c>
      <c r="M3559">
        <v>6700</v>
      </c>
      <c r="N3559" t="s">
        <v>818</v>
      </c>
      <c r="O3559" t="s">
        <v>1040</v>
      </c>
      <c r="P3559" t="s">
        <v>4777</v>
      </c>
      <c r="Q3559" t="s">
        <v>4856</v>
      </c>
      <c r="R3559" t="s">
        <v>4771</v>
      </c>
    </row>
    <row r="3560" spans="1:18" x14ac:dyDescent="0.3">
      <c r="A3560">
        <v>1746</v>
      </c>
      <c r="B3560" t="s">
        <v>4874</v>
      </c>
      <c r="C3560" t="s">
        <v>252</v>
      </c>
      <c r="D3560" t="s">
        <v>183</v>
      </c>
      <c r="E3560" s="1">
        <v>45810</v>
      </c>
      <c r="F3560" t="s">
        <v>4404</v>
      </c>
      <c r="G3560" t="s">
        <v>1270</v>
      </c>
      <c r="H3560" t="s">
        <v>251</v>
      </c>
      <c r="I3560" t="s">
        <v>204</v>
      </c>
      <c r="J3560" s="1">
        <v>46418</v>
      </c>
      <c r="K3560" t="s">
        <v>762</v>
      </c>
      <c r="L3560">
        <v>18900</v>
      </c>
      <c r="M3560">
        <v>18900</v>
      </c>
      <c r="N3560" t="s">
        <v>719</v>
      </c>
      <c r="O3560" t="s">
        <v>4904</v>
      </c>
      <c r="P3560" t="s">
        <v>4792</v>
      </c>
      <c r="Q3560" t="s">
        <v>4904</v>
      </c>
      <c r="R3560" t="s">
        <v>4773</v>
      </c>
    </row>
    <row r="3561" spans="1:18" x14ac:dyDescent="0.3">
      <c r="A3561">
        <v>6797</v>
      </c>
      <c r="B3561" t="s">
        <v>4874</v>
      </c>
      <c r="C3561" t="s">
        <v>230</v>
      </c>
      <c r="D3561" t="s">
        <v>85</v>
      </c>
      <c r="E3561" s="1">
        <v>45810</v>
      </c>
      <c r="F3561" t="s">
        <v>4348</v>
      </c>
      <c r="G3561" t="s">
        <v>2111</v>
      </c>
      <c r="H3561" t="s">
        <v>299</v>
      </c>
      <c r="I3561" t="s">
        <v>204</v>
      </c>
      <c r="J3561" s="1">
        <v>46536</v>
      </c>
      <c r="K3561" t="s">
        <v>762</v>
      </c>
      <c r="L3561">
        <v>198518.11</v>
      </c>
      <c r="M3561">
        <v>198518.11</v>
      </c>
      <c r="N3561" t="s">
        <v>710</v>
      </c>
      <c r="O3561" t="s">
        <v>1033</v>
      </c>
      <c r="P3561" t="s">
        <v>4781</v>
      </c>
      <c r="Q3561" t="s">
        <v>4852</v>
      </c>
      <c r="R3561" t="s">
        <v>4771</v>
      </c>
    </row>
    <row r="3562" spans="1:18" x14ac:dyDescent="0.3">
      <c r="A3562">
        <v>11220381</v>
      </c>
      <c r="B3562" t="s">
        <v>1034</v>
      </c>
      <c r="C3562" t="s">
        <v>452</v>
      </c>
      <c r="D3562" t="s">
        <v>171</v>
      </c>
      <c r="E3562" s="1">
        <v>45810</v>
      </c>
      <c r="F3562" t="s">
        <v>4319</v>
      </c>
      <c r="G3562" t="s">
        <v>2108</v>
      </c>
      <c r="H3562" t="s">
        <v>450</v>
      </c>
      <c r="I3562" t="s">
        <v>209</v>
      </c>
      <c r="J3562" s="1">
        <v>54878</v>
      </c>
      <c r="K3562" t="s">
        <v>717</v>
      </c>
      <c r="L3562">
        <v>2492</v>
      </c>
      <c r="M3562">
        <v>2491.44</v>
      </c>
      <c r="N3562" t="s">
        <v>710</v>
      </c>
      <c r="Q3562" t="s">
        <v>4852</v>
      </c>
      <c r="R3562" t="s">
        <v>4771</v>
      </c>
    </row>
    <row r="3563" spans="1:18" x14ac:dyDescent="0.3">
      <c r="A3563">
        <v>91991</v>
      </c>
      <c r="B3563" t="s">
        <v>1034</v>
      </c>
      <c r="C3563" t="s">
        <v>452</v>
      </c>
      <c r="D3563" t="s">
        <v>171</v>
      </c>
      <c r="E3563" s="1">
        <v>45810</v>
      </c>
      <c r="F3563" t="s">
        <v>4319</v>
      </c>
      <c r="G3563" t="s">
        <v>2105</v>
      </c>
      <c r="H3563" t="s">
        <v>512</v>
      </c>
      <c r="I3563" t="s">
        <v>209</v>
      </c>
      <c r="J3563" s="1">
        <v>45138</v>
      </c>
      <c r="K3563" t="s">
        <v>762</v>
      </c>
      <c r="L3563">
        <v>235</v>
      </c>
      <c r="M3563">
        <v>235.21</v>
      </c>
      <c r="N3563" t="s">
        <v>710</v>
      </c>
      <c r="O3563" t="s">
        <v>4833</v>
      </c>
      <c r="P3563" t="s">
        <v>4802</v>
      </c>
      <c r="Q3563" t="s">
        <v>4852</v>
      </c>
      <c r="R3563" t="s">
        <v>4771</v>
      </c>
    </row>
    <row r="3564" spans="1:18" x14ac:dyDescent="0.3">
      <c r="A3564">
        <v>11220328</v>
      </c>
      <c r="B3564" t="s">
        <v>1034</v>
      </c>
      <c r="C3564" t="s">
        <v>452</v>
      </c>
      <c r="D3564" t="s">
        <v>171</v>
      </c>
      <c r="E3564" s="1">
        <v>45810</v>
      </c>
      <c r="F3564" t="s">
        <v>4319</v>
      </c>
      <c r="G3564" t="s">
        <v>2108</v>
      </c>
      <c r="H3564" t="s">
        <v>450</v>
      </c>
      <c r="I3564" t="s">
        <v>209</v>
      </c>
      <c r="J3564" s="1">
        <v>54878</v>
      </c>
      <c r="K3564" t="s">
        <v>717</v>
      </c>
      <c r="L3564">
        <v>1617</v>
      </c>
      <c r="M3564">
        <v>1616.02</v>
      </c>
      <c r="N3564" t="s">
        <v>710</v>
      </c>
      <c r="Q3564" t="s">
        <v>4852</v>
      </c>
      <c r="R3564" t="s">
        <v>4771</v>
      </c>
    </row>
    <row r="3565" spans="1:18" x14ac:dyDescent="0.3">
      <c r="A3565">
        <v>11220441</v>
      </c>
      <c r="B3565" t="s">
        <v>1034</v>
      </c>
      <c r="C3565" t="s">
        <v>452</v>
      </c>
      <c r="D3565" t="s">
        <v>171</v>
      </c>
      <c r="E3565" s="1">
        <v>45810</v>
      </c>
      <c r="F3565" t="s">
        <v>4319</v>
      </c>
      <c r="G3565" t="s">
        <v>2108</v>
      </c>
      <c r="H3565" t="s">
        <v>450</v>
      </c>
      <c r="I3565" t="s">
        <v>209</v>
      </c>
      <c r="J3565" s="1">
        <v>54878</v>
      </c>
      <c r="K3565" t="s">
        <v>717</v>
      </c>
      <c r="L3565">
        <v>1350</v>
      </c>
      <c r="M3565">
        <v>1349.62</v>
      </c>
      <c r="N3565" t="s">
        <v>710</v>
      </c>
      <c r="Q3565" t="s">
        <v>4852</v>
      </c>
      <c r="R3565" t="s">
        <v>4771</v>
      </c>
    </row>
    <row r="3566" spans="1:18" x14ac:dyDescent="0.3">
      <c r="A3566">
        <v>6818</v>
      </c>
      <c r="B3566" t="s">
        <v>4874</v>
      </c>
      <c r="C3566" t="s">
        <v>230</v>
      </c>
      <c r="D3566" t="s">
        <v>85</v>
      </c>
      <c r="E3566" s="1">
        <v>45810</v>
      </c>
      <c r="F3566" t="s">
        <v>4348</v>
      </c>
      <c r="G3566" t="s">
        <v>2112</v>
      </c>
      <c r="H3566" t="s">
        <v>299</v>
      </c>
      <c r="I3566" t="s">
        <v>204</v>
      </c>
      <c r="J3566" s="1">
        <v>46536</v>
      </c>
      <c r="K3566" t="s">
        <v>762</v>
      </c>
      <c r="L3566">
        <v>12092.8</v>
      </c>
      <c r="M3566">
        <v>12092.8</v>
      </c>
      <c r="N3566" t="s">
        <v>710</v>
      </c>
      <c r="O3566" t="s">
        <v>1033</v>
      </c>
      <c r="P3566" t="s">
        <v>4781</v>
      </c>
      <c r="Q3566" t="s">
        <v>4852</v>
      </c>
      <c r="R3566" t="s">
        <v>4771</v>
      </c>
    </row>
    <row r="3567" spans="1:18" x14ac:dyDescent="0.3">
      <c r="A3567">
        <v>6801</v>
      </c>
      <c r="B3567" t="s">
        <v>1034</v>
      </c>
      <c r="C3567" t="s">
        <v>230</v>
      </c>
      <c r="D3567" t="s">
        <v>85</v>
      </c>
      <c r="E3567" s="1">
        <v>45810</v>
      </c>
      <c r="F3567" t="s">
        <v>4348</v>
      </c>
      <c r="G3567" t="s">
        <v>2113</v>
      </c>
      <c r="H3567" t="s">
        <v>570</v>
      </c>
      <c r="I3567" t="s">
        <v>204</v>
      </c>
      <c r="J3567" s="1">
        <v>46418</v>
      </c>
      <c r="K3567" t="s">
        <v>717</v>
      </c>
      <c r="L3567">
        <v>1</v>
      </c>
      <c r="M3567">
        <v>508195.8</v>
      </c>
      <c r="N3567" t="s">
        <v>719</v>
      </c>
      <c r="O3567" t="s">
        <v>1033</v>
      </c>
      <c r="P3567" t="s">
        <v>4781</v>
      </c>
      <c r="Q3567" t="s">
        <v>4852</v>
      </c>
      <c r="R3567" t="s">
        <v>4771</v>
      </c>
    </row>
    <row r="3568" spans="1:18" x14ac:dyDescent="0.3">
      <c r="A3568">
        <v>156479</v>
      </c>
      <c r="B3568" t="s">
        <v>1034</v>
      </c>
      <c r="C3568" t="s">
        <v>301</v>
      </c>
      <c r="D3568" t="s">
        <v>23</v>
      </c>
      <c r="E3568" s="1">
        <v>45808</v>
      </c>
      <c r="F3568" t="s">
        <v>4321</v>
      </c>
      <c r="G3568" t="s">
        <v>2089</v>
      </c>
      <c r="H3568" t="s">
        <v>323</v>
      </c>
      <c r="I3568" t="s">
        <v>204</v>
      </c>
      <c r="J3568" s="1">
        <v>46538</v>
      </c>
      <c r="K3568" t="s">
        <v>711</v>
      </c>
      <c r="L3568">
        <v>5244.13</v>
      </c>
      <c r="M3568">
        <v>5244.13</v>
      </c>
      <c r="N3568" t="s">
        <v>710</v>
      </c>
      <c r="O3568" t="s">
        <v>1036</v>
      </c>
      <c r="P3568" t="s">
        <v>4782</v>
      </c>
      <c r="Q3568" t="s">
        <v>4901</v>
      </c>
      <c r="R3568" t="s">
        <v>4773</v>
      </c>
    </row>
    <row r="3569" spans="1:18" x14ac:dyDescent="0.3">
      <c r="A3569">
        <v>37415</v>
      </c>
      <c r="B3569" t="s">
        <v>4874</v>
      </c>
      <c r="C3569" t="s">
        <v>447</v>
      </c>
      <c r="D3569" t="s">
        <v>57</v>
      </c>
      <c r="E3569" s="1">
        <v>45808</v>
      </c>
      <c r="F3569" t="s">
        <v>4383</v>
      </c>
      <c r="G3569" t="s">
        <v>1932</v>
      </c>
      <c r="H3569" t="s">
        <v>446</v>
      </c>
      <c r="I3569" t="s">
        <v>204</v>
      </c>
      <c r="J3569" s="1">
        <v>46203</v>
      </c>
      <c r="K3569" t="s">
        <v>762</v>
      </c>
      <c r="L3569">
        <v>754</v>
      </c>
      <c r="M3569">
        <v>753.16</v>
      </c>
      <c r="N3569" t="s">
        <v>710</v>
      </c>
      <c r="O3569" t="s">
        <v>1038</v>
      </c>
      <c r="P3569" t="s">
        <v>4776</v>
      </c>
      <c r="Q3569" t="s">
        <v>4858</v>
      </c>
      <c r="R3569" t="s">
        <v>4774</v>
      </c>
    </row>
    <row r="3570" spans="1:18" x14ac:dyDescent="0.3">
      <c r="A3570">
        <v>3810389</v>
      </c>
      <c r="B3570" t="s">
        <v>1034</v>
      </c>
      <c r="C3570" t="s">
        <v>417</v>
      </c>
      <c r="D3570" t="s">
        <v>185</v>
      </c>
      <c r="E3570" s="1">
        <v>45808</v>
      </c>
      <c r="F3570" t="s">
        <v>4335</v>
      </c>
      <c r="G3570" t="s">
        <v>1889</v>
      </c>
      <c r="H3570" t="s">
        <v>416</v>
      </c>
      <c r="I3570" t="s">
        <v>204</v>
      </c>
      <c r="J3570" s="1">
        <v>54878</v>
      </c>
      <c r="K3570" t="s">
        <v>717</v>
      </c>
      <c r="L3570">
        <v>544.5</v>
      </c>
      <c r="M3570">
        <v>544.5</v>
      </c>
      <c r="N3570" t="s">
        <v>710</v>
      </c>
      <c r="O3570" t="s">
        <v>1037</v>
      </c>
      <c r="P3570" t="s">
        <v>4780</v>
      </c>
      <c r="Q3570" t="s">
        <v>4852</v>
      </c>
      <c r="R3570" t="s">
        <v>4771</v>
      </c>
    </row>
    <row r="3571" spans="1:18" x14ac:dyDescent="0.3">
      <c r="A3571">
        <v>1468</v>
      </c>
      <c r="B3571" t="s">
        <v>1034</v>
      </c>
      <c r="C3571" t="s">
        <v>449</v>
      </c>
      <c r="D3571" t="s">
        <v>20</v>
      </c>
      <c r="E3571" s="1">
        <v>45807</v>
      </c>
      <c r="F3571" t="s">
        <v>4331</v>
      </c>
      <c r="G3571" t="s">
        <v>2093</v>
      </c>
      <c r="H3571" t="s">
        <v>448</v>
      </c>
      <c r="I3571" t="s">
        <v>204</v>
      </c>
      <c r="J3571" s="1">
        <v>46219</v>
      </c>
      <c r="K3571" t="s">
        <v>717</v>
      </c>
      <c r="L3571">
        <v>8128.52</v>
      </c>
      <c r="M3571">
        <v>8128.52</v>
      </c>
      <c r="N3571" t="s">
        <v>710</v>
      </c>
      <c r="O3571" t="s">
        <v>4902</v>
      </c>
      <c r="P3571" t="s">
        <v>4776</v>
      </c>
      <c r="Q3571" t="s">
        <v>4852</v>
      </c>
      <c r="R3571" t="s">
        <v>4771</v>
      </c>
    </row>
    <row r="3572" spans="1:18" x14ac:dyDescent="0.3">
      <c r="A3572">
        <v>30818</v>
      </c>
      <c r="B3572" t="s">
        <v>4874</v>
      </c>
      <c r="C3572" t="s">
        <v>261</v>
      </c>
      <c r="D3572" t="s">
        <v>167</v>
      </c>
      <c r="E3572" s="1">
        <v>45807</v>
      </c>
      <c r="F3572" t="s">
        <v>4402</v>
      </c>
      <c r="G3572" t="s">
        <v>2104</v>
      </c>
      <c r="H3572" t="s">
        <v>290</v>
      </c>
      <c r="I3572" t="s">
        <v>204</v>
      </c>
      <c r="J3572" s="1">
        <v>46264</v>
      </c>
      <c r="K3572" t="s">
        <v>720</v>
      </c>
      <c r="L3572">
        <v>10734.03</v>
      </c>
      <c r="M3572">
        <v>10734.03</v>
      </c>
      <c r="N3572" t="s">
        <v>710</v>
      </c>
      <c r="O3572" t="s">
        <v>4849</v>
      </c>
      <c r="P3572" t="s">
        <v>4804</v>
      </c>
      <c r="Q3572" t="s">
        <v>4855</v>
      </c>
      <c r="R3572" t="s">
        <v>4773</v>
      </c>
    </row>
    <row r="3573" spans="1:18" x14ac:dyDescent="0.3">
      <c r="A3573">
        <v>35323</v>
      </c>
      <c r="B3573" t="s">
        <v>4875</v>
      </c>
      <c r="C3573" t="s">
        <v>530</v>
      </c>
      <c r="D3573" t="s">
        <v>24</v>
      </c>
      <c r="E3573" s="1">
        <v>45807</v>
      </c>
      <c r="F3573" t="s">
        <v>4297</v>
      </c>
      <c r="G3573" t="s">
        <v>2062</v>
      </c>
      <c r="H3573" t="s">
        <v>529</v>
      </c>
      <c r="I3573" t="s">
        <v>204</v>
      </c>
      <c r="J3573" s="1">
        <v>46477</v>
      </c>
      <c r="K3573" t="s">
        <v>748</v>
      </c>
      <c r="L3573">
        <v>1</v>
      </c>
      <c r="M3573">
        <v>7079.38</v>
      </c>
      <c r="N3573" t="s">
        <v>710</v>
      </c>
      <c r="O3573" t="s">
        <v>1040</v>
      </c>
      <c r="P3573" t="s">
        <v>4779</v>
      </c>
      <c r="Q3573" t="s">
        <v>4856</v>
      </c>
      <c r="R3573" t="s">
        <v>4773</v>
      </c>
    </row>
    <row r="3574" spans="1:18" x14ac:dyDescent="0.3">
      <c r="A3574">
        <v>14322</v>
      </c>
      <c r="B3574" t="s">
        <v>4875</v>
      </c>
      <c r="C3574" t="s">
        <v>319</v>
      </c>
      <c r="D3574" t="s">
        <v>36</v>
      </c>
      <c r="E3574" s="1">
        <v>45807</v>
      </c>
      <c r="F3574" t="s">
        <v>4434</v>
      </c>
      <c r="G3574" t="s">
        <v>2023</v>
      </c>
      <c r="H3574" t="s">
        <v>336</v>
      </c>
      <c r="I3574" t="s">
        <v>204</v>
      </c>
      <c r="J3574" s="1">
        <v>46075</v>
      </c>
      <c r="K3574" t="s">
        <v>748</v>
      </c>
      <c r="L3574">
        <v>60923.040000000001</v>
      </c>
      <c r="M3574">
        <v>60923.040000000001</v>
      </c>
      <c r="N3574" t="s">
        <v>710</v>
      </c>
      <c r="O3574" t="s">
        <v>1040</v>
      </c>
      <c r="P3574" t="s">
        <v>4784</v>
      </c>
      <c r="Q3574" t="s">
        <v>4856</v>
      </c>
      <c r="R3574" t="s">
        <v>4771</v>
      </c>
    </row>
    <row r="3575" spans="1:18" x14ac:dyDescent="0.3">
      <c r="A3575">
        <v>20251150</v>
      </c>
      <c r="B3575" t="s">
        <v>1034</v>
      </c>
      <c r="C3575" t="s">
        <v>364</v>
      </c>
      <c r="D3575" t="s">
        <v>72</v>
      </c>
      <c r="E3575" s="1">
        <v>45807</v>
      </c>
      <c r="F3575" t="s">
        <v>4295</v>
      </c>
      <c r="G3575" t="s">
        <v>1914</v>
      </c>
      <c r="H3575" t="s">
        <v>363</v>
      </c>
      <c r="I3575" t="s">
        <v>209</v>
      </c>
      <c r="J3575" s="1">
        <v>46092</v>
      </c>
      <c r="K3575" t="s">
        <v>711</v>
      </c>
      <c r="L3575">
        <v>6490</v>
      </c>
      <c r="M3575">
        <v>6490</v>
      </c>
      <c r="N3575" t="s">
        <v>710</v>
      </c>
      <c r="O3575" t="s">
        <v>4834</v>
      </c>
      <c r="P3575" t="s">
        <v>4776</v>
      </c>
      <c r="Q3575" t="s">
        <v>4901</v>
      </c>
      <c r="R3575" t="s">
        <v>4773</v>
      </c>
    </row>
    <row r="3576" spans="1:18" x14ac:dyDescent="0.3">
      <c r="A3576">
        <v>2026</v>
      </c>
      <c r="B3576" t="s">
        <v>4875</v>
      </c>
      <c r="C3576" t="s">
        <v>616</v>
      </c>
      <c r="D3576" t="s">
        <v>152</v>
      </c>
      <c r="E3576" s="1">
        <v>45807</v>
      </c>
      <c r="F3576" t="s">
        <v>4338</v>
      </c>
      <c r="G3576" t="s">
        <v>1853</v>
      </c>
      <c r="H3576" t="s">
        <v>622</v>
      </c>
      <c r="I3576" t="s">
        <v>204</v>
      </c>
      <c r="J3576" s="1">
        <v>46351</v>
      </c>
      <c r="K3576" t="s">
        <v>748</v>
      </c>
      <c r="L3576">
        <v>1</v>
      </c>
      <c r="M3576">
        <v>28600.99</v>
      </c>
      <c r="N3576" t="s">
        <v>710</v>
      </c>
      <c r="O3576" t="s">
        <v>4904</v>
      </c>
      <c r="P3576" t="s">
        <v>4796</v>
      </c>
      <c r="Q3576" t="s">
        <v>4856</v>
      </c>
      <c r="R3576" t="s">
        <v>4772</v>
      </c>
    </row>
    <row r="3577" spans="1:18" x14ac:dyDescent="0.3">
      <c r="A3577">
        <v>3666</v>
      </c>
      <c r="B3577" t="s">
        <v>4874</v>
      </c>
      <c r="C3577" t="s">
        <v>225</v>
      </c>
      <c r="D3577" t="s">
        <v>166</v>
      </c>
      <c r="E3577" s="1">
        <v>45807</v>
      </c>
      <c r="F3577" t="s">
        <v>4383</v>
      </c>
      <c r="G3577" t="s">
        <v>1936</v>
      </c>
      <c r="H3577" t="s">
        <v>224</v>
      </c>
      <c r="I3577" t="s">
        <v>204</v>
      </c>
      <c r="J3577" s="1">
        <v>54878</v>
      </c>
      <c r="K3577" t="s">
        <v>720</v>
      </c>
      <c r="L3577">
        <v>476.36</v>
      </c>
      <c r="M3577">
        <v>476.36</v>
      </c>
      <c r="N3577" t="s">
        <v>710</v>
      </c>
      <c r="O3577" t="s">
        <v>4849</v>
      </c>
      <c r="P3577" t="s">
        <v>4776</v>
      </c>
      <c r="Q3577" t="s">
        <v>4855</v>
      </c>
      <c r="R3577" t="s">
        <v>4773</v>
      </c>
    </row>
    <row r="3578" spans="1:18" x14ac:dyDescent="0.3">
      <c r="A3578">
        <v>2478</v>
      </c>
      <c r="B3578" t="s">
        <v>4874</v>
      </c>
      <c r="C3578" t="s">
        <v>630</v>
      </c>
      <c r="D3578" t="s">
        <v>145</v>
      </c>
      <c r="E3578" s="1">
        <v>45807</v>
      </c>
      <c r="F3578" t="s">
        <v>4417</v>
      </c>
      <c r="G3578" t="s">
        <v>1983</v>
      </c>
      <c r="H3578" t="s">
        <v>629</v>
      </c>
      <c r="I3578" t="s">
        <v>204</v>
      </c>
      <c r="J3578" s="1">
        <v>46264</v>
      </c>
      <c r="K3578" t="s">
        <v>720</v>
      </c>
      <c r="L3578">
        <v>1</v>
      </c>
      <c r="M3578">
        <v>23000</v>
      </c>
      <c r="N3578" t="s">
        <v>710</v>
      </c>
      <c r="O3578" t="s">
        <v>4849</v>
      </c>
      <c r="P3578" t="s">
        <v>4777</v>
      </c>
      <c r="Q3578" t="s">
        <v>4855</v>
      </c>
      <c r="R3578" t="s">
        <v>4771</v>
      </c>
    </row>
    <row r="3579" spans="1:18" x14ac:dyDescent="0.3">
      <c r="A3579">
        <v>77625</v>
      </c>
      <c r="B3579" t="s">
        <v>4874</v>
      </c>
      <c r="C3579" t="s">
        <v>634</v>
      </c>
      <c r="D3579" t="s">
        <v>99</v>
      </c>
      <c r="E3579" s="1">
        <v>45806</v>
      </c>
      <c r="F3579" t="s">
        <v>4310</v>
      </c>
      <c r="G3579" t="s">
        <v>2092</v>
      </c>
      <c r="H3579" t="s">
        <v>633</v>
      </c>
      <c r="I3579" t="s">
        <v>204</v>
      </c>
      <c r="J3579" s="1">
        <v>46204</v>
      </c>
      <c r="K3579" t="s">
        <v>762</v>
      </c>
      <c r="L3579">
        <v>174</v>
      </c>
      <c r="M3579">
        <v>589.86</v>
      </c>
      <c r="N3579" t="s">
        <v>719</v>
      </c>
      <c r="O3579" t="s">
        <v>1037</v>
      </c>
      <c r="P3579" t="s">
        <v>4790</v>
      </c>
      <c r="Q3579" t="s">
        <v>4852</v>
      </c>
    </row>
    <row r="3580" spans="1:18" x14ac:dyDescent="0.3">
      <c r="A3580">
        <v>77625</v>
      </c>
      <c r="B3580" t="s">
        <v>4874</v>
      </c>
      <c r="C3580" t="s">
        <v>634</v>
      </c>
      <c r="D3580" t="s">
        <v>99</v>
      </c>
      <c r="E3580" s="1">
        <v>45806</v>
      </c>
      <c r="F3580" t="s">
        <v>4313</v>
      </c>
      <c r="G3580" t="s">
        <v>2092</v>
      </c>
      <c r="H3580" t="s">
        <v>633</v>
      </c>
      <c r="I3580" t="s">
        <v>204</v>
      </c>
      <c r="J3580" s="1">
        <v>46204</v>
      </c>
      <c r="K3580" t="s">
        <v>762</v>
      </c>
      <c r="L3580">
        <v>6</v>
      </c>
      <c r="M3580">
        <v>36.6</v>
      </c>
      <c r="N3580" t="s">
        <v>719</v>
      </c>
      <c r="O3580" t="s">
        <v>1037</v>
      </c>
      <c r="P3580" t="s">
        <v>4790</v>
      </c>
      <c r="Q3580" t="s">
        <v>4852</v>
      </c>
    </row>
    <row r="3581" spans="1:18" x14ac:dyDescent="0.3">
      <c r="A3581">
        <v>77625</v>
      </c>
      <c r="B3581" t="s">
        <v>4874</v>
      </c>
      <c r="C3581" t="s">
        <v>634</v>
      </c>
      <c r="D3581" t="s">
        <v>99</v>
      </c>
      <c r="E3581" s="1">
        <v>45806</v>
      </c>
      <c r="F3581" t="s">
        <v>4308</v>
      </c>
      <c r="G3581" t="s">
        <v>2092</v>
      </c>
      <c r="H3581" t="s">
        <v>633</v>
      </c>
      <c r="I3581" t="s">
        <v>204</v>
      </c>
      <c r="J3581" s="1">
        <v>46204</v>
      </c>
      <c r="K3581" t="s">
        <v>762</v>
      </c>
      <c r="L3581">
        <v>48</v>
      </c>
      <c r="M3581">
        <v>216.48</v>
      </c>
      <c r="N3581" t="s">
        <v>719</v>
      </c>
      <c r="O3581" t="s">
        <v>1037</v>
      </c>
      <c r="P3581" t="s">
        <v>4790</v>
      </c>
      <c r="Q3581" t="s">
        <v>4852</v>
      </c>
    </row>
    <row r="3582" spans="1:18" x14ac:dyDescent="0.3">
      <c r="A3582">
        <v>77625</v>
      </c>
      <c r="B3582" t="s">
        <v>4874</v>
      </c>
      <c r="C3582" t="s">
        <v>634</v>
      </c>
      <c r="D3582" t="s">
        <v>99</v>
      </c>
      <c r="E3582" s="1">
        <v>45806</v>
      </c>
      <c r="F3582" t="s">
        <v>4314</v>
      </c>
      <c r="G3582" t="s">
        <v>2092</v>
      </c>
      <c r="H3582" t="s">
        <v>633</v>
      </c>
      <c r="I3582" t="s">
        <v>204</v>
      </c>
      <c r="J3582" s="1">
        <v>46204</v>
      </c>
      <c r="K3582" t="s">
        <v>762</v>
      </c>
      <c r="L3582">
        <v>172</v>
      </c>
      <c r="M3582">
        <v>3335.08</v>
      </c>
      <c r="N3582" t="s">
        <v>719</v>
      </c>
      <c r="O3582" t="s">
        <v>1037</v>
      </c>
      <c r="P3582" t="s">
        <v>4790</v>
      </c>
      <c r="Q3582" t="s">
        <v>4852</v>
      </c>
    </row>
    <row r="3583" spans="1:18" x14ac:dyDescent="0.3">
      <c r="A3583">
        <v>41469</v>
      </c>
      <c r="B3583" t="s">
        <v>1034</v>
      </c>
      <c r="C3583" t="s">
        <v>327</v>
      </c>
      <c r="D3583" t="s">
        <v>159</v>
      </c>
      <c r="E3583" s="1">
        <v>45806</v>
      </c>
      <c r="F3583" t="s">
        <v>4295</v>
      </c>
      <c r="G3583" t="s">
        <v>1984</v>
      </c>
      <c r="H3583" t="s">
        <v>357</v>
      </c>
      <c r="I3583" t="s">
        <v>204</v>
      </c>
      <c r="J3583" s="1">
        <v>46476</v>
      </c>
      <c r="K3583" t="s">
        <v>711</v>
      </c>
      <c r="L3583">
        <v>2150</v>
      </c>
      <c r="M3583">
        <v>2150</v>
      </c>
      <c r="N3583" t="s">
        <v>890</v>
      </c>
      <c r="O3583" t="s">
        <v>4834</v>
      </c>
      <c r="P3583" t="s">
        <v>4776</v>
      </c>
      <c r="Q3583" t="s">
        <v>4901</v>
      </c>
      <c r="R3583" t="s">
        <v>4773</v>
      </c>
    </row>
    <row r="3584" spans="1:18" x14ac:dyDescent="0.3">
      <c r="A3584">
        <v>77625</v>
      </c>
      <c r="B3584" t="s">
        <v>4874</v>
      </c>
      <c r="C3584" t="s">
        <v>634</v>
      </c>
      <c r="D3584" t="s">
        <v>99</v>
      </c>
      <c r="E3584" s="1">
        <v>45806</v>
      </c>
      <c r="F3584" t="s">
        <v>4394</v>
      </c>
      <c r="G3584" t="s">
        <v>2092</v>
      </c>
      <c r="H3584" t="s">
        <v>633</v>
      </c>
      <c r="I3584" t="s">
        <v>204</v>
      </c>
      <c r="J3584" s="1">
        <v>46204</v>
      </c>
      <c r="K3584" t="s">
        <v>762</v>
      </c>
      <c r="L3584">
        <v>1965</v>
      </c>
      <c r="M3584">
        <v>1965</v>
      </c>
      <c r="N3584" t="s">
        <v>719</v>
      </c>
      <c r="O3584" t="s">
        <v>1037</v>
      </c>
      <c r="P3584" t="s">
        <v>4790</v>
      </c>
      <c r="Q3584" t="s">
        <v>4852</v>
      </c>
    </row>
    <row r="3585" spans="1:18" x14ac:dyDescent="0.3">
      <c r="A3585">
        <v>77625</v>
      </c>
      <c r="B3585" t="s">
        <v>4874</v>
      </c>
      <c r="C3585" t="s">
        <v>634</v>
      </c>
      <c r="D3585" t="s">
        <v>99</v>
      </c>
      <c r="E3585" s="1">
        <v>45806</v>
      </c>
      <c r="F3585" t="s">
        <v>4307</v>
      </c>
      <c r="G3585" t="s">
        <v>2092</v>
      </c>
      <c r="H3585" t="s">
        <v>633</v>
      </c>
      <c r="I3585" t="s">
        <v>204</v>
      </c>
      <c r="J3585" s="1">
        <v>46204</v>
      </c>
      <c r="K3585" t="s">
        <v>762</v>
      </c>
      <c r="L3585">
        <v>1965</v>
      </c>
      <c r="M3585">
        <v>28217.4</v>
      </c>
      <c r="N3585" t="s">
        <v>719</v>
      </c>
      <c r="O3585" t="s">
        <v>1037</v>
      </c>
      <c r="P3585" t="s">
        <v>4790</v>
      </c>
      <c r="Q3585" t="s">
        <v>4852</v>
      </c>
    </row>
    <row r="3586" spans="1:18" x14ac:dyDescent="0.3">
      <c r="A3586">
        <v>822</v>
      </c>
      <c r="B3586" t="s">
        <v>4874</v>
      </c>
      <c r="C3586" t="s">
        <v>216</v>
      </c>
      <c r="D3586" t="s">
        <v>141</v>
      </c>
      <c r="E3586" s="1">
        <v>45806</v>
      </c>
      <c r="F3586" t="s">
        <v>4305</v>
      </c>
      <c r="G3586" t="s">
        <v>1969</v>
      </c>
      <c r="H3586" t="s">
        <v>215</v>
      </c>
      <c r="I3586" t="s">
        <v>204</v>
      </c>
      <c r="J3586" s="1">
        <v>54878</v>
      </c>
      <c r="K3586" t="s">
        <v>720</v>
      </c>
      <c r="L3586">
        <v>5200</v>
      </c>
      <c r="M3586">
        <v>5200</v>
      </c>
      <c r="N3586" t="s">
        <v>710</v>
      </c>
      <c r="O3586" t="s">
        <v>1038</v>
      </c>
      <c r="P3586" t="s">
        <v>4777</v>
      </c>
      <c r="Q3586" t="s">
        <v>4858</v>
      </c>
      <c r="R3586" t="s">
        <v>4771</v>
      </c>
    </row>
    <row r="3587" spans="1:18" x14ac:dyDescent="0.3">
      <c r="A3587">
        <v>204475</v>
      </c>
      <c r="B3587" t="s">
        <v>4874</v>
      </c>
      <c r="C3587" t="s">
        <v>391</v>
      </c>
      <c r="D3587" t="s">
        <v>104</v>
      </c>
      <c r="E3587" s="1">
        <v>45806</v>
      </c>
      <c r="F3587" t="s">
        <v>4306</v>
      </c>
      <c r="G3587" t="s">
        <v>2097</v>
      </c>
      <c r="H3587" t="s">
        <v>390</v>
      </c>
      <c r="I3587" t="s">
        <v>204</v>
      </c>
      <c r="J3587" s="1">
        <v>54878</v>
      </c>
      <c r="K3587" t="s">
        <v>762</v>
      </c>
      <c r="L3587">
        <v>838.58</v>
      </c>
      <c r="M3587">
        <v>838.58</v>
      </c>
      <c r="N3587" t="s">
        <v>710</v>
      </c>
      <c r="O3587" t="s">
        <v>4833</v>
      </c>
      <c r="P3587" t="s">
        <v>4776</v>
      </c>
      <c r="Q3587" t="s">
        <v>4852</v>
      </c>
      <c r="R3587" t="s">
        <v>4773</v>
      </c>
    </row>
    <row r="3588" spans="1:18" x14ac:dyDescent="0.3">
      <c r="A3588">
        <v>186376</v>
      </c>
      <c r="B3588" t="s">
        <v>4874</v>
      </c>
      <c r="C3588" t="s">
        <v>391</v>
      </c>
      <c r="D3588" t="s">
        <v>104</v>
      </c>
      <c r="E3588" s="1">
        <v>45806</v>
      </c>
      <c r="F3588" t="s">
        <v>4354</v>
      </c>
      <c r="G3588" t="s">
        <v>2097</v>
      </c>
      <c r="H3588" t="s">
        <v>390</v>
      </c>
      <c r="I3588" t="s">
        <v>204</v>
      </c>
      <c r="J3588" s="1">
        <v>54878</v>
      </c>
      <c r="K3588" t="s">
        <v>762</v>
      </c>
      <c r="L3588">
        <v>211.58</v>
      </c>
      <c r="M3588">
        <v>211.58</v>
      </c>
      <c r="N3588" t="s">
        <v>710</v>
      </c>
      <c r="O3588" t="s">
        <v>4833</v>
      </c>
      <c r="P3588" t="s">
        <v>4776</v>
      </c>
      <c r="Q3588" t="s">
        <v>4852</v>
      </c>
      <c r="R3588" t="s">
        <v>4773</v>
      </c>
    </row>
    <row r="3589" spans="1:18" x14ac:dyDescent="0.3">
      <c r="A3589">
        <v>270909</v>
      </c>
      <c r="B3589" t="s">
        <v>4874</v>
      </c>
      <c r="C3589" t="s">
        <v>391</v>
      </c>
      <c r="D3589" t="s">
        <v>104</v>
      </c>
      <c r="E3589" s="1">
        <v>45806</v>
      </c>
      <c r="F3589" t="s">
        <v>4315</v>
      </c>
      <c r="G3589" t="s">
        <v>2097</v>
      </c>
      <c r="H3589" t="s">
        <v>390</v>
      </c>
      <c r="I3589" t="s">
        <v>204</v>
      </c>
      <c r="J3589" s="1">
        <v>54878</v>
      </c>
      <c r="K3589" t="s">
        <v>762</v>
      </c>
      <c r="L3589">
        <v>82.81</v>
      </c>
      <c r="M3589">
        <v>82.81</v>
      </c>
      <c r="N3589" t="s">
        <v>710</v>
      </c>
      <c r="O3589" t="s">
        <v>4833</v>
      </c>
      <c r="P3589" t="s">
        <v>4776</v>
      </c>
      <c r="Q3589" t="s">
        <v>4852</v>
      </c>
      <c r="R3589" t="s">
        <v>4773</v>
      </c>
    </row>
    <row r="3590" spans="1:18" x14ac:dyDescent="0.3">
      <c r="A3590">
        <v>77625</v>
      </c>
      <c r="B3590" t="s">
        <v>4874</v>
      </c>
      <c r="C3590" t="s">
        <v>634</v>
      </c>
      <c r="D3590" t="s">
        <v>99</v>
      </c>
      <c r="E3590" s="1">
        <v>45806</v>
      </c>
      <c r="F3590" t="s">
        <v>4329</v>
      </c>
      <c r="G3590" t="s">
        <v>2092</v>
      </c>
      <c r="H3590" t="s">
        <v>633</v>
      </c>
      <c r="I3590" t="s">
        <v>204</v>
      </c>
      <c r="J3590" s="1">
        <v>46204</v>
      </c>
      <c r="K3590" t="s">
        <v>762</v>
      </c>
      <c r="L3590">
        <v>80</v>
      </c>
      <c r="M3590">
        <v>984</v>
      </c>
      <c r="N3590" t="s">
        <v>719</v>
      </c>
      <c r="O3590" t="s">
        <v>1037</v>
      </c>
      <c r="P3590" t="s">
        <v>4790</v>
      </c>
      <c r="Q3590" t="s">
        <v>4852</v>
      </c>
    </row>
    <row r="3591" spans="1:18" x14ac:dyDescent="0.3">
      <c r="A3591">
        <v>77625</v>
      </c>
      <c r="B3591" t="s">
        <v>4874</v>
      </c>
      <c r="C3591" t="s">
        <v>634</v>
      </c>
      <c r="D3591" t="s">
        <v>99</v>
      </c>
      <c r="E3591" s="1">
        <v>45806</v>
      </c>
      <c r="F3591" t="s">
        <v>4405</v>
      </c>
      <c r="G3591" t="s">
        <v>2092</v>
      </c>
      <c r="H3591" t="s">
        <v>633</v>
      </c>
      <c r="I3591" t="s">
        <v>204</v>
      </c>
      <c r="J3591" s="1">
        <v>46204</v>
      </c>
      <c r="K3591" t="s">
        <v>762</v>
      </c>
      <c r="L3591">
        <v>172</v>
      </c>
      <c r="M3591">
        <v>232.2</v>
      </c>
      <c r="N3591" t="s">
        <v>719</v>
      </c>
      <c r="O3591" t="s">
        <v>1037</v>
      </c>
      <c r="P3591" t="s">
        <v>4790</v>
      </c>
      <c r="Q3591" t="s">
        <v>4852</v>
      </c>
    </row>
    <row r="3592" spans="1:18" x14ac:dyDescent="0.3">
      <c r="A3592">
        <v>41430</v>
      </c>
      <c r="B3592" t="s">
        <v>1034</v>
      </c>
      <c r="C3592" t="s">
        <v>327</v>
      </c>
      <c r="D3592" t="s">
        <v>159</v>
      </c>
      <c r="E3592" s="1">
        <v>45806</v>
      </c>
      <c r="F3592" t="s">
        <v>4295</v>
      </c>
      <c r="G3592" t="s">
        <v>1918</v>
      </c>
      <c r="H3592" t="s">
        <v>357</v>
      </c>
      <c r="I3592" t="s">
        <v>204</v>
      </c>
      <c r="J3592" s="1">
        <v>46476</v>
      </c>
      <c r="K3592" t="s">
        <v>711</v>
      </c>
      <c r="L3592">
        <v>2150</v>
      </c>
      <c r="M3592">
        <v>2150</v>
      </c>
      <c r="N3592" t="s">
        <v>890</v>
      </c>
      <c r="O3592" t="s">
        <v>4834</v>
      </c>
      <c r="P3592" t="s">
        <v>4776</v>
      </c>
      <c r="Q3592" t="s">
        <v>4901</v>
      </c>
      <c r="R3592" t="s">
        <v>4773</v>
      </c>
    </row>
    <row r="3593" spans="1:18" x14ac:dyDescent="0.3">
      <c r="A3593">
        <v>41470</v>
      </c>
      <c r="B3593" t="s">
        <v>1034</v>
      </c>
      <c r="C3593" t="s">
        <v>327</v>
      </c>
      <c r="D3593" t="s">
        <v>159</v>
      </c>
      <c r="E3593" s="1">
        <v>45806</v>
      </c>
      <c r="F3593" t="s">
        <v>4295</v>
      </c>
      <c r="G3593" t="s">
        <v>1985</v>
      </c>
      <c r="H3593" t="s">
        <v>357</v>
      </c>
      <c r="I3593" t="s">
        <v>204</v>
      </c>
      <c r="J3593" s="1">
        <v>46476</v>
      </c>
      <c r="K3593" t="s">
        <v>711</v>
      </c>
      <c r="L3593">
        <v>1313.55</v>
      </c>
      <c r="M3593">
        <v>1313.55</v>
      </c>
      <c r="N3593" t="s">
        <v>890</v>
      </c>
      <c r="O3593" t="s">
        <v>4834</v>
      </c>
      <c r="P3593" t="s">
        <v>4776</v>
      </c>
      <c r="Q3593" t="s">
        <v>4901</v>
      </c>
      <c r="R3593" t="s">
        <v>4773</v>
      </c>
    </row>
    <row r="3594" spans="1:18" x14ac:dyDescent="0.3">
      <c r="A3594">
        <v>41431</v>
      </c>
      <c r="B3594" t="s">
        <v>1034</v>
      </c>
      <c r="C3594" t="s">
        <v>327</v>
      </c>
      <c r="D3594" t="s">
        <v>159</v>
      </c>
      <c r="E3594" s="1">
        <v>45806</v>
      </c>
      <c r="F3594" t="s">
        <v>4296</v>
      </c>
      <c r="G3594" t="s">
        <v>1919</v>
      </c>
      <c r="H3594" t="s">
        <v>357</v>
      </c>
      <c r="I3594" t="s">
        <v>204</v>
      </c>
      <c r="J3594" s="1">
        <v>46476</v>
      </c>
      <c r="K3594" t="s">
        <v>711</v>
      </c>
      <c r="L3594">
        <v>1030.58</v>
      </c>
      <c r="M3594">
        <v>1030.58</v>
      </c>
      <c r="N3594" t="s">
        <v>890</v>
      </c>
      <c r="O3594" t="s">
        <v>4834</v>
      </c>
      <c r="P3594" t="s">
        <v>4776</v>
      </c>
      <c r="Q3594" t="s">
        <v>4901</v>
      </c>
      <c r="R3594" t="s">
        <v>4773</v>
      </c>
    </row>
    <row r="3595" spans="1:18" x14ac:dyDescent="0.3">
      <c r="A3595">
        <v>300</v>
      </c>
      <c r="B3595" t="s">
        <v>1034</v>
      </c>
      <c r="C3595" t="s">
        <v>479</v>
      </c>
      <c r="D3595" t="s">
        <v>99</v>
      </c>
      <c r="E3595" s="1">
        <v>45805</v>
      </c>
      <c r="F3595" t="s">
        <v>4329</v>
      </c>
      <c r="G3595" t="s">
        <v>2063</v>
      </c>
      <c r="H3595" t="s">
        <v>478</v>
      </c>
      <c r="I3595" t="s">
        <v>204</v>
      </c>
      <c r="J3595" s="1">
        <v>46239</v>
      </c>
      <c r="K3595" t="s">
        <v>717</v>
      </c>
      <c r="L3595">
        <v>30</v>
      </c>
      <c r="M3595">
        <v>338.7</v>
      </c>
      <c r="N3595" t="s">
        <v>710</v>
      </c>
      <c r="O3595" t="s">
        <v>1037</v>
      </c>
      <c r="P3595" t="s">
        <v>4790</v>
      </c>
      <c r="Q3595" t="s">
        <v>4852</v>
      </c>
      <c r="R3595" t="s">
        <v>4772</v>
      </c>
    </row>
    <row r="3596" spans="1:18" x14ac:dyDescent="0.3">
      <c r="A3596">
        <v>348927</v>
      </c>
      <c r="B3596" t="s">
        <v>4874</v>
      </c>
      <c r="C3596" t="s">
        <v>239</v>
      </c>
      <c r="D3596" t="s">
        <v>199</v>
      </c>
      <c r="E3596" s="1">
        <v>45805</v>
      </c>
      <c r="F3596" t="s">
        <v>4325</v>
      </c>
      <c r="G3596" t="s">
        <v>2074</v>
      </c>
      <c r="H3596" t="s">
        <v>268</v>
      </c>
      <c r="I3596" t="s">
        <v>204</v>
      </c>
      <c r="J3596" s="1">
        <v>46172</v>
      </c>
      <c r="K3596" t="s">
        <v>720</v>
      </c>
      <c r="L3596">
        <v>1</v>
      </c>
      <c r="M3596">
        <v>109.9</v>
      </c>
      <c r="N3596" t="s">
        <v>710</v>
      </c>
      <c r="O3596" t="s">
        <v>1038</v>
      </c>
      <c r="P3596" t="s">
        <v>4779</v>
      </c>
      <c r="Q3596" t="s">
        <v>4858</v>
      </c>
      <c r="R3596" t="s">
        <v>4771</v>
      </c>
    </row>
    <row r="3597" spans="1:18" x14ac:dyDescent="0.3">
      <c r="A3597">
        <v>262</v>
      </c>
      <c r="B3597" t="s">
        <v>1034</v>
      </c>
      <c r="C3597" t="s">
        <v>325</v>
      </c>
      <c r="D3597" t="s">
        <v>193</v>
      </c>
      <c r="E3597" s="1">
        <v>45805</v>
      </c>
      <c r="F3597" t="s">
        <v>4297</v>
      </c>
      <c r="G3597" t="s">
        <v>1907</v>
      </c>
      <c r="H3597" t="s">
        <v>324</v>
      </c>
      <c r="I3597" t="s">
        <v>204</v>
      </c>
      <c r="J3597" s="1">
        <v>54878</v>
      </c>
      <c r="K3597" t="s">
        <v>711</v>
      </c>
      <c r="L3597">
        <v>3900</v>
      </c>
      <c r="M3597">
        <v>3900</v>
      </c>
      <c r="N3597" t="s">
        <v>710</v>
      </c>
      <c r="O3597" t="s">
        <v>4844</v>
      </c>
      <c r="P3597" t="s">
        <v>4779</v>
      </c>
      <c r="Q3597" t="s">
        <v>4901</v>
      </c>
      <c r="R3597" t="s">
        <v>4773</v>
      </c>
    </row>
    <row r="3598" spans="1:18" x14ac:dyDescent="0.3">
      <c r="A3598">
        <v>300</v>
      </c>
      <c r="B3598" t="s">
        <v>1034</v>
      </c>
      <c r="C3598" t="s">
        <v>479</v>
      </c>
      <c r="D3598" t="s">
        <v>99</v>
      </c>
      <c r="E3598" s="1">
        <v>45805</v>
      </c>
      <c r="F3598" t="s">
        <v>4312</v>
      </c>
      <c r="G3598" t="s">
        <v>2063</v>
      </c>
      <c r="H3598" t="s">
        <v>478</v>
      </c>
      <c r="I3598" t="s">
        <v>204</v>
      </c>
      <c r="J3598" s="1">
        <v>46239</v>
      </c>
      <c r="K3598" t="s">
        <v>717</v>
      </c>
      <c r="L3598">
        <v>106</v>
      </c>
      <c r="M3598">
        <v>503.5</v>
      </c>
      <c r="N3598" t="s">
        <v>710</v>
      </c>
      <c r="O3598" t="s">
        <v>1037</v>
      </c>
      <c r="P3598" t="s">
        <v>4790</v>
      </c>
      <c r="Q3598" t="s">
        <v>4852</v>
      </c>
      <c r="R3598" t="s">
        <v>4772</v>
      </c>
    </row>
    <row r="3599" spans="1:18" x14ac:dyDescent="0.3">
      <c r="A3599">
        <v>41497</v>
      </c>
      <c r="B3599" t="s">
        <v>1034</v>
      </c>
      <c r="C3599" t="s">
        <v>327</v>
      </c>
      <c r="D3599" t="s">
        <v>159</v>
      </c>
      <c r="E3599" s="1">
        <v>45805</v>
      </c>
      <c r="F3599" t="s">
        <v>4295</v>
      </c>
      <c r="G3599" t="s">
        <v>2006</v>
      </c>
      <c r="H3599" t="s">
        <v>357</v>
      </c>
      <c r="I3599" t="s">
        <v>204</v>
      </c>
      <c r="J3599" s="1">
        <v>46476</v>
      </c>
      <c r="K3599" t="s">
        <v>711</v>
      </c>
      <c r="L3599">
        <v>2150</v>
      </c>
      <c r="M3599">
        <v>2150</v>
      </c>
      <c r="N3599" t="s">
        <v>890</v>
      </c>
      <c r="O3599" t="s">
        <v>4834</v>
      </c>
      <c r="P3599" t="s">
        <v>4776</v>
      </c>
      <c r="Q3599" t="s">
        <v>4901</v>
      </c>
      <c r="R3599" t="s">
        <v>4773</v>
      </c>
    </row>
    <row r="3600" spans="1:18" x14ac:dyDescent="0.3">
      <c r="A3600">
        <v>41498</v>
      </c>
      <c r="B3600" t="s">
        <v>1034</v>
      </c>
      <c r="C3600" t="s">
        <v>327</v>
      </c>
      <c r="D3600" t="s">
        <v>159</v>
      </c>
      <c r="E3600" s="1">
        <v>45805</v>
      </c>
      <c r="F3600" t="s">
        <v>4296</v>
      </c>
      <c r="G3600" t="s">
        <v>2008</v>
      </c>
      <c r="H3600" t="s">
        <v>357</v>
      </c>
      <c r="I3600" t="s">
        <v>204</v>
      </c>
      <c r="J3600" s="1">
        <v>46476</v>
      </c>
      <c r="K3600" t="s">
        <v>711</v>
      </c>
      <c r="L3600">
        <v>853.15</v>
      </c>
      <c r="M3600">
        <v>853.15</v>
      </c>
      <c r="N3600" t="s">
        <v>890</v>
      </c>
      <c r="O3600" t="s">
        <v>4834</v>
      </c>
      <c r="P3600" t="s">
        <v>4776</v>
      </c>
      <c r="Q3600" t="s">
        <v>4901</v>
      </c>
      <c r="R3600" t="s">
        <v>4773</v>
      </c>
    </row>
    <row r="3601" spans="1:18" x14ac:dyDescent="0.3">
      <c r="A3601">
        <v>300</v>
      </c>
      <c r="B3601" t="s">
        <v>1034</v>
      </c>
      <c r="C3601" t="s">
        <v>479</v>
      </c>
      <c r="D3601" t="s">
        <v>99</v>
      </c>
      <c r="E3601" s="1">
        <v>45805</v>
      </c>
      <c r="F3601" t="s">
        <v>4311</v>
      </c>
      <c r="G3601" t="s">
        <v>2063</v>
      </c>
      <c r="H3601" t="s">
        <v>478</v>
      </c>
      <c r="I3601" t="s">
        <v>204</v>
      </c>
      <c r="J3601" s="1">
        <v>46239</v>
      </c>
      <c r="K3601" t="s">
        <v>717</v>
      </c>
      <c r="L3601">
        <v>367</v>
      </c>
      <c r="M3601">
        <v>3126.84</v>
      </c>
      <c r="N3601" t="s">
        <v>710</v>
      </c>
      <c r="O3601" t="s">
        <v>1037</v>
      </c>
      <c r="P3601" t="s">
        <v>4790</v>
      </c>
      <c r="Q3601" t="s">
        <v>4852</v>
      </c>
      <c r="R3601" t="s">
        <v>4772</v>
      </c>
    </row>
    <row r="3602" spans="1:18" x14ac:dyDescent="0.3">
      <c r="A3602">
        <v>300</v>
      </c>
      <c r="B3602" t="s">
        <v>1034</v>
      </c>
      <c r="C3602" t="s">
        <v>479</v>
      </c>
      <c r="D3602" t="s">
        <v>99</v>
      </c>
      <c r="E3602" s="1">
        <v>45805</v>
      </c>
      <c r="F3602" t="s">
        <v>4307</v>
      </c>
      <c r="G3602" t="s">
        <v>2063</v>
      </c>
      <c r="H3602" t="s">
        <v>478</v>
      </c>
      <c r="I3602" t="s">
        <v>204</v>
      </c>
      <c r="J3602" s="1">
        <v>46239</v>
      </c>
      <c r="K3602" t="s">
        <v>717</v>
      </c>
      <c r="L3602">
        <v>4077</v>
      </c>
      <c r="M3602">
        <v>49780.17</v>
      </c>
      <c r="N3602" t="s">
        <v>710</v>
      </c>
      <c r="O3602" t="s">
        <v>1037</v>
      </c>
      <c r="P3602" t="s">
        <v>4790</v>
      </c>
      <c r="Q3602" t="s">
        <v>4852</v>
      </c>
      <c r="R3602" t="s">
        <v>4772</v>
      </c>
    </row>
    <row r="3603" spans="1:18" x14ac:dyDescent="0.3">
      <c r="A3603">
        <v>300</v>
      </c>
      <c r="B3603" t="s">
        <v>1034</v>
      </c>
      <c r="C3603" t="s">
        <v>479</v>
      </c>
      <c r="D3603" t="s">
        <v>99</v>
      </c>
      <c r="E3603" s="1">
        <v>45805</v>
      </c>
      <c r="F3603" t="s">
        <v>4308</v>
      </c>
      <c r="G3603" t="s">
        <v>2063</v>
      </c>
      <c r="H3603" t="s">
        <v>478</v>
      </c>
      <c r="I3603" t="s">
        <v>204</v>
      </c>
      <c r="J3603" s="1">
        <v>46239</v>
      </c>
      <c r="K3603" t="s">
        <v>717</v>
      </c>
      <c r="L3603">
        <v>3023</v>
      </c>
      <c r="M3603">
        <v>11971.08</v>
      </c>
      <c r="N3603" t="s">
        <v>710</v>
      </c>
      <c r="O3603" t="s">
        <v>1037</v>
      </c>
      <c r="P3603" t="s">
        <v>4790</v>
      </c>
      <c r="Q3603" t="s">
        <v>4852</v>
      </c>
      <c r="R3603" t="s">
        <v>4772</v>
      </c>
    </row>
    <row r="3604" spans="1:18" x14ac:dyDescent="0.3">
      <c r="A3604">
        <v>300</v>
      </c>
      <c r="B3604" t="s">
        <v>1034</v>
      </c>
      <c r="C3604" t="s">
        <v>479</v>
      </c>
      <c r="D3604" t="s">
        <v>99</v>
      </c>
      <c r="E3604" s="1">
        <v>45805</v>
      </c>
      <c r="F3604" t="s">
        <v>4356</v>
      </c>
      <c r="G3604" t="s">
        <v>2063</v>
      </c>
      <c r="H3604" t="s">
        <v>478</v>
      </c>
      <c r="I3604" t="s">
        <v>204</v>
      </c>
      <c r="J3604" s="1">
        <v>46239</v>
      </c>
      <c r="K3604" t="s">
        <v>717</v>
      </c>
      <c r="L3604">
        <v>3</v>
      </c>
      <c r="M3604">
        <v>15.42</v>
      </c>
      <c r="N3604" t="s">
        <v>710</v>
      </c>
      <c r="O3604" t="s">
        <v>1037</v>
      </c>
      <c r="P3604" t="s">
        <v>4790</v>
      </c>
      <c r="Q3604" t="s">
        <v>4852</v>
      </c>
      <c r="R3604" t="s">
        <v>4772</v>
      </c>
    </row>
    <row r="3605" spans="1:18" x14ac:dyDescent="0.3">
      <c r="A3605">
        <v>300</v>
      </c>
      <c r="B3605" t="s">
        <v>1034</v>
      </c>
      <c r="C3605" t="s">
        <v>479</v>
      </c>
      <c r="D3605" t="s">
        <v>99</v>
      </c>
      <c r="E3605" s="1">
        <v>45805</v>
      </c>
      <c r="F3605" t="s">
        <v>4310</v>
      </c>
      <c r="G3605" t="s">
        <v>2063</v>
      </c>
      <c r="H3605" t="s">
        <v>478</v>
      </c>
      <c r="I3605" t="s">
        <v>204</v>
      </c>
      <c r="J3605" s="1">
        <v>46239</v>
      </c>
      <c r="K3605" t="s">
        <v>717</v>
      </c>
      <c r="L3605">
        <v>36</v>
      </c>
      <c r="M3605">
        <v>120.6</v>
      </c>
      <c r="N3605" t="s">
        <v>710</v>
      </c>
      <c r="O3605" t="s">
        <v>1037</v>
      </c>
      <c r="P3605" t="s">
        <v>4790</v>
      </c>
      <c r="Q3605" t="s">
        <v>4852</v>
      </c>
      <c r="R3605" t="s">
        <v>4772</v>
      </c>
    </row>
    <row r="3606" spans="1:18" x14ac:dyDescent="0.3">
      <c r="A3606">
        <v>330294</v>
      </c>
      <c r="B3606" t="s">
        <v>1035</v>
      </c>
      <c r="C3606" t="s">
        <v>239</v>
      </c>
      <c r="D3606" t="s">
        <v>199</v>
      </c>
      <c r="E3606" s="1">
        <v>45805</v>
      </c>
      <c r="F3606" t="s">
        <v>4325</v>
      </c>
      <c r="G3606" t="s">
        <v>2070</v>
      </c>
      <c r="H3606" t="s">
        <v>238</v>
      </c>
      <c r="I3606" t="s">
        <v>204</v>
      </c>
      <c r="J3606" s="1">
        <v>54878</v>
      </c>
      <c r="K3606" t="s">
        <v>754</v>
      </c>
      <c r="L3606">
        <v>1</v>
      </c>
      <c r="M3606">
        <v>75.08</v>
      </c>
      <c r="N3606" t="s">
        <v>710</v>
      </c>
      <c r="O3606" t="s">
        <v>4903</v>
      </c>
      <c r="P3606" t="s">
        <v>4779</v>
      </c>
      <c r="Q3606" t="s">
        <v>4858</v>
      </c>
      <c r="R3606" t="s">
        <v>4771</v>
      </c>
    </row>
    <row r="3607" spans="1:18" x14ac:dyDescent="0.3">
      <c r="A3607">
        <v>54755</v>
      </c>
      <c r="B3607" t="s">
        <v>4874</v>
      </c>
      <c r="C3607" t="s">
        <v>614</v>
      </c>
      <c r="D3607" t="s">
        <v>74</v>
      </c>
      <c r="E3607" s="1">
        <v>45805</v>
      </c>
      <c r="F3607" t="s">
        <v>4362</v>
      </c>
      <c r="G3607" t="s">
        <v>2031</v>
      </c>
      <c r="H3607" t="s">
        <v>613</v>
      </c>
      <c r="I3607" t="s">
        <v>204</v>
      </c>
      <c r="J3607" s="1">
        <v>46993</v>
      </c>
      <c r="K3607" t="s">
        <v>720</v>
      </c>
      <c r="L3607">
        <v>1</v>
      </c>
      <c r="M3607">
        <v>1515</v>
      </c>
      <c r="N3607" t="s">
        <v>710</v>
      </c>
      <c r="O3607" t="s">
        <v>1038</v>
      </c>
      <c r="P3607" t="s">
        <v>4779</v>
      </c>
      <c r="Q3607" t="s">
        <v>4858</v>
      </c>
      <c r="R3607" t="s">
        <v>4771</v>
      </c>
    </row>
    <row r="3608" spans="1:18" x14ac:dyDescent="0.3">
      <c r="A3608">
        <v>19331</v>
      </c>
      <c r="B3608" t="s">
        <v>4874</v>
      </c>
      <c r="C3608" t="s">
        <v>539</v>
      </c>
      <c r="D3608" t="s">
        <v>189</v>
      </c>
      <c r="E3608" s="1">
        <v>45805</v>
      </c>
      <c r="F3608" t="s">
        <v>4327</v>
      </c>
      <c r="G3608" t="s">
        <v>2009</v>
      </c>
      <c r="H3608" t="s">
        <v>573</v>
      </c>
      <c r="I3608" t="s">
        <v>209</v>
      </c>
      <c r="J3608" s="1">
        <v>45808</v>
      </c>
      <c r="K3608" t="s">
        <v>762</v>
      </c>
      <c r="L3608">
        <v>5499.6</v>
      </c>
      <c r="M3608">
        <v>5499.6</v>
      </c>
      <c r="N3608" t="s">
        <v>890</v>
      </c>
      <c r="Q3608" t="s">
        <v>807</v>
      </c>
    </row>
    <row r="3609" spans="1:18" x14ac:dyDescent="0.3">
      <c r="A3609">
        <v>466440</v>
      </c>
      <c r="B3609" t="s">
        <v>4875</v>
      </c>
      <c r="C3609" t="s">
        <v>333</v>
      </c>
      <c r="D3609" t="s">
        <v>29</v>
      </c>
      <c r="E3609" s="1">
        <v>45804</v>
      </c>
      <c r="F3609" t="s">
        <v>4317</v>
      </c>
      <c r="G3609" t="s">
        <v>2046</v>
      </c>
      <c r="H3609" t="s">
        <v>335</v>
      </c>
      <c r="I3609" t="s">
        <v>204</v>
      </c>
      <c r="J3609" s="1">
        <v>54878</v>
      </c>
      <c r="K3609" t="s">
        <v>748</v>
      </c>
      <c r="L3609">
        <v>103</v>
      </c>
      <c r="M3609">
        <v>103.15</v>
      </c>
      <c r="N3609" t="s">
        <v>710</v>
      </c>
      <c r="O3609" t="s">
        <v>1040</v>
      </c>
      <c r="P3609" t="s">
        <v>4776</v>
      </c>
      <c r="Q3609" t="s">
        <v>4856</v>
      </c>
      <c r="R3609" t="s">
        <v>4771</v>
      </c>
    </row>
    <row r="3610" spans="1:18" x14ac:dyDescent="0.3">
      <c r="A3610">
        <v>15148</v>
      </c>
      <c r="B3610" t="s">
        <v>4876</v>
      </c>
      <c r="C3610" t="s">
        <v>439</v>
      </c>
      <c r="D3610" t="s">
        <v>156</v>
      </c>
      <c r="E3610" s="1">
        <v>45804</v>
      </c>
      <c r="F3610" t="s">
        <v>4396</v>
      </c>
      <c r="G3610" t="s">
        <v>2065</v>
      </c>
      <c r="H3610" t="s">
        <v>485</v>
      </c>
      <c r="I3610" t="s">
        <v>204</v>
      </c>
      <c r="J3610" s="1">
        <v>54878</v>
      </c>
      <c r="K3610" t="s">
        <v>839</v>
      </c>
      <c r="L3610">
        <v>5620.62</v>
      </c>
      <c r="M3610">
        <v>5620.62</v>
      </c>
      <c r="N3610" t="s">
        <v>710</v>
      </c>
      <c r="O3610" t="s">
        <v>1037</v>
      </c>
      <c r="P3610" t="s">
        <v>4776</v>
      </c>
      <c r="Q3610" t="s">
        <v>4852</v>
      </c>
      <c r="R3610" t="s">
        <v>4771</v>
      </c>
    </row>
    <row r="3611" spans="1:18" x14ac:dyDescent="0.3">
      <c r="A3611">
        <v>82133</v>
      </c>
      <c r="B3611" t="s">
        <v>1034</v>
      </c>
      <c r="C3611" t="s">
        <v>319</v>
      </c>
      <c r="D3611" t="s">
        <v>36</v>
      </c>
      <c r="E3611" s="1">
        <v>45804</v>
      </c>
      <c r="F3611" t="s">
        <v>4298</v>
      </c>
      <c r="G3611" t="s">
        <v>2090</v>
      </c>
      <c r="H3611" t="s">
        <v>318</v>
      </c>
      <c r="I3611" t="s">
        <v>204</v>
      </c>
      <c r="J3611" s="1">
        <v>46214</v>
      </c>
      <c r="K3611" t="s">
        <v>711</v>
      </c>
      <c r="L3611">
        <v>835</v>
      </c>
      <c r="M3611">
        <v>834.73</v>
      </c>
      <c r="N3611" t="s">
        <v>710</v>
      </c>
      <c r="O3611" t="s">
        <v>1036</v>
      </c>
      <c r="P3611" t="s">
        <v>4784</v>
      </c>
      <c r="Q3611" t="s">
        <v>4901</v>
      </c>
      <c r="R3611" t="s">
        <v>4771</v>
      </c>
    </row>
    <row r="3612" spans="1:18" x14ac:dyDescent="0.3">
      <c r="A3612">
        <v>8377</v>
      </c>
      <c r="B3612" t="s">
        <v>1034</v>
      </c>
      <c r="C3612" t="s">
        <v>267</v>
      </c>
      <c r="D3612" t="s">
        <v>186</v>
      </c>
      <c r="E3612" s="1">
        <v>45804</v>
      </c>
      <c r="F3612" t="s">
        <v>4350</v>
      </c>
      <c r="G3612" t="s">
        <v>2061</v>
      </c>
      <c r="H3612" t="s">
        <v>266</v>
      </c>
      <c r="I3612" t="s">
        <v>204</v>
      </c>
      <c r="J3612" s="1">
        <v>46259</v>
      </c>
      <c r="K3612" t="s">
        <v>717</v>
      </c>
      <c r="L3612">
        <v>19508.3</v>
      </c>
      <c r="M3612">
        <v>19508.3</v>
      </c>
      <c r="N3612" t="s">
        <v>710</v>
      </c>
      <c r="O3612" t="s">
        <v>1037</v>
      </c>
      <c r="P3612" t="s">
        <v>4780</v>
      </c>
      <c r="Q3612" t="s">
        <v>4852</v>
      </c>
      <c r="R3612" t="s">
        <v>4772</v>
      </c>
    </row>
    <row r="3613" spans="1:18" x14ac:dyDescent="0.3">
      <c r="A3613">
        <v>8376</v>
      </c>
      <c r="B3613" t="s">
        <v>1034</v>
      </c>
      <c r="C3613" t="s">
        <v>267</v>
      </c>
      <c r="D3613" t="s">
        <v>186</v>
      </c>
      <c r="E3613" s="1">
        <v>45804</v>
      </c>
      <c r="F3613" t="s">
        <v>4350</v>
      </c>
      <c r="G3613" t="s">
        <v>2061</v>
      </c>
      <c r="H3613" t="s">
        <v>266</v>
      </c>
      <c r="I3613" t="s">
        <v>204</v>
      </c>
      <c r="J3613" s="1">
        <v>46259</v>
      </c>
      <c r="K3613" t="s">
        <v>717</v>
      </c>
      <c r="L3613">
        <v>25200</v>
      </c>
      <c r="M3613">
        <v>25200</v>
      </c>
      <c r="N3613" t="s">
        <v>710</v>
      </c>
      <c r="O3613" t="s">
        <v>1037</v>
      </c>
      <c r="P3613" t="s">
        <v>4780</v>
      </c>
      <c r="Q3613" t="s">
        <v>4852</v>
      </c>
      <c r="R3613" t="s">
        <v>4772</v>
      </c>
    </row>
    <row r="3614" spans="1:18" x14ac:dyDescent="0.3">
      <c r="A3614">
        <v>8375</v>
      </c>
      <c r="B3614" t="s">
        <v>1034</v>
      </c>
      <c r="C3614" t="s">
        <v>267</v>
      </c>
      <c r="D3614" t="s">
        <v>186</v>
      </c>
      <c r="E3614" s="1">
        <v>45804</v>
      </c>
      <c r="F3614" t="s">
        <v>4350</v>
      </c>
      <c r="G3614" t="s">
        <v>2061</v>
      </c>
      <c r="H3614" t="s">
        <v>266</v>
      </c>
      <c r="I3614" t="s">
        <v>204</v>
      </c>
      <c r="J3614" s="1">
        <v>46259</v>
      </c>
      <c r="K3614" t="s">
        <v>717</v>
      </c>
      <c r="L3614">
        <v>13763.2</v>
      </c>
      <c r="M3614">
        <v>13763.2</v>
      </c>
      <c r="N3614" t="s">
        <v>710</v>
      </c>
      <c r="O3614" t="s">
        <v>1037</v>
      </c>
      <c r="P3614" t="s">
        <v>4780</v>
      </c>
      <c r="Q3614" t="s">
        <v>4852</v>
      </c>
      <c r="R3614" t="s">
        <v>4772</v>
      </c>
    </row>
    <row r="3615" spans="1:18" x14ac:dyDescent="0.3">
      <c r="A3615">
        <v>8374</v>
      </c>
      <c r="B3615" t="s">
        <v>1034</v>
      </c>
      <c r="C3615" t="s">
        <v>267</v>
      </c>
      <c r="D3615" t="s">
        <v>186</v>
      </c>
      <c r="E3615" s="1">
        <v>45804</v>
      </c>
      <c r="F3615" t="s">
        <v>4350</v>
      </c>
      <c r="G3615" t="s">
        <v>2061</v>
      </c>
      <c r="H3615" t="s">
        <v>266</v>
      </c>
      <c r="I3615" t="s">
        <v>204</v>
      </c>
      <c r="J3615" s="1">
        <v>46259</v>
      </c>
      <c r="K3615" t="s">
        <v>717</v>
      </c>
      <c r="L3615">
        <v>51190.92</v>
      </c>
      <c r="M3615">
        <v>51190.92</v>
      </c>
      <c r="N3615" t="s">
        <v>710</v>
      </c>
      <c r="O3615" t="s">
        <v>1037</v>
      </c>
      <c r="P3615" t="s">
        <v>4780</v>
      </c>
      <c r="Q3615" t="s">
        <v>4852</v>
      </c>
      <c r="R3615" t="s">
        <v>4772</v>
      </c>
    </row>
    <row r="3616" spans="1:18" x14ac:dyDescent="0.3">
      <c r="A3616">
        <v>8372</v>
      </c>
      <c r="B3616" t="s">
        <v>1034</v>
      </c>
      <c r="C3616" t="s">
        <v>267</v>
      </c>
      <c r="D3616" t="s">
        <v>186</v>
      </c>
      <c r="E3616" s="1">
        <v>45804</v>
      </c>
      <c r="F3616" t="s">
        <v>4350</v>
      </c>
      <c r="G3616" t="s">
        <v>2061</v>
      </c>
      <c r="H3616" t="s">
        <v>266</v>
      </c>
      <c r="I3616" t="s">
        <v>204</v>
      </c>
      <c r="J3616" s="1">
        <v>46259</v>
      </c>
      <c r="K3616" t="s">
        <v>717</v>
      </c>
      <c r="L3616">
        <v>7182.8</v>
      </c>
      <c r="M3616">
        <v>7182.8</v>
      </c>
      <c r="N3616" t="s">
        <v>710</v>
      </c>
      <c r="O3616" t="s">
        <v>1037</v>
      </c>
      <c r="P3616" t="s">
        <v>4780</v>
      </c>
      <c r="Q3616" t="s">
        <v>4852</v>
      </c>
      <c r="R3616" t="s">
        <v>4772</v>
      </c>
    </row>
    <row r="3617" spans="1:18" x14ac:dyDescent="0.3">
      <c r="A3617">
        <v>5028680</v>
      </c>
      <c r="B3617" t="s">
        <v>1034</v>
      </c>
      <c r="C3617" t="s">
        <v>463</v>
      </c>
      <c r="D3617" t="s">
        <v>147</v>
      </c>
      <c r="E3617" s="1">
        <v>45804</v>
      </c>
      <c r="F3617" t="s">
        <v>4334</v>
      </c>
      <c r="G3617" t="s">
        <v>2096</v>
      </c>
      <c r="H3617" t="s">
        <v>462</v>
      </c>
      <c r="I3617" t="s">
        <v>204</v>
      </c>
      <c r="J3617" s="1">
        <v>46752</v>
      </c>
      <c r="K3617" t="s">
        <v>717</v>
      </c>
      <c r="L3617">
        <v>1082.6300000000001</v>
      </c>
      <c r="M3617">
        <v>1082.6300000000001</v>
      </c>
      <c r="N3617" t="s">
        <v>719</v>
      </c>
      <c r="O3617" t="s">
        <v>1033</v>
      </c>
      <c r="P3617" t="s">
        <v>4776</v>
      </c>
      <c r="Q3617" t="s">
        <v>4852</v>
      </c>
      <c r="R3617" t="s">
        <v>4771</v>
      </c>
    </row>
    <row r="3618" spans="1:18" x14ac:dyDescent="0.3">
      <c r="A3618">
        <v>15794</v>
      </c>
      <c r="B3618" t="s">
        <v>1034</v>
      </c>
      <c r="C3618" t="s">
        <v>632</v>
      </c>
      <c r="D3618" t="s">
        <v>41</v>
      </c>
      <c r="E3618" s="1">
        <v>45804</v>
      </c>
      <c r="F3618" t="s">
        <v>4352</v>
      </c>
      <c r="G3618" t="s">
        <v>2047</v>
      </c>
      <c r="H3618" t="s">
        <v>631</v>
      </c>
      <c r="I3618" t="s">
        <v>204</v>
      </c>
      <c r="J3618" s="1">
        <v>50860</v>
      </c>
      <c r="K3618" t="s">
        <v>717</v>
      </c>
      <c r="L3618">
        <v>1</v>
      </c>
      <c r="M3618">
        <v>6240</v>
      </c>
      <c r="N3618" t="s">
        <v>710</v>
      </c>
      <c r="O3618" t="s">
        <v>4833</v>
      </c>
      <c r="P3618" t="s">
        <v>4776</v>
      </c>
      <c r="Q3618" t="s">
        <v>4852</v>
      </c>
      <c r="R3618" t="s">
        <v>4771</v>
      </c>
    </row>
    <row r="3619" spans="1:18" x14ac:dyDescent="0.3">
      <c r="A3619">
        <v>3468</v>
      </c>
      <c r="B3619" t="s">
        <v>1034</v>
      </c>
      <c r="C3619" t="s">
        <v>319</v>
      </c>
      <c r="D3619" t="s">
        <v>36</v>
      </c>
      <c r="E3619" s="1">
        <v>45804</v>
      </c>
      <c r="F3619" t="s">
        <v>4298</v>
      </c>
      <c r="G3619" t="s">
        <v>2091</v>
      </c>
      <c r="H3619" t="s">
        <v>318</v>
      </c>
      <c r="I3619" t="s">
        <v>204</v>
      </c>
      <c r="J3619" s="1">
        <v>46214</v>
      </c>
      <c r="K3619" t="s">
        <v>711</v>
      </c>
      <c r="L3619">
        <v>2090</v>
      </c>
      <c r="M3619">
        <v>2089.86</v>
      </c>
      <c r="N3619" t="s">
        <v>710</v>
      </c>
      <c r="O3619" t="s">
        <v>1036</v>
      </c>
      <c r="P3619" t="s">
        <v>4784</v>
      </c>
      <c r="Q3619" t="s">
        <v>4901</v>
      </c>
      <c r="R3619" t="s">
        <v>4771</v>
      </c>
    </row>
    <row r="3620" spans="1:18" x14ac:dyDescent="0.3">
      <c r="A3620">
        <v>8373</v>
      </c>
      <c r="B3620" t="s">
        <v>1034</v>
      </c>
      <c r="C3620" t="s">
        <v>267</v>
      </c>
      <c r="D3620" t="s">
        <v>186</v>
      </c>
      <c r="E3620" s="1">
        <v>45804</v>
      </c>
      <c r="F3620" t="s">
        <v>4350</v>
      </c>
      <c r="G3620" t="s">
        <v>2061</v>
      </c>
      <c r="H3620" t="s">
        <v>266</v>
      </c>
      <c r="I3620" t="s">
        <v>204</v>
      </c>
      <c r="J3620" s="1">
        <v>46259</v>
      </c>
      <c r="K3620" t="s">
        <v>717</v>
      </c>
      <c r="L3620">
        <v>16454.240000000002</v>
      </c>
      <c r="M3620">
        <v>16454.240000000002</v>
      </c>
      <c r="N3620" t="s">
        <v>710</v>
      </c>
      <c r="O3620" t="s">
        <v>1037</v>
      </c>
      <c r="P3620" t="s">
        <v>4780</v>
      </c>
      <c r="Q3620" t="s">
        <v>4852</v>
      </c>
      <c r="R3620" t="s">
        <v>4772</v>
      </c>
    </row>
    <row r="3621" spans="1:18" x14ac:dyDescent="0.3">
      <c r="A3621">
        <v>471437</v>
      </c>
      <c r="B3621" t="s">
        <v>1034</v>
      </c>
      <c r="C3621" t="s">
        <v>333</v>
      </c>
      <c r="D3621" t="s">
        <v>29</v>
      </c>
      <c r="E3621" s="1">
        <v>45804</v>
      </c>
      <c r="F3621" t="s">
        <v>4317</v>
      </c>
      <c r="G3621" t="s">
        <v>2044</v>
      </c>
      <c r="H3621" t="s">
        <v>332</v>
      </c>
      <c r="I3621" t="s">
        <v>204</v>
      </c>
      <c r="J3621" s="1">
        <v>54878</v>
      </c>
      <c r="K3621" t="s">
        <v>711</v>
      </c>
      <c r="L3621">
        <v>137</v>
      </c>
      <c r="M3621">
        <v>137.1</v>
      </c>
      <c r="N3621" t="s">
        <v>710</v>
      </c>
      <c r="O3621" t="s">
        <v>1036</v>
      </c>
      <c r="P3621" t="s">
        <v>4776</v>
      </c>
      <c r="Q3621" t="s">
        <v>4901</v>
      </c>
      <c r="R3621" t="s">
        <v>4771</v>
      </c>
    </row>
    <row r="3622" spans="1:18" x14ac:dyDescent="0.3">
      <c r="A3622">
        <v>15147</v>
      </c>
      <c r="B3622" t="s">
        <v>4874</v>
      </c>
      <c r="C3622" t="s">
        <v>439</v>
      </c>
      <c r="D3622" t="s">
        <v>156</v>
      </c>
      <c r="E3622" s="1">
        <v>45804</v>
      </c>
      <c r="F3622" t="s">
        <v>4396</v>
      </c>
      <c r="G3622" t="s">
        <v>2067</v>
      </c>
      <c r="H3622" t="s">
        <v>438</v>
      </c>
      <c r="I3622" t="s">
        <v>204</v>
      </c>
      <c r="J3622" s="1">
        <v>46265</v>
      </c>
      <c r="K3622" t="s">
        <v>762</v>
      </c>
      <c r="L3622">
        <v>23717.05</v>
      </c>
      <c r="M3622">
        <v>23717.05</v>
      </c>
      <c r="N3622" t="s">
        <v>710</v>
      </c>
      <c r="O3622" t="s">
        <v>1037</v>
      </c>
      <c r="P3622" t="s">
        <v>4789</v>
      </c>
      <c r="Q3622" t="s">
        <v>4852</v>
      </c>
      <c r="R3622" t="s">
        <v>4771</v>
      </c>
    </row>
    <row r="3623" spans="1:18" x14ac:dyDescent="0.3">
      <c r="A3623">
        <v>40570</v>
      </c>
      <c r="B3623" t="s">
        <v>4874</v>
      </c>
      <c r="C3623" t="s">
        <v>294</v>
      </c>
      <c r="D3623" t="s">
        <v>101</v>
      </c>
      <c r="E3623" s="1">
        <v>45804</v>
      </c>
      <c r="F3623" t="s">
        <v>4304</v>
      </c>
      <c r="G3623" t="s">
        <v>2053</v>
      </c>
      <c r="H3623" t="s">
        <v>293</v>
      </c>
      <c r="I3623" t="s">
        <v>204</v>
      </c>
      <c r="J3623" s="1">
        <v>46191</v>
      </c>
      <c r="K3623" t="s">
        <v>720</v>
      </c>
      <c r="L3623">
        <v>1</v>
      </c>
      <c r="M3623">
        <v>610</v>
      </c>
      <c r="N3623" t="s">
        <v>710</v>
      </c>
      <c r="O3623" t="s">
        <v>4834</v>
      </c>
      <c r="P3623" t="s">
        <v>4776</v>
      </c>
      <c r="Q3623" t="s">
        <v>4858</v>
      </c>
      <c r="R3623" t="s">
        <v>4773</v>
      </c>
    </row>
    <row r="3624" spans="1:18" x14ac:dyDescent="0.3">
      <c r="A3624">
        <v>697375</v>
      </c>
      <c r="B3624" t="s">
        <v>4874</v>
      </c>
      <c r="C3624" t="s">
        <v>409</v>
      </c>
      <c r="D3624" t="s">
        <v>28</v>
      </c>
      <c r="E3624" s="1">
        <v>45804</v>
      </c>
      <c r="F3624" t="s">
        <v>4388</v>
      </c>
      <c r="G3624" t="s">
        <v>1981</v>
      </c>
      <c r="H3624" t="s">
        <v>408</v>
      </c>
      <c r="I3624" t="s">
        <v>204</v>
      </c>
      <c r="J3624" s="1">
        <v>54878</v>
      </c>
      <c r="K3624" t="s">
        <v>762</v>
      </c>
      <c r="L3624">
        <v>19785</v>
      </c>
      <c r="M3624">
        <v>19785.47</v>
      </c>
      <c r="N3624" t="s">
        <v>710</v>
      </c>
      <c r="O3624" t="s">
        <v>4833</v>
      </c>
      <c r="P3624" t="s">
        <v>4776</v>
      </c>
      <c r="Q3624" t="s">
        <v>4852</v>
      </c>
      <c r="R3624" t="s">
        <v>4773</v>
      </c>
    </row>
    <row r="3625" spans="1:18" x14ac:dyDescent="0.3">
      <c r="A3625">
        <v>2353385</v>
      </c>
      <c r="B3625" t="s">
        <v>4874</v>
      </c>
      <c r="C3625" t="s">
        <v>403</v>
      </c>
      <c r="D3625" t="s">
        <v>106</v>
      </c>
      <c r="E3625" s="1">
        <v>45804</v>
      </c>
      <c r="F3625" t="s">
        <v>4362</v>
      </c>
      <c r="G3625" t="s">
        <v>2001</v>
      </c>
      <c r="H3625" t="s">
        <v>402</v>
      </c>
      <c r="I3625" t="s">
        <v>204</v>
      </c>
      <c r="J3625" s="1">
        <v>46386</v>
      </c>
      <c r="K3625" t="s">
        <v>762</v>
      </c>
      <c r="L3625">
        <v>19012.82</v>
      </c>
      <c r="M3625">
        <v>19012.82</v>
      </c>
      <c r="N3625" t="s">
        <v>710</v>
      </c>
      <c r="O3625" t="s">
        <v>1037</v>
      </c>
      <c r="P3625" t="s">
        <v>4779</v>
      </c>
      <c r="Q3625" t="s">
        <v>4852</v>
      </c>
      <c r="R3625" t="s">
        <v>4772</v>
      </c>
    </row>
    <row r="3626" spans="1:18" x14ac:dyDescent="0.3">
      <c r="A3626">
        <v>803359</v>
      </c>
      <c r="B3626" t="s">
        <v>1034</v>
      </c>
      <c r="C3626" t="s">
        <v>433</v>
      </c>
      <c r="D3626" t="s">
        <v>168</v>
      </c>
      <c r="E3626" s="1">
        <v>45804</v>
      </c>
      <c r="F3626" t="s">
        <v>4319</v>
      </c>
      <c r="G3626" t="s">
        <v>2042</v>
      </c>
      <c r="H3626" t="s">
        <v>432</v>
      </c>
      <c r="I3626" t="s">
        <v>204</v>
      </c>
      <c r="J3626" s="1">
        <v>46473</v>
      </c>
      <c r="K3626" t="s">
        <v>762</v>
      </c>
      <c r="L3626">
        <v>312</v>
      </c>
      <c r="M3626">
        <v>312.32</v>
      </c>
      <c r="N3626" t="s">
        <v>710</v>
      </c>
      <c r="O3626" t="s">
        <v>4833</v>
      </c>
      <c r="P3626" t="s">
        <v>4802</v>
      </c>
      <c r="Q3626" t="s">
        <v>4852</v>
      </c>
      <c r="R3626" t="s">
        <v>4771</v>
      </c>
    </row>
    <row r="3627" spans="1:18" x14ac:dyDescent="0.3">
      <c r="A3627">
        <v>791368</v>
      </c>
      <c r="B3627" t="s">
        <v>4874</v>
      </c>
      <c r="C3627" t="s">
        <v>433</v>
      </c>
      <c r="D3627" t="s">
        <v>168</v>
      </c>
      <c r="E3627" s="1">
        <v>45804</v>
      </c>
      <c r="F3627" t="s">
        <v>4319</v>
      </c>
      <c r="G3627" t="s">
        <v>2041</v>
      </c>
      <c r="H3627" t="s">
        <v>432</v>
      </c>
      <c r="I3627" t="s">
        <v>204</v>
      </c>
      <c r="J3627" s="1">
        <v>46473</v>
      </c>
      <c r="K3627" t="s">
        <v>762</v>
      </c>
      <c r="L3627">
        <v>109</v>
      </c>
      <c r="M3627">
        <v>109.35</v>
      </c>
      <c r="N3627" t="s">
        <v>710</v>
      </c>
      <c r="O3627" t="s">
        <v>4833</v>
      </c>
      <c r="P3627" t="s">
        <v>4802</v>
      </c>
      <c r="Q3627" t="s">
        <v>4852</v>
      </c>
      <c r="R3627" t="s">
        <v>4771</v>
      </c>
    </row>
    <row r="3628" spans="1:18" x14ac:dyDescent="0.3">
      <c r="A3628">
        <v>586828</v>
      </c>
      <c r="B3628" t="s">
        <v>1034</v>
      </c>
      <c r="C3628" t="s">
        <v>248</v>
      </c>
      <c r="D3628" t="s">
        <v>13</v>
      </c>
      <c r="E3628" s="1">
        <v>45804</v>
      </c>
      <c r="F3628" t="s">
        <v>4297</v>
      </c>
      <c r="G3628" t="s">
        <v>1972</v>
      </c>
      <c r="H3628" t="s">
        <v>315</v>
      </c>
      <c r="I3628" t="s">
        <v>204</v>
      </c>
      <c r="J3628" s="1">
        <v>46073</v>
      </c>
      <c r="K3628" t="s">
        <v>711</v>
      </c>
      <c r="L3628">
        <v>5391.91</v>
      </c>
      <c r="M3628">
        <v>5391.91</v>
      </c>
      <c r="N3628" t="s">
        <v>710</v>
      </c>
      <c r="O3628" t="s">
        <v>1036</v>
      </c>
      <c r="P3628" t="s">
        <v>4779</v>
      </c>
      <c r="Q3628" t="s">
        <v>4901</v>
      </c>
      <c r="R3628" t="s">
        <v>4773</v>
      </c>
    </row>
    <row r="3629" spans="1:18" x14ac:dyDescent="0.3">
      <c r="A3629">
        <v>2843</v>
      </c>
      <c r="B3629" t="s">
        <v>4874</v>
      </c>
      <c r="C3629" t="s">
        <v>533</v>
      </c>
      <c r="D3629" t="s">
        <v>103</v>
      </c>
      <c r="E3629" s="1">
        <v>45804</v>
      </c>
      <c r="F3629" t="s">
        <v>4410</v>
      </c>
      <c r="G3629" t="s">
        <v>2015</v>
      </c>
      <c r="H3629" t="s">
        <v>532</v>
      </c>
      <c r="I3629" t="s">
        <v>204</v>
      </c>
      <c r="J3629" s="1">
        <v>46568</v>
      </c>
      <c r="K3629" t="s">
        <v>892</v>
      </c>
      <c r="L3629">
        <v>1</v>
      </c>
      <c r="M3629">
        <v>-10378.5</v>
      </c>
      <c r="N3629" t="s">
        <v>710</v>
      </c>
      <c r="O3629" t="s">
        <v>4811</v>
      </c>
      <c r="P3629" t="s">
        <v>4776</v>
      </c>
      <c r="Q3629" t="s">
        <v>4859</v>
      </c>
      <c r="R3629" t="s">
        <v>4771</v>
      </c>
    </row>
    <row r="3630" spans="1:18" x14ac:dyDescent="0.3">
      <c r="A3630">
        <v>4669</v>
      </c>
      <c r="B3630" t="s">
        <v>4874</v>
      </c>
      <c r="C3630" t="s">
        <v>456</v>
      </c>
      <c r="D3630" t="s">
        <v>71</v>
      </c>
      <c r="E3630" s="1">
        <v>45804</v>
      </c>
      <c r="F3630" t="s">
        <v>4401</v>
      </c>
      <c r="G3630" t="s">
        <v>2073</v>
      </c>
      <c r="H3630" t="s">
        <v>455</v>
      </c>
      <c r="I3630" t="s">
        <v>204</v>
      </c>
      <c r="J3630" s="1">
        <v>54878</v>
      </c>
      <c r="K3630" t="s">
        <v>762</v>
      </c>
      <c r="L3630">
        <v>6885.9</v>
      </c>
      <c r="M3630">
        <v>6885.9</v>
      </c>
      <c r="N3630" t="s">
        <v>710</v>
      </c>
      <c r="O3630" t="s">
        <v>1042</v>
      </c>
      <c r="P3630" t="s">
        <v>1006</v>
      </c>
      <c r="Q3630" t="s">
        <v>4852</v>
      </c>
      <c r="R3630" t="s">
        <v>4771</v>
      </c>
    </row>
    <row r="3631" spans="1:18" x14ac:dyDescent="0.3">
      <c r="A3631">
        <v>463846</v>
      </c>
      <c r="B3631" t="s">
        <v>4874</v>
      </c>
      <c r="C3631" t="s">
        <v>333</v>
      </c>
      <c r="D3631" t="s">
        <v>29</v>
      </c>
      <c r="E3631" s="1">
        <v>45804</v>
      </c>
      <c r="F3631" t="s">
        <v>4317</v>
      </c>
      <c r="G3631" t="s">
        <v>2045</v>
      </c>
      <c r="H3631" t="s">
        <v>460</v>
      </c>
      <c r="I3631" t="s">
        <v>204</v>
      </c>
      <c r="J3631" s="1">
        <v>54878</v>
      </c>
      <c r="K3631" t="s">
        <v>785</v>
      </c>
      <c r="L3631">
        <v>1</v>
      </c>
      <c r="M3631">
        <v>138.5</v>
      </c>
      <c r="N3631" t="s">
        <v>710</v>
      </c>
      <c r="O3631" t="s">
        <v>1038</v>
      </c>
      <c r="P3631" t="s">
        <v>4776</v>
      </c>
      <c r="Q3631" t="s">
        <v>4858</v>
      </c>
      <c r="R3631" t="s">
        <v>4771</v>
      </c>
    </row>
    <row r="3632" spans="1:18" x14ac:dyDescent="0.3">
      <c r="A3632">
        <v>174146</v>
      </c>
      <c r="B3632" t="s">
        <v>4874</v>
      </c>
      <c r="C3632" t="s">
        <v>433</v>
      </c>
      <c r="D3632" t="s">
        <v>168</v>
      </c>
      <c r="E3632" s="1">
        <v>45804</v>
      </c>
      <c r="F3632" t="s">
        <v>4319</v>
      </c>
      <c r="G3632" t="s">
        <v>2054</v>
      </c>
      <c r="H3632" t="s">
        <v>432</v>
      </c>
      <c r="I3632" t="s">
        <v>204</v>
      </c>
      <c r="J3632" s="1">
        <v>46473</v>
      </c>
      <c r="K3632" t="s">
        <v>762</v>
      </c>
      <c r="L3632">
        <v>1300</v>
      </c>
      <c r="M3632">
        <v>1299.69</v>
      </c>
      <c r="N3632" t="s">
        <v>710</v>
      </c>
      <c r="O3632" t="s">
        <v>4833</v>
      </c>
      <c r="P3632" t="s">
        <v>4802</v>
      </c>
      <c r="Q3632" t="s">
        <v>4852</v>
      </c>
      <c r="R3632" t="s">
        <v>4771</v>
      </c>
    </row>
    <row r="3633" spans="1:18" x14ac:dyDescent="0.3">
      <c r="A3633">
        <v>121102</v>
      </c>
      <c r="B3633" t="s">
        <v>1034</v>
      </c>
      <c r="C3633" t="s">
        <v>415</v>
      </c>
      <c r="D3633" t="s">
        <v>60</v>
      </c>
      <c r="E3633" s="1">
        <v>45803</v>
      </c>
      <c r="F3633" t="s">
        <v>4333</v>
      </c>
      <c r="G3633" t="s">
        <v>2056</v>
      </c>
      <c r="H3633" t="s">
        <v>431</v>
      </c>
      <c r="I3633" t="s">
        <v>204</v>
      </c>
      <c r="J3633" s="1">
        <v>46386</v>
      </c>
      <c r="K3633" t="s">
        <v>717</v>
      </c>
      <c r="L3633">
        <v>14606.09</v>
      </c>
      <c r="M3633">
        <v>14606.09</v>
      </c>
      <c r="N3633" t="s">
        <v>814</v>
      </c>
      <c r="O3633" t="s">
        <v>1037</v>
      </c>
      <c r="P3633" t="s">
        <v>4807</v>
      </c>
      <c r="Q3633" t="s">
        <v>4852</v>
      </c>
      <c r="R3633" t="s">
        <v>4771</v>
      </c>
    </row>
    <row r="3634" spans="1:18" x14ac:dyDescent="0.3">
      <c r="A3634">
        <v>9255</v>
      </c>
      <c r="B3634" t="s">
        <v>1034</v>
      </c>
      <c r="C3634" t="s">
        <v>598</v>
      </c>
      <c r="D3634" t="s">
        <v>128</v>
      </c>
      <c r="E3634" s="1">
        <v>45803</v>
      </c>
      <c r="F3634" t="s">
        <v>4336</v>
      </c>
      <c r="G3634" t="s">
        <v>2037</v>
      </c>
      <c r="H3634" t="s">
        <v>597</v>
      </c>
      <c r="I3634" t="s">
        <v>204</v>
      </c>
      <c r="J3634" s="1">
        <v>45839</v>
      </c>
      <c r="K3634" t="s">
        <v>717</v>
      </c>
      <c r="L3634">
        <v>4461.6899999999996</v>
      </c>
      <c r="M3634">
        <v>4461.6899999999996</v>
      </c>
      <c r="N3634" t="s">
        <v>710</v>
      </c>
      <c r="O3634" t="s">
        <v>1037</v>
      </c>
      <c r="P3634" t="s">
        <v>4794</v>
      </c>
      <c r="Q3634" t="s">
        <v>4852</v>
      </c>
      <c r="R3634" t="s">
        <v>4772</v>
      </c>
    </row>
    <row r="3635" spans="1:18" x14ac:dyDescent="0.3">
      <c r="A3635">
        <v>392734</v>
      </c>
      <c r="B3635" t="s">
        <v>4874</v>
      </c>
      <c r="C3635" t="s">
        <v>376</v>
      </c>
      <c r="D3635" t="s">
        <v>35</v>
      </c>
      <c r="E3635" s="1">
        <v>45803</v>
      </c>
      <c r="F3635" t="s">
        <v>4324</v>
      </c>
      <c r="G3635" t="s">
        <v>2064</v>
      </c>
      <c r="H3635" t="s">
        <v>442</v>
      </c>
      <c r="I3635" t="s">
        <v>209</v>
      </c>
      <c r="J3635" s="1">
        <v>54878</v>
      </c>
      <c r="K3635" t="s">
        <v>762</v>
      </c>
      <c r="L3635">
        <v>236.5</v>
      </c>
      <c r="M3635">
        <v>236.5</v>
      </c>
      <c r="N3635" t="s">
        <v>710</v>
      </c>
      <c r="Q3635" t="s">
        <v>4852</v>
      </c>
      <c r="R3635" t="s">
        <v>4771</v>
      </c>
    </row>
    <row r="3636" spans="1:18" x14ac:dyDescent="0.3">
      <c r="A3636">
        <v>2020196</v>
      </c>
      <c r="B3636" t="s">
        <v>4874</v>
      </c>
      <c r="C3636" t="s">
        <v>459</v>
      </c>
      <c r="D3636" t="s">
        <v>160</v>
      </c>
      <c r="E3636" s="1">
        <v>45803</v>
      </c>
      <c r="F3636" t="s">
        <v>4399</v>
      </c>
      <c r="G3636" t="s">
        <v>2069</v>
      </c>
      <c r="H3636" t="s">
        <v>458</v>
      </c>
      <c r="I3636" t="s">
        <v>209</v>
      </c>
      <c r="J3636" s="1">
        <v>54878</v>
      </c>
      <c r="K3636" t="s">
        <v>762</v>
      </c>
      <c r="L3636">
        <v>34692.17</v>
      </c>
      <c r="M3636">
        <v>34692.17</v>
      </c>
      <c r="N3636" t="s">
        <v>710</v>
      </c>
      <c r="Q3636" t="s">
        <v>4852</v>
      </c>
      <c r="R3636" t="s">
        <v>4772</v>
      </c>
    </row>
    <row r="3637" spans="1:18" x14ac:dyDescent="0.3">
      <c r="A3637">
        <v>347788</v>
      </c>
      <c r="B3637" t="s">
        <v>1034</v>
      </c>
      <c r="C3637" t="s">
        <v>376</v>
      </c>
      <c r="D3637" t="s">
        <v>35</v>
      </c>
      <c r="E3637" s="1">
        <v>45803</v>
      </c>
      <c r="F3637" t="s">
        <v>4324</v>
      </c>
      <c r="G3637" t="s">
        <v>2066</v>
      </c>
      <c r="H3637" t="s">
        <v>375</v>
      </c>
      <c r="I3637" t="s">
        <v>209</v>
      </c>
      <c r="J3637" s="1">
        <v>54878</v>
      </c>
      <c r="K3637" t="s">
        <v>717</v>
      </c>
      <c r="L3637">
        <v>136048</v>
      </c>
      <c r="M3637">
        <v>136048</v>
      </c>
      <c r="N3637" t="s">
        <v>710</v>
      </c>
      <c r="O3637" t="s">
        <v>1037</v>
      </c>
      <c r="P3637" t="s">
        <v>4807</v>
      </c>
      <c r="Q3637" t="s">
        <v>4852</v>
      </c>
      <c r="R3637" t="s">
        <v>4771</v>
      </c>
    </row>
    <row r="3638" spans="1:18" x14ac:dyDescent="0.3">
      <c r="A3638">
        <v>347528</v>
      </c>
      <c r="B3638" t="s">
        <v>1034</v>
      </c>
      <c r="C3638" t="s">
        <v>376</v>
      </c>
      <c r="D3638" t="s">
        <v>35</v>
      </c>
      <c r="E3638" s="1">
        <v>45803</v>
      </c>
      <c r="F3638" t="s">
        <v>4324</v>
      </c>
      <c r="G3638" t="s">
        <v>2071</v>
      </c>
      <c r="H3638" t="s">
        <v>375</v>
      </c>
      <c r="I3638" t="s">
        <v>209</v>
      </c>
      <c r="J3638" s="1">
        <v>54878</v>
      </c>
      <c r="K3638" t="s">
        <v>717</v>
      </c>
      <c r="L3638">
        <v>2805.98</v>
      </c>
      <c r="M3638">
        <v>2805.98</v>
      </c>
      <c r="N3638" t="s">
        <v>710</v>
      </c>
      <c r="O3638" t="s">
        <v>1037</v>
      </c>
      <c r="P3638" t="s">
        <v>4807</v>
      </c>
      <c r="Q3638" t="s">
        <v>4852</v>
      </c>
      <c r="R3638" t="s">
        <v>4771</v>
      </c>
    </row>
    <row r="3639" spans="1:18" x14ac:dyDescent="0.3">
      <c r="A3639">
        <v>9247</v>
      </c>
      <c r="B3639" t="s">
        <v>4874</v>
      </c>
      <c r="C3639" t="s">
        <v>598</v>
      </c>
      <c r="D3639" t="s">
        <v>128</v>
      </c>
      <c r="E3639" s="1">
        <v>45803</v>
      </c>
      <c r="F3639" t="s">
        <v>4336</v>
      </c>
      <c r="G3639" t="s">
        <v>2038</v>
      </c>
      <c r="H3639" t="s">
        <v>599</v>
      </c>
      <c r="I3639" t="s">
        <v>204</v>
      </c>
      <c r="J3639" s="1">
        <v>45869</v>
      </c>
      <c r="K3639" t="s">
        <v>762</v>
      </c>
      <c r="L3639">
        <v>3520.05</v>
      </c>
      <c r="M3639">
        <v>3520.05</v>
      </c>
      <c r="N3639" t="s">
        <v>710</v>
      </c>
      <c r="O3639" t="s">
        <v>1037</v>
      </c>
      <c r="P3639" t="s">
        <v>4794</v>
      </c>
      <c r="Q3639" t="s">
        <v>4852</v>
      </c>
      <c r="R3639" t="s">
        <v>4772</v>
      </c>
    </row>
    <row r="3640" spans="1:18" x14ac:dyDescent="0.3">
      <c r="A3640">
        <v>2</v>
      </c>
      <c r="B3640" t="s">
        <v>1034</v>
      </c>
      <c r="C3640" t="s">
        <v>636</v>
      </c>
      <c r="D3640" t="s">
        <v>51</v>
      </c>
      <c r="E3640" s="1">
        <v>45803</v>
      </c>
      <c r="F3640" t="s">
        <v>4297</v>
      </c>
      <c r="G3640" t="s">
        <v>1873</v>
      </c>
      <c r="H3640" t="s">
        <v>635</v>
      </c>
      <c r="I3640" t="s">
        <v>204</v>
      </c>
      <c r="J3640" s="1">
        <v>46193</v>
      </c>
      <c r="K3640" t="s">
        <v>711</v>
      </c>
      <c r="L3640">
        <v>1</v>
      </c>
      <c r="M3640">
        <v>7933</v>
      </c>
      <c r="N3640" t="s">
        <v>710</v>
      </c>
      <c r="O3640" t="s">
        <v>4844</v>
      </c>
      <c r="P3640" t="s">
        <v>4779</v>
      </c>
      <c r="Q3640" t="s">
        <v>4845</v>
      </c>
      <c r="R3640" t="s">
        <v>4771</v>
      </c>
    </row>
    <row r="3641" spans="1:18" x14ac:dyDescent="0.3">
      <c r="A3641">
        <v>121107</v>
      </c>
      <c r="B3641" t="s">
        <v>4874</v>
      </c>
      <c r="C3641" t="s">
        <v>415</v>
      </c>
      <c r="D3641" t="s">
        <v>60</v>
      </c>
      <c r="E3641" s="1">
        <v>45803</v>
      </c>
      <c r="F3641" t="s">
        <v>4333</v>
      </c>
      <c r="G3641" t="s">
        <v>2057</v>
      </c>
      <c r="H3641" t="s">
        <v>457</v>
      </c>
      <c r="I3641" t="s">
        <v>204</v>
      </c>
      <c r="J3641" s="1">
        <v>46387</v>
      </c>
      <c r="K3641" t="s">
        <v>762</v>
      </c>
      <c r="L3641">
        <v>4042.27</v>
      </c>
      <c r="M3641">
        <v>4042.27</v>
      </c>
      <c r="N3641" t="s">
        <v>814</v>
      </c>
      <c r="O3641" t="s">
        <v>1037</v>
      </c>
      <c r="P3641" t="s">
        <v>4807</v>
      </c>
      <c r="Q3641" t="s">
        <v>4852</v>
      </c>
      <c r="R3641" t="s">
        <v>4771</v>
      </c>
    </row>
    <row r="3642" spans="1:18" x14ac:dyDescent="0.3">
      <c r="A3642">
        <v>3600</v>
      </c>
      <c r="B3642" t="s">
        <v>1034</v>
      </c>
      <c r="C3642" t="s">
        <v>267</v>
      </c>
      <c r="D3642" t="s">
        <v>186</v>
      </c>
      <c r="E3642" s="1">
        <v>45803</v>
      </c>
      <c r="F3642" t="s">
        <v>4349</v>
      </c>
      <c r="G3642" t="s">
        <v>2061</v>
      </c>
      <c r="H3642" t="s">
        <v>266</v>
      </c>
      <c r="I3642" t="s">
        <v>204</v>
      </c>
      <c r="J3642" s="1">
        <v>46259</v>
      </c>
      <c r="K3642" t="s">
        <v>717</v>
      </c>
      <c r="L3642">
        <v>38966.69</v>
      </c>
      <c r="M3642">
        <v>38966.69</v>
      </c>
      <c r="N3642" t="s">
        <v>710</v>
      </c>
      <c r="O3642" t="s">
        <v>1037</v>
      </c>
      <c r="P3642" t="s">
        <v>4780</v>
      </c>
      <c r="Q3642" t="s">
        <v>4852</v>
      </c>
      <c r="R3642" t="s">
        <v>4772</v>
      </c>
    </row>
    <row r="3643" spans="1:18" x14ac:dyDescent="0.3">
      <c r="A3643">
        <v>101</v>
      </c>
      <c r="B3643" t="s">
        <v>1034</v>
      </c>
      <c r="C3643" t="s">
        <v>643</v>
      </c>
      <c r="D3643" t="s">
        <v>52</v>
      </c>
      <c r="E3643" s="1">
        <v>45803</v>
      </c>
      <c r="F3643" t="s">
        <v>4318</v>
      </c>
      <c r="G3643" t="s">
        <v>2076</v>
      </c>
      <c r="H3643" t="s">
        <v>642</v>
      </c>
      <c r="I3643" t="s">
        <v>204</v>
      </c>
      <c r="J3643" s="1">
        <v>46548</v>
      </c>
      <c r="K3643" t="s">
        <v>711</v>
      </c>
      <c r="L3643">
        <v>1</v>
      </c>
      <c r="M3643">
        <v>2300</v>
      </c>
      <c r="N3643" t="s">
        <v>710</v>
      </c>
      <c r="O3643" t="s">
        <v>4834</v>
      </c>
      <c r="P3643" t="s">
        <v>4776</v>
      </c>
      <c r="Q3643" t="s">
        <v>4901</v>
      </c>
    </row>
    <row r="3644" spans="1:18" x14ac:dyDescent="0.3">
      <c r="A3644">
        <v>300749</v>
      </c>
      <c r="B3644" t="s">
        <v>1034</v>
      </c>
      <c r="C3644" t="s">
        <v>500</v>
      </c>
      <c r="D3644" t="s">
        <v>16</v>
      </c>
      <c r="E3644" s="1">
        <v>45803</v>
      </c>
      <c r="F3644" t="s">
        <v>4306</v>
      </c>
      <c r="G3644" t="s">
        <v>1965</v>
      </c>
      <c r="H3644" t="s">
        <v>499</v>
      </c>
      <c r="I3644" t="s">
        <v>204</v>
      </c>
      <c r="J3644" s="1">
        <v>54878</v>
      </c>
      <c r="K3644" t="s">
        <v>717</v>
      </c>
      <c r="L3644">
        <v>1634</v>
      </c>
      <c r="M3644">
        <v>1633.45</v>
      </c>
      <c r="N3644" t="s">
        <v>710</v>
      </c>
      <c r="O3644" t="s">
        <v>4833</v>
      </c>
      <c r="P3644" t="s">
        <v>4786</v>
      </c>
      <c r="Q3644" t="s">
        <v>4852</v>
      </c>
      <c r="R3644" t="s">
        <v>4773</v>
      </c>
    </row>
    <row r="3645" spans="1:18" x14ac:dyDescent="0.3">
      <c r="A3645">
        <v>300748</v>
      </c>
      <c r="B3645" t="s">
        <v>1034</v>
      </c>
      <c r="C3645" t="s">
        <v>500</v>
      </c>
      <c r="D3645" t="s">
        <v>16</v>
      </c>
      <c r="E3645" s="1">
        <v>45803</v>
      </c>
      <c r="F3645" t="s">
        <v>4306</v>
      </c>
      <c r="G3645" t="s">
        <v>1965</v>
      </c>
      <c r="H3645" t="s">
        <v>499</v>
      </c>
      <c r="I3645" t="s">
        <v>204</v>
      </c>
      <c r="J3645" s="1">
        <v>54878</v>
      </c>
      <c r="K3645" t="s">
        <v>717</v>
      </c>
      <c r="L3645">
        <v>1634</v>
      </c>
      <c r="M3645">
        <v>1633.45</v>
      </c>
      <c r="N3645" t="s">
        <v>710</v>
      </c>
      <c r="O3645" t="s">
        <v>4833</v>
      </c>
      <c r="P3645" t="s">
        <v>4786</v>
      </c>
      <c r="Q3645" t="s">
        <v>4852</v>
      </c>
      <c r="R3645" t="s">
        <v>4773</v>
      </c>
    </row>
    <row r="3646" spans="1:18" x14ac:dyDescent="0.3">
      <c r="A3646">
        <v>179890</v>
      </c>
      <c r="B3646" t="s">
        <v>4874</v>
      </c>
      <c r="C3646" t="s">
        <v>411</v>
      </c>
      <c r="D3646" t="s">
        <v>154</v>
      </c>
      <c r="E3646" s="1">
        <v>45803</v>
      </c>
      <c r="F3646" t="s">
        <v>4315</v>
      </c>
      <c r="G3646" t="s">
        <v>1953</v>
      </c>
      <c r="H3646" t="s">
        <v>410</v>
      </c>
      <c r="I3646" t="s">
        <v>204</v>
      </c>
      <c r="J3646" s="1">
        <v>46344</v>
      </c>
      <c r="K3646" t="s">
        <v>762</v>
      </c>
      <c r="L3646">
        <v>3326</v>
      </c>
      <c r="M3646">
        <v>3325.05</v>
      </c>
      <c r="N3646" t="s">
        <v>710</v>
      </c>
      <c r="O3646" t="s">
        <v>4833</v>
      </c>
      <c r="P3646" t="s">
        <v>4776</v>
      </c>
      <c r="Q3646" t="s">
        <v>4852</v>
      </c>
      <c r="R3646" t="s">
        <v>4773</v>
      </c>
    </row>
    <row r="3647" spans="1:18" x14ac:dyDescent="0.3">
      <c r="A3647">
        <v>1</v>
      </c>
      <c r="B3647" t="s">
        <v>1034</v>
      </c>
      <c r="C3647" t="s">
        <v>636</v>
      </c>
      <c r="D3647" t="s">
        <v>51</v>
      </c>
      <c r="E3647" s="1">
        <v>45803</v>
      </c>
      <c r="F3647" t="s">
        <v>4297</v>
      </c>
      <c r="G3647" t="s">
        <v>1873</v>
      </c>
      <c r="H3647" t="s">
        <v>635</v>
      </c>
      <c r="I3647" t="s">
        <v>204</v>
      </c>
      <c r="J3647" s="1">
        <v>46193</v>
      </c>
      <c r="K3647" t="s">
        <v>711</v>
      </c>
      <c r="L3647">
        <v>1</v>
      </c>
      <c r="M3647">
        <v>7933</v>
      </c>
      <c r="N3647" t="s">
        <v>710</v>
      </c>
      <c r="O3647" t="s">
        <v>4844</v>
      </c>
      <c r="P3647" t="s">
        <v>4779</v>
      </c>
      <c r="Q3647" t="s">
        <v>4845</v>
      </c>
      <c r="R3647" t="s">
        <v>4771</v>
      </c>
    </row>
    <row r="3648" spans="1:18" x14ac:dyDescent="0.3">
      <c r="A3648">
        <v>9263</v>
      </c>
      <c r="B3648" t="s">
        <v>4875</v>
      </c>
      <c r="C3648" t="s">
        <v>598</v>
      </c>
      <c r="D3648" t="s">
        <v>128</v>
      </c>
      <c r="E3648" s="1">
        <v>45803</v>
      </c>
      <c r="F3648" t="s">
        <v>4336</v>
      </c>
      <c r="G3648" t="s">
        <v>2036</v>
      </c>
      <c r="H3648" t="s">
        <v>600</v>
      </c>
      <c r="I3648" t="s">
        <v>204</v>
      </c>
      <c r="J3648" s="1">
        <v>45869</v>
      </c>
      <c r="K3648" t="s">
        <v>768</v>
      </c>
      <c r="L3648">
        <v>825.75</v>
      </c>
      <c r="M3648">
        <v>825.75</v>
      </c>
      <c r="N3648" t="s">
        <v>710</v>
      </c>
      <c r="O3648" t="s">
        <v>1037</v>
      </c>
      <c r="P3648" t="s">
        <v>4794</v>
      </c>
      <c r="Q3648" t="s">
        <v>4852</v>
      </c>
      <c r="R3648" t="s">
        <v>4772</v>
      </c>
    </row>
    <row r="3649" spans="1:18" x14ac:dyDescent="0.3">
      <c r="A3649">
        <v>820537</v>
      </c>
      <c r="B3649" t="s">
        <v>1034</v>
      </c>
      <c r="C3649" t="s">
        <v>276</v>
      </c>
      <c r="D3649" t="s">
        <v>5</v>
      </c>
      <c r="E3649" s="1">
        <v>45803</v>
      </c>
      <c r="F3649" t="s">
        <v>4315</v>
      </c>
      <c r="G3649" t="s">
        <v>2077</v>
      </c>
      <c r="H3649" t="s">
        <v>275</v>
      </c>
      <c r="I3649" t="s">
        <v>204</v>
      </c>
      <c r="J3649" s="1">
        <v>46904</v>
      </c>
      <c r="K3649" t="s">
        <v>717</v>
      </c>
      <c r="L3649">
        <v>30945.5</v>
      </c>
      <c r="M3649">
        <v>30945.5</v>
      </c>
      <c r="N3649" t="s">
        <v>710</v>
      </c>
      <c r="O3649" t="s">
        <v>1037</v>
      </c>
      <c r="P3649" t="s">
        <v>4776</v>
      </c>
      <c r="Q3649" t="s">
        <v>4852</v>
      </c>
      <c r="R3649" t="s">
        <v>4773</v>
      </c>
    </row>
    <row r="3650" spans="1:18" x14ac:dyDescent="0.3">
      <c r="A3650">
        <v>347088</v>
      </c>
      <c r="B3650" t="s">
        <v>4874</v>
      </c>
      <c r="C3650" t="s">
        <v>376</v>
      </c>
      <c r="D3650" t="s">
        <v>35</v>
      </c>
      <c r="E3650" s="1">
        <v>45803</v>
      </c>
      <c r="F3650" t="s">
        <v>4324</v>
      </c>
      <c r="G3650" t="s">
        <v>2064</v>
      </c>
      <c r="H3650" t="s">
        <v>442</v>
      </c>
      <c r="I3650" t="s">
        <v>209</v>
      </c>
      <c r="J3650" s="1">
        <v>54878</v>
      </c>
      <c r="K3650" t="s">
        <v>762</v>
      </c>
      <c r="L3650">
        <v>99382.66</v>
      </c>
      <c r="M3650">
        <v>99382.66</v>
      </c>
      <c r="N3650" t="s">
        <v>710</v>
      </c>
      <c r="Q3650" t="s">
        <v>4852</v>
      </c>
      <c r="R3650" t="s">
        <v>4771</v>
      </c>
    </row>
    <row r="3651" spans="1:18" x14ac:dyDescent="0.3">
      <c r="A3651">
        <v>1707</v>
      </c>
      <c r="B3651" t="s">
        <v>4874</v>
      </c>
      <c r="C3651" t="s">
        <v>647</v>
      </c>
      <c r="D3651" t="s">
        <v>130</v>
      </c>
      <c r="E3651" s="1">
        <v>45803</v>
      </c>
      <c r="F3651" t="s">
        <v>4363</v>
      </c>
      <c r="G3651" t="s">
        <v>1937</v>
      </c>
      <c r="H3651" t="s">
        <v>646</v>
      </c>
      <c r="I3651" t="s">
        <v>204</v>
      </c>
      <c r="J3651" s="1">
        <v>46522</v>
      </c>
      <c r="K3651" t="s">
        <v>762</v>
      </c>
      <c r="L3651">
        <v>2081.4</v>
      </c>
      <c r="M3651">
        <v>2081.4</v>
      </c>
      <c r="N3651" t="s">
        <v>890</v>
      </c>
      <c r="O3651" t="s">
        <v>1044</v>
      </c>
      <c r="P3651" t="s">
        <v>4776</v>
      </c>
      <c r="Q3651" t="s">
        <v>4852</v>
      </c>
    </row>
    <row r="3652" spans="1:18" x14ac:dyDescent="0.3">
      <c r="A3652">
        <v>347248</v>
      </c>
      <c r="B3652" t="s">
        <v>4875</v>
      </c>
      <c r="C3652" t="s">
        <v>376</v>
      </c>
      <c r="D3652" t="s">
        <v>35</v>
      </c>
      <c r="E3652" s="1">
        <v>45803</v>
      </c>
      <c r="F3652" t="s">
        <v>4324</v>
      </c>
      <c r="G3652" t="s">
        <v>2068</v>
      </c>
      <c r="H3652" t="s">
        <v>486</v>
      </c>
      <c r="I3652" t="s">
        <v>209</v>
      </c>
      <c r="J3652" s="1">
        <v>54878</v>
      </c>
      <c r="K3652" t="s">
        <v>768</v>
      </c>
      <c r="L3652">
        <v>40227</v>
      </c>
      <c r="M3652">
        <v>40227</v>
      </c>
      <c r="N3652" t="s">
        <v>710</v>
      </c>
      <c r="Q3652" t="s">
        <v>4852</v>
      </c>
      <c r="R3652" t="s">
        <v>4771</v>
      </c>
    </row>
    <row r="3653" spans="1:18" x14ac:dyDescent="0.3">
      <c r="A3653">
        <v>121108</v>
      </c>
      <c r="B3653" t="s">
        <v>4875</v>
      </c>
      <c r="C3653" t="s">
        <v>415</v>
      </c>
      <c r="D3653" t="s">
        <v>60</v>
      </c>
      <c r="E3653" s="1">
        <v>45803</v>
      </c>
      <c r="F3653" t="s">
        <v>4333</v>
      </c>
      <c r="G3653" t="s">
        <v>2058</v>
      </c>
      <c r="H3653" t="s">
        <v>414</v>
      </c>
      <c r="I3653" t="s">
        <v>204</v>
      </c>
      <c r="J3653" s="1">
        <v>46386</v>
      </c>
      <c r="K3653" t="s">
        <v>768</v>
      </c>
      <c r="L3653">
        <v>2655.84</v>
      </c>
      <c r="M3653">
        <v>2655.84</v>
      </c>
      <c r="N3653" t="s">
        <v>814</v>
      </c>
      <c r="O3653" t="s">
        <v>1037</v>
      </c>
      <c r="P3653" t="s">
        <v>4807</v>
      </c>
      <c r="Q3653" t="s">
        <v>4852</v>
      </c>
      <c r="R3653" t="s">
        <v>4771</v>
      </c>
    </row>
    <row r="3654" spans="1:18" x14ac:dyDescent="0.3">
      <c r="A3654">
        <v>8778</v>
      </c>
      <c r="B3654" t="s">
        <v>4874</v>
      </c>
      <c r="C3654" t="s">
        <v>594</v>
      </c>
      <c r="D3654" t="s">
        <v>27</v>
      </c>
      <c r="E3654" s="1">
        <v>45800</v>
      </c>
      <c r="F3654" t="s">
        <v>4323</v>
      </c>
      <c r="G3654" t="s">
        <v>2033</v>
      </c>
      <c r="H3654" t="s">
        <v>593</v>
      </c>
      <c r="I3654" t="s">
        <v>204</v>
      </c>
      <c r="J3654" s="1">
        <v>46204</v>
      </c>
      <c r="K3654" t="s">
        <v>762</v>
      </c>
      <c r="L3654">
        <v>340227.07</v>
      </c>
      <c r="M3654">
        <v>340227.07</v>
      </c>
      <c r="N3654" t="s">
        <v>814</v>
      </c>
      <c r="O3654" t="s">
        <v>1037</v>
      </c>
      <c r="P3654" t="s">
        <v>4794</v>
      </c>
      <c r="Q3654" t="s">
        <v>4852</v>
      </c>
      <c r="R3654" t="s">
        <v>4772</v>
      </c>
    </row>
    <row r="3655" spans="1:18" x14ac:dyDescent="0.3">
      <c r="A3655">
        <v>6830</v>
      </c>
      <c r="B3655" t="s">
        <v>1035</v>
      </c>
      <c r="C3655" t="s">
        <v>230</v>
      </c>
      <c r="D3655" t="s">
        <v>85</v>
      </c>
      <c r="E3655" s="1">
        <v>45800</v>
      </c>
      <c r="F3655" t="s">
        <v>4348</v>
      </c>
      <c r="G3655" t="s">
        <v>2079</v>
      </c>
      <c r="H3655" t="s">
        <v>229</v>
      </c>
      <c r="I3655" t="s">
        <v>204</v>
      </c>
      <c r="J3655" s="1">
        <v>46203</v>
      </c>
      <c r="K3655" t="s">
        <v>744</v>
      </c>
      <c r="L3655">
        <v>2882.27</v>
      </c>
      <c r="M3655">
        <v>2882.27</v>
      </c>
      <c r="N3655" t="s">
        <v>710</v>
      </c>
      <c r="O3655" t="s">
        <v>1033</v>
      </c>
      <c r="P3655" t="s">
        <v>4781</v>
      </c>
      <c r="Q3655" t="s">
        <v>4852</v>
      </c>
      <c r="R3655" t="s">
        <v>4771</v>
      </c>
    </row>
    <row r="3656" spans="1:18" x14ac:dyDescent="0.3">
      <c r="A3656">
        <v>6785</v>
      </c>
      <c r="B3656" t="s">
        <v>1035</v>
      </c>
      <c r="C3656" t="s">
        <v>230</v>
      </c>
      <c r="D3656" t="s">
        <v>85</v>
      </c>
      <c r="E3656" s="1">
        <v>45800</v>
      </c>
      <c r="F3656" t="s">
        <v>4436</v>
      </c>
      <c r="G3656" t="s">
        <v>2078</v>
      </c>
      <c r="H3656" t="s">
        <v>229</v>
      </c>
      <c r="I3656" t="s">
        <v>204</v>
      </c>
      <c r="J3656" s="1">
        <v>46203</v>
      </c>
      <c r="K3656" t="s">
        <v>744</v>
      </c>
      <c r="L3656">
        <v>5793.36</v>
      </c>
      <c r="M3656">
        <v>5793.36</v>
      </c>
      <c r="N3656" t="s">
        <v>710</v>
      </c>
      <c r="O3656" t="s">
        <v>1033</v>
      </c>
      <c r="P3656" t="s">
        <v>4781</v>
      </c>
      <c r="Q3656" t="s">
        <v>4852</v>
      </c>
      <c r="R3656" t="s">
        <v>4771</v>
      </c>
    </row>
    <row r="3657" spans="1:18" x14ac:dyDescent="0.3">
      <c r="A3657">
        <v>283448</v>
      </c>
      <c r="B3657" t="s">
        <v>4875</v>
      </c>
      <c r="C3657" t="s">
        <v>338</v>
      </c>
      <c r="D3657" t="s">
        <v>31</v>
      </c>
      <c r="E3657" s="1">
        <v>45800</v>
      </c>
      <c r="F3657" t="s">
        <v>4299</v>
      </c>
      <c r="G3657" t="s">
        <v>1994</v>
      </c>
      <c r="H3657" t="s">
        <v>353</v>
      </c>
      <c r="I3657" t="s">
        <v>204</v>
      </c>
      <c r="J3657" s="1">
        <v>54878</v>
      </c>
      <c r="K3657" t="s">
        <v>748</v>
      </c>
      <c r="L3657">
        <v>5388</v>
      </c>
      <c r="M3657">
        <v>5388.13</v>
      </c>
      <c r="N3657" t="s">
        <v>710</v>
      </c>
      <c r="O3657" t="s">
        <v>1040</v>
      </c>
      <c r="P3657" t="s">
        <v>4785</v>
      </c>
      <c r="Q3657" t="s">
        <v>4856</v>
      </c>
      <c r="R3657" t="s">
        <v>4773</v>
      </c>
    </row>
    <row r="3658" spans="1:18" x14ac:dyDescent="0.3">
      <c r="A3658">
        <v>41527</v>
      </c>
      <c r="B3658" t="s">
        <v>4875</v>
      </c>
      <c r="C3658" t="s">
        <v>327</v>
      </c>
      <c r="D3658" t="s">
        <v>159</v>
      </c>
      <c r="E3658" s="1">
        <v>45800</v>
      </c>
      <c r="F3658" t="s">
        <v>4295</v>
      </c>
      <c r="G3658" t="s">
        <v>2011</v>
      </c>
      <c r="H3658" t="s">
        <v>326</v>
      </c>
      <c r="I3658" t="s">
        <v>204</v>
      </c>
      <c r="J3658" s="1">
        <v>54878</v>
      </c>
      <c r="K3658" t="s">
        <v>748</v>
      </c>
      <c r="L3658">
        <v>3778.49</v>
      </c>
      <c r="M3658">
        <v>3778.49</v>
      </c>
      <c r="N3658" t="s">
        <v>719</v>
      </c>
      <c r="O3658" t="s">
        <v>4834</v>
      </c>
      <c r="P3658" t="s">
        <v>4776</v>
      </c>
      <c r="Q3658" t="s">
        <v>4856</v>
      </c>
      <c r="R3658" t="s">
        <v>4773</v>
      </c>
    </row>
    <row r="3659" spans="1:18" x14ac:dyDescent="0.3">
      <c r="A3659">
        <v>41528</v>
      </c>
      <c r="B3659" t="s">
        <v>4875</v>
      </c>
      <c r="C3659" t="s">
        <v>327</v>
      </c>
      <c r="D3659" t="s">
        <v>159</v>
      </c>
      <c r="E3659" s="1">
        <v>45800</v>
      </c>
      <c r="F3659" t="s">
        <v>4295</v>
      </c>
      <c r="G3659" t="s">
        <v>2013</v>
      </c>
      <c r="H3659" t="s">
        <v>326</v>
      </c>
      <c r="I3659" t="s">
        <v>204</v>
      </c>
      <c r="J3659" s="1">
        <v>54878</v>
      </c>
      <c r="K3659" t="s">
        <v>748</v>
      </c>
      <c r="L3659">
        <v>2150</v>
      </c>
      <c r="M3659">
        <v>2150</v>
      </c>
      <c r="N3659" t="s">
        <v>719</v>
      </c>
      <c r="O3659" t="s">
        <v>4834</v>
      </c>
      <c r="P3659" t="s">
        <v>4776</v>
      </c>
      <c r="Q3659" t="s">
        <v>4856</v>
      </c>
      <c r="R3659" t="s">
        <v>4773</v>
      </c>
    </row>
    <row r="3660" spans="1:18" x14ac:dyDescent="0.3">
      <c r="A3660">
        <v>2747</v>
      </c>
      <c r="B3660" t="s">
        <v>4874</v>
      </c>
      <c r="C3660" t="s">
        <v>372</v>
      </c>
      <c r="D3660" t="s">
        <v>105</v>
      </c>
      <c r="E3660" s="1">
        <v>45800</v>
      </c>
      <c r="F3660" t="s">
        <v>4408</v>
      </c>
      <c r="G3660" t="s">
        <v>2032</v>
      </c>
      <c r="H3660" t="s">
        <v>371</v>
      </c>
      <c r="I3660" t="s">
        <v>209</v>
      </c>
      <c r="J3660" s="1">
        <v>45904</v>
      </c>
      <c r="K3660" t="s">
        <v>720</v>
      </c>
      <c r="L3660">
        <v>11656</v>
      </c>
      <c r="M3660">
        <v>11656</v>
      </c>
      <c r="N3660" t="s">
        <v>719</v>
      </c>
      <c r="O3660" t="s">
        <v>1038</v>
      </c>
      <c r="P3660" t="s">
        <v>4777</v>
      </c>
      <c r="Q3660" t="s">
        <v>4858</v>
      </c>
      <c r="R3660" t="s">
        <v>4773</v>
      </c>
    </row>
    <row r="3661" spans="1:18" x14ac:dyDescent="0.3">
      <c r="A3661">
        <v>373</v>
      </c>
      <c r="B3661" t="s">
        <v>4875</v>
      </c>
      <c r="C3661" t="s">
        <v>638</v>
      </c>
      <c r="D3661" t="s">
        <v>134</v>
      </c>
      <c r="E3661" s="1">
        <v>45800</v>
      </c>
      <c r="F3661" t="s">
        <v>4296</v>
      </c>
      <c r="G3661" t="s">
        <v>1920</v>
      </c>
      <c r="H3661" t="s">
        <v>639</v>
      </c>
      <c r="I3661" t="s">
        <v>204</v>
      </c>
      <c r="J3661" s="1">
        <v>46537</v>
      </c>
      <c r="K3661" t="s">
        <v>748</v>
      </c>
      <c r="L3661">
        <v>1</v>
      </c>
      <c r="M3661">
        <v>1261</v>
      </c>
      <c r="N3661" t="s">
        <v>710</v>
      </c>
      <c r="O3661" t="s">
        <v>1040</v>
      </c>
      <c r="P3661" t="s">
        <v>4776</v>
      </c>
      <c r="Q3661" t="s">
        <v>4856</v>
      </c>
    </row>
    <row r="3662" spans="1:18" x14ac:dyDescent="0.3">
      <c r="A3662">
        <v>2465</v>
      </c>
      <c r="B3662" t="s">
        <v>4874</v>
      </c>
      <c r="C3662" t="s">
        <v>630</v>
      </c>
      <c r="D3662" t="s">
        <v>145</v>
      </c>
      <c r="E3662" s="1">
        <v>45800</v>
      </c>
      <c r="F3662" t="s">
        <v>4417</v>
      </c>
      <c r="G3662" t="s">
        <v>1995</v>
      </c>
      <c r="H3662" t="s">
        <v>629</v>
      </c>
      <c r="I3662" t="s">
        <v>204</v>
      </c>
      <c r="J3662" s="1">
        <v>46264</v>
      </c>
      <c r="K3662" t="s">
        <v>720</v>
      </c>
      <c r="L3662">
        <v>1</v>
      </c>
      <c r="M3662">
        <v>23000</v>
      </c>
      <c r="N3662" t="s">
        <v>710</v>
      </c>
      <c r="O3662" t="s">
        <v>4849</v>
      </c>
      <c r="P3662" t="s">
        <v>4777</v>
      </c>
      <c r="Q3662" t="s">
        <v>4855</v>
      </c>
      <c r="R3662" t="s">
        <v>4771</v>
      </c>
    </row>
    <row r="3663" spans="1:18" x14ac:dyDescent="0.3">
      <c r="A3663">
        <v>7080</v>
      </c>
      <c r="B3663" t="s">
        <v>4874</v>
      </c>
      <c r="C3663" t="s">
        <v>484</v>
      </c>
      <c r="D3663" t="s">
        <v>140</v>
      </c>
      <c r="E3663" s="1">
        <v>45800</v>
      </c>
      <c r="F3663" t="s">
        <v>4345</v>
      </c>
      <c r="G3663" t="s">
        <v>1982</v>
      </c>
      <c r="H3663" t="s">
        <v>483</v>
      </c>
      <c r="I3663" t="s">
        <v>204</v>
      </c>
      <c r="J3663" s="1">
        <v>46508</v>
      </c>
      <c r="K3663" t="s">
        <v>762</v>
      </c>
      <c r="L3663">
        <v>37360</v>
      </c>
      <c r="M3663">
        <v>37360</v>
      </c>
      <c r="N3663" t="s">
        <v>710</v>
      </c>
      <c r="O3663" t="s">
        <v>4833</v>
      </c>
      <c r="P3663" t="s">
        <v>4776</v>
      </c>
      <c r="Q3663" t="s">
        <v>4852</v>
      </c>
      <c r="R3663" t="s">
        <v>4773</v>
      </c>
    </row>
    <row r="3664" spans="1:18" x14ac:dyDescent="0.3">
      <c r="A3664">
        <v>109934</v>
      </c>
      <c r="B3664" t="s">
        <v>4874</v>
      </c>
      <c r="C3664" t="s">
        <v>379</v>
      </c>
      <c r="D3664" t="s">
        <v>131</v>
      </c>
      <c r="E3664" s="1">
        <v>45800</v>
      </c>
      <c r="F3664" t="s">
        <v>4392</v>
      </c>
      <c r="G3664" t="s">
        <v>1934</v>
      </c>
      <c r="H3664" t="s">
        <v>378</v>
      </c>
      <c r="I3664" t="s">
        <v>204</v>
      </c>
      <c r="J3664" s="1">
        <v>54878</v>
      </c>
      <c r="K3664" t="s">
        <v>762</v>
      </c>
      <c r="L3664">
        <v>69</v>
      </c>
      <c r="M3664">
        <v>68.510000000000005</v>
      </c>
      <c r="N3664" t="s">
        <v>710</v>
      </c>
      <c r="O3664" t="s">
        <v>4833</v>
      </c>
      <c r="P3664" t="s">
        <v>4776</v>
      </c>
      <c r="Q3664" t="s">
        <v>4852</v>
      </c>
      <c r="R3664" t="s">
        <v>4773</v>
      </c>
    </row>
    <row r="3665" spans="1:18" x14ac:dyDescent="0.3">
      <c r="A3665">
        <v>267475</v>
      </c>
      <c r="B3665" t="s">
        <v>1034</v>
      </c>
      <c r="C3665" t="s">
        <v>338</v>
      </c>
      <c r="D3665" t="s">
        <v>31</v>
      </c>
      <c r="E3665" s="1">
        <v>45800</v>
      </c>
      <c r="F3665" t="s">
        <v>4299</v>
      </c>
      <c r="G3665" t="s">
        <v>2012</v>
      </c>
      <c r="H3665" t="s">
        <v>337</v>
      </c>
      <c r="I3665" t="s">
        <v>204</v>
      </c>
      <c r="J3665" s="1">
        <v>54878</v>
      </c>
      <c r="K3665" t="s">
        <v>711</v>
      </c>
      <c r="L3665">
        <v>36725</v>
      </c>
      <c r="M3665">
        <v>36724.699999999997</v>
      </c>
      <c r="N3665" t="s">
        <v>710</v>
      </c>
      <c r="O3665" t="s">
        <v>1036</v>
      </c>
      <c r="P3665" t="s">
        <v>4785</v>
      </c>
      <c r="Q3665" t="s">
        <v>4901</v>
      </c>
      <c r="R3665" t="s">
        <v>4773</v>
      </c>
    </row>
    <row r="3666" spans="1:18" x14ac:dyDescent="0.3">
      <c r="A3666">
        <v>6069</v>
      </c>
      <c r="B3666" t="s">
        <v>1034</v>
      </c>
      <c r="C3666" t="s">
        <v>208</v>
      </c>
      <c r="D3666" t="s">
        <v>164</v>
      </c>
      <c r="E3666" s="1">
        <v>45800</v>
      </c>
      <c r="F3666" t="s">
        <v>4297</v>
      </c>
      <c r="G3666" t="s">
        <v>2010</v>
      </c>
      <c r="H3666" t="s">
        <v>604</v>
      </c>
      <c r="I3666" t="s">
        <v>204</v>
      </c>
      <c r="J3666" s="1">
        <v>46256</v>
      </c>
      <c r="K3666" t="s">
        <v>711</v>
      </c>
      <c r="L3666">
        <v>12</v>
      </c>
      <c r="M3666">
        <v>720</v>
      </c>
      <c r="N3666" t="s">
        <v>710</v>
      </c>
      <c r="O3666" t="s">
        <v>1036</v>
      </c>
      <c r="P3666" t="s">
        <v>4784</v>
      </c>
      <c r="Q3666" t="s">
        <v>4901</v>
      </c>
    </row>
    <row r="3667" spans="1:18" x14ac:dyDescent="0.3">
      <c r="A3667">
        <v>6822</v>
      </c>
      <c r="B3667" t="s">
        <v>1035</v>
      </c>
      <c r="C3667" t="s">
        <v>230</v>
      </c>
      <c r="D3667" t="s">
        <v>85</v>
      </c>
      <c r="E3667" s="1">
        <v>45800</v>
      </c>
      <c r="F3667" t="s">
        <v>4348</v>
      </c>
      <c r="G3667" t="s">
        <v>2079</v>
      </c>
      <c r="H3667" t="s">
        <v>229</v>
      </c>
      <c r="I3667" t="s">
        <v>204</v>
      </c>
      <c r="J3667" s="1">
        <v>46203</v>
      </c>
      <c r="K3667" t="s">
        <v>744</v>
      </c>
      <c r="L3667">
        <v>7582.73</v>
      </c>
      <c r="M3667">
        <v>7582.73</v>
      </c>
      <c r="N3667" t="s">
        <v>710</v>
      </c>
      <c r="O3667" t="s">
        <v>1033</v>
      </c>
      <c r="P3667" t="s">
        <v>4781</v>
      </c>
      <c r="Q3667" t="s">
        <v>4852</v>
      </c>
      <c r="R3667" t="s">
        <v>4771</v>
      </c>
    </row>
    <row r="3668" spans="1:18" x14ac:dyDescent="0.3">
      <c r="A3668">
        <v>202580493</v>
      </c>
      <c r="B3668" t="s">
        <v>1034</v>
      </c>
      <c r="C3668" t="s">
        <v>522</v>
      </c>
      <c r="D3668" t="s">
        <v>50</v>
      </c>
      <c r="E3668" s="1">
        <v>45800</v>
      </c>
      <c r="F3668" t="s">
        <v>4352</v>
      </c>
      <c r="G3668" t="s">
        <v>2072</v>
      </c>
      <c r="H3668" t="s">
        <v>521</v>
      </c>
      <c r="I3668" t="s">
        <v>204</v>
      </c>
      <c r="J3668" s="1">
        <v>46387</v>
      </c>
      <c r="K3668" t="s">
        <v>717</v>
      </c>
      <c r="L3668">
        <v>547.27</v>
      </c>
      <c r="M3668">
        <v>547.27</v>
      </c>
      <c r="N3668" t="s">
        <v>884</v>
      </c>
      <c r="O3668" t="s">
        <v>1037</v>
      </c>
      <c r="P3668" t="s">
        <v>4776</v>
      </c>
      <c r="Q3668" t="s">
        <v>4852</v>
      </c>
      <c r="R3668" t="s">
        <v>4773</v>
      </c>
    </row>
    <row r="3669" spans="1:18" x14ac:dyDescent="0.3">
      <c r="A3669">
        <v>790676</v>
      </c>
      <c r="B3669" t="s">
        <v>4874</v>
      </c>
      <c r="C3669" t="s">
        <v>433</v>
      </c>
      <c r="D3669" t="s">
        <v>168</v>
      </c>
      <c r="E3669" s="1">
        <v>45800</v>
      </c>
      <c r="F3669" t="s">
        <v>4319</v>
      </c>
      <c r="G3669" t="s">
        <v>2043</v>
      </c>
      <c r="H3669" t="s">
        <v>432</v>
      </c>
      <c r="I3669" t="s">
        <v>204</v>
      </c>
      <c r="J3669" s="1">
        <v>46473</v>
      </c>
      <c r="K3669" t="s">
        <v>762</v>
      </c>
      <c r="L3669">
        <v>180</v>
      </c>
      <c r="M3669">
        <v>180</v>
      </c>
      <c r="N3669" t="s">
        <v>710</v>
      </c>
      <c r="O3669" t="s">
        <v>4833</v>
      </c>
      <c r="P3669" t="s">
        <v>4802</v>
      </c>
      <c r="Q3669" t="s">
        <v>4852</v>
      </c>
      <c r="R3669" t="s">
        <v>4771</v>
      </c>
    </row>
    <row r="3670" spans="1:18" x14ac:dyDescent="0.3">
      <c r="A3670">
        <v>53253</v>
      </c>
      <c r="B3670" t="s">
        <v>4874</v>
      </c>
      <c r="C3670" t="s">
        <v>514</v>
      </c>
      <c r="D3670" t="s">
        <v>47</v>
      </c>
      <c r="E3670" s="1">
        <v>45800</v>
      </c>
      <c r="F3670" t="s">
        <v>4362</v>
      </c>
      <c r="G3670" t="s">
        <v>2030</v>
      </c>
      <c r="H3670" t="s">
        <v>513</v>
      </c>
      <c r="I3670" t="s">
        <v>204</v>
      </c>
      <c r="J3670" s="1">
        <v>46386</v>
      </c>
      <c r="K3670" t="s">
        <v>762</v>
      </c>
      <c r="L3670">
        <v>6129.63</v>
      </c>
      <c r="M3670">
        <v>6129.63</v>
      </c>
      <c r="N3670" t="s">
        <v>710</v>
      </c>
      <c r="O3670" t="s">
        <v>4833</v>
      </c>
      <c r="P3670" t="s">
        <v>4779</v>
      </c>
      <c r="Q3670" t="s">
        <v>4852</v>
      </c>
    </row>
    <row r="3671" spans="1:18" x14ac:dyDescent="0.3">
      <c r="A3671">
        <v>160002</v>
      </c>
      <c r="B3671" t="s">
        <v>4874</v>
      </c>
      <c r="C3671" t="s">
        <v>214</v>
      </c>
      <c r="D3671" t="s">
        <v>94</v>
      </c>
      <c r="E3671" s="1">
        <v>45800</v>
      </c>
      <c r="F3671" t="s">
        <v>4295</v>
      </c>
      <c r="G3671" t="s">
        <v>2007</v>
      </c>
      <c r="H3671" t="s">
        <v>213</v>
      </c>
      <c r="I3671" t="s">
        <v>204</v>
      </c>
      <c r="J3671" s="1">
        <v>46309</v>
      </c>
      <c r="K3671" t="s">
        <v>720</v>
      </c>
      <c r="L3671">
        <v>1</v>
      </c>
      <c r="M3671">
        <v>21628.26</v>
      </c>
      <c r="N3671" t="s">
        <v>710</v>
      </c>
      <c r="O3671" t="s">
        <v>4834</v>
      </c>
      <c r="P3671" t="s">
        <v>4776</v>
      </c>
      <c r="Q3671" t="s">
        <v>4858</v>
      </c>
      <c r="R3671" t="s">
        <v>4772</v>
      </c>
    </row>
    <row r="3672" spans="1:18" x14ac:dyDescent="0.3">
      <c r="A3672">
        <v>333378</v>
      </c>
      <c r="B3672" t="s">
        <v>4874</v>
      </c>
      <c r="C3672" t="s">
        <v>239</v>
      </c>
      <c r="D3672" t="s">
        <v>199</v>
      </c>
      <c r="E3672" s="1">
        <v>45800</v>
      </c>
      <c r="F3672" t="s">
        <v>4325</v>
      </c>
      <c r="G3672" t="s">
        <v>2004</v>
      </c>
      <c r="H3672" t="s">
        <v>268</v>
      </c>
      <c r="I3672" t="s">
        <v>204</v>
      </c>
      <c r="J3672" s="1">
        <v>46172</v>
      </c>
      <c r="K3672" t="s">
        <v>720</v>
      </c>
      <c r="L3672">
        <v>1</v>
      </c>
      <c r="M3672">
        <v>712.5</v>
      </c>
      <c r="N3672" t="s">
        <v>710</v>
      </c>
      <c r="O3672" t="s">
        <v>1038</v>
      </c>
      <c r="P3672" t="s">
        <v>4779</v>
      </c>
      <c r="Q3672" t="s">
        <v>4858</v>
      </c>
      <c r="R3672" t="s">
        <v>4771</v>
      </c>
    </row>
    <row r="3673" spans="1:18" x14ac:dyDescent="0.3">
      <c r="A3673">
        <v>1220</v>
      </c>
      <c r="B3673" t="s">
        <v>4874</v>
      </c>
      <c r="C3673" t="s">
        <v>305</v>
      </c>
      <c r="D3673" t="s">
        <v>59</v>
      </c>
      <c r="E3673" s="1">
        <v>45800</v>
      </c>
      <c r="F3673" t="s">
        <v>4359</v>
      </c>
      <c r="G3673" t="s">
        <v>1976</v>
      </c>
      <c r="H3673" t="s">
        <v>304</v>
      </c>
      <c r="I3673" t="s">
        <v>204</v>
      </c>
      <c r="J3673" s="1">
        <v>46481</v>
      </c>
      <c r="K3673" t="s">
        <v>720</v>
      </c>
      <c r="L3673">
        <v>1</v>
      </c>
      <c r="M3673">
        <v>380</v>
      </c>
      <c r="N3673" t="s">
        <v>809</v>
      </c>
      <c r="O3673" t="s">
        <v>1038</v>
      </c>
      <c r="P3673" t="s">
        <v>4783</v>
      </c>
      <c r="Q3673" t="s">
        <v>4858</v>
      </c>
      <c r="R3673" t="s">
        <v>4771</v>
      </c>
    </row>
    <row r="3674" spans="1:18" x14ac:dyDescent="0.3">
      <c r="A3674">
        <v>1221</v>
      </c>
      <c r="B3674" t="s">
        <v>4874</v>
      </c>
      <c r="C3674" t="s">
        <v>305</v>
      </c>
      <c r="D3674" t="s">
        <v>59</v>
      </c>
      <c r="E3674" s="1">
        <v>45800</v>
      </c>
      <c r="F3674" t="s">
        <v>4359</v>
      </c>
      <c r="G3674" t="s">
        <v>1975</v>
      </c>
      <c r="H3674" t="s">
        <v>304</v>
      </c>
      <c r="I3674" t="s">
        <v>204</v>
      </c>
      <c r="J3674" s="1">
        <v>46481</v>
      </c>
      <c r="K3674" t="s">
        <v>720</v>
      </c>
      <c r="L3674">
        <v>1</v>
      </c>
      <c r="M3674">
        <v>4800</v>
      </c>
      <c r="N3674" t="s">
        <v>809</v>
      </c>
      <c r="O3674" t="s">
        <v>1038</v>
      </c>
      <c r="P3674" t="s">
        <v>4783</v>
      </c>
      <c r="Q3674" t="s">
        <v>4858</v>
      </c>
      <c r="R3674" t="s">
        <v>4771</v>
      </c>
    </row>
    <row r="3675" spans="1:18" x14ac:dyDescent="0.3">
      <c r="A3675">
        <v>1228</v>
      </c>
      <c r="B3675" t="s">
        <v>4874</v>
      </c>
      <c r="C3675" t="s">
        <v>305</v>
      </c>
      <c r="D3675" t="s">
        <v>59</v>
      </c>
      <c r="E3675" s="1">
        <v>45800</v>
      </c>
      <c r="F3675" t="s">
        <v>4359</v>
      </c>
      <c r="G3675" t="s">
        <v>1895</v>
      </c>
      <c r="H3675" t="s">
        <v>304</v>
      </c>
      <c r="I3675" t="s">
        <v>204</v>
      </c>
      <c r="J3675" s="1">
        <v>46481</v>
      </c>
      <c r="K3675" t="s">
        <v>720</v>
      </c>
      <c r="L3675">
        <v>1</v>
      </c>
      <c r="M3675">
        <v>3200</v>
      </c>
      <c r="N3675" t="s">
        <v>809</v>
      </c>
      <c r="O3675" t="s">
        <v>1038</v>
      </c>
      <c r="P3675" t="s">
        <v>4783</v>
      </c>
      <c r="Q3675" t="s">
        <v>4858</v>
      </c>
      <c r="R3675" t="s">
        <v>4771</v>
      </c>
    </row>
    <row r="3676" spans="1:18" x14ac:dyDescent="0.3">
      <c r="A3676">
        <v>1227</v>
      </c>
      <c r="B3676" t="s">
        <v>4874</v>
      </c>
      <c r="C3676" t="s">
        <v>305</v>
      </c>
      <c r="D3676" t="s">
        <v>59</v>
      </c>
      <c r="E3676" s="1">
        <v>45800</v>
      </c>
      <c r="F3676" t="s">
        <v>4359</v>
      </c>
      <c r="G3676" t="s">
        <v>1895</v>
      </c>
      <c r="H3676" t="s">
        <v>304</v>
      </c>
      <c r="I3676" t="s">
        <v>204</v>
      </c>
      <c r="J3676" s="1">
        <v>46481</v>
      </c>
      <c r="K3676" t="s">
        <v>720</v>
      </c>
      <c r="L3676">
        <v>1</v>
      </c>
      <c r="M3676">
        <v>1280</v>
      </c>
      <c r="N3676" t="s">
        <v>809</v>
      </c>
      <c r="O3676" t="s">
        <v>1038</v>
      </c>
      <c r="P3676" t="s">
        <v>4783</v>
      </c>
      <c r="Q3676" t="s">
        <v>4858</v>
      </c>
      <c r="R3676" t="s">
        <v>4771</v>
      </c>
    </row>
    <row r="3677" spans="1:18" x14ac:dyDescent="0.3">
      <c r="A3677">
        <v>1226</v>
      </c>
      <c r="B3677" t="s">
        <v>4874</v>
      </c>
      <c r="C3677" t="s">
        <v>305</v>
      </c>
      <c r="D3677" t="s">
        <v>59</v>
      </c>
      <c r="E3677" s="1">
        <v>45800</v>
      </c>
      <c r="F3677" t="s">
        <v>4359</v>
      </c>
      <c r="G3677" t="s">
        <v>1895</v>
      </c>
      <c r="H3677" t="s">
        <v>304</v>
      </c>
      <c r="I3677" t="s">
        <v>204</v>
      </c>
      <c r="J3677" s="1">
        <v>46481</v>
      </c>
      <c r="K3677" t="s">
        <v>720</v>
      </c>
      <c r="L3677">
        <v>1</v>
      </c>
      <c r="M3677">
        <v>1560</v>
      </c>
      <c r="N3677" t="s">
        <v>809</v>
      </c>
      <c r="O3677" t="s">
        <v>1038</v>
      </c>
      <c r="P3677" t="s">
        <v>4783</v>
      </c>
      <c r="Q3677" t="s">
        <v>4858</v>
      </c>
      <c r="R3677" t="s">
        <v>4771</v>
      </c>
    </row>
    <row r="3678" spans="1:18" x14ac:dyDescent="0.3">
      <c r="A3678">
        <v>8796</v>
      </c>
      <c r="B3678" t="s">
        <v>4875</v>
      </c>
      <c r="C3678" t="s">
        <v>594</v>
      </c>
      <c r="D3678" t="s">
        <v>27</v>
      </c>
      <c r="E3678" s="1">
        <v>45800</v>
      </c>
      <c r="F3678" t="s">
        <v>4323</v>
      </c>
      <c r="G3678" t="s">
        <v>2035</v>
      </c>
      <c r="H3678" t="s">
        <v>596</v>
      </c>
      <c r="I3678" t="s">
        <v>204</v>
      </c>
      <c r="J3678" s="1">
        <v>46204</v>
      </c>
      <c r="K3678" t="s">
        <v>768</v>
      </c>
      <c r="L3678">
        <v>11994.41</v>
      </c>
      <c r="M3678">
        <v>11994.41</v>
      </c>
      <c r="N3678" t="s">
        <v>814</v>
      </c>
      <c r="O3678" t="s">
        <v>1037</v>
      </c>
      <c r="P3678" t="s">
        <v>4794</v>
      </c>
      <c r="Q3678" t="s">
        <v>4852</v>
      </c>
      <c r="R3678" t="s">
        <v>4772</v>
      </c>
    </row>
    <row r="3679" spans="1:18" x14ac:dyDescent="0.3">
      <c r="A3679">
        <v>1225</v>
      </c>
      <c r="B3679" t="s">
        <v>4874</v>
      </c>
      <c r="C3679" t="s">
        <v>305</v>
      </c>
      <c r="D3679" t="s">
        <v>59</v>
      </c>
      <c r="E3679" s="1">
        <v>45800</v>
      </c>
      <c r="F3679" t="s">
        <v>4359</v>
      </c>
      <c r="G3679" t="s">
        <v>1895</v>
      </c>
      <c r="H3679" t="s">
        <v>304</v>
      </c>
      <c r="I3679" t="s">
        <v>204</v>
      </c>
      <c r="J3679" s="1">
        <v>46481</v>
      </c>
      <c r="K3679" t="s">
        <v>720</v>
      </c>
      <c r="L3679">
        <v>1</v>
      </c>
      <c r="M3679">
        <v>1280</v>
      </c>
      <c r="N3679" t="s">
        <v>809</v>
      </c>
      <c r="O3679" t="s">
        <v>1038</v>
      </c>
      <c r="P3679" t="s">
        <v>4783</v>
      </c>
      <c r="Q3679" t="s">
        <v>4858</v>
      </c>
      <c r="R3679" t="s">
        <v>4771</v>
      </c>
    </row>
    <row r="3680" spans="1:18" x14ac:dyDescent="0.3">
      <c r="A3680">
        <v>56996</v>
      </c>
      <c r="B3680" t="s">
        <v>4874</v>
      </c>
      <c r="C3680" t="s">
        <v>437</v>
      </c>
      <c r="D3680" t="s">
        <v>150</v>
      </c>
      <c r="E3680" s="1">
        <v>45800</v>
      </c>
      <c r="F3680" t="s">
        <v>4395</v>
      </c>
      <c r="G3680" t="s">
        <v>2027</v>
      </c>
      <c r="H3680" t="s">
        <v>436</v>
      </c>
      <c r="I3680" t="s">
        <v>204</v>
      </c>
      <c r="J3680" s="1">
        <v>54878</v>
      </c>
      <c r="K3680" t="s">
        <v>762</v>
      </c>
      <c r="L3680">
        <v>840</v>
      </c>
      <c r="M3680">
        <v>840</v>
      </c>
      <c r="N3680" t="s">
        <v>719</v>
      </c>
      <c r="O3680" t="s">
        <v>1037</v>
      </c>
      <c r="P3680" t="s">
        <v>4788</v>
      </c>
      <c r="Q3680" t="s">
        <v>4852</v>
      </c>
      <c r="R3680" t="s">
        <v>4771</v>
      </c>
    </row>
    <row r="3681" spans="1:18" x14ac:dyDescent="0.3">
      <c r="A3681">
        <v>565</v>
      </c>
      <c r="B3681" t="s">
        <v>4874</v>
      </c>
      <c r="C3681" t="s">
        <v>259</v>
      </c>
      <c r="D3681" t="s">
        <v>122</v>
      </c>
      <c r="E3681" s="1">
        <v>45800</v>
      </c>
      <c r="F3681" t="s">
        <v>4390</v>
      </c>
      <c r="G3681" t="s">
        <v>1996</v>
      </c>
      <c r="H3681" t="s">
        <v>258</v>
      </c>
      <c r="I3681" t="s">
        <v>204</v>
      </c>
      <c r="J3681" s="1">
        <v>46337</v>
      </c>
      <c r="K3681" t="s">
        <v>720</v>
      </c>
      <c r="L3681">
        <v>1</v>
      </c>
      <c r="M3681">
        <v>28695.119999999999</v>
      </c>
      <c r="N3681" t="s">
        <v>710</v>
      </c>
      <c r="O3681" t="s">
        <v>1038</v>
      </c>
      <c r="P3681" t="s">
        <v>4777</v>
      </c>
      <c r="Q3681" t="s">
        <v>4858</v>
      </c>
      <c r="R3681" t="s">
        <v>4771</v>
      </c>
    </row>
    <row r="3682" spans="1:18" x14ac:dyDescent="0.3">
      <c r="A3682">
        <v>8787</v>
      </c>
      <c r="B3682" t="s">
        <v>1034</v>
      </c>
      <c r="C3682" t="s">
        <v>594</v>
      </c>
      <c r="D3682" t="s">
        <v>27</v>
      </c>
      <c r="E3682" s="1">
        <v>45800</v>
      </c>
      <c r="F3682" t="s">
        <v>4323</v>
      </c>
      <c r="G3682" t="s">
        <v>2034</v>
      </c>
      <c r="H3682" t="s">
        <v>595</v>
      </c>
      <c r="I3682" t="s">
        <v>204</v>
      </c>
      <c r="J3682" s="1">
        <v>46204</v>
      </c>
      <c r="K3682" t="s">
        <v>717</v>
      </c>
      <c r="L3682">
        <v>60755.27</v>
      </c>
      <c r="M3682">
        <v>60755.27</v>
      </c>
      <c r="N3682" t="s">
        <v>814</v>
      </c>
      <c r="O3682" t="s">
        <v>1037</v>
      </c>
      <c r="P3682" t="s">
        <v>4794</v>
      </c>
      <c r="Q3682" t="s">
        <v>4852</v>
      </c>
      <c r="R3682" t="s">
        <v>4772</v>
      </c>
    </row>
    <row r="3683" spans="1:18" x14ac:dyDescent="0.3">
      <c r="A3683">
        <v>298</v>
      </c>
      <c r="B3683" t="s">
        <v>1034</v>
      </c>
      <c r="C3683" t="s">
        <v>479</v>
      </c>
      <c r="D3683" t="s">
        <v>99</v>
      </c>
      <c r="E3683" s="1">
        <v>45799</v>
      </c>
      <c r="F3683" t="s">
        <v>4311</v>
      </c>
      <c r="G3683" t="s">
        <v>1998</v>
      </c>
      <c r="H3683" t="s">
        <v>478</v>
      </c>
      <c r="I3683" t="s">
        <v>204</v>
      </c>
      <c r="J3683" s="1">
        <v>46239</v>
      </c>
      <c r="K3683" t="s">
        <v>717</v>
      </c>
      <c r="L3683">
        <v>4</v>
      </c>
      <c r="M3683">
        <v>46</v>
      </c>
      <c r="N3683" t="s">
        <v>710</v>
      </c>
      <c r="O3683" t="s">
        <v>1037</v>
      </c>
      <c r="P3683" t="s">
        <v>4790</v>
      </c>
      <c r="Q3683" t="s">
        <v>4852</v>
      </c>
      <c r="R3683" t="s">
        <v>4772</v>
      </c>
    </row>
    <row r="3684" spans="1:18" x14ac:dyDescent="0.3">
      <c r="A3684">
        <v>298</v>
      </c>
      <c r="B3684" t="s">
        <v>1034</v>
      </c>
      <c r="C3684" t="s">
        <v>479</v>
      </c>
      <c r="D3684" t="s">
        <v>99</v>
      </c>
      <c r="E3684" s="1">
        <v>45799</v>
      </c>
      <c r="F3684" t="s">
        <v>4310</v>
      </c>
      <c r="G3684" t="s">
        <v>1998</v>
      </c>
      <c r="H3684" t="s">
        <v>478</v>
      </c>
      <c r="I3684" t="s">
        <v>204</v>
      </c>
      <c r="J3684" s="1">
        <v>46239</v>
      </c>
      <c r="K3684" t="s">
        <v>717</v>
      </c>
      <c r="L3684">
        <v>26</v>
      </c>
      <c r="M3684">
        <v>87.1</v>
      </c>
      <c r="N3684" t="s">
        <v>710</v>
      </c>
      <c r="O3684" t="s">
        <v>1037</v>
      </c>
      <c r="P3684" t="s">
        <v>4790</v>
      </c>
      <c r="Q3684" t="s">
        <v>4852</v>
      </c>
      <c r="R3684" t="s">
        <v>4772</v>
      </c>
    </row>
    <row r="3685" spans="1:18" x14ac:dyDescent="0.3">
      <c r="A3685">
        <v>298</v>
      </c>
      <c r="B3685" t="s">
        <v>1034</v>
      </c>
      <c r="C3685" t="s">
        <v>479</v>
      </c>
      <c r="D3685" t="s">
        <v>99</v>
      </c>
      <c r="E3685" s="1">
        <v>45799</v>
      </c>
      <c r="F3685" t="s">
        <v>4308</v>
      </c>
      <c r="G3685" t="s">
        <v>1998</v>
      </c>
      <c r="H3685" t="s">
        <v>478</v>
      </c>
      <c r="I3685" t="s">
        <v>204</v>
      </c>
      <c r="J3685" s="1">
        <v>46239</v>
      </c>
      <c r="K3685" t="s">
        <v>717</v>
      </c>
      <c r="L3685">
        <v>2653</v>
      </c>
      <c r="M3685">
        <v>10505.88</v>
      </c>
      <c r="N3685" t="s">
        <v>710</v>
      </c>
      <c r="O3685" t="s">
        <v>1037</v>
      </c>
      <c r="P3685" t="s">
        <v>4790</v>
      </c>
      <c r="Q3685" t="s">
        <v>4852</v>
      </c>
      <c r="R3685" t="s">
        <v>4772</v>
      </c>
    </row>
    <row r="3686" spans="1:18" x14ac:dyDescent="0.3">
      <c r="A3686">
        <v>298</v>
      </c>
      <c r="B3686" t="s">
        <v>1034</v>
      </c>
      <c r="C3686" t="s">
        <v>479</v>
      </c>
      <c r="D3686" t="s">
        <v>99</v>
      </c>
      <c r="E3686" s="1">
        <v>45799</v>
      </c>
      <c r="F3686" t="s">
        <v>4371</v>
      </c>
      <c r="G3686" t="s">
        <v>1998</v>
      </c>
      <c r="H3686" t="s">
        <v>478</v>
      </c>
      <c r="I3686" t="s">
        <v>204</v>
      </c>
      <c r="J3686" s="1">
        <v>46239</v>
      </c>
      <c r="K3686" t="s">
        <v>717</v>
      </c>
      <c r="L3686">
        <v>155</v>
      </c>
      <c r="M3686">
        <v>2554.4</v>
      </c>
      <c r="N3686" t="s">
        <v>710</v>
      </c>
      <c r="O3686" t="s">
        <v>1037</v>
      </c>
      <c r="P3686" t="s">
        <v>4790</v>
      </c>
      <c r="Q3686" t="s">
        <v>4852</v>
      </c>
      <c r="R3686" t="s">
        <v>4772</v>
      </c>
    </row>
    <row r="3687" spans="1:18" x14ac:dyDescent="0.3">
      <c r="A3687">
        <v>298</v>
      </c>
      <c r="B3687" t="s">
        <v>1034</v>
      </c>
      <c r="C3687" t="s">
        <v>479</v>
      </c>
      <c r="D3687" t="s">
        <v>99</v>
      </c>
      <c r="E3687" s="1">
        <v>45799</v>
      </c>
      <c r="F3687" t="s">
        <v>4307</v>
      </c>
      <c r="G3687" t="s">
        <v>1998</v>
      </c>
      <c r="H3687" t="s">
        <v>478</v>
      </c>
      <c r="I3687" t="s">
        <v>204</v>
      </c>
      <c r="J3687" s="1">
        <v>46239</v>
      </c>
      <c r="K3687" t="s">
        <v>717</v>
      </c>
      <c r="L3687">
        <v>3651</v>
      </c>
      <c r="M3687">
        <v>44578.71</v>
      </c>
      <c r="N3687" t="s">
        <v>710</v>
      </c>
      <c r="O3687" t="s">
        <v>1037</v>
      </c>
      <c r="P3687" t="s">
        <v>4790</v>
      </c>
      <c r="Q3687" t="s">
        <v>4852</v>
      </c>
      <c r="R3687" t="s">
        <v>4772</v>
      </c>
    </row>
    <row r="3688" spans="1:18" x14ac:dyDescent="0.3">
      <c r="A3688">
        <v>298</v>
      </c>
      <c r="B3688" t="s">
        <v>1034</v>
      </c>
      <c r="C3688" t="s">
        <v>479</v>
      </c>
      <c r="D3688" t="s">
        <v>99</v>
      </c>
      <c r="E3688" s="1">
        <v>45799</v>
      </c>
      <c r="F3688" t="s">
        <v>4311</v>
      </c>
      <c r="G3688" t="s">
        <v>1998</v>
      </c>
      <c r="H3688" t="s">
        <v>478</v>
      </c>
      <c r="I3688" t="s">
        <v>204</v>
      </c>
      <c r="J3688" s="1">
        <v>46239</v>
      </c>
      <c r="K3688" t="s">
        <v>717</v>
      </c>
      <c r="L3688">
        <v>232</v>
      </c>
      <c r="M3688">
        <v>1976.64</v>
      </c>
      <c r="N3688" t="s">
        <v>710</v>
      </c>
      <c r="O3688" t="s">
        <v>1037</v>
      </c>
      <c r="P3688" t="s">
        <v>4790</v>
      </c>
      <c r="Q3688" t="s">
        <v>4852</v>
      </c>
      <c r="R3688" t="s">
        <v>4772</v>
      </c>
    </row>
    <row r="3689" spans="1:18" x14ac:dyDescent="0.3">
      <c r="A3689">
        <v>298</v>
      </c>
      <c r="B3689" t="s">
        <v>1034</v>
      </c>
      <c r="C3689" t="s">
        <v>479</v>
      </c>
      <c r="D3689" t="s">
        <v>99</v>
      </c>
      <c r="E3689" s="1">
        <v>45799</v>
      </c>
      <c r="F3689" t="s">
        <v>4313</v>
      </c>
      <c r="G3689" t="s">
        <v>1998</v>
      </c>
      <c r="H3689" t="s">
        <v>478</v>
      </c>
      <c r="I3689" t="s">
        <v>204</v>
      </c>
      <c r="J3689" s="1">
        <v>46239</v>
      </c>
      <c r="K3689" t="s">
        <v>717</v>
      </c>
      <c r="L3689">
        <v>110</v>
      </c>
      <c r="M3689">
        <v>587.4</v>
      </c>
      <c r="N3689" t="s">
        <v>710</v>
      </c>
      <c r="O3689" t="s">
        <v>1037</v>
      </c>
      <c r="P3689" t="s">
        <v>4790</v>
      </c>
      <c r="Q3689" t="s">
        <v>4852</v>
      </c>
      <c r="R3689" t="s">
        <v>4772</v>
      </c>
    </row>
    <row r="3690" spans="1:18" x14ac:dyDescent="0.3">
      <c r="A3690">
        <v>1021168</v>
      </c>
      <c r="B3690" t="s">
        <v>4875</v>
      </c>
      <c r="C3690" t="s">
        <v>203</v>
      </c>
      <c r="D3690" t="s">
        <v>118</v>
      </c>
      <c r="E3690" s="1">
        <v>45799</v>
      </c>
      <c r="F3690" t="s">
        <v>4353</v>
      </c>
      <c r="G3690" t="s">
        <v>1923</v>
      </c>
      <c r="H3690" t="s">
        <v>202</v>
      </c>
      <c r="I3690" t="s">
        <v>204</v>
      </c>
      <c r="J3690" s="1">
        <v>46387</v>
      </c>
      <c r="K3690" t="s">
        <v>717</v>
      </c>
      <c r="L3690">
        <v>170.08</v>
      </c>
      <c r="M3690">
        <v>170.08</v>
      </c>
      <c r="N3690" t="s">
        <v>710</v>
      </c>
      <c r="O3690" t="s">
        <v>1037</v>
      </c>
      <c r="P3690" t="s">
        <v>4776</v>
      </c>
      <c r="Q3690" t="s">
        <v>4852</v>
      </c>
      <c r="R3690" t="s">
        <v>4772</v>
      </c>
    </row>
    <row r="3691" spans="1:18" x14ac:dyDescent="0.3">
      <c r="A3691">
        <v>222207</v>
      </c>
      <c r="B3691" t="s">
        <v>4875</v>
      </c>
      <c r="C3691" t="s">
        <v>493</v>
      </c>
      <c r="D3691" t="s">
        <v>197</v>
      </c>
      <c r="E3691" s="1">
        <v>45799</v>
      </c>
      <c r="F3691" t="s">
        <v>4306</v>
      </c>
      <c r="G3691" t="s">
        <v>1960</v>
      </c>
      <c r="H3691" t="s">
        <v>492</v>
      </c>
      <c r="I3691" t="s">
        <v>204</v>
      </c>
      <c r="J3691" s="1">
        <v>54878</v>
      </c>
      <c r="K3691" t="s">
        <v>768</v>
      </c>
      <c r="L3691">
        <v>799</v>
      </c>
      <c r="M3691">
        <v>799</v>
      </c>
      <c r="N3691" t="s">
        <v>710</v>
      </c>
      <c r="O3691" t="s">
        <v>4833</v>
      </c>
      <c r="P3691" t="s">
        <v>4786</v>
      </c>
      <c r="Q3691" t="s">
        <v>4852</v>
      </c>
      <c r="R3691" t="s">
        <v>4773</v>
      </c>
    </row>
    <row r="3692" spans="1:18" x14ac:dyDescent="0.3">
      <c r="A3692">
        <v>623153</v>
      </c>
      <c r="B3692" t="s">
        <v>4874</v>
      </c>
      <c r="C3692" t="s">
        <v>491</v>
      </c>
      <c r="D3692" t="s">
        <v>33</v>
      </c>
      <c r="E3692" s="1">
        <v>45799</v>
      </c>
      <c r="F3692" t="s">
        <v>4389</v>
      </c>
      <c r="G3692" t="s">
        <v>2049</v>
      </c>
      <c r="H3692" t="s">
        <v>490</v>
      </c>
      <c r="I3692" t="s">
        <v>204</v>
      </c>
      <c r="J3692" s="1">
        <v>54878</v>
      </c>
      <c r="K3692" t="s">
        <v>762</v>
      </c>
      <c r="L3692">
        <v>280.81</v>
      </c>
      <c r="M3692">
        <v>280.81</v>
      </c>
      <c r="N3692" t="s">
        <v>710</v>
      </c>
      <c r="O3692" t="s">
        <v>4845</v>
      </c>
      <c r="P3692" t="s">
        <v>4776</v>
      </c>
      <c r="Q3692" t="s">
        <v>4845</v>
      </c>
      <c r="R3692" t="s">
        <v>4771</v>
      </c>
    </row>
    <row r="3693" spans="1:18" x14ac:dyDescent="0.3">
      <c r="A3693">
        <v>288329</v>
      </c>
      <c r="B3693" t="s">
        <v>4874</v>
      </c>
      <c r="C3693" t="s">
        <v>491</v>
      </c>
      <c r="D3693" t="s">
        <v>33</v>
      </c>
      <c r="E3693" s="1">
        <v>45799</v>
      </c>
      <c r="F3693" t="s">
        <v>4407</v>
      </c>
      <c r="G3693" t="s">
        <v>2049</v>
      </c>
      <c r="H3693" t="s">
        <v>490</v>
      </c>
      <c r="I3693" t="s">
        <v>204</v>
      </c>
      <c r="J3693" s="1">
        <v>54878</v>
      </c>
      <c r="K3693" t="s">
        <v>762</v>
      </c>
      <c r="L3693">
        <v>737.66</v>
      </c>
      <c r="M3693">
        <v>737.66</v>
      </c>
      <c r="N3693" t="s">
        <v>710</v>
      </c>
      <c r="O3693" t="s">
        <v>4845</v>
      </c>
      <c r="P3693" t="s">
        <v>4776</v>
      </c>
      <c r="Q3693" t="s">
        <v>4845</v>
      </c>
      <c r="R3693" t="s">
        <v>4771</v>
      </c>
    </row>
    <row r="3694" spans="1:18" x14ac:dyDescent="0.3">
      <c r="A3694">
        <v>298</v>
      </c>
      <c r="B3694" t="s">
        <v>1034</v>
      </c>
      <c r="C3694" t="s">
        <v>479</v>
      </c>
      <c r="D3694" t="s">
        <v>99</v>
      </c>
      <c r="E3694" s="1">
        <v>45799</v>
      </c>
      <c r="F3694" t="s">
        <v>4329</v>
      </c>
      <c r="G3694" t="s">
        <v>1998</v>
      </c>
      <c r="H3694" t="s">
        <v>478</v>
      </c>
      <c r="I3694" t="s">
        <v>204</v>
      </c>
      <c r="J3694" s="1">
        <v>46239</v>
      </c>
      <c r="K3694" t="s">
        <v>717</v>
      </c>
      <c r="L3694">
        <v>30</v>
      </c>
      <c r="M3694">
        <v>338.7</v>
      </c>
      <c r="N3694" t="s">
        <v>710</v>
      </c>
      <c r="O3694" t="s">
        <v>1037</v>
      </c>
      <c r="P3694" t="s">
        <v>4790</v>
      </c>
      <c r="Q3694" t="s">
        <v>4852</v>
      </c>
      <c r="R3694" t="s">
        <v>4772</v>
      </c>
    </row>
    <row r="3695" spans="1:18" x14ac:dyDescent="0.3">
      <c r="A3695">
        <v>282696</v>
      </c>
      <c r="B3695" t="s">
        <v>4874</v>
      </c>
      <c r="C3695" t="s">
        <v>407</v>
      </c>
      <c r="D3695" t="s">
        <v>170</v>
      </c>
      <c r="E3695" s="1">
        <v>45799</v>
      </c>
      <c r="F3695" t="s">
        <v>4388</v>
      </c>
      <c r="G3695" t="s">
        <v>1980</v>
      </c>
      <c r="H3695" t="s">
        <v>406</v>
      </c>
      <c r="I3695" t="s">
        <v>204</v>
      </c>
      <c r="J3695" s="1">
        <v>46387</v>
      </c>
      <c r="K3695" t="s">
        <v>762</v>
      </c>
      <c r="L3695">
        <v>29677</v>
      </c>
      <c r="M3695">
        <v>29676.69</v>
      </c>
      <c r="N3695" t="s">
        <v>710</v>
      </c>
      <c r="O3695" t="s">
        <v>4833</v>
      </c>
      <c r="P3695" t="s">
        <v>4776</v>
      </c>
      <c r="Q3695" t="s">
        <v>4852</v>
      </c>
      <c r="R3695" t="s">
        <v>4771</v>
      </c>
    </row>
    <row r="3696" spans="1:18" x14ac:dyDescent="0.3">
      <c r="A3696">
        <v>104291078</v>
      </c>
      <c r="B3696" t="s">
        <v>4874</v>
      </c>
      <c r="C3696" t="s">
        <v>433</v>
      </c>
      <c r="D3696" t="s">
        <v>168</v>
      </c>
      <c r="E3696" s="1">
        <v>45799</v>
      </c>
      <c r="F3696" t="s">
        <v>4319</v>
      </c>
      <c r="G3696" t="s">
        <v>1950</v>
      </c>
      <c r="H3696" t="s">
        <v>432</v>
      </c>
      <c r="I3696" t="s">
        <v>204</v>
      </c>
      <c r="J3696" s="1">
        <v>46473</v>
      </c>
      <c r="K3696" t="s">
        <v>762</v>
      </c>
      <c r="L3696">
        <v>4073</v>
      </c>
      <c r="M3696">
        <v>4072.74</v>
      </c>
      <c r="N3696" t="s">
        <v>710</v>
      </c>
      <c r="O3696" t="s">
        <v>4833</v>
      </c>
      <c r="P3696" t="s">
        <v>4802</v>
      </c>
      <c r="Q3696" t="s">
        <v>4852</v>
      </c>
      <c r="R3696" t="s">
        <v>4771</v>
      </c>
    </row>
    <row r="3697" spans="1:18" x14ac:dyDescent="0.3">
      <c r="A3697">
        <v>222206</v>
      </c>
      <c r="B3697" t="s">
        <v>4875</v>
      </c>
      <c r="C3697" t="s">
        <v>493</v>
      </c>
      <c r="D3697" t="s">
        <v>197</v>
      </c>
      <c r="E3697" s="1">
        <v>45799</v>
      </c>
      <c r="F3697" t="s">
        <v>4306</v>
      </c>
      <c r="G3697" t="s">
        <v>1961</v>
      </c>
      <c r="H3697" t="s">
        <v>492</v>
      </c>
      <c r="I3697" t="s">
        <v>204</v>
      </c>
      <c r="J3697" s="1">
        <v>54878</v>
      </c>
      <c r="K3697" t="s">
        <v>768</v>
      </c>
      <c r="L3697">
        <v>650</v>
      </c>
      <c r="M3697">
        <v>650</v>
      </c>
      <c r="N3697" t="s">
        <v>710</v>
      </c>
      <c r="O3697" t="s">
        <v>4833</v>
      </c>
      <c r="P3697" t="s">
        <v>4786</v>
      </c>
      <c r="Q3697" t="s">
        <v>4852</v>
      </c>
      <c r="R3697" t="s">
        <v>4773</v>
      </c>
    </row>
    <row r="3698" spans="1:18" x14ac:dyDescent="0.3">
      <c r="A3698">
        <v>298</v>
      </c>
      <c r="B3698" t="s">
        <v>1034</v>
      </c>
      <c r="C3698" t="s">
        <v>479</v>
      </c>
      <c r="D3698" t="s">
        <v>99</v>
      </c>
      <c r="E3698" s="1">
        <v>45799</v>
      </c>
      <c r="F3698" t="s">
        <v>4312</v>
      </c>
      <c r="G3698" t="s">
        <v>1998</v>
      </c>
      <c r="H3698" t="s">
        <v>478</v>
      </c>
      <c r="I3698" t="s">
        <v>204</v>
      </c>
      <c r="J3698" s="1">
        <v>46239</v>
      </c>
      <c r="K3698" t="s">
        <v>717</v>
      </c>
      <c r="L3698">
        <v>23</v>
      </c>
      <c r="M3698">
        <v>109.25</v>
      </c>
      <c r="N3698" t="s">
        <v>710</v>
      </c>
      <c r="O3698" t="s">
        <v>1037</v>
      </c>
      <c r="P3698" t="s">
        <v>4790</v>
      </c>
      <c r="Q3698" t="s">
        <v>4852</v>
      </c>
      <c r="R3698" t="s">
        <v>4772</v>
      </c>
    </row>
    <row r="3699" spans="1:18" x14ac:dyDescent="0.3">
      <c r="A3699">
        <v>112</v>
      </c>
      <c r="B3699" t="s">
        <v>4875</v>
      </c>
      <c r="C3699" t="s">
        <v>319</v>
      </c>
      <c r="D3699" t="s">
        <v>36</v>
      </c>
      <c r="E3699" s="1">
        <v>45798</v>
      </c>
      <c r="F3699" t="s">
        <v>4434</v>
      </c>
      <c r="G3699" t="s">
        <v>2017</v>
      </c>
      <c r="H3699" t="s">
        <v>336</v>
      </c>
      <c r="I3699" t="s">
        <v>204</v>
      </c>
      <c r="J3699" s="1">
        <v>46075</v>
      </c>
      <c r="K3699" t="s">
        <v>748</v>
      </c>
      <c r="L3699">
        <v>19835.13</v>
      </c>
      <c r="M3699">
        <v>19835.13</v>
      </c>
      <c r="N3699" t="s">
        <v>710</v>
      </c>
      <c r="O3699" t="s">
        <v>1040</v>
      </c>
      <c r="P3699" t="s">
        <v>4784</v>
      </c>
      <c r="Q3699" t="s">
        <v>4856</v>
      </c>
      <c r="R3699" t="s">
        <v>4771</v>
      </c>
    </row>
    <row r="3700" spans="1:18" x14ac:dyDescent="0.3">
      <c r="A3700">
        <v>3452</v>
      </c>
      <c r="B3700" t="s">
        <v>1034</v>
      </c>
      <c r="C3700" t="s">
        <v>319</v>
      </c>
      <c r="D3700" t="s">
        <v>36</v>
      </c>
      <c r="E3700" s="1">
        <v>45798</v>
      </c>
      <c r="F3700" t="s">
        <v>4298</v>
      </c>
      <c r="G3700" t="s">
        <v>2051</v>
      </c>
      <c r="H3700" t="s">
        <v>318</v>
      </c>
      <c r="I3700" t="s">
        <v>204</v>
      </c>
      <c r="J3700" s="1">
        <v>46214</v>
      </c>
      <c r="K3700" t="s">
        <v>711</v>
      </c>
      <c r="L3700">
        <v>1045</v>
      </c>
      <c r="M3700">
        <v>1044.93</v>
      </c>
      <c r="N3700" t="s">
        <v>710</v>
      </c>
      <c r="O3700" t="s">
        <v>1036</v>
      </c>
      <c r="P3700" t="s">
        <v>4784</v>
      </c>
      <c r="Q3700" t="s">
        <v>4901</v>
      </c>
      <c r="R3700" t="s">
        <v>4771</v>
      </c>
    </row>
    <row r="3701" spans="1:18" x14ac:dyDescent="0.3">
      <c r="A3701">
        <v>816894</v>
      </c>
      <c r="B3701" t="s">
        <v>1034</v>
      </c>
      <c r="C3701" t="s">
        <v>276</v>
      </c>
      <c r="D3701" t="s">
        <v>5</v>
      </c>
      <c r="E3701" s="1">
        <v>45798</v>
      </c>
      <c r="F3701" t="s">
        <v>4360</v>
      </c>
      <c r="G3701" t="s">
        <v>1922</v>
      </c>
      <c r="H3701" t="s">
        <v>275</v>
      </c>
      <c r="I3701" t="s">
        <v>204</v>
      </c>
      <c r="J3701" s="1">
        <v>46904</v>
      </c>
      <c r="K3701" t="s">
        <v>717</v>
      </c>
      <c r="L3701">
        <v>4428.54</v>
      </c>
      <c r="M3701">
        <v>4428.54</v>
      </c>
      <c r="N3701" t="s">
        <v>710</v>
      </c>
      <c r="O3701" t="s">
        <v>1037</v>
      </c>
      <c r="P3701" t="s">
        <v>4776</v>
      </c>
      <c r="Q3701" t="s">
        <v>4852</v>
      </c>
      <c r="R3701" t="s">
        <v>4773</v>
      </c>
    </row>
    <row r="3702" spans="1:18" x14ac:dyDescent="0.3">
      <c r="A3702">
        <v>820540</v>
      </c>
      <c r="B3702" t="s">
        <v>1034</v>
      </c>
      <c r="C3702" t="s">
        <v>276</v>
      </c>
      <c r="D3702" t="s">
        <v>5</v>
      </c>
      <c r="E3702" s="1">
        <v>45798</v>
      </c>
      <c r="F3702" t="s">
        <v>4360</v>
      </c>
      <c r="G3702" t="s">
        <v>2021</v>
      </c>
      <c r="H3702" t="s">
        <v>275</v>
      </c>
      <c r="I3702" t="s">
        <v>204</v>
      </c>
      <c r="J3702" s="1">
        <v>46904</v>
      </c>
      <c r="K3702" t="s">
        <v>717</v>
      </c>
      <c r="L3702">
        <v>1</v>
      </c>
      <c r="M3702">
        <v>4428.54</v>
      </c>
      <c r="N3702" t="s">
        <v>710</v>
      </c>
      <c r="O3702" t="s">
        <v>1037</v>
      </c>
      <c r="P3702" t="s">
        <v>4776</v>
      </c>
      <c r="Q3702" t="s">
        <v>4852</v>
      </c>
      <c r="R3702" t="s">
        <v>4773</v>
      </c>
    </row>
    <row r="3703" spans="1:18" x14ac:dyDescent="0.3">
      <c r="A3703">
        <v>299</v>
      </c>
      <c r="B3703" t="s">
        <v>1034</v>
      </c>
      <c r="C3703" t="s">
        <v>479</v>
      </c>
      <c r="D3703" t="s">
        <v>99</v>
      </c>
      <c r="E3703" s="1">
        <v>45797</v>
      </c>
      <c r="F3703" t="s">
        <v>4308</v>
      </c>
      <c r="G3703" t="s">
        <v>1999</v>
      </c>
      <c r="H3703" t="s">
        <v>478</v>
      </c>
      <c r="I3703" t="s">
        <v>204</v>
      </c>
      <c r="J3703" s="1">
        <v>46239</v>
      </c>
      <c r="K3703" t="s">
        <v>717</v>
      </c>
      <c r="L3703">
        <v>8899</v>
      </c>
      <c r="M3703">
        <v>2491.7199999999998</v>
      </c>
      <c r="N3703" t="s">
        <v>710</v>
      </c>
      <c r="O3703" t="s">
        <v>1037</v>
      </c>
      <c r="P3703" t="s">
        <v>4790</v>
      </c>
      <c r="Q3703" t="s">
        <v>4852</v>
      </c>
      <c r="R3703" t="s">
        <v>4772</v>
      </c>
    </row>
    <row r="3704" spans="1:18" x14ac:dyDescent="0.3">
      <c r="A3704">
        <v>299</v>
      </c>
      <c r="B3704" t="s">
        <v>1034</v>
      </c>
      <c r="C3704" t="s">
        <v>479</v>
      </c>
      <c r="D3704" t="s">
        <v>99</v>
      </c>
      <c r="E3704" s="1">
        <v>45797</v>
      </c>
      <c r="F3704" t="s">
        <v>4329</v>
      </c>
      <c r="G3704" t="s">
        <v>1999</v>
      </c>
      <c r="H3704" t="s">
        <v>478</v>
      </c>
      <c r="I3704" t="s">
        <v>204</v>
      </c>
      <c r="J3704" s="1">
        <v>46239</v>
      </c>
      <c r="K3704" t="s">
        <v>717</v>
      </c>
      <c r="L3704">
        <v>50</v>
      </c>
      <c r="M3704">
        <v>40</v>
      </c>
      <c r="N3704" t="s">
        <v>710</v>
      </c>
      <c r="O3704" t="s">
        <v>1037</v>
      </c>
      <c r="P3704" t="s">
        <v>4790</v>
      </c>
      <c r="Q3704" t="s">
        <v>4852</v>
      </c>
      <c r="R3704" t="s">
        <v>4772</v>
      </c>
    </row>
    <row r="3705" spans="1:18" x14ac:dyDescent="0.3">
      <c r="A3705">
        <v>30314</v>
      </c>
      <c r="B3705" t="s">
        <v>4874</v>
      </c>
      <c r="C3705" t="s">
        <v>296</v>
      </c>
      <c r="D3705" t="s">
        <v>93</v>
      </c>
      <c r="E3705" s="1">
        <v>45797</v>
      </c>
      <c r="F3705" t="s">
        <v>4362</v>
      </c>
      <c r="G3705" t="s">
        <v>2019</v>
      </c>
      <c r="H3705" t="s">
        <v>295</v>
      </c>
      <c r="I3705" t="s">
        <v>209</v>
      </c>
      <c r="J3705" s="1">
        <v>54878</v>
      </c>
      <c r="K3705" t="s">
        <v>720</v>
      </c>
      <c r="L3705">
        <v>15748.7</v>
      </c>
      <c r="M3705">
        <v>15748.7</v>
      </c>
      <c r="N3705" t="s">
        <v>710</v>
      </c>
      <c r="Q3705" t="s">
        <v>4845</v>
      </c>
      <c r="R3705" t="s">
        <v>4772</v>
      </c>
    </row>
    <row r="3706" spans="1:18" x14ac:dyDescent="0.3">
      <c r="A3706">
        <v>65573</v>
      </c>
      <c r="B3706" t="s">
        <v>4874</v>
      </c>
      <c r="C3706" t="s">
        <v>296</v>
      </c>
      <c r="D3706" t="s">
        <v>93</v>
      </c>
      <c r="E3706" s="1">
        <v>45797</v>
      </c>
      <c r="F3706" t="s">
        <v>4362</v>
      </c>
      <c r="G3706" t="s">
        <v>2018</v>
      </c>
      <c r="H3706" t="s">
        <v>295</v>
      </c>
      <c r="I3706" t="s">
        <v>209</v>
      </c>
      <c r="J3706" s="1">
        <v>54878</v>
      </c>
      <c r="K3706" t="s">
        <v>720</v>
      </c>
      <c r="L3706">
        <v>4900</v>
      </c>
      <c r="M3706">
        <v>4900</v>
      </c>
      <c r="N3706" t="s">
        <v>710</v>
      </c>
      <c r="Q3706" t="s">
        <v>4845</v>
      </c>
      <c r="R3706" t="s">
        <v>4772</v>
      </c>
    </row>
    <row r="3707" spans="1:18" x14ac:dyDescent="0.3">
      <c r="A3707">
        <v>1205657</v>
      </c>
      <c r="B3707" t="s">
        <v>4874</v>
      </c>
      <c r="C3707" t="s">
        <v>472</v>
      </c>
      <c r="D3707" t="s">
        <v>48</v>
      </c>
      <c r="E3707" s="1">
        <v>45797</v>
      </c>
      <c r="F3707" t="s">
        <v>4345</v>
      </c>
      <c r="G3707" t="s">
        <v>2039</v>
      </c>
      <c r="H3707" t="s">
        <v>471</v>
      </c>
      <c r="I3707" t="s">
        <v>204</v>
      </c>
      <c r="J3707" s="1">
        <v>46270</v>
      </c>
      <c r="K3707" t="s">
        <v>762</v>
      </c>
      <c r="L3707">
        <v>52.2</v>
      </c>
      <c r="M3707">
        <v>52.2</v>
      </c>
      <c r="N3707" t="s">
        <v>710</v>
      </c>
      <c r="O3707" t="s">
        <v>4845</v>
      </c>
      <c r="P3707" t="s">
        <v>4776</v>
      </c>
      <c r="Q3707" t="s">
        <v>4845</v>
      </c>
      <c r="R3707" t="s">
        <v>4773</v>
      </c>
    </row>
    <row r="3708" spans="1:18" x14ac:dyDescent="0.3">
      <c r="A3708">
        <v>1205656</v>
      </c>
      <c r="B3708" t="s">
        <v>4874</v>
      </c>
      <c r="C3708" t="s">
        <v>472</v>
      </c>
      <c r="D3708" t="s">
        <v>48</v>
      </c>
      <c r="E3708" s="1">
        <v>45797</v>
      </c>
      <c r="F3708" t="s">
        <v>4315</v>
      </c>
      <c r="G3708" t="s">
        <v>2039</v>
      </c>
      <c r="H3708" t="s">
        <v>471</v>
      </c>
      <c r="I3708" t="s">
        <v>204</v>
      </c>
      <c r="J3708" s="1">
        <v>46270</v>
      </c>
      <c r="K3708" t="s">
        <v>762</v>
      </c>
      <c r="L3708">
        <v>521.97</v>
      </c>
      <c r="M3708">
        <v>521.97</v>
      </c>
      <c r="N3708" t="s">
        <v>710</v>
      </c>
      <c r="O3708" t="s">
        <v>4845</v>
      </c>
      <c r="P3708" t="s">
        <v>4776</v>
      </c>
      <c r="Q3708" t="s">
        <v>4845</v>
      </c>
      <c r="R3708" t="s">
        <v>4773</v>
      </c>
    </row>
    <row r="3709" spans="1:18" x14ac:dyDescent="0.3">
      <c r="A3709">
        <v>179225</v>
      </c>
      <c r="B3709" t="s">
        <v>4874</v>
      </c>
      <c r="C3709" t="s">
        <v>411</v>
      </c>
      <c r="D3709" t="s">
        <v>154</v>
      </c>
      <c r="E3709" s="1">
        <v>45797</v>
      </c>
      <c r="F3709" t="s">
        <v>4345</v>
      </c>
      <c r="G3709" t="s">
        <v>1933</v>
      </c>
      <c r="H3709" t="s">
        <v>410</v>
      </c>
      <c r="I3709" t="s">
        <v>204</v>
      </c>
      <c r="J3709" s="1">
        <v>46344</v>
      </c>
      <c r="K3709" t="s">
        <v>762</v>
      </c>
      <c r="L3709">
        <v>15206.21</v>
      </c>
      <c r="M3709">
        <v>15206.21</v>
      </c>
      <c r="N3709" t="s">
        <v>710</v>
      </c>
      <c r="O3709" t="s">
        <v>4833</v>
      </c>
      <c r="P3709" t="s">
        <v>4776</v>
      </c>
      <c r="Q3709" t="s">
        <v>4852</v>
      </c>
      <c r="R3709" t="s">
        <v>4773</v>
      </c>
    </row>
    <row r="3710" spans="1:18" x14ac:dyDescent="0.3">
      <c r="A3710">
        <v>431492139</v>
      </c>
      <c r="B3710" t="s">
        <v>4874</v>
      </c>
      <c r="C3710" t="s">
        <v>298</v>
      </c>
      <c r="D3710" t="s">
        <v>11</v>
      </c>
      <c r="E3710" s="1">
        <v>45797</v>
      </c>
      <c r="F3710" t="s">
        <v>4297</v>
      </c>
      <c r="G3710" t="s">
        <v>1963</v>
      </c>
      <c r="H3710" t="s">
        <v>297</v>
      </c>
      <c r="I3710" t="s">
        <v>204</v>
      </c>
      <c r="J3710" s="1">
        <v>54878</v>
      </c>
      <c r="K3710" t="s">
        <v>720</v>
      </c>
      <c r="L3710">
        <v>1</v>
      </c>
      <c r="M3710">
        <v>1185.78</v>
      </c>
      <c r="N3710" t="s">
        <v>710</v>
      </c>
      <c r="O3710" t="s">
        <v>1038</v>
      </c>
      <c r="P3710" t="s">
        <v>4779</v>
      </c>
      <c r="Q3710" t="s">
        <v>4858</v>
      </c>
      <c r="R3710" t="s">
        <v>4771</v>
      </c>
    </row>
    <row r="3711" spans="1:18" x14ac:dyDescent="0.3">
      <c r="A3711">
        <v>299</v>
      </c>
      <c r="B3711" t="s">
        <v>1034</v>
      </c>
      <c r="C3711" t="s">
        <v>479</v>
      </c>
      <c r="D3711" t="s">
        <v>99</v>
      </c>
      <c r="E3711" s="1">
        <v>45797</v>
      </c>
      <c r="F3711" t="s">
        <v>4312</v>
      </c>
      <c r="G3711" t="s">
        <v>1999</v>
      </c>
      <c r="H3711" t="s">
        <v>478</v>
      </c>
      <c r="I3711" t="s">
        <v>204</v>
      </c>
      <c r="J3711" s="1">
        <v>46239</v>
      </c>
      <c r="K3711" t="s">
        <v>717</v>
      </c>
      <c r="L3711">
        <v>150</v>
      </c>
      <c r="M3711">
        <v>51</v>
      </c>
      <c r="N3711" t="s">
        <v>710</v>
      </c>
      <c r="O3711" t="s">
        <v>1037</v>
      </c>
      <c r="P3711" t="s">
        <v>4790</v>
      </c>
      <c r="Q3711" t="s">
        <v>4852</v>
      </c>
      <c r="R3711" t="s">
        <v>4772</v>
      </c>
    </row>
    <row r="3712" spans="1:18" x14ac:dyDescent="0.3">
      <c r="A3712">
        <v>266</v>
      </c>
      <c r="B3712" t="s">
        <v>4874</v>
      </c>
      <c r="C3712" t="s">
        <v>645</v>
      </c>
      <c r="D3712" t="s">
        <v>76</v>
      </c>
      <c r="E3712" s="1">
        <v>45797</v>
      </c>
      <c r="F3712" t="s">
        <v>4318</v>
      </c>
      <c r="G3712" t="s">
        <v>2005</v>
      </c>
      <c r="H3712" t="s">
        <v>644</v>
      </c>
      <c r="I3712" t="s">
        <v>204</v>
      </c>
      <c r="J3712" s="1">
        <v>46478</v>
      </c>
      <c r="K3712" t="s">
        <v>720</v>
      </c>
      <c r="L3712">
        <v>1</v>
      </c>
      <c r="M3712">
        <v>4027.7</v>
      </c>
      <c r="N3712" t="s">
        <v>710</v>
      </c>
      <c r="O3712" t="s">
        <v>1038</v>
      </c>
      <c r="P3712" t="s">
        <v>4776</v>
      </c>
      <c r="Q3712" t="s">
        <v>4858</v>
      </c>
      <c r="R3712" t="s">
        <v>4773</v>
      </c>
    </row>
    <row r="3713" spans="1:18" x14ac:dyDescent="0.3">
      <c r="A3713">
        <v>1222</v>
      </c>
      <c r="B3713" t="s">
        <v>4874</v>
      </c>
      <c r="C3713" t="s">
        <v>305</v>
      </c>
      <c r="D3713" t="s">
        <v>59</v>
      </c>
      <c r="E3713" s="1">
        <v>45797</v>
      </c>
      <c r="F3713" t="s">
        <v>4359</v>
      </c>
      <c r="G3713" t="s">
        <v>1973</v>
      </c>
      <c r="H3713" t="s">
        <v>304</v>
      </c>
      <c r="I3713" t="s">
        <v>204</v>
      </c>
      <c r="J3713" s="1">
        <v>46481</v>
      </c>
      <c r="K3713" t="s">
        <v>720</v>
      </c>
      <c r="L3713">
        <v>1</v>
      </c>
      <c r="M3713">
        <v>3200</v>
      </c>
      <c r="N3713" t="s">
        <v>809</v>
      </c>
      <c r="O3713" t="s">
        <v>1038</v>
      </c>
      <c r="P3713" t="s">
        <v>4783</v>
      </c>
      <c r="Q3713" t="s">
        <v>4858</v>
      </c>
      <c r="R3713" t="s">
        <v>4771</v>
      </c>
    </row>
    <row r="3714" spans="1:18" x14ac:dyDescent="0.3">
      <c r="A3714">
        <v>10632</v>
      </c>
      <c r="B3714" t="s">
        <v>4874</v>
      </c>
      <c r="C3714" t="s">
        <v>546</v>
      </c>
      <c r="D3714" t="s">
        <v>75</v>
      </c>
      <c r="E3714" s="1">
        <v>45797</v>
      </c>
      <c r="F3714" t="s">
        <v>4355</v>
      </c>
      <c r="G3714" t="s">
        <v>1921</v>
      </c>
      <c r="H3714" t="s">
        <v>581</v>
      </c>
      <c r="I3714" t="s">
        <v>204</v>
      </c>
      <c r="J3714" s="1">
        <v>46233</v>
      </c>
      <c r="K3714" t="s">
        <v>720</v>
      </c>
      <c r="L3714">
        <v>1</v>
      </c>
      <c r="M3714">
        <v>3090.55</v>
      </c>
      <c r="N3714" t="s">
        <v>814</v>
      </c>
      <c r="O3714" t="s">
        <v>1038</v>
      </c>
      <c r="P3714" t="s">
        <v>4779</v>
      </c>
      <c r="Q3714" t="s">
        <v>4858</v>
      </c>
      <c r="R3714" t="s">
        <v>4773</v>
      </c>
    </row>
    <row r="3715" spans="1:18" x14ac:dyDescent="0.3">
      <c r="A3715">
        <v>48060</v>
      </c>
      <c r="B3715" t="s">
        <v>4875</v>
      </c>
      <c r="C3715" t="s">
        <v>208</v>
      </c>
      <c r="D3715" t="s">
        <v>164</v>
      </c>
      <c r="E3715" s="1">
        <v>45797</v>
      </c>
      <c r="F3715" t="s">
        <v>4297</v>
      </c>
      <c r="G3715" t="s">
        <v>1925</v>
      </c>
      <c r="H3715" t="s">
        <v>605</v>
      </c>
      <c r="I3715" t="s">
        <v>204</v>
      </c>
      <c r="J3715" s="1">
        <v>46256</v>
      </c>
      <c r="K3715" t="s">
        <v>748</v>
      </c>
      <c r="L3715">
        <v>1</v>
      </c>
      <c r="M3715">
        <v>120</v>
      </c>
      <c r="N3715" t="s">
        <v>710</v>
      </c>
      <c r="O3715" t="s">
        <v>1040</v>
      </c>
      <c r="P3715" t="s">
        <v>4795</v>
      </c>
      <c r="Q3715" t="s">
        <v>4856</v>
      </c>
    </row>
    <row r="3716" spans="1:18" x14ac:dyDescent="0.3">
      <c r="A3716">
        <v>18524</v>
      </c>
      <c r="B3716" t="s">
        <v>4874</v>
      </c>
      <c r="C3716" t="s">
        <v>212</v>
      </c>
      <c r="D3716" t="s">
        <v>62</v>
      </c>
      <c r="E3716" s="1">
        <v>45797</v>
      </c>
      <c r="F3716" t="s">
        <v>4318</v>
      </c>
      <c r="G3716" t="s">
        <v>2002</v>
      </c>
      <c r="H3716" t="s">
        <v>211</v>
      </c>
      <c r="I3716" t="s">
        <v>204</v>
      </c>
      <c r="J3716" s="1">
        <v>54878</v>
      </c>
      <c r="K3716" t="s">
        <v>720</v>
      </c>
      <c r="L3716">
        <v>1</v>
      </c>
      <c r="M3716">
        <v>1000</v>
      </c>
      <c r="N3716" t="s">
        <v>719</v>
      </c>
      <c r="O3716" t="s">
        <v>4834</v>
      </c>
      <c r="P3716" t="s">
        <v>4776</v>
      </c>
      <c r="Q3716" t="s">
        <v>4858</v>
      </c>
      <c r="R3716" t="s">
        <v>4771</v>
      </c>
    </row>
    <row r="3717" spans="1:18" x14ac:dyDescent="0.3">
      <c r="A3717">
        <v>163</v>
      </c>
      <c r="B3717" t="s">
        <v>4874</v>
      </c>
      <c r="C3717" t="s">
        <v>607</v>
      </c>
      <c r="D3717" t="s">
        <v>81</v>
      </c>
      <c r="E3717" s="1">
        <v>45797</v>
      </c>
      <c r="F3717" t="s">
        <v>4357</v>
      </c>
      <c r="G3717" t="s">
        <v>1924</v>
      </c>
      <c r="H3717" t="s">
        <v>606</v>
      </c>
      <c r="I3717" t="s">
        <v>204</v>
      </c>
      <c r="J3717" s="1">
        <v>46387</v>
      </c>
      <c r="K3717" t="s">
        <v>720</v>
      </c>
      <c r="L3717">
        <v>1</v>
      </c>
      <c r="M3717">
        <v>25287</v>
      </c>
      <c r="N3717" t="s">
        <v>710</v>
      </c>
      <c r="O3717" t="s">
        <v>1038</v>
      </c>
      <c r="P3717" t="s">
        <v>4777</v>
      </c>
      <c r="Q3717" t="s">
        <v>4858</v>
      </c>
      <c r="R3717" t="s">
        <v>4773</v>
      </c>
    </row>
    <row r="3718" spans="1:18" x14ac:dyDescent="0.3">
      <c r="A3718">
        <v>155689</v>
      </c>
      <c r="B3718" t="s">
        <v>4874</v>
      </c>
      <c r="C3718" t="s">
        <v>301</v>
      </c>
      <c r="D3718" t="s">
        <v>23</v>
      </c>
      <c r="E3718" s="1">
        <v>45797</v>
      </c>
      <c r="F3718" t="s">
        <v>4321</v>
      </c>
      <c r="G3718" t="s">
        <v>2003</v>
      </c>
      <c r="H3718" t="s">
        <v>300</v>
      </c>
      <c r="I3718" t="s">
        <v>204</v>
      </c>
      <c r="J3718" s="1">
        <v>46418</v>
      </c>
      <c r="K3718" t="s">
        <v>720</v>
      </c>
      <c r="L3718">
        <v>1</v>
      </c>
      <c r="M3718">
        <v>5140.3900000000003</v>
      </c>
      <c r="N3718" t="s">
        <v>710</v>
      </c>
      <c r="O3718" t="s">
        <v>1038</v>
      </c>
      <c r="P3718" t="s">
        <v>4782</v>
      </c>
      <c r="Q3718" t="s">
        <v>4858</v>
      </c>
      <c r="R3718" t="s">
        <v>4773</v>
      </c>
    </row>
    <row r="3719" spans="1:18" x14ac:dyDescent="0.3">
      <c r="A3719">
        <v>134</v>
      </c>
      <c r="B3719" t="s">
        <v>4874</v>
      </c>
      <c r="C3719" t="s">
        <v>565</v>
      </c>
      <c r="D3719" t="s">
        <v>113</v>
      </c>
      <c r="E3719" s="1">
        <v>45797</v>
      </c>
      <c r="F3719" t="s">
        <v>4390</v>
      </c>
      <c r="G3719" t="s">
        <v>2014</v>
      </c>
      <c r="H3719" t="s">
        <v>564</v>
      </c>
      <c r="I3719" t="s">
        <v>204</v>
      </c>
      <c r="J3719" s="1">
        <v>46386</v>
      </c>
      <c r="K3719" t="s">
        <v>720</v>
      </c>
      <c r="L3719">
        <v>1</v>
      </c>
      <c r="M3719">
        <v>5200</v>
      </c>
      <c r="N3719" t="s">
        <v>710</v>
      </c>
      <c r="O3719" t="s">
        <v>1038</v>
      </c>
      <c r="P3719" t="s">
        <v>4777</v>
      </c>
      <c r="Q3719" t="s">
        <v>4858</v>
      </c>
      <c r="R3719" t="s">
        <v>4771</v>
      </c>
    </row>
    <row r="3720" spans="1:18" x14ac:dyDescent="0.3">
      <c r="A3720">
        <v>2843</v>
      </c>
      <c r="B3720" t="s">
        <v>4874</v>
      </c>
      <c r="C3720" t="s">
        <v>533</v>
      </c>
      <c r="D3720" t="s">
        <v>103</v>
      </c>
      <c r="E3720" s="1">
        <v>45797</v>
      </c>
      <c r="F3720" t="s">
        <v>4410</v>
      </c>
      <c r="G3720" t="s">
        <v>2015</v>
      </c>
      <c r="H3720" t="s">
        <v>532</v>
      </c>
      <c r="I3720" t="s">
        <v>204</v>
      </c>
      <c r="J3720" s="1">
        <v>46568</v>
      </c>
      <c r="K3720" t="s">
        <v>892</v>
      </c>
      <c r="L3720">
        <v>1</v>
      </c>
      <c r="M3720">
        <v>10378.5</v>
      </c>
      <c r="N3720" t="s">
        <v>710</v>
      </c>
      <c r="O3720" t="s">
        <v>4811</v>
      </c>
      <c r="P3720" t="s">
        <v>4776</v>
      </c>
      <c r="Q3720" t="s">
        <v>4859</v>
      </c>
      <c r="R3720" t="s">
        <v>4771</v>
      </c>
    </row>
    <row r="3721" spans="1:18" x14ac:dyDescent="0.3">
      <c r="A3721">
        <v>2827</v>
      </c>
      <c r="B3721" t="s">
        <v>4874</v>
      </c>
      <c r="C3721" t="s">
        <v>533</v>
      </c>
      <c r="D3721" t="s">
        <v>103</v>
      </c>
      <c r="E3721" s="1">
        <v>45797</v>
      </c>
      <c r="F3721" t="s">
        <v>4416</v>
      </c>
      <c r="G3721" t="s">
        <v>2016</v>
      </c>
      <c r="H3721" t="s">
        <v>532</v>
      </c>
      <c r="I3721" t="s">
        <v>204</v>
      </c>
      <c r="J3721" s="1">
        <v>46568</v>
      </c>
      <c r="K3721" t="s">
        <v>892</v>
      </c>
      <c r="L3721">
        <v>1</v>
      </c>
      <c r="M3721">
        <v>4725</v>
      </c>
      <c r="N3721" t="s">
        <v>710</v>
      </c>
      <c r="O3721" t="s">
        <v>4811</v>
      </c>
      <c r="P3721" t="s">
        <v>4776</v>
      </c>
      <c r="Q3721" t="s">
        <v>4859</v>
      </c>
      <c r="R3721" t="s">
        <v>4771</v>
      </c>
    </row>
    <row r="3722" spans="1:18" x14ac:dyDescent="0.3">
      <c r="A3722">
        <v>299</v>
      </c>
      <c r="B3722" t="s">
        <v>1034</v>
      </c>
      <c r="C3722" t="s">
        <v>479</v>
      </c>
      <c r="D3722" t="s">
        <v>99</v>
      </c>
      <c r="E3722" s="1">
        <v>45797</v>
      </c>
      <c r="F3722" t="s">
        <v>4307</v>
      </c>
      <c r="G3722" t="s">
        <v>1999</v>
      </c>
      <c r="H3722" t="s">
        <v>478</v>
      </c>
      <c r="I3722" t="s">
        <v>204</v>
      </c>
      <c r="J3722" s="1">
        <v>46239</v>
      </c>
      <c r="K3722" t="s">
        <v>717</v>
      </c>
      <c r="L3722">
        <v>12559</v>
      </c>
      <c r="M3722">
        <v>10800.74</v>
      </c>
      <c r="N3722" t="s">
        <v>710</v>
      </c>
      <c r="O3722" t="s">
        <v>1037</v>
      </c>
      <c r="P3722" t="s">
        <v>4790</v>
      </c>
      <c r="Q3722" t="s">
        <v>4852</v>
      </c>
      <c r="R3722" t="s">
        <v>4772</v>
      </c>
    </row>
    <row r="3723" spans="1:18" x14ac:dyDescent="0.3">
      <c r="A3723">
        <v>299</v>
      </c>
      <c r="B3723" t="s">
        <v>1034</v>
      </c>
      <c r="C3723" t="s">
        <v>479</v>
      </c>
      <c r="D3723" t="s">
        <v>99</v>
      </c>
      <c r="E3723" s="1">
        <v>45797</v>
      </c>
      <c r="F3723" t="s">
        <v>4369</v>
      </c>
      <c r="G3723" t="s">
        <v>1999</v>
      </c>
      <c r="H3723" t="s">
        <v>478</v>
      </c>
      <c r="I3723" t="s">
        <v>204</v>
      </c>
      <c r="J3723" s="1">
        <v>46239</v>
      </c>
      <c r="K3723" t="s">
        <v>717</v>
      </c>
      <c r="L3723">
        <v>165</v>
      </c>
      <c r="M3723">
        <v>191.4</v>
      </c>
      <c r="N3723" t="s">
        <v>710</v>
      </c>
      <c r="O3723" t="s">
        <v>1037</v>
      </c>
      <c r="P3723" t="s">
        <v>4790</v>
      </c>
      <c r="Q3723" t="s">
        <v>4852</v>
      </c>
      <c r="R3723" t="s">
        <v>4772</v>
      </c>
    </row>
    <row r="3724" spans="1:18" x14ac:dyDescent="0.3">
      <c r="A3724">
        <v>3708</v>
      </c>
      <c r="B3724" t="s">
        <v>1034</v>
      </c>
      <c r="C3724" t="s">
        <v>535</v>
      </c>
      <c r="D3724" t="s">
        <v>148</v>
      </c>
      <c r="E3724" s="1">
        <v>45797</v>
      </c>
      <c r="F3724" t="s">
        <v>4355</v>
      </c>
      <c r="G3724" t="s">
        <v>1948</v>
      </c>
      <c r="H3724" t="s">
        <v>534</v>
      </c>
      <c r="I3724" t="s">
        <v>209</v>
      </c>
      <c r="J3724" s="1">
        <v>46295</v>
      </c>
      <c r="K3724" t="s">
        <v>711</v>
      </c>
      <c r="L3724">
        <v>1</v>
      </c>
      <c r="M3724">
        <v>3200</v>
      </c>
      <c r="N3724" t="s">
        <v>890</v>
      </c>
      <c r="O3724" t="s">
        <v>1036</v>
      </c>
      <c r="P3724" t="s">
        <v>4779</v>
      </c>
      <c r="Q3724" t="s">
        <v>4856</v>
      </c>
      <c r="R3724" t="s">
        <v>807</v>
      </c>
    </row>
    <row r="3725" spans="1:18" x14ac:dyDescent="0.3">
      <c r="A3725">
        <v>11181375</v>
      </c>
      <c r="B3725" t="s">
        <v>1034</v>
      </c>
      <c r="C3725" t="s">
        <v>452</v>
      </c>
      <c r="D3725" t="s">
        <v>171</v>
      </c>
      <c r="E3725" s="1">
        <v>45797</v>
      </c>
      <c r="F3725" t="s">
        <v>4319</v>
      </c>
      <c r="G3725" t="s">
        <v>1883</v>
      </c>
      <c r="H3725" t="s">
        <v>450</v>
      </c>
      <c r="I3725" t="s">
        <v>209</v>
      </c>
      <c r="J3725" s="1">
        <v>54878</v>
      </c>
      <c r="K3725" t="s">
        <v>717</v>
      </c>
      <c r="L3725">
        <v>1</v>
      </c>
      <c r="M3725">
        <v>2491.44</v>
      </c>
      <c r="N3725" t="s">
        <v>710</v>
      </c>
      <c r="Q3725" t="s">
        <v>4852</v>
      </c>
      <c r="R3725" t="s">
        <v>4771</v>
      </c>
    </row>
    <row r="3726" spans="1:18" x14ac:dyDescent="0.3">
      <c r="A3726">
        <v>11181436</v>
      </c>
      <c r="B3726" t="s">
        <v>1034</v>
      </c>
      <c r="C3726" t="s">
        <v>452</v>
      </c>
      <c r="D3726" t="s">
        <v>171</v>
      </c>
      <c r="E3726" s="1">
        <v>45797</v>
      </c>
      <c r="F3726" t="s">
        <v>4319</v>
      </c>
      <c r="G3726" t="s">
        <v>1883</v>
      </c>
      <c r="H3726" t="s">
        <v>450</v>
      </c>
      <c r="I3726" t="s">
        <v>209</v>
      </c>
      <c r="J3726" s="1">
        <v>54878</v>
      </c>
      <c r="K3726" t="s">
        <v>717</v>
      </c>
      <c r="L3726">
        <v>1</v>
      </c>
      <c r="M3726">
        <v>1379.23</v>
      </c>
      <c r="N3726" t="s">
        <v>710</v>
      </c>
      <c r="Q3726" t="s">
        <v>4852</v>
      </c>
      <c r="R3726" t="s">
        <v>4771</v>
      </c>
    </row>
    <row r="3727" spans="1:18" x14ac:dyDescent="0.3">
      <c r="A3727">
        <v>11181324</v>
      </c>
      <c r="B3727" t="s">
        <v>1034</v>
      </c>
      <c r="C3727" t="s">
        <v>452</v>
      </c>
      <c r="D3727" t="s">
        <v>171</v>
      </c>
      <c r="E3727" s="1">
        <v>45797</v>
      </c>
      <c r="F3727" t="s">
        <v>4319</v>
      </c>
      <c r="G3727" t="s">
        <v>1883</v>
      </c>
      <c r="H3727" t="s">
        <v>450</v>
      </c>
      <c r="I3727" t="s">
        <v>209</v>
      </c>
      <c r="J3727" s="1">
        <v>54878</v>
      </c>
      <c r="K3727" t="s">
        <v>717</v>
      </c>
      <c r="L3727">
        <v>1</v>
      </c>
      <c r="M3727">
        <v>1616.02</v>
      </c>
      <c r="N3727" t="s">
        <v>710</v>
      </c>
      <c r="Q3727" t="s">
        <v>4852</v>
      </c>
      <c r="R3727" t="s">
        <v>4771</v>
      </c>
    </row>
    <row r="3728" spans="1:18" x14ac:dyDescent="0.3">
      <c r="A3728">
        <v>111297</v>
      </c>
      <c r="B3728" t="s">
        <v>1034</v>
      </c>
      <c r="C3728" t="s">
        <v>497</v>
      </c>
      <c r="D3728" t="s">
        <v>58</v>
      </c>
      <c r="E3728" s="1">
        <v>45797</v>
      </c>
      <c r="F3728" t="s">
        <v>4354</v>
      </c>
      <c r="G3728" t="s">
        <v>1966</v>
      </c>
      <c r="H3728" t="s">
        <v>496</v>
      </c>
      <c r="I3728" t="s">
        <v>204</v>
      </c>
      <c r="J3728" s="1">
        <v>46265</v>
      </c>
      <c r="K3728" t="s">
        <v>717</v>
      </c>
      <c r="L3728">
        <v>4985.58</v>
      </c>
      <c r="M3728">
        <v>4985.58</v>
      </c>
      <c r="N3728" t="s">
        <v>710</v>
      </c>
      <c r="O3728" t="s">
        <v>4833</v>
      </c>
      <c r="P3728" t="s">
        <v>4776</v>
      </c>
      <c r="Q3728" t="s">
        <v>4852</v>
      </c>
      <c r="R3728" t="s">
        <v>4773</v>
      </c>
    </row>
    <row r="3729" spans="1:18" x14ac:dyDescent="0.3">
      <c r="A3729">
        <v>3025</v>
      </c>
      <c r="B3729" t="s">
        <v>1034</v>
      </c>
      <c r="C3729" t="s">
        <v>590</v>
      </c>
      <c r="D3729" t="s">
        <v>79</v>
      </c>
      <c r="E3729" s="1">
        <v>45797</v>
      </c>
      <c r="F3729" t="s">
        <v>4365</v>
      </c>
      <c r="G3729" t="s">
        <v>2040</v>
      </c>
      <c r="H3729" t="s">
        <v>589</v>
      </c>
      <c r="I3729" t="s">
        <v>204</v>
      </c>
      <c r="J3729" s="1">
        <v>46387</v>
      </c>
      <c r="K3729" t="s">
        <v>717</v>
      </c>
      <c r="L3729">
        <v>420</v>
      </c>
      <c r="M3729">
        <v>420</v>
      </c>
      <c r="N3729" t="s">
        <v>814</v>
      </c>
      <c r="O3729" t="s">
        <v>4845</v>
      </c>
      <c r="P3729" t="s">
        <v>4793</v>
      </c>
      <c r="Q3729" t="s">
        <v>4845</v>
      </c>
      <c r="R3729" t="s">
        <v>4773</v>
      </c>
    </row>
    <row r="3730" spans="1:18" x14ac:dyDescent="0.3">
      <c r="A3730">
        <v>2828</v>
      </c>
      <c r="B3730" t="s">
        <v>4874</v>
      </c>
      <c r="C3730" t="s">
        <v>469</v>
      </c>
      <c r="D3730" t="s">
        <v>124</v>
      </c>
      <c r="E3730" s="1">
        <v>45797</v>
      </c>
      <c r="F3730" t="s">
        <v>4361</v>
      </c>
      <c r="G3730" t="s">
        <v>2026</v>
      </c>
      <c r="H3730" t="s">
        <v>468</v>
      </c>
      <c r="I3730" t="s">
        <v>204</v>
      </c>
      <c r="J3730" s="1">
        <v>54878</v>
      </c>
      <c r="K3730" t="s">
        <v>762</v>
      </c>
      <c r="L3730">
        <v>440</v>
      </c>
      <c r="M3730">
        <v>440</v>
      </c>
      <c r="N3730" t="s">
        <v>719</v>
      </c>
      <c r="O3730" t="s">
        <v>4845</v>
      </c>
      <c r="P3730" t="s">
        <v>4776</v>
      </c>
      <c r="Q3730" t="s">
        <v>4845</v>
      </c>
      <c r="R3730" t="s">
        <v>4771</v>
      </c>
    </row>
    <row r="3731" spans="1:18" x14ac:dyDescent="0.3">
      <c r="A3731">
        <v>299</v>
      </c>
      <c r="B3731" t="s">
        <v>1034</v>
      </c>
      <c r="C3731" t="s">
        <v>479</v>
      </c>
      <c r="D3731" t="s">
        <v>99</v>
      </c>
      <c r="E3731" s="1">
        <v>45797</v>
      </c>
      <c r="F3731" t="s">
        <v>4371</v>
      </c>
      <c r="G3731" t="s">
        <v>1999</v>
      </c>
      <c r="H3731" t="s">
        <v>478</v>
      </c>
      <c r="I3731" t="s">
        <v>204</v>
      </c>
      <c r="J3731" s="1">
        <v>46239</v>
      </c>
      <c r="K3731" t="s">
        <v>717</v>
      </c>
      <c r="L3731">
        <v>420</v>
      </c>
      <c r="M3731">
        <v>2154.6</v>
      </c>
      <c r="N3731" t="s">
        <v>710</v>
      </c>
      <c r="O3731" t="s">
        <v>1037</v>
      </c>
      <c r="P3731" t="s">
        <v>4790</v>
      </c>
      <c r="Q3731" t="s">
        <v>4852</v>
      </c>
      <c r="R3731" t="s">
        <v>4772</v>
      </c>
    </row>
    <row r="3732" spans="1:18" x14ac:dyDescent="0.3">
      <c r="A3732">
        <v>299</v>
      </c>
      <c r="B3732" t="s">
        <v>1034</v>
      </c>
      <c r="C3732" t="s">
        <v>479</v>
      </c>
      <c r="D3732" t="s">
        <v>99</v>
      </c>
      <c r="E3732" s="1">
        <v>45797</v>
      </c>
      <c r="F3732" t="s">
        <v>4313</v>
      </c>
      <c r="G3732" t="s">
        <v>1999</v>
      </c>
      <c r="H3732" t="s">
        <v>478</v>
      </c>
      <c r="I3732" t="s">
        <v>204</v>
      </c>
      <c r="J3732" s="1">
        <v>46239</v>
      </c>
      <c r="K3732" t="s">
        <v>717</v>
      </c>
      <c r="L3732">
        <v>320</v>
      </c>
      <c r="M3732">
        <v>531.20000000000005</v>
      </c>
      <c r="N3732" t="s">
        <v>710</v>
      </c>
      <c r="O3732" t="s">
        <v>1037</v>
      </c>
      <c r="P3732" t="s">
        <v>4790</v>
      </c>
      <c r="Q3732" t="s">
        <v>4852</v>
      </c>
      <c r="R3732" t="s">
        <v>4772</v>
      </c>
    </row>
    <row r="3733" spans="1:18" x14ac:dyDescent="0.3">
      <c r="A3733">
        <v>299</v>
      </c>
      <c r="B3733" t="s">
        <v>1034</v>
      </c>
      <c r="C3733" t="s">
        <v>479</v>
      </c>
      <c r="D3733" t="s">
        <v>99</v>
      </c>
      <c r="E3733" s="1">
        <v>45797</v>
      </c>
      <c r="F3733" t="s">
        <v>4311</v>
      </c>
      <c r="G3733" t="s">
        <v>1999</v>
      </c>
      <c r="H3733" t="s">
        <v>478</v>
      </c>
      <c r="I3733" t="s">
        <v>204</v>
      </c>
      <c r="J3733" s="1">
        <v>46239</v>
      </c>
      <c r="K3733" t="s">
        <v>717</v>
      </c>
      <c r="L3733">
        <v>785</v>
      </c>
      <c r="M3733">
        <v>471</v>
      </c>
      <c r="N3733" t="s">
        <v>710</v>
      </c>
      <c r="O3733" t="s">
        <v>1037</v>
      </c>
      <c r="P3733" t="s">
        <v>4790</v>
      </c>
      <c r="Q3733" t="s">
        <v>4852</v>
      </c>
      <c r="R3733" t="s">
        <v>4772</v>
      </c>
    </row>
    <row r="3734" spans="1:18" x14ac:dyDescent="0.3">
      <c r="A3734">
        <v>299</v>
      </c>
      <c r="B3734" t="s">
        <v>1034</v>
      </c>
      <c r="C3734" t="s">
        <v>479</v>
      </c>
      <c r="D3734" t="s">
        <v>99</v>
      </c>
      <c r="E3734" s="1">
        <v>45797</v>
      </c>
      <c r="F3734" t="s">
        <v>4310</v>
      </c>
      <c r="G3734" t="s">
        <v>1999</v>
      </c>
      <c r="H3734" t="s">
        <v>478</v>
      </c>
      <c r="I3734" t="s">
        <v>204</v>
      </c>
      <c r="J3734" s="1">
        <v>46239</v>
      </c>
      <c r="K3734" t="s">
        <v>717</v>
      </c>
      <c r="L3734">
        <v>95</v>
      </c>
      <c r="M3734">
        <v>23.75</v>
      </c>
      <c r="N3734" t="s">
        <v>710</v>
      </c>
      <c r="O3734" t="s">
        <v>1037</v>
      </c>
      <c r="P3734" t="s">
        <v>4790</v>
      </c>
      <c r="Q3734" t="s">
        <v>4852</v>
      </c>
      <c r="R3734" t="s">
        <v>4772</v>
      </c>
    </row>
    <row r="3735" spans="1:18" x14ac:dyDescent="0.3">
      <c r="A3735">
        <v>78439</v>
      </c>
      <c r="B3735" t="s">
        <v>4874</v>
      </c>
      <c r="C3735" t="s">
        <v>422</v>
      </c>
      <c r="D3735" t="s">
        <v>37</v>
      </c>
      <c r="E3735" s="1">
        <v>45796</v>
      </c>
      <c r="F3735" t="s">
        <v>4306</v>
      </c>
      <c r="G3735" t="s">
        <v>1970</v>
      </c>
      <c r="H3735" t="s">
        <v>421</v>
      </c>
      <c r="I3735" t="s">
        <v>204</v>
      </c>
      <c r="J3735" s="1">
        <v>46080</v>
      </c>
      <c r="K3735" t="s">
        <v>762</v>
      </c>
      <c r="L3735">
        <v>800</v>
      </c>
      <c r="M3735">
        <v>800</v>
      </c>
      <c r="N3735" t="s">
        <v>710</v>
      </c>
      <c r="O3735" t="s">
        <v>4833</v>
      </c>
      <c r="P3735" t="s">
        <v>4786</v>
      </c>
      <c r="Q3735" t="s">
        <v>4852</v>
      </c>
      <c r="R3735" t="s">
        <v>4773</v>
      </c>
    </row>
    <row r="3736" spans="1:18" x14ac:dyDescent="0.3">
      <c r="A3736">
        <v>44158</v>
      </c>
      <c r="B3736" t="s">
        <v>1034</v>
      </c>
      <c r="C3736" t="s">
        <v>497</v>
      </c>
      <c r="D3736" t="s">
        <v>58</v>
      </c>
      <c r="E3736" s="1">
        <v>45796</v>
      </c>
      <c r="F3736" t="s">
        <v>4316</v>
      </c>
      <c r="G3736" t="s">
        <v>1967</v>
      </c>
      <c r="H3736" t="s">
        <v>498</v>
      </c>
      <c r="I3736" t="s">
        <v>204</v>
      </c>
      <c r="J3736" s="1">
        <v>46265</v>
      </c>
      <c r="K3736" t="s">
        <v>717</v>
      </c>
      <c r="L3736">
        <v>537.17999999999995</v>
      </c>
      <c r="M3736">
        <v>537.17999999999995</v>
      </c>
      <c r="N3736" t="s">
        <v>710</v>
      </c>
      <c r="O3736" t="s">
        <v>4833</v>
      </c>
      <c r="P3736" t="s">
        <v>4776</v>
      </c>
      <c r="Q3736" t="s">
        <v>4852</v>
      </c>
      <c r="R3736" t="s">
        <v>4773</v>
      </c>
    </row>
    <row r="3737" spans="1:18" x14ac:dyDescent="0.3">
      <c r="A3737">
        <v>180444005</v>
      </c>
      <c r="B3737" t="s">
        <v>1034</v>
      </c>
      <c r="C3737" t="s">
        <v>585</v>
      </c>
      <c r="D3737" t="s">
        <v>179</v>
      </c>
      <c r="E3737" s="1">
        <v>45796</v>
      </c>
      <c r="F3737" t="s">
        <v>4306</v>
      </c>
      <c r="G3737" t="s">
        <v>1926</v>
      </c>
      <c r="H3737" t="s">
        <v>584</v>
      </c>
      <c r="I3737" t="s">
        <v>204</v>
      </c>
      <c r="J3737" s="1">
        <v>46477</v>
      </c>
      <c r="K3737" t="s">
        <v>717</v>
      </c>
      <c r="L3737">
        <v>1140</v>
      </c>
      <c r="M3737">
        <v>1139.9000000000001</v>
      </c>
      <c r="N3737" t="s">
        <v>719</v>
      </c>
      <c r="O3737" t="s">
        <v>4833</v>
      </c>
      <c r="P3737" t="s">
        <v>4786</v>
      </c>
      <c r="Q3737" t="s">
        <v>4852</v>
      </c>
      <c r="R3737" t="s">
        <v>4771</v>
      </c>
    </row>
    <row r="3738" spans="1:18" x14ac:dyDescent="0.3">
      <c r="A3738">
        <v>180444006</v>
      </c>
      <c r="B3738" t="s">
        <v>4875</v>
      </c>
      <c r="C3738" t="s">
        <v>585</v>
      </c>
      <c r="D3738" t="s">
        <v>179</v>
      </c>
      <c r="E3738" s="1">
        <v>45796</v>
      </c>
      <c r="F3738" t="s">
        <v>4306</v>
      </c>
      <c r="G3738" t="s">
        <v>1968</v>
      </c>
      <c r="H3738" t="s">
        <v>586</v>
      </c>
      <c r="I3738" t="s">
        <v>204</v>
      </c>
      <c r="J3738" s="1">
        <v>46477</v>
      </c>
      <c r="K3738" t="s">
        <v>768</v>
      </c>
      <c r="L3738">
        <v>1140</v>
      </c>
      <c r="M3738">
        <v>1139.9000000000001</v>
      </c>
      <c r="N3738" t="s">
        <v>719</v>
      </c>
      <c r="O3738" t="s">
        <v>4833</v>
      </c>
      <c r="P3738" t="s">
        <v>4786</v>
      </c>
      <c r="Q3738" t="s">
        <v>4852</v>
      </c>
      <c r="R3738" t="s">
        <v>4771</v>
      </c>
    </row>
    <row r="3739" spans="1:18" x14ac:dyDescent="0.3">
      <c r="A3739">
        <v>202524704</v>
      </c>
      <c r="B3739" t="s">
        <v>1034</v>
      </c>
      <c r="C3739" t="s">
        <v>222</v>
      </c>
      <c r="D3739" t="s">
        <v>80</v>
      </c>
      <c r="E3739" s="1">
        <v>45796</v>
      </c>
      <c r="F3739" t="s">
        <v>4327</v>
      </c>
      <c r="G3739" t="s">
        <v>1962</v>
      </c>
      <c r="H3739" t="s">
        <v>233</v>
      </c>
      <c r="I3739" t="s">
        <v>204</v>
      </c>
      <c r="J3739" s="1">
        <v>54878</v>
      </c>
      <c r="K3739" t="s">
        <v>711</v>
      </c>
      <c r="L3739">
        <v>1</v>
      </c>
      <c r="M3739">
        <v>4491.99</v>
      </c>
      <c r="N3739" t="s">
        <v>710</v>
      </c>
      <c r="O3739" t="s">
        <v>4834</v>
      </c>
      <c r="P3739" t="s">
        <v>4776</v>
      </c>
      <c r="Q3739" t="s">
        <v>4901</v>
      </c>
      <c r="R3739" t="s">
        <v>4773</v>
      </c>
    </row>
    <row r="3740" spans="1:18" x14ac:dyDescent="0.3">
      <c r="A3740">
        <v>3433</v>
      </c>
      <c r="B3740" t="s">
        <v>1034</v>
      </c>
      <c r="C3740" t="s">
        <v>319</v>
      </c>
      <c r="D3740" t="s">
        <v>36</v>
      </c>
      <c r="E3740" s="1">
        <v>45793</v>
      </c>
      <c r="F3740" t="s">
        <v>4298</v>
      </c>
      <c r="G3740" t="s">
        <v>2000</v>
      </c>
      <c r="H3740" t="s">
        <v>318</v>
      </c>
      <c r="I3740" t="s">
        <v>204</v>
      </c>
      <c r="J3740" s="1">
        <v>46214</v>
      </c>
      <c r="K3740" t="s">
        <v>711</v>
      </c>
      <c r="L3740">
        <v>1672</v>
      </c>
      <c r="M3740">
        <v>1671.89</v>
      </c>
      <c r="N3740" t="s">
        <v>710</v>
      </c>
      <c r="O3740" t="s">
        <v>1036</v>
      </c>
      <c r="P3740" t="s">
        <v>4784</v>
      </c>
      <c r="Q3740" t="s">
        <v>4901</v>
      </c>
      <c r="R3740" t="s">
        <v>4771</v>
      </c>
    </row>
    <row r="3741" spans="1:18" x14ac:dyDescent="0.3">
      <c r="A3741">
        <v>388294</v>
      </c>
      <c r="B3741" t="s">
        <v>4874</v>
      </c>
      <c r="C3741" t="s">
        <v>376</v>
      </c>
      <c r="D3741" t="s">
        <v>35</v>
      </c>
      <c r="E3741" s="1">
        <v>45792</v>
      </c>
      <c r="F3741" t="s">
        <v>4324</v>
      </c>
      <c r="G3741" t="s">
        <v>1893</v>
      </c>
      <c r="H3741" t="s">
        <v>442</v>
      </c>
      <c r="I3741" t="s">
        <v>209</v>
      </c>
      <c r="J3741" s="1">
        <v>54878</v>
      </c>
      <c r="K3741" t="s">
        <v>762</v>
      </c>
      <c r="L3741">
        <v>3980</v>
      </c>
      <c r="M3741">
        <v>3980</v>
      </c>
      <c r="N3741" t="s">
        <v>710</v>
      </c>
      <c r="Q3741" t="s">
        <v>4852</v>
      </c>
      <c r="R3741" t="s">
        <v>4771</v>
      </c>
    </row>
    <row r="3742" spans="1:18" x14ac:dyDescent="0.3">
      <c r="A3742">
        <v>103721</v>
      </c>
      <c r="B3742" t="s">
        <v>1034</v>
      </c>
      <c r="C3742" t="s">
        <v>495</v>
      </c>
      <c r="D3742" t="s">
        <v>44</v>
      </c>
      <c r="E3742" s="1">
        <v>45792</v>
      </c>
      <c r="F3742" t="s">
        <v>4303</v>
      </c>
      <c r="G3742" t="s">
        <v>1930</v>
      </c>
      <c r="H3742" t="s">
        <v>494</v>
      </c>
      <c r="I3742" t="s">
        <v>204</v>
      </c>
      <c r="J3742" s="1">
        <v>54878</v>
      </c>
      <c r="K3742" t="s">
        <v>717</v>
      </c>
      <c r="L3742">
        <v>1732.06</v>
      </c>
      <c r="M3742">
        <v>1732.06</v>
      </c>
      <c r="N3742" t="s">
        <v>710</v>
      </c>
      <c r="O3742" t="s">
        <v>4833</v>
      </c>
      <c r="P3742" t="s">
        <v>4776</v>
      </c>
      <c r="Q3742" t="s">
        <v>4852</v>
      </c>
      <c r="R3742" t="s">
        <v>4773</v>
      </c>
    </row>
    <row r="3743" spans="1:18" x14ac:dyDescent="0.3">
      <c r="A3743">
        <v>99076</v>
      </c>
      <c r="B3743" t="s">
        <v>1034</v>
      </c>
      <c r="C3743" t="s">
        <v>502</v>
      </c>
      <c r="D3743" t="s">
        <v>2</v>
      </c>
      <c r="E3743" s="1">
        <v>45792</v>
      </c>
      <c r="F3743" t="s">
        <v>4303</v>
      </c>
      <c r="G3743" t="s">
        <v>1949</v>
      </c>
      <c r="H3743" t="s">
        <v>501</v>
      </c>
      <c r="I3743" t="s">
        <v>204</v>
      </c>
      <c r="J3743" s="1">
        <v>54878</v>
      </c>
      <c r="K3743" t="s">
        <v>717</v>
      </c>
      <c r="L3743">
        <v>1884.23</v>
      </c>
      <c r="M3743">
        <v>1884.23</v>
      </c>
      <c r="N3743" t="s">
        <v>710</v>
      </c>
      <c r="O3743" t="s">
        <v>4833</v>
      </c>
      <c r="P3743" t="s">
        <v>4776</v>
      </c>
      <c r="Q3743" t="s">
        <v>4852</v>
      </c>
      <c r="R3743" t="s">
        <v>4774</v>
      </c>
    </row>
    <row r="3744" spans="1:18" x14ac:dyDescent="0.3">
      <c r="A3744">
        <v>3427</v>
      </c>
      <c r="B3744" t="s">
        <v>4875</v>
      </c>
      <c r="C3744" t="s">
        <v>319</v>
      </c>
      <c r="D3744" t="s">
        <v>36</v>
      </c>
      <c r="E3744" s="1">
        <v>45792</v>
      </c>
      <c r="F3744" t="s">
        <v>4298</v>
      </c>
      <c r="G3744" t="s">
        <v>1992</v>
      </c>
      <c r="H3744" t="s">
        <v>336</v>
      </c>
      <c r="I3744" t="s">
        <v>204</v>
      </c>
      <c r="J3744" s="1">
        <v>46075</v>
      </c>
      <c r="K3744" t="s">
        <v>748</v>
      </c>
      <c r="L3744">
        <v>5</v>
      </c>
      <c r="M3744">
        <v>998.35</v>
      </c>
      <c r="N3744" t="s">
        <v>710</v>
      </c>
      <c r="O3744" t="s">
        <v>1040</v>
      </c>
      <c r="P3744" t="s">
        <v>4784</v>
      </c>
      <c r="Q3744" t="s">
        <v>4856</v>
      </c>
      <c r="R3744" t="s">
        <v>4771</v>
      </c>
    </row>
    <row r="3745" spans="1:18" x14ac:dyDescent="0.3">
      <c r="A3745">
        <v>202583</v>
      </c>
      <c r="B3745" t="s">
        <v>4875</v>
      </c>
      <c r="C3745" t="s">
        <v>322</v>
      </c>
      <c r="D3745" t="s">
        <v>158</v>
      </c>
      <c r="E3745" s="1">
        <v>45792</v>
      </c>
      <c r="F3745" t="s">
        <v>4432</v>
      </c>
      <c r="G3745" t="s">
        <v>1908</v>
      </c>
      <c r="H3745" t="s">
        <v>352</v>
      </c>
      <c r="I3745" t="s">
        <v>204</v>
      </c>
      <c r="J3745" s="1">
        <v>46310</v>
      </c>
      <c r="K3745" t="s">
        <v>748</v>
      </c>
      <c r="L3745">
        <v>2318.84</v>
      </c>
      <c r="M3745">
        <v>2318.84</v>
      </c>
      <c r="N3745" t="s">
        <v>710</v>
      </c>
      <c r="O3745" t="s">
        <v>1040</v>
      </c>
      <c r="P3745" t="s">
        <v>4782</v>
      </c>
      <c r="Q3745" t="s">
        <v>4856</v>
      </c>
      <c r="R3745" t="s">
        <v>4773</v>
      </c>
    </row>
    <row r="3746" spans="1:18" x14ac:dyDescent="0.3">
      <c r="A3746">
        <v>202582</v>
      </c>
      <c r="B3746" t="s">
        <v>4875</v>
      </c>
      <c r="C3746" t="s">
        <v>322</v>
      </c>
      <c r="D3746" t="s">
        <v>158</v>
      </c>
      <c r="E3746" s="1">
        <v>45792</v>
      </c>
      <c r="F3746" t="s">
        <v>4431</v>
      </c>
      <c r="G3746" t="s">
        <v>1906</v>
      </c>
      <c r="H3746" t="s">
        <v>321</v>
      </c>
      <c r="I3746" t="s">
        <v>204</v>
      </c>
      <c r="J3746" s="1">
        <v>46310</v>
      </c>
      <c r="K3746" t="s">
        <v>748</v>
      </c>
      <c r="L3746">
        <v>10716.15</v>
      </c>
      <c r="M3746">
        <v>10716.15</v>
      </c>
      <c r="N3746" t="s">
        <v>710</v>
      </c>
      <c r="O3746" t="s">
        <v>1040</v>
      </c>
      <c r="P3746" t="s">
        <v>4782</v>
      </c>
      <c r="Q3746" t="s">
        <v>4856</v>
      </c>
      <c r="R3746" t="s">
        <v>4773</v>
      </c>
    </row>
    <row r="3747" spans="1:18" x14ac:dyDescent="0.3">
      <c r="A3747">
        <v>202581</v>
      </c>
      <c r="B3747" t="s">
        <v>4875</v>
      </c>
      <c r="C3747" t="s">
        <v>322</v>
      </c>
      <c r="D3747" t="s">
        <v>158</v>
      </c>
      <c r="E3747" s="1">
        <v>45792</v>
      </c>
      <c r="F3747" t="s">
        <v>4433</v>
      </c>
      <c r="G3747" t="s">
        <v>1905</v>
      </c>
      <c r="H3747" t="s">
        <v>346</v>
      </c>
      <c r="I3747" t="s">
        <v>204</v>
      </c>
      <c r="J3747" s="1">
        <v>46310</v>
      </c>
      <c r="K3747" t="s">
        <v>748</v>
      </c>
      <c r="L3747">
        <v>21660</v>
      </c>
      <c r="M3747">
        <v>21660</v>
      </c>
      <c r="N3747" t="s">
        <v>710</v>
      </c>
      <c r="O3747" t="s">
        <v>1040</v>
      </c>
      <c r="P3747" t="s">
        <v>4782</v>
      </c>
      <c r="Q3747" t="s">
        <v>4856</v>
      </c>
      <c r="R3747" t="s">
        <v>4773</v>
      </c>
    </row>
    <row r="3748" spans="1:18" x14ac:dyDescent="0.3">
      <c r="A3748">
        <v>5343</v>
      </c>
      <c r="B3748" t="s">
        <v>4874</v>
      </c>
      <c r="C3748" t="s">
        <v>401</v>
      </c>
      <c r="D3748" t="s">
        <v>187</v>
      </c>
      <c r="E3748" s="1">
        <v>45792</v>
      </c>
      <c r="F3748" t="s">
        <v>4345</v>
      </c>
      <c r="G3748" t="s">
        <v>1929</v>
      </c>
      <c r="H3748" t="s">
        <v>400</v>
      </c>
      <c r="I3748" t="s">
        <v>204</v>
      </c>
      <c r="J3748" s="1">
        <v>54878</v>
      </c>
      <c r="K3748" t="s">
        <v>762</v>
      </c>
      <c r="L3748">
        <v>390</v>
      </c>
      <c r="M3748">
        <v>390</v>
      </c>
      <c r="N3748" t="s">
        <v>710</v>
      </c>
      <c r="O3748" t="s">
        <v>4833</v>
      </c>
      <c r="P3748" t="s">
        <v>4776</v>
      </c>
      <c r="Q3748" t="s">
        <v>4852</v>
      </c>
      <c r="R3748" t="s">
        <v>4773</v>
      </c>
    </row>
    <row r="3749" spans="1:18" x14ac:dyDescent="0.3">
      <c r="A3749">
        <v>20131</v>
      </c>
      <c r="B3749" t="s">
        <v>4874</v>
      </c>
      <c r="C3749" t="s">
        <v>592</v>
      </c>
      <c r="D3749" t="s">
        <v>8</v>
      </c>
      <c r="E3749" s="1">
        <v>45792</v>
      </c>
      <c r="F3749" t="s">
        <v>4352</v>
      </c>
      <c r="G3749" t="s">
        <v>1997</v>
      </c>
      <c r="H3749" t="s">
        <v>601</v>
      </c>
      <c r="I3749" t="s">
        <v>209</v>
      </c>
      <c r="J3749" s="1">
        <v>45945</v>
      </c>
      <c r="K3749" t="s">
        <v>762</v>
      </c>
      <c r="L3749">
        <v>1052.8</v>
      </c>
      <c r="M3749">
        <v>1052.8</v>
      </c>
      <c r="N3749" t="s">
        <v>890</v>
      </c>
      <c r="O3749" t="s">
        <v>4833</v>
      </c>
      <c r="P3749" t="s">
        <v>950</v>
      </c>
      <c r="Q3749" t="s">
        <v>4852</v>
      </c>
      <c r="R3749" t="s">
        <v>807</v>
      </c>
    </row>
    <row r="3750" spans="1:18" x14ac:dyDescent="0.3">
      <c r="A3750">
        <v>1223</v>
      </c>
      <c r="B3750" t="s">
        <v>4874</v>
      </c>
      <c r="C3750" t="s">
        <v>305</v>
      </c>
      <c r="D3750" t="s">
        <v>59</v>
      </c>
      <c r="E3750" s="1">
        <v>45792</v>
      </c>
      <c r="F3750" t="s">
        <v>4359</v>
      </c>
      <c r="G3750" t="s">
        <v>1974</v>
      </c>
      <c r="H3750" t="s">
        <v>304</v>
      </c>
      <c r="I3750" t="s">
        <v>204</v>
      </c>
      <c r="J3750" s="1">
        <v>46481</v>
      </c>
      <c r="K3750" t="s">
        <v>720</v>
      </c>
      <c r="L3750">
        <v>1</v>
      </c>
      <c r="M3750">
        <v>920</v>
      </c>
      <c r="N3750" t="s">
        <v>809</v>
      </c>
      <c r="O3750" t="s">
        <v>1038</v>
      </c>
      <c r="P3750" t="s">
        <v>4783</v>
      </c>
      <c r="Q3750" t="s">
        <v>4858</v>
      </c>
      <c r="R3750" t="s">
        <v>4771</v>
      </c>
    </row>
    <row r="3751" spans="1:18" x14ac:dyDescent="0.3">
      <c r="A3751">
        <v>388293</v>
      </c>
      <c r="B3751" t="s">
        <v>4874</v>
      </c>
      <c r="C3751" t="s">
        <v>376</v>
      </c>
      <c r="D3751" t="s">
        <v>35</v>
      </c>
      <c r="E3751" s="1">
        <v>45792</v>
      </c>
      <c r="F3751" t="s">
        <v>4324</v>
      </c>
      <c r="G3751" t="s">
        <v>1893</v>
      </c>
      <c r="H3751" t="s">
        <v>442</v>
      </c>
      <c r="I3751" t="s">
        <v>209</v>
      </c>
      <c r="J3751" s="1">
        <v>54878</v>
      </c>
      <c r="K3751" t="s">
        <v>762</v>
      </c>
      <c r="L3751">
        <v>945</v>
      </c>
      <c r="M3751">
        <v>945</v>
      </c>
      <c r="N3751" t="s">
        <v>710</v>
      </c>
      <c r="Q3751" t="s">
        <v>4852</v>
      </c>
      <c r="R3751" t="s">
        <v>4771</v>
      </c>
    </row>
    <row r="3752" spans="1:18" x14ac:dyDescent="0.3">
      <c r="A3752">
        <v>190051</v>
      </c>
      <c r="B3752" t="s">
        <v>4874</v>
      </c>
      <c r="C3752" t="s">
        <v>467</v>
      </c>
      <c r="D3752" t="s">
        <v>175</v>
      </c>
      <c r="E3752" s="1">
        <v>45792</v>
      </c>
      <c r="F3752" t="s">
        <v>4315</v>
      </c>
      <c r="G3752" t="s">
        <v>1931</v>
      </c>
      <c r="H3752" t="s">
        <v>466</v>
      </c>
      <c r="I3752" t="s">
        <v>204</v>
      </c>
      <c r="J3752" s="1">
        <v>46266</v>
      </c>
      <c r="K3752" t="s">
        <v>762</v>
      </c>
      <c r="L3752">
        <v>10771.59</v>
      </c>
      <c r="M3752">
        <v>10771.59</v>
      </c>
      <c r="N3752" t="s">
        <v>710</v>
      </c>
      <c r="O3752" t="s">
        <v>4845</v>
      </c>
      <c r="P3752" t="s">
        <v>4776</v>
      </c>
      <c r="Q3752" t="s">
        <v>4845</v>
      </c>
      <c r="R3752" t="s">
        <v>4773</v>
      </c>
    </row>
    <row r="3753" spans="1:18" x14ac:dyDescent="0.3">
      <c r="A3753">
        <v>2025732</v>
      </c>
      <c r="B3753" t="s">
        <v>4875</v>
      </c>
      <c r="C3753" t="s">
        <v>550</v>
      </c>
      <c r="D3753" t="s">
        <v>189</v>
      </c>
      <c r="E3753" s="1">
        <v>45791</v>
      </c>
      <c r="F3753" t="s">
        <v>4338</v>
      </c>
      <c r="G3753" t="s">
        <v>1991</v>
      </c>
      <c r="H3753" t="s">
        <v>569</v>
      </c>
      <c r="I3753" t="s">
        <v>204</v>
      </c>
      <c r="J3753" s="1">
        <v>46599</v>
      </c>
      <c r="K3753" t="s">
        <v>768</v>
      </c>
      <c r="L3753">
        <v>23437.4</v>
      </c>
      <c r="M3753">
        <v>23437.4</v>
      </c>
      <c r="N3753" t="s">
        <v>710</v>
      </c>
      <c r="O3753" t="s">
        <v>4904</v>
      </c>
      <c r="P3753" t="s">
        <v>4792</v>
      </c>
      <c r="Q3753" t="s">
        <v>4904</v>
      </c>
      <c r="R3753" t="s">
        <v>4772</v>
      </c>
    </row>
    <row r="3754" spans="1:18" x14ac:dyDescent="0.3">
      <c r="A3754">
        <v>11408</v>
      </c>
      <c r="B3754" t="s">
        <v>4874</v>
      </c>
      <c r="C3754" t="s">
        <v>237</v>
      </c>
      <c r="D3754" t="s">
        <v>4</v>
      </c>
      <c r="E3754" s="1">
        <v>45791</v>
      </c>
      <c r="F3754" t="s">
        <v>4368</v>
      </c>
      <c r="G3754" t="s">
        <v>1928</v>
      </c>
      <c r="H3754" t="s">
        <v>236</v>
      </c>
      <c r="I3754" t="s">
        <v>204</v>
      </c>
      <c r="J3754" s="1">
        <v>54878</v>
      </c>
      <c r="K3754" t="s">
        <v>720</v>
      </c>
      <c r="L3754">
        <v>1</v>
      </c>
      <c r="M3754">
        <v>4926.1400000000003</v>
      </c>
      <c r="N3754" t="s">
        <v>710</v>
      </c>
      <c r="O3754" t="s">
        <v>1038</v>
      </c>
      <c r="P3754" t="s">
        <v>4776</v>
      </c>
      <c r="Q3754" t="s">
        <v>4858</v>
      </c>
      <c r="R3754" t="s">
        <v>4771</v>
      </c>
    </row>
    <row r="3755" spans="1:18" x14ac:dyDescent="0.3">
      <c r="A3755">
        <v>77511</v>
      </c>
      <c r="B3755" t="s">
        <v>4874</v>
      </c>
      <c r="C3755" t="s">
        <v>634</v>
      </c>
      <c r="D3755" t="s">
        <v>99</v>
      </c>
      <c r="E3755" s="1">
        <v>45791</v>
      </c>
      <c r="F3755" t="s">
        <v>4398</v>
      </c>
      <c r="G3755" t="s">
        <v>1986</v>
      </c>
      <c r="H3755" t="s">
        <v>633</v>
      </c>
      <c r="I3755" t="s">
        <v>204</v>
      </c>
      <c r="J3755" s="1">
        <v>46204</v>
      </c>
      <c r="K3755" t="s">
        <v>762</v>
      </c>
      <c r="L3755">
        <v>100</v>
      </c>
      <c r="M3755">
        <v>10</v>
      </c>
      <c r="N3755" t="s">
        <v>719</v>
      </c>
      <c r="O3755" t="s">
        <v>1037</v>
      </c>
      <c r="P3755" t="s">
        <v>4790</v>
      </c>
      <c r="Q3755" t="s">
        <v>4852</v>
      </c>
    </row>
    <row r="3756" spans="1:18" x14ac:dyDescent="0.3">
      <c r="A3756">
        <v>1549</v>
      </c>
      <c r="B3756" t="s">
        <v>1034</v>
      </c>
      <c r="C3756" t="s">
        <v>312</v>
      </c>
      <c r="D3756" t="s">
        <v>73</v>
      </c>
      <c r="E3756" s="1">
        <v>45791</v>
      </c>
      <c r="F3756" t="s">
        <v>4300</v>
      </c>
      <c r="G3756" t="s">
        <v>1911</v>
      </c>
      <c r="H3756" t="s">
        <v>311</v>
      </c>
      <c r="I3756" t="s">
        <v>204</v>
      </c>
      <c r="J3756" s="1">
        <v>54878</v>
      </c>
      <c r="K3756" t="s">
        <v>711</v>
      </c>
      <c r="L3756">
        <v>2255</v>
      </c>
      <c r="M3756">
        <v>2255</v>
      </c>
      <c r="N3756" t="s">
        <v>719</v>
      </c>
      <c r="O3756" t="s">
        <v>4834</v>
      </c>
      <c r="P3756" t="s">
        <v>1006</v>
      </c>
      <c r="Q3756" t="s">
        <v>4901</v>
      </c>
      <c r="R3756" t="s">
        <v>4773</v>
      </c>
    </row>
    <row r="3757" spans="1:18" x14ac:dyDescent="0.3">
      <c r="A3757">
        <v>2384</v>
      </c>
      <c r="B3757" t="s">
        <v>1034</v>
      </c>
      <c r="C3757" t="s">
        <v>541</v>
      </c>
      <c r="D3757" t="s">
        <v>173</v>
      </c>
      <c r="E3757" s="1">
        <v>45791</v>
      </c>
      <c r="F3757" t="s">
        <v>4326</v>
      </c>
      <c r="G3757" t="s">
        <v>1912</v>
      </c>
      <c r="H3757" t="s">
        <v>540</v>
      </c>
      <c r="I3757" t="s">
        <v>204</v>
      </c>
      <c r="J3757" s="1">
        <v>46386</v>
      </c>
      <c r="K3757" t="s">
        <v>711</v>
      </c>
      <c r="L3757">
        <v>1</v>
      </c>
      <c r="M3757">
        <v>2337.9499999999998</v>
      </c>
      <c r="N3757" t="s">
        <v>890</v>
      </c>
      <c r="O3757" t="s">
        <v>1036</v>
      </c>
      <c r="P3757" t="s">
        <v>4791</v>
      </c>
      <c r="Q3757" t="s">
        <v>4901</v>
      </c>
      <c r="R3757" t="s">
        <v>4773</v>
      </c>
    </row>
    <row r="3758" spans="1:18" x14ac:dyDescent="0.3">
      <c r="A3758">
        <v>2025153</v>
      </c>
      <c r="B3758" t="s">
        <v>1034</v>
      </c>
      <c r="C3758" t="s">
        <v>552</v>
      </c>
      <c r="D3758" t="s">
        <v>190</v>
      </c>
      <c r="E3758" s="1">
        <v>45791</v>
      </c>
      <c r="F3758" t="s">
        <v>4339</v>
      </c>
      <c r="G3758" t="s">
        <v>1989</v>
      </c>
      <c r="H3758" t="s">
        <v>583</v>
      </c>
      <c r="I3758" t="s">
        <v>204</v>
      </c>
      <c r="J3758" s="1">
        <v>46441</v>
      </c>
      <c r="K3758" t="s">
        <v>717</v>
      </c>
      <c r="L3758">
        <v>64252.04</v>
      </c>
      <c r="M3758">
        <v>64252.04</v>
      </c>
      <c r="N3758" t="s">
        <v>710</v>
      </c>
      <c r="O3758" t="s">
        <v>4904</v>
      </c>
      <c r="P3758" t="s">
        <v>4792</v>
      </c>
      <c r="Q3758" t="s">
        <v>4904</v>
      </c>
      <c r="R3758" t="s">
        <v>4772</v>
      </c>
    </row>
    <row r="3759" spans="1:18" x14ac:dyDescent="0.3">
      <c r="A3759">
        <v>77511</v>
      </c>
      <c r="B3759" t="s">
        <v>4874</v>
      </c>
      <c r="C3759" t="s">
        <v>634</v>
      </c>
      <c r="D3759" t="s">
        <v>99</v>
      </c>
      <c r="E3759" s="1">
        <v>45791</v>
      </c>
      <c r="F3759" t="s">
        <v>4403</v>
      </c>
      <c r="G3759" t="s">
        <v>1986</v>
      </c>
      <c r="H3759" t="s">
        <v>633</v>
      </c>
      <c r="I3759" t="s">
        <v>204</v>
      </c>
      <c r="J3759" s="1">
        <v>46204</v>
      </c>
      <c r="K3759" t="s">
        <v>762</v>
      </c>
      <c r="L3759">
        <v>1</v>
      </c>
      <c r="M3759">
        <v>2.95</v>
      </c>
      <c r="N3759" t="s">
        <v>719</v>
      </c>
      <c r="O3759" t="s">
        <v>1037</v>
      </c>
      <c r="P3759" t="s">
        <v>4790</v>
      </c>
      <c r="Q3759" t="s">
        <v>4852</v>
      </c>
    </row>
    <row r="3760" spans="1:18" x14ac:dyDescent="0.3">
      <c r="A3760">
        <v>41442</v>
      </c>
      <c r="B3760" t="s">
        <v>1034</v>
      </c>
      <c r="C3760" t="s">
        <v>327</v>
      </c>
      <c r="D3760" t="s">
        <v>159</v>
      </c>
      <c r="E3760" s="1">
        <v>45791</v>
      </c>
      <c r="F3760" t="s">
        <v>4295</v>
      </c>
      <c r="G3760" t="s">
        <v>1946</v>
      </c>
      <c r="H3760" t="s">
        <v>357</v>
      </c>
      <c r="I3760" t="s">
        <v>204</v>
      </c>
      <c r="J3760" s="1">
        <v>46476</v>
      </c>
      <c r="K3760" t="s">
        <v>711</v>
      </c>
      <c r="L3760">
        <v>1875.83</v>
      </c>
      <c r="M3760">
        <v>1875.83</v>
      </c>
      <c r="N3760" t="s">
        <v>890</v>
      </c>
      <c r="O3760" t="s">
        <v>4834</v>
      </c>
      <c r="P3760" t="s">
        <v>4776</v>
      </c>
      <c r="Q3760" t="s">
        <v>4901</v>
      </c>
      <c r="R3760" t="s">
        <v>4773</v>
      </c>
    </row>
    <row r="3761" spans="1:18" x14ac:dyDescent="0.3">
      <c r="A3761">
        <v>41441</v>
      </c>
      <c r="B3761" t="s">
        <v>1034</v>
      </c>
      <c r="C3761" t="s">
        <v>327</v>
      </c>
      <c r="D3761" t="s">
        <v>159</v>
      </c>
      <c r="E3761" s="1">
        <v>45791</v>
      </c>
      <c r="F3761" t="s">
        <v>4295</v>
      </c>
      <c r="G3761" t="s">
        <v>1945</v>
      </c>
      <c r="H3761" t="s">
        <v>357</v>
      </c>
      <c r="I3761" t="s">
        <v>204</v>
      </c>
      <c r="J3761" s="1">
        <v>46476</v>
      </c>
      <c r="K3761" t="s">
        <v>711</v>
      </c>
      <c r="L3761">
        <v>2150</v>
      </c>
      <c r="M3761">
        <v>2150</v>
      </c>
      <c r="N3761" t="s">
        <v>890</v>
      </c>
      <c r="O3761" t="s">
        <v>4834</v>
      </c>
      <c r="P3761" t="s">
        <v>4776</v>
      </c>
      <c r="Q3761" t="s">
        <v>4901</v>
      </c>
      <c r="R3761" t="s">
        <v>4773</v>
      </c>
    </row>
    <row r="3762" spans="1:18" x14ac:dyDescent="0.3">
      <c r="A3762">
        <v>16460</v>
      </c>
      <c r="B3762" t="s">
        <v>1034</v>
      </c>
      <c r="C3762" t="s">
        <v>359</v>
      </c>
      <c r="D3762" t="s">
        <v>53</v>
      </c>
      <c r="E3762" s="1">
        <v>45791</v>
      </c>
      <c r="F3762" t="s">
        <v>4305</v>
      </c>
      <c r="G3762" t="s">
        <v>1909</v>
      </c>
      <c r="H3762" t="s">
        <v>358</v>
      </c>
      <c r="I3762" t="s">
        <v>204</v>
      </c>
      <c r="J3762" s="1">
        <v>54878</v>
      </c>
      <c r="K3762" t="s">
        <v>711</v>
      </c>
      <c r="L3762">
        <v>625.37</v>
      </c>
      <c r="M3762">
        <v>625.37</v>
      </c>
      <c r="N3762" t="s">
        <v>710</v>
      </c>
      <c r="O3762" t="s">
        <v>1036</v>
      </c>
      <c r="P3762" t="s">
        <v>4776</v>
      </c>
      <c r="Q3762" t="s">
        <v>4901</v>
      </c>
      <c r="R3762" t="s">
        <v>4773</v>
      </c>
    </row>
    <row r="3763" spans="1:18" x14ac:dyDescent="0.3">
      <c r="A3763">
        <v>3764</v>
      </c>
      <c r="B3763" t="s">
        <v>4874</v>
      </c>
      <c r="C3763" t="s">
        <v>444</v>
      </c>
      <c r="D3763" t="s">
        <v>21</v>
      </c>
      <c r="E3763" s="1">
        <v>45791</v>
      </c>
      <c r="F3763" t="s">
        <v>4380</v>
      </c>
      <c r="G3763" t="s">
        <v>1957</v>
      </c>
      <c r="H3763" t="s">
        <v>443</v>
      </c>
      <c r="I3763" t="s">
        <v>209</v>
      </c>
      <c r="J3763" s="1">
        <v>54878</v>
      </c>
      <c r="K3763" t="s">
        <v>762</v>
      </c>
      <c r="L3763">
        <v>1</v>
      </c>
      <c r="M3763">
        <v>120</v>
      </c>
      <c r="N3763" t="s">
        <v>710</v>
      </c>
      <c r="O3763" t="s">
        <v>1037</v>
      </c>
      <c r="P3763" t="s">
        <v>4808</v>
      </c>
      <c r="Q3763" t="s">
        <v>4852</v>
      </c>
      <c r="R3763" t="s">
        <v>4772</v>
      </c>
    </row>
    <row r="3764" spans="1:18" x14ac:dyDescent="0.3">
      <c r="A3764">
        <v>376812</v>
      </c>
      <c r="B3764" t="s">
        <v>4874</v>
      </c>
      <c r="C3764" t="s">
        <v>250</v>
      </c>
      <c r="D3764" t="s">
        <v>55</v>
      </c>
      <c r="E3764" s="1">
        <v>45791</v>
      </c>
      <c r="F3764" t="s">
        <v>4391</v>
      </c>
      <c r="G3764" t="s">
        <v>1964</v>
      </c>
      <c r="H3764" t="s">
        <v>249</v>
      </c>
      <c r="I3764" t="s">
        <v>204</v>
      </c>
      <c r="J3764" s="1">
        <v>54878</v>
      </c>
      <c r="K3764" t="s">
        <v>720</v>
      </c>
      <c r="L3764">
        <v>1</v>
      </c>
      <c r="M3764">
        <v>643.59</v>
      </c>
      <c r="N3764" t="s">
        <v>719</v>
      </c>
      <c r="O3764" t="s">
        <v>1038</v>
      </c>
      <c r="P3764" t="s">
        <v>4778</v>
      </c>
      <c r="Q3764" t="s">
        <v>4858</v>
      </c>
      <c r="R3764" t="s">
        <v>4771</v>
      </c>
    </row>
    <row r="3765" spans="1:18" x14ac:dyDescent="0.3">
      <c r="A3765">
        <v>46061</v>
      </c>
      <c r="B3765" t="s">
        <v>4874</v>
      </c>
      <c r="C3765" t="s">
        <v>614</v>
      </c>
      <c r="D3765" t="s">
        <v>74</v>
      </c>
      <c r="E3765" s="1">
        <v>45791</v>
      </c>
      <c r="F3765" t="s">
        <v>4362</v>
      </c>
      <c r="G3765" t="s">
        <v>1915</v>
      </c>
      <c r="H3765" t="s">
        <v>613</v>
      </c>
      <c r="I3765" t="s">
        <v>204</v>
      </c>
      <c r="J3765" s="1">
        <v>46993</v>
      </c>
      <c r="K3765" t="s">
        <v>720</v>
      </c>
      <c r="L3765">
        <v>1</v>
      </c>
      <c r="M3765">
        <v>1515</v>
      </c>
      <c r="N3765" t="s">
        <v>710</v>
      </c>
      <c r="O3765" t="s">
        <v>1038</v>
      </c>
      <c r="P3765" t="s">
        <v>4779</v>
      </c>
      <c r="Q3765" t="s">
        <v>4858</v>
      </c>
      <c r="R3765" t="s">
        <v>4771</v>
      </c>
    </row>
    <row r="3766" spans="1:18" x14ac:dyDescent="0.3">
      <c r="A3766">
        <v>2025733</v>
      </c>
      <c r="B3766" t="s">
        <v>1034</v>
      </c>
      <c r="C3766" t="s">
        <v>550</v>
      </c>
      <c r="D3766" t="s">
        <v>189</v>
      </c>
      <c r="E3766" s="1">
        <v>45791</v>
      </c>
      <c r="F3766" t="s">
        <v>4338</v>
      </c>
      <c r="G3766" t="s">
        <v>1990</v>
      </c>
      <c r="H3766" t="s">
        <v>582</v>
      </c>
      <c r="I3766" t="s">
        <v>204</v>
      </c>
      <c r="J3766" s="1">
        <v>46599</v>
      </c>
      <c r="K3766" t="s">
        <v>717</v>
      </c>
      <c r="L3766">
        <v>27301.11</v>
      </c>
      <c r="M3766">
        <v>27301.11</v>
      </c>
      <c r="N3766" t="s">
        <v>710</v>
      </c>
      <c r="O3766" t="s">
        <v>4904</v>
      </c>
      <c r="P3766" t="s">
        <v>4792</v>
      </c>
      <c r="Q3766" t="s">
        <v>4904</v>
      </c>
      <c r="R3766" t="s">
        <v>4772</v>
      </c>
    </row>
    <row r="3767" spans="1:18" x14ac:dyDescent="0.3">
      <c r="A3767">
        <v>7066</v>
      </c>
      <c r="B3767" t="s">
        <v>4874</v>
      </c>
      <c r="C3767" t="s">
        <v>387</v>
      </c>
      <c r="D3767" t="s">
        <v>42</v>
      </c>
      <c r="E3767" s="1">
        <v>45791</v>
      </c>
      <c r="F3767" t="s">
        <v>4345</v>
      </c>
      <c r="G3767" t="s">
        <v>1927</v>
      </c>
      <c r="H3767" t="s">
        <v>386</v>
      </c>
      <c r="I3767" t="s">
        <v>204</v>
      </c>
      <c r="J3767" s="1">
        <v>54878</v>
      </c>
      <c r="K3767" t="s">
        <v>762</v>
      </c>
      <c r="L3767">
        <v>1870</v>
      </c>
      <c r="M3767">
        <v>1870</v>
      </c>
      <c r="N3767" t="s">
        <v>719</v>
      </c>
      <c r="O3767" t="s">
        <v>4833</v>
      </c>
      <c r="P3767" t="s">
        <v>4776</v>
      </c>
      <c r="Q3767" t="s">
        <v>4852</v>
      </c>
      <c r="R3767" t="s">
        <v>4773</v>
      </c>
    </row>
    <row r="3768" spans="1:18" x14ac:dyDescent="0.3">
      <c r="A3768">
        <v>3134</v>
      </c>
      <c r="B3768" t="s">
        <v>4874</v>
      </c>
      <c r="C3768" t="s">
        <v>572</v>
      </c>
      <c r="D3768" t="s">
        <v>43</v>
      </c>
      <c r="E3768" s="1">
        <v>45791</v>
      </c>
      <c r="F3768" t="s">
        <v>4321</v>
      </c>
      <c r="G3768" t="s">
        <v>1896</v>
      </c>
      <c r="H3768" t="s">
        <v>571</v>
      </c>
      <c r="I3768" t="s">
        <v>204</v>
      </c>
      <c r="J3768" s="1">
        <v>46387</v>
      </c>
      <c r="K3768" t="s">
        <v>720</v>
      </c>
      <c r="L3768">
        <v>1</v>
      </c>
      <c r="M3768">
        <v>12249</v>
      </c>
      <c r="N3768" t="s">
        <v>814</v>
      </c>
      <c r="O3768" t="s">
        <v>1038</v>
      </c>
      <c r="P3768" t="s">
        <v>4782</v>
      </c>
      <c r="Q3768" t="s">
        <v>4858</v>
      </c>
      <c r="R3768" t="s">
        <v>4771</v>
      </c>
    </row>
    <row r="3769" spans="1:18" x14ac:dyDescent="0.3">
      <c r="A3769">
        <v>45203785</v>
      </c>
      <c r="B3769" t="s">
        <v>4874</v>
      </c>
      <c r="C3769" t="s">
        <v>389</v>
      </c>
      <c r="D3769" t="s">
        <v>32</v>
      </c>
      <c r="E3769" s="1">
        <v>45791</v>
      </c>
      <c r="F3769" t="s">
        <v>4299</v>
      </c>
      <c r="G3769" t="s">
        <v>1979</v>
      </c>
      <c r="H3769" t="s">
        <v>388</v>
      </c>
      <c r="I3769" t="s">
        <v>204</v>
      </c>
      <c r="J3769" s="1">
        <v>46752</v>
      </c>
      <c r="K3769" t="s">
        <v>785</v>
      </c>
      <c r="L3769">
        <v>1</v>
      </c>
      <c r="M3769">
        <v>39375.370000000003</v>
      </c>
      <c r="N3769" t="s">
        <v>710</v>
      </c>
      <c r="O3769" t="s">
        <v>1038</v>
      </c>
      <c r="P3769" t="s">
        <v>4785</v>
      </c>
      <c r="Q3769" t="s">
        <v>4858</v>
      </c>
      <c r="R3769" t="s">
        <v>4771</v>
      </c>
    </row>
    <row r="3770" spans="1:18" x14ac:dyDescent="0.3">
      <c r="A3770">
        <v>77511</v>
      </c>
      <c r="B3770" t="s">
        <v>4874</v>
      </c>
      <c r="C3770" t="s">
        <v>634</v>
      </c>
      <c r="D3770" t="s">
        <v>99</v>
      </c>
      <c r="E3770" s="1">
        <v>45791</v>
      </c>
      <c r="F3770" t="s">
        <v>4310</v>
      </c>
      <c r="G3770" t="s">
        <v>1986</v>
      </c>
      <c r="H3770" t="s">
        <v>633</v>
      </c>
      <c r="I3770" t="s">
        <v>204</v>
      </c>
      <c r="J3770" s="1">
        <v>46204</v>
      </c>
      <c r="K3770" t="s">
        <v>762</v>
      </c>
      <c r="L3770">
        <v>188</v>
      </c>
      <c r="M3770">
        <v>637.32000000000005</v>
      </c>
      <c r="N3770" t="s">
        <v>719</v>
      </c>
      <c r="O3770" t="s">
        <v>1037</v>
      </c>
      <c r="P3770" t="s">
        <v>4790</v>
      </c>
      <c r="Q3770" t="s">
        <v>4852</v>
      </c>
    </row>
    <row r="3771" spans="1:18" x14ac:dyDescent="0.3">
      <c r="A3771">
        <v>77511</v>
      </c>
      <c r="B3771" t="s">
        <v>4874</v>
      </c>
      <c r="C3771" t="s">
        <v>634</v>
      </c>
      <c r="D3771" t="s">
        <v>99</v>
      </c>
      <c r="E3771" s="1">
        <v>45791</v>
      </c>
      <c r="F3771" t="s">
        <v>4329</v>
      </c>
      <c r="G3771" t="s">
        <v>1986</v>
      </c>
      <c r="H3771" t="s">
        <v>633</v>
      </c>
      <c r="I3771" t="s">
        <v>204</v>
      </c>
      <c r="J3771" s="1">
        <v>46204</v>
      </c>
      <c r="K3771" t="s">
        <v>762</v>
      </c>
      <c r="L3771">
        <v>28</v>
      </c>
      <c r="M3771">
        <v>344.4</v>
      </c>
      <c r="N3771" t="s">
        <v>719</v>
      </c>
      <c r="O3771" t="s">
        <v>1037</v>
      </c>
      <c r="P3771" t="s">
        <v>4790</v>
      </c>
      <c r="Q3771" t="s">
        <v>4852</v>
      </c>
    </row>
    <row r="3772" spans="1:18" x14ac:dyDescent="0.3">
      <c r="A3772">
        <v>77511</v>
      </c>
      <c r="B3772" t="s">
        <v>4874</v>
      </c>
      <c r="C3772" t="s">
        <v>634</v>
      </c>
      <c r="D3772" t="s">
        <v>99</v>
      </c>
      <c r="E3772" s="1">
        <v>45791</v>
      </c>
      <c r="F3772" t="s">
        <v>4307</v>
      </c>
      <c r="G3772" t="s">
        <v>1986</v>
      </c>
      <c r="H3772" t="s">
        <v>633</v>
      </c>
      <c r="I3772" t="s">
        <v>204</v>
      </c>
      <c r="J3772" s="1">
        <v>46204</v>
      </c>
      <c r="K3772" t="s">
        <v>762</v>
      </c>
      <c r="L3772">
        <v>1870</v>
      </c>
      <c r="M3772">
        <v>26853.200000000001</v>
      </c>
      <c r="N3772" t="s">
        <v>719</v>
      </c>
      <c r="O3772" t="s">
        <v>1037</v>
      </c>
      <c r="P3772" t="s">
        <v>4790</v>
      </c>
      <c r="Q3772" t="s">
        <v>4852</v>
      </c>
    </row>
    <row r="3773" spans="1:18" x14ac:dyDescent="0.3">
      <c r="A3773">
        <v>77511</v>
      </c>
      <c r="B3773" t="s">
        <v>4874</v>
      </c>
      <c r="C3773" t="s">
        <v>634</v>
      </c>
      <c r="D3773" t="s">
        <v>99</v>
      </c>
      <c r="E3773" s="1">
        <v>45791</v>
      </c>
      <c r="F3773" t="s">
        <v>4308</v>
      </c>
      <c r="G3773" t="s">
        <v>1986</v>
      </c>
      <c r="H3773" t="s">
        <v>633</v>
      </c>
      <c r="I3773" t="s">
        <v>204</v>
      </c>
      <c r="J3773" s="1">
        <v>46204</v>
      </c>
      <c r="K3773" t="s">
        <v>762</v>
      </c>
      <c r="L3773">
        <v>53</v>
      </c>
      <c r="M3773">
        <v>239.03</v>
      </c>
      <c r="N3773" t="s">
        <v>719</v>
      </c>
      <c r="O3773" t="s">
        <v>1037</v>
      </c>
      <c r="P3773" t="s">
        <v>4790</v>
      </c>
      <c r="Q3773" t="s">
        <v>4852</v>
      </c>
    </row>
    <row r="3774" spans="1:18" x14ac:dyDescent="0.3">
      <c r="A3774">
        <v>77511</v>
      </c>
      <c r="B3774" t="s">
        <v>4874</v>
      </c>
      <c r="C3774" t="s">
        <v>634</v>
      </c>
      <c r="D3774" t="s">
        <v>99</v>
      </c>
      <c r="E3774" s="1">
        <v>45791</v>
      </c>
      <c r="F3774" t="s">
        <v>4405</v>
      </c>
      <c r="G3774" t="s">
        <v>1986</v>
      </c>
      <c r="H3774" t="s">
        <v>633</v>
      </c>
      <c r="I3774" t="s">
        <v>204</v>
      </c>
      <c r="J3774" s="1">
        <v>46204</v>
      </c>
      <c r="K3774" t="s">
        <v>762</v>
      </c>
      <c r="L3774">
        <v>10</v>
      </c>
      <c r="M3774">
        <v>13.5</v>
      </c>
      <c r="N3774" t="s">
        <v>719</v>
      </c>
      <c r="O3774" t="s">
        <v>1037</v>
      </c>
      <c r="P3774" t="s">
        <v>4790</v>
      </c>
      <c r="Q3774" t="s">
        <v>4852</v>
      </c>
    </row>
    <row r="3775" spans="1:18" x14ac:dyDescent="0.3">
      <c r="A3775">
        <v>200362</v>
      </c>
      <c r="B3775" t="s">
        <v>4874</v>
      </c>
      <c r="C3775" t="s">
        <v>441</v>
      </c>
      <c r="D3775" t="s">
        <v>38</v>
      </c>
      <c r="E3775" s="1">
        <v>45791</v>
      </c>
      <c r="F3775" t="s">
        <v>4393</v>
      </c>
      <c r="G3775" t="s">
        <v>1971</v>
      </c>
      <c r="H3775" t="s">
        <v>440</v>
      </c>
      <c r="I3775" t="s">
        <v>204</v>
      </c>
      <c r="J3775" s="1">
        <v>46191</v>
      </c>
      <c r="K3775" t="s">
        <v>762</v>
      </c>
      <c r="L3775">
        <v>10035</v>
      </c>
      <c r="M3775">
        <v>10035</v>
      </c>
      <c r="N3775" t="s">
        <v>710</v>
      </c>
      <c r="O3775" t="s">
        <v>4833</v>
      </c>
      <c r="P3775" t="s">
        <v>4786</v>
      </c>
      <c r="Q3775" t="s">
        <v>4852</v>
      </c>
      <c r="R3775" t="s">
        <v>4773</v>
      </c>
    </row>
    <row r="3776" spans="1:18" x14ac:dyDescent="0.3">
      <c r="A3776">
        <v>77511</v>
      </c>
      <c r="B3776" t="s">
        <v>4874</v>
      </c>
      <c r="C3776" t="s">
        <v>634</v>
      </c>
      <c r="D3776" t="s">
        <v>99</v>
      </c>
      <c r="E3776" s="1">
        <v>45791</v>
      </c>
      <c r="F3776" t="s">
        <v>4314</v>
      </c>
      <c r="G3776" t="s">
        <v>1986</v>
      </c>
      <c r="H3776" t="s">
        <v>633</v>
      </c>
      <c r="I3776" t="s">
        <v>204</v>
      </c>
      <c r="J3776" s="1">
        <v>46204</v>
      </c>
      <c r="K3776" t="s">
        <v>762</v>
      </c>
      <c r="L3776">
        <v>10</v>
      </c>
      <c r="M3776">
        <v>193.9</v>
      </c>
      <c r="N3776" t="s">
        <v>719</v>
      </c>
      <c r="O3776" t="s">
        <v>1037</v>
      </c>
      <c r="P3776" t="s">
        <v>4790</v>
      </c>
      <c r="Q3776" t="s">
        <v>4852</v>
      </c>
    </row>
    <row r="3777" spans="1:18" x14ac:dyDescent="0.3">
      <c r="A3777">
        <v>77511</v>
      </c>
      <c r="B3777" t="s">
        <v>4874</v>
      </c>
      <c r="C3777" t="s">
        <v>634</v>
      </c>
      <c r="D3777" t="s">
        <v>99</v>
      </c>
      <c r="E3777" s="1">
        <v>45791</v>
      </c>
      <c r="F3777" t="s">
        <v>4394</v>
      </c>
      <c r="G3777" t="s">
        <v>1986</v>
      </c>
      <c r="H3777" t="s">
        <v>633</v>
      </c>
      <c r="I3777" t="s">
        <v>204</v>
      </c>
      <c r="J3777" s="1">
        <v>46204</v>
      </c>
      <c r="K3777" t="s">
        <v>762</v>
      </c>
      <c r="L3777">
        <v>1870</v>
      </c>
      <c r="M3777">
        <v>1870</v>
      </c>
      <c r="N3777" t="s">
        <v>719</v>
      </c>
      <c r="O3777" t="s">
        <v>1037</v>
      </c>
      <c r="P3777" t="s">
        <v>4790</v>
      </c>
      <c r="Q3777" t="s">
        <v>4852</v>
      </c>
    </row>
    <row r="3778" spans="1:18" x14ac:dyDescent="0.3">
      <c r="A3778">
        <v>19251</v>
      </c>
      <c r="B3778" t="s">
        <v>4874</v>
      </c>
      <c r="C3778" t="s">
        <v>539</v>
      </c>
      <c r="D3778" t="s">
        <v>189</v>
      </c>
      <c r="E3778" s="1">
        <v>45790</v>
      </c>
      <c r="F3778" t="s">
        <v>4327</v>
      </c>
      <c r="G3778" t="s">
        <v>1888</v>
      </c>
      <c r="H3778" t="s">
        <v>573</v>
      </c>
      <c r="I3778" t="s">
        <v>209</v>
      </c>
      <c r="J3778" s="1">
        <v>45808</v>
      </c>
      <c r="K3778" t="s">
        <v>762</v>
      </c>
      <c r="L3778">
        <v>5499.6</v>
      </c>
      <c r="M3778">
        <v>5499.6</v>
      </c>
      <c r="N3778" t="s">
        <v>890</v>
      </c>
      <c r="Q3778" t="s">
        <v>807</v>
      </c>
    </row>
    <row r="3779" spans="1:18" x14ac:dyDescent="0.3">
      <c r="A3779">
        <v>9532</v>
      </c>
      <c r="B3779" t="s">
        <v>1034</v>
      </c>
      <c r="C3779" t="s">
        <v>319</v>
      </c>
      <c r="D3779" t="s">
        <v>36</v>
      </c>
      <c r="E3779" s="1">
        <v>45790</v>
      </c>
      <c r="F3779" t="s">
        <v>4298</v>
      </c>
      <c r="G3779" t="s">
        <v>1993</v>
      </c>
      <c r="H3779" t="s">
        <v>318</v>
      </c>
      <c r="I3779" t="s">
        <v>204</v>
      </c>
      <c r="J3779" s="1">
        <v>46214</v>
      </c>
      <c r="K3779" t="s">
        <v>711</v>
      </c>
      <c r="L3779">
        <v>2399</v>
      </c>
      <c r="M3779">
        <v>2399.09</v>
      </c>
      <c r="N3779" t="s">
        <v>710</v>
      </c>
      <c r="O3779" t="s">
        <v>1036</v>
      </c>
      <c r="P3779" t="s">
        <v>4784</v>
      </c>
      <c r="Q3779" t="s">
        <v>4901</v>
      </c>
      <c r="R3779" t="s">
        <v>4771</v>
      </c>
    </row>
    <row r="3780" spans="1:18" x14ac:dyDescent="0.3">
      <c r="A3780">
        <v>5140</v>
      </c>
      <c r="B3780" t="s">
        <v>1034</v>
      </c>
      <c r="C3780" t="s">
        <v>208</v>
      </c>
      <c r="D3780" t="s">
        <v>164</v>
      </c>
      <c r="E3780" s="1">
        <v>45789</v>
      </c>
      <c r="F3780" t="s">
        <v>4342</v>
      </c>
      <c r="G3780" t="s">
        <v>1944</v>
      </c>
      <c r="H3780" t="s">
        <v>604</v>
      </c>
      <c r="I3780" t="s">
        <v>204</v>
      </c>
      <c r="J3780" s="1">
        <v>46256</v>
      </c>
      <c r="K3780" t="s">
        <v>711</v>
      </c>
      <c r="L3780">
        <v>1</v>
      </c>
      <c r="M3780">
        <v>340</v>
      </c>
      <c r="N3780" t="s">
        <v>710</v>
      </c>
      <c r="O3780" t="s">
        <v>1036</v>
      </c>
      <c r="P3780" t="s">
        <v>4784</v>
      </c>
      <c r="Q3780" t="s">
        <v>4901</v>
      </c>
    </row>
    <row r="3781" spans="1:18" x14ac:dyDescent="0.3">
      <c r="A3781">
        <v>5140</v>
      </c>
      <c r="B3781" t="s">
        <v>1034</v>
      </c>
      <c r="C3781" t="s">
        <v>208</v>
      </c>
      <c r="D3781" t="s">
        <v>164</v>
      </c>
      <c r="E3781" s="1">
        <v>45789</v>
      </c>
      <c r="F3781" t="s">
        <v>4341</v>
      </c>
      <c r="G3781" t="s">
        <v>1944</v>
      </c>
      <c r="H3781" t="s">
        <v>604</v>
      </c>
      <c r="I3781" t="s">
        <v>204</v>
      </c>
      <c r="J3781" s="1">
        <v>46256</v>
      </c>
      <c r="K3781" t="s">
        <v>711</v>
      </c>
      <c r="L3781">
        <v>1</v>
      </c>
      <c r="M3781">
        <v>640</v>
      </c>
      <c r="N3781" t="s">
        <v>710</v>
      </c>
      <c r="O3781" t="s">
        <v>1036</v>
      </c>
      <c r="P3781" t="s">
        <v>4784</v>
      </c>
      <c r="Q3781" t="s">
        <v>4901</v>
      </c>
    </row>
    <row r="3782" spans="1:18" x14ac:dyDescent="0.3">
      <c r="A3782">
        <v>39410874</v>
      </c>
      <c r="B3782" t="s">
        <v>4874</v>
      </c>
      <c r="C3782" t="s">
        <v>428</v>
      </c>
      <c r="D3782" t="s">
        <v>127</v>
      </c>
      <c r="E3782" s="1">
        <v>45789</v>
      </c>
      <c r="F3782" t="s">
        <v>4336</v>
      </c>
      <c r="G3782" t="s">
        <v>1958</v>
      </c>
      <c r="H3782" t="s">
        <v>427</v>
      </c>
      <c r="I3782" t="s">
        <v>209</v>
      </c>
      <c r="J3782" s="1">
        <v>54878</v>
      </c>
      <c r="K3782" t="s">
        <v>762</v>
      </c>
      <c r="L3782">
        <v>62156.78</v>
      </c>
      <c r="M3782">
        <v>62156.78</v>
      </c>
      <c r="N3782" t="s">
        <v>710</v>
      </c>
      <c r="Q3782" t="s">
        <v>4852</v>
      </c>
      <c r="R3782" t="s">
        <v>4772</v>
      </c>
    </row>
    <row r="3783" spans="1:18" x14ac:dyDescent="0.3">
      <c r="A3783">
        <v>39413378</v>
      </c>
      <c r="B3783" t="s">
        <v>4874</v>
      </c>
      <c r="C3783" t="s">
        <v>428</v>
      </c>
      <c r="D3783" t="s">
        <v>127</v>
      </c>
      <c r="E3783" s="1">
        <v>45789</v>
      </c>
      <c r="F3783" t="s">
        <v>4336</v>
      </c>
      <c r="G3783" t="s">
        <v>1959</v>
      </c>
      <c r="H3783" t="s">
        <v>427</v>
      </c>
      <c r="I3783" t="s">
        <v>209</v>
      </c>
      <c r="J3783" s="1">
        <v>54878</v>
      </c>
      <c r="K3783" t="s">
        <v>762</v>
      </c>
      <c r="L3783">
        <v>3297.37</v>
      </c>
      <c r="M3783">
        <v>3297.37</v>
      </c>
      <c r="N3783" t="s">
        <v>710</v>
      </c>
      <c r="Q3783" t="s">
        <v>4852</v>
      </c>
      <c r="R3783" t="s">
        <v>4772</v>
      </c>
    </row>
    <row r="3784" spans="1:18" x14ac:dyDescent="0.3">
      <c r="A3784">
        <v>159870</v>
      </c>
      <c r="B3784" t="s">
        <v>4874</v>
      </c>
      <c r="C3784" t="s">
        <v>214</v>
      </c>
      <c r="D3784" t="s">
        <v>94</v>
      </c>
      <c r="E3784" s="1">
        <v>45789</v>
      </c>
      <c r="F3784" t="s">
        <v>4295</v>
      </c>
      <c r="G3784" t="s">
        <v>1808</v>
      </c>
      <c r="H3784" t="s">
        <v>213</v>
      </c>
      <c r="I3784" t="s">
        <v>204</v>
      </c>
      <c r="J3784" s="1">
        <v>46309</v>
      </c>
      <c r="K3784" t="s">
        <v>720</v>
      </c>
      <c r="L3784">
        <v>1</v>
      </c>
      <c r="M3784">
        <v>29370.6</v>
      </c>
      <c r="N3784" t="s">
        <v>710</v>
      </c>
      <c r="O3784" t="s">
        <v>4834</v>
      </c>
      <c r="P3784" t="s">
        <v>4776</v>
      </c>
      <c r="Q3784" t="s">
        <v>4858</v>
      </c>
      <c r="R3784" t="s">
        <v>4772</v>
      </c>
    </row>
    <row r="3785" spans="1:18" x14ac:dyDescent="0.3">
      <c r="A3785">
        <v>155357</v>
      </c>
      <c r="B3785" t="s">
        <v>4875</v>
      </c>
      <c r="C3785" t="s">
        <v>301</v>
      </c>
      <c r="D3785" t="s">
        <v>23</v>
      </c>
      <c r="E3785" s="1">
        <v>45786</v>
      </c>
      <c r="F3785" t="s">
        <v>4321</v>
      </c>
      <c r="G3785" t="s">
        <v>1855</v>
      </c>
      <c r="H3785" t="s">
        <v>342</v>
      </c>
      <c r="I3785" t="s">
        <v>204</v>
      </c>
      <c r="J3785" s="1">
        <v>46285</v>
      </c>
      <c r="K3785" t="s">
        <v>748</v>
      </c>
      <c r="L3785">
        <v>4912.03</v>
      </c>
      <c r="M3785">
        <v>4912.03</v>
      </c>
      <c r="N3785" t="s">
        <v>710</v>
      </c>
      <c r="O3785" t="s">
        <v>1040</v>
      </c>
      <c r="P3785" t="s">
        <v>4782</v>
      </c>
      <c r="Q3785" t="s">
        <v>4856</v>
      </c>
      <c r="R3785" t="s">
        <v>4773</v>
      </c>
    </row>
    <row r="3786" spans="1:18" x14ac:dyDescent="0.3">
      <c r="A3786">
        <v>8</v>
      </c>
      <c r="B3786" t="s">
        <v>4874</v>
      </c>
      <c r="C3786" t="s">
        <v>626</v>
      </c>
      <c r="D3786" t="s">
        <v>184</v>
      </c>
      <c r="E3786" s="1">
        <v>45786</v>
      </c>
      <c r="F3786" t="s">
        <v>4414</v>
      </c>
      <c r="G3786" t="s">
        <v>1977</v>
      </c>
      <c r="H3786" t="s">
        <v>625</v>
      </c>
      <c r="I3786" t="s">
        <v>204</v>
      </c>
      <c r="J3786" s="1">
        <v>46440</v>
      </c>
      <c r="K3786" t="s">
        <v>720</v>
      </c>
      <c r="L3786">
        <v>1</v>
      </c>
      <c r="M3786">
        <v>14784</v>
      </c>
      <c r="N3786" t="s">
        <v>710</v>
      </c>
      <c r="O3786" t="s">
        <v>1039</v>
      </c>
      <c r="P3786" t="s">
        <v>4777</v>
      </c>
      <c r="Q3786" t="s">
        <v>4858</v>
      </c>
      <c r="R3786" t="s">
        <v>4773</v>
      </c>
    </row>
    <row r="3787" spans="1:18" x14ac:dyDescent="0.3">
      <c r="A3787">
        <v>587063</v>
      </c>
      <c r="B3787" t="s">
        <v>4874</v>
      </c>
      <c r="C3787" t="s">
        <v>248</v>
      </c>
      <c r="D3787" t="s">
        <v>13</v>
      </c>
      <c r="E3787" s="1">
        <v>45786</v>
      </c>
      <c r="F3787" t="s">
        <v>4297</v>
      </c>
      <c r="G3787" t="s">
        <v>1978</v>
      </c>
      <c r="H3787" t="s">
        <v>247</v>
      </c>
      <c r="I3787" t="s">
        <v>204</v>
      </c>
      <c r="J3787" s="1">
        <v>54878</v>
      </c>
      <c r="K3787" t="s">
        <v>720</v>
      </c>
      <c r="L3787">
        <v>1</v>
      </c>
      <c r="M3787">
        <v>488.4</v>
      </c>
      <c r="N3787" t="s">
        <v>710</v>
      </c>
      <c r="O3787" t="s">
        <v>1038</v>
      </c>
      <c r="P3787" t="s">
        <v>4779</v>
      </c>
      <c r="Q3787" t="s">
        <v>4858</v>
      </c>
      <c r="R3787" t="s">
        <v>4773</v>
      </c>
    </row>
    <row r="3788" spans="1:18" x14ac:dyDescent="0.3">
      <c r="A3788">
        <v>30315</v>
      </c>
      <c r="B3788" t="s">
        <v>4874</v>
      </c>
      <c r="C3788" t="s">
        <v>296</v>
      </c>
      <c r="D3788" t="s">
        <v>93</v>
      </c>
      <c r="E3788" s="1">
        <v>45786</v>
      </c>
      <c r="F3788" t="s">
        <v>4362</v>
      </c>
      <c r="G3788" t="s">
        <v>1987</v>
      </c>
      <c r="H3788" t="s">
        <v>295</v>
      </c>
      <c r="I3788" t="s">
        <v>209</v>
      </c>
      <c r="J3788" s="1">
        <v>54878</v>
      </c>
      <c r="K3788" t="s">
        <v>720</v>
      </c>
      <c r="L3788">
        <v>1574.87</v>
      </c>
      <c r="M3788">
        <v>1574.87</v>
      </c>
      <c r="N3788" t="s">
        <v>710</v>
      </c>
      <c r="Q3788" t="s">
        <v>4845</v>
      </c>
      <c r="R3788" t="s">
        <v>4772</v>
      </c>
    </row>
    <row r="3789" spans="1:18" x14ac:dyDescent="0.3">
      <c r="A3789">
        <v>66947</v>
      </c>
      <c r="B3789" t="s">
        <v>4874</v>
      </c>
      <c r="C3789" t="s">
        <v>296</v>
      </c>
      <c r="D3789" t="s">
        <v>93</v>
      </c>
      <c r="E3789" s="1">
        <v>45786</v>
      </c>
      <c r="F3789" t="s">
        <v>4362</v>
      </c>
      <c r="G3789" t="s">
        <v>1988</v>
      </c>
      <c r="H3789" t="s">
        <v>295</v>
      </c>
      <c r="I3789" t="s">
        <v>209</v>
      </c>
      <c r="J3789" s="1">
        <v>54878</v>
      </c>
      <c r="K3789" t="s">
        <v>720</v>
      </c>
      <c r="L3789">
        <v>1365.75</v>
      </c>
      <c r="M3789">
        <v>1365.75</v>
      </c>
      <c r="N3789" t="s">
        <v>710</v>
      </c>
      <c r="Q3789" t="s">
        <v>4845</v>
      </c>
      <c r="R3789" t="s">
        <v>4772</v>
      </c>
    </row>
    <row r="3790" spans="1:18" x14ac:dyDescent="0.3">
      <c r="A3790">
        <v>92</v>
      </c>
      <c r="B3790" t="s">
        <v>1034</v>
      </c>
      <c r="C3790" t="s">
        <v>618</v>
      </c>
      <c r="D3790" t="s">
        <v>112</v>
      </c>
      <c r="E3790" s="1">
        <v>45786</v>
      </c>
      <c r="F3790" t="s">
        <v>4361</v>
      </c>
      <c r="G3790" t="s">
        <v>1940</v>
      </c>
      <c r="H3790" t="s">
        <v>617</v>
      </c>
      <c r="I3790" t="s">
        <v>204</v>
      </c>
      <c r="J3790" s="1">
        <v>46347</v>
      </c>
      <c r="K3790" t="s">
        <v>711</v>
      </c>
      <c r="L3790">
        <v>1</v>
      </c>
      <c r="M3790">
        <v>2308</v>
      </c>
      <c r="N3790" t="s">
        <v>818</v>
      </c>
      <c r="O3790" t="s">
        <v>1036</v>
      </c>
      <c r="P3790" t="s">
        <v>4776</v>
      </c>
      <c r="Q3790" t="s">
        <v>4901</v>
      </c>
      <c r="R3790" t="s">
        <v>4771</v>
      </c>
    </row>
    <row r="3791" spans="1:18" x14ac:dyDescent="0.3">
      <c r="A3791">
        <v>685760</v>
      </c>
      <c r="B3791" t="s">
        <v>1034</v>
      </c>
      <c r="C3791" t="s">
        <v>376</v>
      </c>
      <c r="D3791" t="s">
        <v>35</v>
      </c>
      <c r="E3791" s="1">
        <v>45785</v>
      </c>
      <c r="F3791" t="s">
        <v>4302</v>
      </c>
      <c r="G3791" t="s">
        <v>1882</v>
      </c>
      <c r="H3791" t="s">
        <v>377</v>
      </c>
      <c r="I3791" t="s">
        <v>209</v>
      </c>
      <c r="J3791" s="1">
        <v>54878</v>
      </c>
      <c r="K3791" t="s">
        <v>717</v>
      </c>
      <c r="L3791">
        <v>43592.13</v>
      </c>
      <c r="M3791">
        <v>43592.13</v>
      </c>
      <c r="N3791" t="s">
        <v>710</v>
      </c>
      <c r="Q3791" t="s">
        <v>4852</v>
      </c>
      <c r="R3791" t="s">
        <v>4771</v>
      </c>
    </row>
    <row r="3792" spans="1:18" x14ac:dyDescent="0.3">
      <c r="A3792">
        <v>47979</v>
      </c>
      <c r="B3792" t="s">
        <v>1034</v>
      </c>
      <c r="C3792" t="s">
        <v>790</v>
      </c>
      <c r="D3792" t="s">
        <v>19</v>
      </c>
      <c r="E3792" s="1">
        <v>45785</v>
      </c>
      <c r="F3792" t="s">
        <v>4348</v>
      </c>
      <c r="G3792" t="s">
        <v>1897</v>
      </c>
      <c r="H3792" t="s">
        <v>287</v>
      </c>
      <c r="I3792" t="s">
        <v>209</v>
      </c>
      <c r="J3792" s="1">
        <v>54878</v>
      </c>
      <c r="K3792" t="s">
        <v>711</v>
      </c>
      <c r="L3792">
        <v>1</v>
      </c>
      <c r="M3792">
        <v>2950</v>
      </c>
      <c r="N3792" t="s">
        <v>710</v>
      </c>
      <c r="O3792" t="s">
        <v>1037</v>
      </c>
      <c r="P3792" t="s">
        <v>4781</v>
      </c>
      <c r="Q3792" t="s">
        <v>4852</v>
      </c>
      <c r="R3792" t="s">
        <v>4771</v>
      </c>
    </row>
    <row r="3793" spans="1:18" x14ac:dyDescent="0.3">
      <c r="A3793">
        <v>2386</v>
      </c>
      <c r="B3793" t="s">
        <v>4874</v>
      </c>
      <c r="C3793" t="s">
        <v>541</v>
      </c>
      <c r="D3793" t="s">
        <v>173</v>
      </c>
      <c r="E3793" s="1">
        <v>45785</v>
      </c>
      <c r="F3793" t="s">
        <v>4326</v>
      </c>
      <c r="G3793" t="s">
        <v>1938</v>
      </c>
      <c r="H3793" t="s">
        <v>548</v>
      </c>
      <c r="I3793" t="s">
        <v>204</v>
      </c>
      <c r="J3793" s="1">
        <v>46387</v>
      </c>
      <c r="K3793" t="s">
        <v>720</v>
      </c>
      <c r="L3793">
        <v>1</v>
      </c>
      <c r="M3793">
        <v>2300</v>
      </c>
      <c r="N3793" t="s">
        <v>710</v>
      </c>
      <c r="O3793" t="s">
        <v>1038</v>
      </c>
      <c r="P3793" t="s">
        <v>4791</v>
      </c>
      <c r="Q3793" t="s">
        <v>4858</v>
      </c>
      <c r="R3793" t="s">
        <v>4773</v>
      </c>
    </row>
    <row r="3794" spans="1:18" x14ac:dyDescent="0.3">
      <c r="A3794">
        <v>6732</v>
      </c>
      <c r="B3794" t="s">
        <v>1035</v>
      </c>
      <c r="C3794" t="s">
        <v>230</v>
      </c>
      <c r="D3794" t="s">
        <v>85</v>
      </c>
      <c r="E3794" s="1">
        <v>45785</v>
      </c>
      <c r="F3794" t="s">
        <v>4348</v>
      </c>
      <c r="G3794" t="s">
        <v>1902</v>
      </c>
      <c r="H3794" t="s">
        <v>229</v>
      </c>
      <c r="I3794" t="s">
        <v>204</v>
      </c>
      <c r="J3794" s="1">
        <v>46203</v>
      </c>
      <c r="K3794" t="s">
        <v>744</v>
      </c>
      <c r="L3794">
        <v>48517.85</v>
      </c>
      <c r="M3794">
        <v>48517.85</v>
      </c>
      <c r="N3794" t="s">
        <v>710</v>
      </c>
      <c r="O3794" t="s">
        <v>1033</v>
      </c>
      <c r="P3794" t="s">
        <v>4781</v>
      </c>
      <c r="Q3794" t="s">
        <v>4852</v>
      </c>
      <c r="R3794" t="s">
        <v>4771</v>
      </c>
    </row>
    <row r="3795" spans="1:18" x14ac:dyDescent="0.3">
      <c r="A3795">
        <v>6733</v>
      </c>
      <c r="B3795" t="s">
        <v>1035</v>
      </c>
      <c r="C3795" t="s">
        <v>230</v>
      </c>
      <c r="D3795" t="s">
        <v>85</v>
      </c>
      <c r="E3795" s="1">
        <v>45785</v>
      </c>
      <c r="F3795" t="s">
        <v>4348</v>
      </c>
      <c r="G3795" t="s">
        <v>1902</v>
      </c>
      <c r="H3795" t="s">
        <v>229</v>
      </c>
      <c r="I3795" t="s">
        <v>204</v>
      </c>
      <c r="J3795" s="1">
        <v>46203</v>
      </c>
      <c r="K3795" t="s">
        <v>744</v>
      </c>
      <c r="L3795">
        <v>18802.560000000001</v>
      </c>
      <c r="M3795">
        <v>18802.560000000001</v>
      </c>
      <c r="N3795" t="s">
        <v>710</v>
      </c>
      <c r="O3795" t="s">
        <v>1033</v>
      </c>
      <c r="P3795" t="s">
        <v>4781</v>
      </c>
      <c r="Q3795" t="s">
        <v>4852</v>
      </c>
      <c r="R3795" t="s">
        <v>4771</v>
      </c>
    </row>
    <row r="3796" spans="1:18" x14ac:dyDescent="0.3">
      <c r="A3796">
        <v>2733</v>
      </c>
      <c r="B3796" t="s">
        <v>4874</v>
      </c>
      <c r="C3796" t="s">
        <v>372</v>
      </c>
      <c r="D3796" t="s">
        <v>105</v>
      </c>
      <c r="E3796" s="1">
        <v>45785</v>
      </c>
      <c r="F3796" t="s">
        <v>4408</v>
      </c>
      <c r="G3796" t="s">
        <v>1942</v>
      </c>
      <c r="H3796" t="s">
        <v>371</v>
      </c>
      <c r="I3796" t="s">
        <v>209</v>
      </c>
      <c r="J3796" s="1">
        <v>45904</v>
      </c>
      <c r="K3796" t="s">
        <v>720</v>
      </c>
      <c r="L3796">
        <v>1</v>
      </c>
      <c r="M3796">
        <v>8565.84</v>
      </c>
      <c r="N3796" t="s">
        <v>719</v>
      </c>
      <c r="O3796" t="s">
        <v>1038</v>
      </c>
      <c r="P3796" t="s">
        <v>4777</v>
      </c>
      <c r="Q3796" t="s">
        <v>4858</v>
      </c>
      <c r="R3796" t="s">
        <v>4773</v>
      </c>
    </row>
    <row r="3797" spans="1:18" x14ac:dyDescent="0.3">
      <c r="A3797">
        <v>586824</v>
      </c>
      <c r="B3797" t="s">
        <v>4875</v>
      </c>
      <c r="C3797" t="s">
        <v>248</v>
      </c>
      <c r="D3797" t="s">
        <v>13</v>
      </c>
      <c r="E3797" s="1">
        <v>45785</v>
      </c>
      <c r="F3797" t="s">
        <v>4430</v>
      </c>
      <c r="G3797" t="s">
        <v>1880</v>
      </c>
      <c r="H3797" t="s">
        <v>351</v>
      </c>
      <c r="I3797" t="s">
        <v>204</v>
      </c>
      <c r="J3797" s="1">
        <v>54878</v>
      </c>
      <c r="K3797" t="s">
        <v>748</v>
      </c>
      <c r="L3797">
        <v>1450.04</v>
      </c>
      <c r="M3797">
        <v>1450.04</v>
      </c>
      <c r="N3797" t="s">
        <v>710</v>
      </c>
      <c r="O3797" t="s">
        <v>1040</v>
      </c>
      <c r="P3797" t="s">
        <v>4779</v>
      </c>
      <c r="Q3797" t="s">
        <v>4856</v>
      </c>
      <c r="R3797" t="s">
        <v>4773</v>
      </c>
    </row>
    <row r="3798" spans="1:18" x14ac:dyDescent="0.3">
      <c r="A3798">
        <v>17251</v>
      </c>
      <c r="B3798" t="s">
        <v>4875</v>
      </c>
      <c r="C3798" t="s">
        <v>355</v>
      </c>
      <c r="D3798" t="s">
        <v>143</v>
      </c>
      <c r="E3798" s="1">
        <v>45784</v>
      </c>
      <c r="F3798" t="s">
        <v>4318</v>
      </c>
      <c r="G3798" t="s">
        <v>1939</v>
      </c>
      <c r="H3798" t="s">
        <v>354</v>
      </c>
      <c r="I3798" t="s">
        <v>204</v>
      </c>
      <c r="J3798" s="1">
        <v>54878</v>
      </c>
      <c r="K3798" t="s">
        <v>748</v>
      </c>
      <c r="L3798">
        <v>1743.66</v>
      </c>
      <c r="M3798">
        <v>1743.66</v>
      </c>
      <c r="N3798" t="s">
        <v>710</v>
      </c>
      <c r="O3798" t="s">
        <v>4834</v>
      </c>
      <c r="P3798" t="s">
        <v>4776</v>
      </c>
      <c r="Q3798" t="s">
        <v>4856</v>
      </c>
      <c r="R3798" t="s">
        <v>4771</v>
      </c>
    </row>
    <row r="3799" spans="1:18" x14ac:dyDescent="0.3">
      <c r="A3799">
        <v>2385</v>
      </c>
      <c r="B3799" t="s">
        <v>4875</v>
      </c>
      <c r="C3799" t="s">
        <v>541</v>
      </c>
      <c r="D3799" t="s">
        <v>173</v>
      </c>
      <c r="E3799" s="1">
        <v>45784</v>
      </c>
      <c r="F3799" t="s">
        <v>4326</v>
      </c>
      <c r="G3799" t="s">
        <v>1881</v>
      </c>
      <c r="H3799" t="s">
        <v>542</v>
      </c>
      <c r="I3799" t="s">
        <v>204</v>
      </c>
      <c r="J3799" s="1">
        <v>46537</v>
      </c>
      <c r="K3799" t="s">
        <v>748</v>
      </c>
      <c r="L3799">
        <v>1</v>
      </c>
      <c r="M3799">
        <v>2337.9499999999998</v>
      </c>
      <c r="N3799" t="s">
        <v>814</v>
      </c>
      <c r="O3799" t="s">
        <v>1040</v>
      </c>
      <c r="P3799" t="s">
        <v>4791</v>
      </c>
      <c r="Q3799" t="s">
        <v>4856</v>
      </c>
      <c r="R3799" t="s">
        <v>4773</v>
      </c>
    </row>
    <row r="3800" spans="1:18" x14ac:dyDescent="0.3">
      <c r="A3800">
        <v>349383</v>
      </c>
      <c r="B3800" t="s">
        <v>4875</v>
      </c>
      <c r="C3800" t="s">
        <v>435</v>
      </c>
      <c r="D3800" t="s">
        <v>30</v>
      </c>
      <c r="E3800" s="1">
        <v>45784</v>
      </c>
      <c r="F3800" t="s">
        <v>4351</v>
      </c>
      <c r="G3800" t="s">
        <v>1955</v>
      </c>
      <c r="H3800" t="s">
        <v>434</v>
      </c>
      <c r="I3800" t="s">
        <v>204</v>
      </c>
      <c r="J3800" s="1">
        <v>46752</v>
      </c>
      <c r="K3800" t="s">
        <v>785</v>
      </c>
      <c r="L3800">
        <v>1</v>
      </c>
      <c r="M3800">
        <v>64029.26</v>
      </c>
      <c r="N3800" t="s">
        <v>998</v>
      </c>
      <c r="O3800" t="s">
        <v>1038</v>
      </c>
      <c r="P3800" t="s">
        <v>4787</v>
      </c>
      <c r="Q3800" t="s">
        <v>4858</v>
      </c>
      <c r="R3800" t="s">
        <v>4771</v>
      </c>
    </row>
    <row r="3801" spans="1:18" x14ac:dyDescent="0.3">
      <c r="A3801">
        <v>349374</v>
      </c>
      <c r="B3801" t="s">
        <v>1034</v>
      </c>
      <c r="C3801" t="s">
        <v>435</v>
      </c>
      <c r="D3801" t="s">
        <v>30</v>
      </c>
      <c r="E3801" s="1">
        <v>45784</v>
      </c>
      <c r="F3801" t="s">
        <v>4351</v>
      </c>
      <c r="G3801" t="s">
        <v>1956</v>
      </c>
      <c r="H3801" t="s">
        <v>434</v>
      </c>
      <c r="I3801" t="s">
        <v>204</v>
      </c>
      <c r="J3801" s="1">
        <v>46752</v>
      </c>
      <c r="K3801" t="s">
        <v>785</v>
      </c>
      <c r="L3801">
        <v>1</v>
      </c>
      <c r="M3801">
        <v>169474.86</v>
      </c>
      <c r="N3801" t="s">
        <v>998</v>
      </c>
      <c r="O3801" t="s">
        <v>1038</v>
      </c>
      <c r="P3801" t="s">
        <v>4787</v>
      </c>
      <c r="Q3801" t="s">
        <v>4858</v>
      </c>
      <c r="R3801" t="s">
        <v>4771</v>
      </c>
    </row>
    <row r="3802" spans="1:18" x14ac:dyDescent="0.3">
      <c r="A3802">
        <v>63</v>
      </c>
      <c r="B3802" t="s">
        <v>1034</v>
      </c>
      <c r="C3802" t="s">
        <v>641</v>
      </c>
      <c r="D3802" t="s">
        <v>26</v>
      </c>
      <c r="E3802" s="1">
        <v>45784</v>
      </c>
      <c r="F3802" t="s">
        <v>4370</v>
      </c>
      <c r="G3802" t="s">
        <v>1894</v>
      </c>
      <c r="H3802" t="s">
        <v>640</v>
      </c>
      <c r="I3802" t="s">
        <v>204</v>
      </c>
      <c r="J3802" s="1">
        <v>46142</v>
      </c>
      <c r="K3802" t="s">
        <v>717</v>
      </c>
      <c r="L3802">
        <v>1</v>
      </c>
      <c r="M3802">
        <v>32684.74</v>
      </c>
      <c r="N3802" t="s">
        <v>710</v>
      </c>
      <c r="O3802" t="s">
        <v>1042</v>
      </c>
      <c r="P3802" t="s">
        <v>1006</v>
      </c>
      <c r="Q3802" t="s">
        <v>4852</v>
      </c>
    </row>
    <row r="3803" spans="1:18" x14ac:dyDescent="0.3">
      <c r="A3803">
        <v>3415</v>
      </c>
      <c r="B3803" t="s">
        <v>1034</v>
      </c>
      <c r="C3803" t="s">
        <v>319</v>
      </c>
      <c r="D3803" t="s">
        <v>36</v>
      </c>
      <c r="E3803" s="1">
        <v>45784</v>
      </c>
      <c r="F3803" t="s">
        <v>4298</v>
      </c>
      <c r="G3803" t="s">
        <v>1941</v>
      </c>
      <c r="H3803" t="s">
        <v>318</v>
      </c>
      <c r="I3803" t="s">
        <v>204</v>
      </c>
      <c r="J3803" s="1">
        <v>46214</v>
      </c>
      <c r="K3803" t="s">
        <v>711</v>
      </c>
      <c r="L3803">
        <v>1045</v>
      </c>
      <c r="M3803">
        <v>1044.93</v>
      </c>
      <c r="N3803" t="s">
        <v>710</v>
      </c>
      <c r="O3803" t="s">
        <v>1036</v>
      </c>
      <c r="P3803" t="s">
        <v>4784</v>
      </c>
      <c r="Q3803" t="s">
        <v>4901</v>
      </c>
      <c r="R3803" t="s">
        <v>4771</v>
      </c>
    </row>
    <row r="3804" spans="1:18" x14ac:dyDescent="0.3">
      <c r="A3804">
        <v>746192</v>
      </c>
      <c r="B3804" t="s">
        <v>1034</v>
      </c>
      <c r="C3804" t="s">
        <v>609</v>
      </c>
      <c r="D3804" t="s">
        <v>182</v>
      </c>
      <c r="E3804" s="1">
        <v>45784</v>
      </c>
      <c r="F3804" t="s">
        <v>4336</v>
      </c>
      <c r="G3804" t="s">
        <v>1952</v>
      </c>
      <c r="H3804" t="s">
        <v>608</v>
      </c>
      <c r="I3804" t="s">
        <v>204</v>
      </c>
      <c r="J3804" s="1">
        <v>46281</v>
      </c>
      <c r="K3804" t="s">
        <v>717</v>
      </c>
      <c r="L3804">
        <v>27032.37</v>
      </c>
      <c r="M3804">
        <v>27032.37</v>
      </c>
      <c r="N3804" t="s">
        <v>719</v>
      </c>
      <c r="O3804" t="s">
        <v>1037</v>
      </c>
      <c r="P3804" t="s">
        <v>4794</v>
      </c>
      <c r="Q3804" t="s">
        <v>4852</v>
      </c>
      <c r="R3804" t="s">
        <v>4772</v>
      </c>
    </row>
    <row r="3805" spans="1:18" x14ac:dyDescent="0.3">
      <c r="A3805">
        <v>38</v>
      </c>
      <c r="B3805" t="s">
        <v>4876</v>
      </c>
      <c r="C3805" t="s">
        <v>476</v>
      </c>
      <c r="D3805" t="s">
        <v>195</v>
      </c>
      <c r="E3805" s="1">
        <v>45784</v>
      </c>
      <c r="F3805" t="s">
        <v>4401</v>
      </c>
      <c r="G3805" t="s">
        <v>1898</v>
      </c>
      <c r="H3805" t="s">
        <v>475</v>
      </c>
      <c r="I3805" t="s">
        <v>204</v>
      </c>
      <c r="J3805" s="1">
        <v>54878</v>
      </c>
      <c r="K3805" t="s">
        <v>839</v>
      </c>
      <c r="L3805">
        <v>39330</v>
      </c>
      <c r="M3805">
        <v>39330</v>
      </c>
      <c r="N3805" t="s">
        <v>710</v>
      </c>
      <c r="O3805" t="s">
        <v>1042</v>
      </c>
      <c r="P3805" t="s">
        <v>1006</v>
      </c>
      <c r="Q3805" t="s">
        <v>4852</v>
      </c>
      <c r="R3805" t="s">
        <v>4771</v>
      </c>
    </row>
    <row r="3806" spans="1:18" x14ac:dyDescent="0.3">
      <c r="A3806">
        <v>349464</v>
      </c>
      <c r="B3806" t="s">
        <v>4874</v>
      </c>
      <c r="C3806" t="s">
        <v>435</v>
      </c>
      <c r="D3806" t="s">
        <v>30</v>
      </c>
      <c r="E3806" s="1">
        <v>45784</v>
      </c>
      <c r="F3806" t="s">
        <v>4351</v>
      </c>
      <c r="G3806" t="s">
        <v>1954</v>
      </c>
      <c r="H3806" t="s">
        <v>434</v>
      </c>
      <c r="I3806" t="s">
        <v>204</v>
      </c>
      <c r="J3806" s="1">
        <v>46752</v>
      </c>
      <c r="K3806" t="s">
        <v>785</v>
      </c>
      <c r="L3806">
        <v>1</v>
      </c>
      <c r="M3806">
        <v>129142.64</v>
      </c>
      <c r="N3806" t="s">
        <v>998</v>
      </c>
      <c r="O3806" t="s">
        <v>1038</v>
      </c>
      <c r="P3806" t="s">
        <v>4787</v>
      </c>
      <c r="Q3806" t="s">
        <v>4858</v>
      </c>
      <c r="R3806" t="s">
        <v>4771</v>
      </c>
    </row>
    <row r="3807" spans="1:18" x14ac:dyDescent="0.3">
      <c r="A3807">
        <v>309188</v>
      </c>
      <c r="B3807" t="s">
        <v>4874</v>
      </c>
      <c r="C3807" t="s">
        <v>426</v>
      </c>
      <c r="D3807" t="s">
        <v>54</v>
      </c>
      <c r="E3807" s="1">
        <v>45784</v>
      </c>
      <c r="F3807" t="s">
        <v>4409</v>
      </c>
      <c r="G3807" t="s">
        <v>1935</v>
      </c>
      <c r="H3807" t="s">
        <v>425</v>
      </c>
      <c r="I3807" t="s">
        <v>204</v>
      </c>
      <c r="J3807" s="1">
        <v>46752</v>
      </c>
      <c r="K3807" t="s">
        <v>785</v>
      </c>
      <c r="L3807">
        <v>1</v>
      </c>
      <c r="M3807">
        <v>83525.759999999995</v>
      </c>
      <c r="N3807" t="s">
        <v>710</v>
      </c>
      <c r="O3807" t="s">
        <v>1038</v>
      </c>
      <c r="P3807" t="s">
        <v>4787</v>
      </c>
      <c r="Q3807" t="s">
        <v>4858</v>
      </c>
      <c r="R3807" t="s">
        <v>4771</v>
      </c>
    </row>
    <row r="3808" spans="1:18" x14ac:dyDescent="0.3">
      <c r="A3808">
        <v>296</v>
      </c>
      <c r="B3808" t="s">
        <v>1034</v>
      </c>
      <c r="C3808" t="s">
        <v>479</v>
      </c>
      <c r="D3808" t="s">
        <v>99</v>
      </c>
      <c r="E3808" s="1">
        <v>45783</v>
      </c>
      <c r="F3808" t="s">
        <v>4307</v>
      </c>
      <c r="G3808" t="s">
        <v>1903</v>
      </c>
      <c r="H3808" t="s">
        <v>478</v>
      </c>
      <c r="I3808" t="s">
        <v>204</v>
      </c>
      <c r="J3808" s="1">
        <v>46239</v>
      </c>
      <c r="K3808" t="s">
        <v>717</v>
      </c>
      <c r="L3808">
        <v>5112</v>
      </c>
      <c r="M3808">
        <v>58021.2</v>
      </c>
      <c r="N3808" t="s">
        <v>710</v>
      </c>
      <c r="O3808" t="s">
        <v>1037</v>
      </c>
      <c r="P3808" t="s">
        <v>4790</v>
      </c>
      <c r="Q3808" t="s">
        <v>4852</v>
      </c>
      <c r="R3808" t="s">
        <v>4772</v>
      </c>
    </row>
    <row r="3809" spans="1:18" x14ac:dyDescent="0.3">
      <c r="A3809">
        <v>296</v>
      </c>
      <c r="B3809" t="s">
        <v>1034</v>
      </c>
      <c r="C3809" t="s">
        <v>479</v>
      </c>
      <c r="D3809" t="s">
        <v>99</v>
      </c>
      <c r="E3809" s="1">
        <v>45783</v>
      </c>
      <c r="F3809" t="s">
        <v>4369</v>
      </c>
      <c r="G3809" t="s">
        <v>1903</v>
      </c>
      <c r="H3809" t="s">
        <v>478</v>
      </c>
      <c r="I3809" t="s">
        <v>204</v>
      </c>
      <c r="J3809" s="1">
        <v>46239</v>
      </c>
      <c r="K3809" t="s">
        <v>717</v>
      </c>
      <c r="L3809">
        <v>115</v>
      </c>
      <c r="M3809">
        <v>1749.15</v>
      </c>
      <c r="N3809" t="s">
        <v>710</v>
      </c>
      <c r="O3809" t="s">
        <v>1037</v>
      </c>
      <c r="P3809" t="s">
        <v>4790</v>
      </c>
      <c r="Q3809" t="s">
        <v>4852</v>
      </c>
      <c r="R3809" t="s">
        <v>4772</v>
      </c>
    </row>
    <row r="3810" spans="1:18" x14ac:dyDescent="0.3">
      <c r="A3810">
        <v>297</v>
      </c>
      <c r="B3810" t="s">
        <v>1034</v>
      </c>
      <c r="C3810" t="s">
        <v>479</v>
      </c>
      <c r="D3810" t="s">
        <v>99</v>
      </c>
      <c r="E3810" s="1">
        <v>45783</v>
      </c>
      <c r="F3810" t="s">
        <v>4307</v>
      </c>
      <c r="G3810" t="s">
        <v>1904</v>
      </c>
      <c r="H3810" t="s">
        <v>478</v>
      </c>
      <c r="I3810" t="s">
        <v>204</v>
      </c>
      <c r="J3810" s="1">
        <v>46239</v>
      </c>
      <c r="K3810" t="s">
        <v>717</v>
      </c>
      <c r="L3810">
        <v>6</v>
      </c>
      <c r="M3810">
        <v>125.64</v>
      </c>
      <c r="N3810" t="s">
        <v>710</v>
      </c>
      <c r="O3810" t="s">
        <v>1037</v>
      </c>
      <c r="P3810" t="s">
        <v>4790</v>
      </c>
      <c r="Q3810" t="s">
        <v>4852</v>
      </c>
      <c r="R3810" t="s">
        <v>4772</v>
      </c>
    </row>
    <row r="3811" spans="1:18" x14ac:dyDescent="0.3">
      <c r="A3811">
        <v>297</v>
      </c>
      <c r="B3811" t="s">
        <v>1034</v>
      </c>
      <c r="C3811" t="s">
        <v>479</v>
      </c>
      <c r="D3811" t="s">
        <v>99</v>
      </c>
      <c r="E3811" s="1">
        <v>45783</v>
      </c>
      <c r="F3811" t="s">
        <v>4307</v>
      </c>
      <c r="G3811" t="s">
        <v>1904</v>
      </c>
      <c r="H3811" t="s">
        <v>478</v>
      </c>
      <c r="I3811" t="s">
        <v>204</v>
      </c>
      <c r="J3811" s="1">
        <v>46239</v>
      </c>
      <c r="K3811" t="s">
        <v>717</v>
      </c>
      <c r="L3811">
        <v>2</v>
      </c>
      <c r="M3811">
        <v>28.46</v>
      </c>
      <c r="N3811" t="s">
        <v>710</v>
      </c>
      <c r="O3811" t="s">
        <v>1037</v>
      </c>
      <c r="P3811" t="s">
        <v>4790</v>
      </c>
      <c r="Q3811" t="s">
        <v>4852</v>
      </c>
      <c r="R3811" t="s">
        <v>4772</v>
      </c>
    </row>
    <row r="3812" spans="1:18" x14ac:dyDescent="0.3">
      <c r="A3812">
        <v>297</v>
      </c>
      <c r="B3812" t="s">
        <v>1034</v>
      </c>
      <c r="C3812" t="s">
        <v>479</v>
      </c>
      <c r="D3812" t="s">
        <v>99</v>
      </c>
      <c r="E3812" s="1">
        <v>45783</v>
      </c>
      <c r="F3812" t="s">
        <v>4307</v>
      </c>
      <c r="G3812" t="s">
        <v>1904</v>
      </c>
      <c r="H3812" t="s">
        <v>478</v>
      </c>
      <c r="I3812" t="s">
        <v>204</v>
      </c>
      <c r="J3812" s="1">
        <v>46239</v>
      </c>
      <c r="K3812" t="s">
        <v>717</v>
      </c>
      <c r="L3812">
        <v>26</v>
      </c>
      <c r="M3812">
        <v>289.38</v>
      </c>
      <c r="N3812" t="s">
        <v>710</v>
      </c>
      <c r="O3812" t="s">
        <v>1037</v>
      </c>
      <c r="P3812" t="s">
        <v>4790</v>
      </c>
      <c r="Q3812" t="s">
        <v>4852</v>
      </c>
      <c r="R3812" t="s">
        <v>4772</v>
      </c>
    </row>
    <row r="3813" spans="1:18" x14ac:dyDescent="0.3">
      <c r="A3813">
        <v>297</v>
      </c>
      <c r="B3813" t="s">
        <v>1034</v>
      </c>
      <c r="C3813" t="s">
        <v>479</v>
      </c>
      <c r="D3813" t="s">
        <v>99</v>
      </c>
      <c r="E3813" s="1">
        <v>45783</v>
      </c>
      <c r="F3813" t="s">
        <v>4307</v>
      </c>
      <c r="G3813" t="s">
        <v>1904</v>
      </c>
      <c r="H3813" t="s">
        <v>478</v>
      </c>
      <c r="I3813" t="s">
        <v>204</v>
      </c>
      <c r="J3813" s="1">
        <v>46239</v>
      </c>
      <c r="K3813" t="s">
        <v>717</v>
      </c>
      <c r="L3813">
        <v>9</v>
      </c>
      <c r="M3813">
        <v>100.17</v>
      </c>
      <c r="N3813" t="s">
        <v>710</v>
      </c>
      <c r="O3813" t="s">
        <v>1037</v>
      </c>
      <c r="P3813" t="s">
        <v>4790</v>
      </c>
      <c r="Q3813" t="s">
        <v>4852</v>
      </c>
      <c r="R3813" t="s">
        <v>4772</v>
      </c>
    </row>
    <row r="3814" spans="1:18" x14ac:dyDescent="0.3">
      <c r="A3814">
        <v>750</v>
      </c>
      <c r="B3814" t="s">
        <v>1034</v>
      </c>
      <c r="C3814" t="s">
        <v>603</v>
      </c>
      <c r="D3814" t="s">
        <v>69</v>
      </c>
      <c r="E3814" s="1">
        <v>45783</v>
      </c>
      <c r="F3814" t="s">
        <v>4345</v>
      </c>
      <c r="G3814" t="s">
        <v>1049</v>
      </c>
      <c r="H3814" t="s">
        <v>602</v>
      </c>
      <c r="I3814" t="s">
        <v>209</v>
      </c>
      <c r="J3814" s="1">
        <v>46276</v>
      </c>
      <c r="K3814" t="s">
        <v>720</v>
      </c>
      <c r="L3814">
        <v>1</v>
      </c>
      <c r="M3814">
        <v>2918.6</v>
      </c>
      <c r="N3814" t="s">
        <v>954</v>
      </c>
      <c r="O3814" t="s">
        <v>4834</v>
      </c>
      <c r="P3814" t="s">
        <v>952</v>
      </c>
      <c r="Q3814" t="s">
        <v>4901</v>
      </c>
      <c r="R3814" t="s">
        <v>4771</v>
      </c>
    </row>
    <row r="3815" spans="1:18" x14ac:dyDescent="0.3">
      <c r="A3815">
        <v>96</v>
      </c>
      <c r="B3815" t="s">
        <v>1034</v>
      </c>
      <c r="C3815" t="s">
        <v>319</v>
      </c>
      <c r="D3815" t="s">
        <v>36</v>
      </c>
      <c r="E3815" s="1">
        <v>45783</v>
      </c>
      <c r="F3815" t="s">
        <v>4298</v>
      </c>
      <c r="G3815" t="s">
        <v>1917</v>
      </c>
      <c r="H3815" t="s">
        <v>318</v>
      </c>
      <c r="I3815" t="s">
        <v>204</v>
      </c>
      <c r="J3815" s="1">
        <v>46214</v>
      </c>
      <c r="K3815" t="s">
        <v>711</v>
      </c>
      <c r="L3815">
        <v>744</v>
      </c>
      <c r="M3815">
        <v>743.87</v>
      </c>
      <c r="N3815" t="s">
        <v>710</v>
      </c>
      <c r="O3815" t="s">
        <v>1036</v>
      </c>
      <c r="P3815" t="s">
        <v>4784</v>
      </c>
      <c r="Q3815" t="s">
        <v>4901</v>
      </c>
      <c r="R3815" t="s">
        <v>4771</v>
      </c>
    </row>
    <row r="3816" spans="1:18" x14ac:dyDescent="0.3">
      <c r="A3816">
        <v>3394</v>
      </c>
      <c r="B3816" t="s">
        <v>1034</v>
      </c>
      <c r="C3816" t="s">
        <v>319</v>
      </c>
      <c r="D3816" t="s">
        <v>36</v>
      </c>
      <c r="E3816" s="1">
        <v>45783</v>
      </c>
      <c r="F3816" t="s">
        <v>4298</v>
      </c>
      <c r="G3816" t="s">
        <v>1916</v>
      </c>
      <c r="H3816" t="s">
        <v>318</v>
      </c>
      <c r="I3816" t="s">
        <v>204</v>
      </c>
      <c r="J3816" s="1">
        <v>46214</v>
      </c>
      <c r="K3816" t="s">
        <v>711</v>
      </c>
      <c r="L3816">
        <v>828</v>
      </c>
      <c r="M3816">
        <v>827.94</v>
      </c>
      <c r="N3816" t="s">
        <v>710</v>
      </c>
      <c r="O3816" t="s">
        <v>1036</v>
      </c>
      <c r="P3816" t="s">
        <v>4784</v>
      </c>
      <c r="Q3816" t="s">
        <v>4901</v>
      </c>
      <c r="R3816" t="s">
        <v>4771</v>
      </c>
    </row>
    <row r="3817" spans="1:18" x14ac:dyDescent="0.3">
      <c r="A3817">
        <v>296</v>
      </c>
      <c r="B3817" t="s">
        <v>1034</v>
      </c>
      <c r="C3817" t="s">
        <v>479</v>
      </c>
      <c r="D3817" t="s">
        <v>99</v>
      </c>
      <c r="E3817" s="1">
        <v>45783</v>
      </c>
      <c r="F3817" t="s">
        <v>4312</v>
      </c>
      <c r="G3817" t="s">
        <v>1903</v>
      </c>
      <c r="H3817" t="s">
        <v>478</v>
      </c>
      <c r="I3817" t="s">
        <v>204</v>
      </c>
      <c r="J3817" s="1">
        <v>46239</v>
      </c>
      <c r="K3817" t="s">
        <v>717</v>
      </c>
      <c r="L3817">
        <v>41</v>
      </c>
      <c r="M3817">
        <v>180.81</v>
      </c>
      <c r="N3817" t="s">
        <v>710</v>
      </c>
      <c r="O3817" t="s">
        <v>1037</v>
      </c>
      <c r="P3817" t="s">
        <v>4790</v>
      </c>
      <c r="Q3817" t="s">
        <v>4852</v>
      </c>
      <c r="R3817" t="s">
        <v>4772</v>
      </c>
    </row>
    <row r="3818" spans="1:18" x14ac:dyDescent="0.3">
      <c r="A3818">
        <v>296</v>
      </c>
      <c r="B3818" t="s">
        <v>1034</v>
      </c>
      <c r="C3818" t="s">
        <v>479</v>
      </c>
      <c r="D3818" t="s">
        <v>99</v>
      </c>
      <c r="E3818" s="1">
        <v>45783</v>
      </c>
      <c r="F3818" t="s">
        <v>4311</v>
      </c>
      <c r="G3818" t="s">
        <v>1903</v>
      </c>
      <c r="H3818" t="s">
        <v>478</v>
      </c>
      <c r="I3818" t="s">
        <v>204</v>
      </c>
      <c r="J3818" s="1">
        <v>46239</v>
      </c>
      <c r="K3818" t="s">
        <v>717</v>
      </c>
      <c r="L3818">
        <v>370</v>
      </c>
      <c r="M3818">
        <v>2930.4</v>
      </c>
      <c r="N3818" t="s">
        <v>710</v>
      </c>
      <c r="O3818" t="s">
        <v>1037</v>
      </c>
      <c r="P3818" t="s">
        <v>4790</v>
      </c>
      <c r="Q3818" t="s">
        <v>4852</v>
      </c>
      <c r="R3818" t="s">
        <v>4772</v>
      </c>
    </row>
    <row r="3819" spans="1:18" x14ac:dyDescent="0.3">
      <c r="A3819">
        <v>37</v>
      </c>
      <c r="B3819" t="s">
        <v>4875</v>
      </c>
      <c r="C3819" t="s">
        <v>561</v>
      </c>
      <c r="D3819" t="s">
        <v>121</v>
      </c>
      <c r="E3819" s="1">
        <v>45783</v>
      </c>
      <c r="F3819" t="s">
        <v>4390</v>
      </c>
      <c r="G3819" t="s">
        <v>1854</v>
      </c>
      <c r="H3819" t="s">
        <v>560</v>
      </c>
      <c r="I3819" t="s">
        <v>204</v>
      </c>
      <c r="J3819" s="1">
        <v>46732</v>
      </c>
      <c r="K3819" t="s">
        <v>748</v>
      </c>
      <c r="L3819">
        <v>6700</v>
      </c>
      <c r="M3819">
        <v>6700</v>
      </c>
      <c r="N3819" t="s">
        <v>818</v>
      </c>
      <c r="O3819" t="s">
        <v>1040</v>
      </c>
      <c r="P3819" t="s">
        <v>4777</v>
      </c>
      <c r="Q3819" t="s">
        <v>4856</v>
      </c>
      <c r="R3819" t="s">
        <v>4771</v>
      </c>
    </row>
    <row r="3820" spans="1:18" x14ac:dyDescent="0.3">
      <c r="A3820">
        <v>744007</v>
      </c>
      <c r="B3820" t="s">
        <v>1034</v>
      </c>
      <c r="C3820" t="s">
        <v>609</v>
      </c>
      <c r="D3820" t="s">
        <v>182</v>
      </c>
      <c r="E3820" s="1">
        <v>45783</v>
      </c>
      <c r="F3820" t="s">
        <v>4336</v>
      </c>
      <c r="G3820" t="s">
        <v>1952</v>
      </c>
      <c r="H3820" t="s">
        <v>608</v>
      </c>
      <c r="I3820" t="s">
        <v>204</v>
      </c>
      <c r="J3820" s="1">
        <v>46281</v>
      </c>
      <c r="K3820" t="s">
        <v>717</v>
      </c>
      <c r="L3820">
        <v>172766.65</v>
      </c>
      <c r="M3820">
        <v>172766.65</v>
      </c>
      <c r="N3820" t="s">
        <v>719</v>
      </c>
      <c r="O3820" t="s">
        <v>1037</v>
      </c>
      <c r="P3820" t="s">
        <v>4794</v>
      </c>
      <c r="Q3820" t="s">
        <v>4852</v>
      </c>
      <c r="R3820" t="s">
        <v>4772</v>
      </c>
    </row>
    <row r="3821" spans="1:18" x14ac:dyDescent="0.3">
      <c r="A3821">
        <v>746191</v>
      </c>
      <c r="B3821" t="s">
        <v>4875</v>
      </c>
      <c r="C3821" t="s">
        <v>609</v>
      </c>
      <c r="D3821" t="s">
        <v>182</v>
      </c>
      <c r="E3821" s="1">
        <v>45783</v>
      </c>
      <c r="F3821" t="s">
        <v>4336</v>
      </c>
      <c r="G3821" t="s">
        <v>1951</v>
      </c>
      <c r="H3821" t="s">
        <v>610</v>
      </c>
      <c r="I3821" t="s">
        <v>204</v>
      </c>
      <c r="J3821" s="1">
        <v>46282</v>
      </c>
      <c r="K3821" t="s">
        <v>768</v>
      </c>
      <c r="L3821">
        <v>6372.63</v>
      </c>
      <c r="M3821">
        <v>6372.63</v>
      </c>
      <c r="N3821" t="s">
        <v>710</v>
      </c>
      <c r="O3821" t="s">
        <v>1037</v>
      </c>
      <c r="P3821" t="s">
        <v>4794</v>
      </c>
      <c r="Q3821" t="s">
        <v>4852</v>
      </c>
      <c r="R3821" t="s">
        <v>4772</v>
      </c>
    </row>
    <row r="3822" spans="1:18" x14ac:dyDescent="0.3">
      <c r="A3822">
        <v>744006</v>
      </c>
      <c r="B3822" t="s">
        <v>4875</v>
      </c>
      <c r="C3822" t="s">
        <v>609</v>
      </c>
      <c r="D3822" t="s">
        <v>182</v>
      </c>
      <c r="E3822" s="1">
        <v>45783</v>
      </c>
      <c r="F3822" t="s">
        <v>4336</v>
      </c>
      <c r="G3822" t="s">
        <v>1951</v>
      </c>
      <c r="H3822" t="s">
        <v>610</v>
      </c>
      <c r="I3822" t="s">
        <v>204</v>
      </c>
      <c r="J3822" s="1">
        <v>46282</v>
      </c>
      <c r="K3822" t="s">
        <v>768</v>
      </c>
      <c r="L3822">
        <v>44598.66</v>
      </c>
      <c r="M3822">
        <v>44598.66</v>
      </c>
      <c r="N3822" t="s">
        <v>710</v>
      </c>
      <c r="O3822" t="s">
        <v>1037</v>
      </c>
      <c r="P3822" t="s">
        <v>4794</v>
      </c>
      <c r="Q3822" t="s">
        <v>4852</v>
      </c>
      <c r="R3822" t="s">
        <v>4772</v>
      </c>
    </row>
    <row r="3823" spans="1:18" x14ac:dyDescent="0.3">
      <c r="A3823">
        <v>3210</v>
      </c>
      <c r="B3823" t="s">
        <v>4874</v>
      </c>
      <c r="C3823" t="s">
        <v>612</v>
      </c>
      <c r="D3823" t="s">
        <v>102</v>
      </c>
      <c r="E3823" s="1">
        <v>45783</v>
      </c>
      <c r="F3823" t="s">
        <v>4300</v>
      </c>
      <c r="G3823" t="s">
        <v>1708</v>
      </c>
      <c r="H3823" t="s">
        <v>611</v>
      </c>
      <c r="I3823" t="s">
        <v>209</v>
      </c>
      <c r="J3823" s="1">
        <v>45961</v>
      </c>
      <c r="K3823" t="s">
        <v>720</v>
      </c>
      <c r="L3823">
        <v>20748</v>
      </c>
      <c r="M3823">
        <v>20748</v>
      </c>
      <c r="N3823" t="s">
        <v>710</v>
      </c>
      <c r="O3823" t="s">
        <v>1037</v>
      </c>
      <c r="P3823" t="s">
        <v>4777</v>
      </c>
      <c r="Q3823" t="s">
        <v>4852</v>
      </c>
      <c r="R3823" t="s">
        <v>4773</v>
      </c>
    </row>
    <row r="3824" spans="1:18" x14ac:dyDescent="0.3">
      <c r="A3824">
        <v>296</v>
      </c>
      <c r="B3824" t="s">
        <v>1034</v>
      </c>
      <c r="C3824" t="s">
        <v>479</v>
      </c>
      <c r="D3824" t="s">
        <v>99</v>
      </c>
      <c r="E3824" s="1">
        <v>45783</v>
      </c>
      <c r="F3824" t="s">
        <v>4308</v>
      </c>
      <c r="G3824" t="s">
        <v>1903</v>
      </c>
      <c r="H3824" t="s">
        <v>478</v>
      </c>
      <c r="I3824" t="s">
        <v>204</v>
      </c>
      <c r="J3824" s="1">
        <v>46239</v>
      </c>
      <c r="K3824" t="s">
        <v>717</v>
      </c>
      <c r="L3824">
        <v>3606</v>
      </c>
      <c r="M3824">
        <v>13270.08</v>
      </c>
      <c r="N3824" t="s">
        <v>710</v>
      </c>
      <c r="O3824" t="s">
        <v>1037</v>
      </c>
      <c r="P3824" t="s">
        <v>4790</v>
      </c>
      <c r="Q3824" t="s">
        <v>4852</v>
      </c>
      <c r="R3824" t="s">
        <v>4772</v>
      </c>
    </row>
    <row r="3825" spans="1:18" x14ac:dyDescent="0.3">
      <c r="A3825">
        <v>296</v>
      </c>
      <c r="B3825" t="s">
        <v>1034</v>
      </c>
      <c r="C3825" t="s">
        <v>479</v>
      </c>
      <c r="D3825" t="s">
        <v>99</v>
      </c>
      <c r="E3825" s="1">
        <v>45783</v>
      </c>
      <c r="F3825" t="s">
        <v>4310</v>
      </c>
      <c r="G3825" t="s">
        <v>1903</v>
      </c>
      <c r="H3825" t="s">
        <v>478</v>
      </c>
      <c r="I3825" t="s">
        <v>204</v>
      </c>
      <c r="J3825" s="1">
        <v>46239</v>
      </c>
      <c r="K3825" t="s">
        <v>717</v>
      </c>
      <c r="L3825">
        <v>55</v>
      </c>
      <c r="M3825">
        <v>181.5</v>
      </c>
      <c r="N3825" t="s">
        <v>710</v>
      </c>
      <c r="O3825" t="s">
        <v>1037</v>
      </c>
      <c r="P3825" t="s">
        <v>4790</v>
      </c>
      <c r="Q3825" t="s">
        <v>4852</v>
      </c>
      <c r="R3825" t="s">
        <v>4772</v>
      </c>
    </row>
    <row r="3826" spans="1:18" x14ac:dyDescent="0.3">
      <c r="A3826">
        <v>8887</v>
      </c>
      <c r="B3826" t="s">
        <v>1034</v>
      </c>
      <c r="C3826" t="s">
        <v>624</v>
      </c>
      <c r="D3826" t="s">
        <v>68</v>
      </c>
      <c r="E3826" s="1">
        <v>45782</v>
      </c>
      <c r="F3826" t="s">
        <v>4367</v>
      </c>
      <c r="G3826" t="s">
        <v>1884</v>
      </c>
      <c r="H3826" t="s">
        <v>623</v>
      </c>
      <c r="I3826" t="s">
        <v>204</v>
      </c>
      <c r="J3826" s="1">
        <v>46017</v>
      </c>
      <c r="K3826" t="s">
        <v>839</v>
      </c>
      <c r="L3826">
        <v>1600</v>
      </c>
      <c r="M3826">
        <v>1600</v>
      </c>
      <c r="N3826" t="s">
        <v>710</v>
      </c>
      <c r="O3826" t="s">
        <v>1041</v>
      </c>
      <c r="P3826" t="s">
        <v>4776</v>
      </c>
      <c r="Q3826" t="s">
        <v>4852</v>
      </c>
      <c r="R3826" t="s">
        <v>4771</v>
      </c>
    </row>
    <row r="3827" spans="1:18" x14ac:dyDescent="0.3">
      <c r="A3827">
        <v>6742</v>
      </c>
      <c r="B3827" t="s">
        <v>1034</v>
      </c>
      <c r="C3827" t="s">
        <v>230</v>
      </c>
      <c r="D3827" t="s">
        <v>85</v>
      </c>
      <c r="E3827" s="1">
        <v>45779</v>
      </c>
      <c r="F3827" t="s">
        <v>4348</v>
      </c>
      <c r="G3827" t="s">
        <v>1901</v>
      </c>
      <c r="H3827" t="s">
        <v>570</v>
      </c>
      <c r="I3827" t="s">
        <v>204</v>
      </c>
      <c r="J3827" s="1">
        <v>46418</v>
      </c>
      <c r="K3827" t="s">
        <v>717</v>
      </c>
      <c r="L3827">
        <v>1</v>
      </c>
      <c r="M3827">
        <v>508195.8</v>
      </c>
      <c r="N3827" t="s">
        <v>719</v>
      </c>
      <c r="O3827" t="s">
        <v>1033</v>
      </c>
      <c r="P3827" t="s">
        <v>4781</v>
      </c>
      <c r="Q3827" t="s">
        <v>4852</v>
      </c>
      <c r="R3827" t="s">
        <v>4771</v>
      </c>
    </row>
    <row r="3828" spans="1:18" x14ac:dyDescent="0.3">
      <c r="A3828">
        <v>1568</v>
      </c>
      <c r="B3828" t="s">
        <v>4875</v>
      </c>
      <c r="C3828" t="s">
        <v>312</v>
      </c>
      <c r="D3828" t="s">
        <v>73</v>
      </c>
      <c r="E3828" s="1">
        <v>45779</v>
      </c>
      <c r="F3828" t="s">
        <v>4300</v>
      </c>
      <c r="G3828" t="s">
        <v>1879</v>
      </c>
      <c r="H3828" t="s">
        <v>365</v>
      </c>
      <c r="I3828" t="s">
        <v>204</v>
      </c>
      <c r="J3828" s="1">
        <v>46418</v>
      </c>
      <c r="K3828" t="s">
        <v>748</v>
      </c>
      <c r="L3828">
        <v>2255</v>
      </c>
      <c r="M3828">
        <v>2255</v>
      </c>
      <c r="N3828" t="s">
        <v>710</v>
      </c>
      <c r="O3828" t="s">
        <v>4834</v>
      </c>
      <c r="P3828" t="s">
        <v>1006</v>
      </c>
      <c r="Q3828" t="s">
        <v>4856</v>
      </c>
      <c r="R3828" t="s">
        <v>4773</v>
      </c>
    </row>
    <row r="3829" spans="1:18" x14ac:dyDescent="0.3">
      <c r="A3829">
        <v>34844</v>
      </c>
      <c r="B3829" t="s">
        <v>4875</v>
      </c>
      <c r="C3829" t="s">
        <v>530</v>
      </c>
      <c r="D3829" t="s">
        <v>24</v>
      </c>
      <c r="E3829" s="1">
        <v>45779</v>
      </c>
      <c r="F3829" t="s">
        <v>4297</v>
      </c>
      <c r="G3829" t="s">
        <v>1870</v>
      </c>
      <c r="H3829" t="s">
        <v>529</v>
      </c>
      <c r="I3829" t="s">
        <v>204</v>
      </c>
      <c r="J3829" s="1">
        <v>46477</v>
      </c>
      <c r="K3829" t="s">
        <v>748</v>
      </c>
      <c r="L3829">
        <v>1</v>
      </c>
      <c r="M3829">
        <v>7232.34</v>
      </c>
      <c r="N3829" t="s">
        <v>710</v>
      </c>
      <c r="O3829" t="s">
        <v>1040</v>
      </c>
      <c r="P3829" t="s">
        <v>4779</v>
      </c>
      <c r="Q3829" t="s">
        <v>4856</v>
      </c>
      <c r="R3829" t="s">
        <v>4773</v>
      </c>
    </row>
    <row r="3830" spans="1:18" x14ac:dyDescent="0.3">
      <c r="A3830">
        <v>273570</v>
      </c>
      <c r="B3830" t="s">
        <v>4874</v>
      </c>
      <c r="C3830" t="s">
        <v>376</v>
      </c>
      <c r="D3830" t="s">
        <v>35</v>
      </c>
      <c r="E3830" s="1">
        <v>45779</v>
      </c>
      <c r="F3830" t="s">
        <v>4324</v>
      </c>
      <c r="G3830" t="s">
        <v>1851</v>
      </c>
      <c r="H3830" t="s">
        <v>442</v>
      </c>
      <c r="I3830" t="s">
        <v>209</v>
      </c>
      <c r="J3830" s="1">
        <v>54878</v>
      </c>
      <c r="K3830" t="s">
        <v>762</v>
      </c>
      <c r="L3830">
        <v>96928</v>
      </c>
      <c r="M3830">
        <v>96928</v>
      </c>
      <c r="N3830" t="s">
        <v>710</v>
      </c>
      <c r="Q3830" t="s">
        <v>4852</v>
      </c>
      <c r="R3830" t="s">
        <v>4771</v>
      </c>
    </row>
    <row r="3831" spans="1:18" x14ac:dyDescent="0.3">
      <c r="A3831">
        <v>6759</v>
      </c>
      <c r="B3831" t="s">
        <v>4874</v>
      </c>
      <c r="C3831" t="s">
        <v>230</v>
      </c>
      <c r="D3831" t="s">
        <v>85</v>
      </c>
      <c r="E3831" s="1">
        <v>45779</v>
      </c>
      <c r="F3831" t="s">
        <v>4348</v>
      </c>
      <c r="G3831" t="s">
        <v>1899</v>
      </c>
      <c r="H3831" t="s">
        <v>299</v>
      </c>
      <c r="I3831" t="s">
        <v>204</v>
      </c>
      <c r="J3831" s="1">
        <v>46536</v>
      </c>
      <c r="K3831" t="s">
        <v>762</v>
      </c>
      <c r="L3831">
        <v>8994.73</v>
      </c>
      <c r="M3831">
        <v>8994.73</v>
      </c>
      <c r="N3831" t="s">
        <v>710</v>
      </c>
      <c r="O3831" t="s">
        <v>1033</v>
      </c>
      <c r="P3831" t="s">
        <v>4781</v>
      </c>
      <c r="Q3831" t="s">
        <v>4852</v>
      </c>
      <c r="R3831" t="s">
        <v>4771</v>
      </c>
    </row>
    <row r="3832" spans="1:18" x14ac:dyDescent="0.3">
      <c r="A3832">
        <v>6738</v>
      </c>
      <c r="B3832" t="s">
        <v>4874</v>
      </c>
      <c r="C3832" t="s">
        <v>230</v>
      </c>
      <c r="D3832" t="s">
        <v>85</v>
      </c>
      <c r="E3832" s="1">
        <v>45779</v>
      </c>
      <c r="F3832" t="s">
        <v>4348</v>
      </c>
      <c r="G3832" t="s">
        <v>1900</v>
      </c>
      <c r="H3832" t="s">
        <v>299</v>
      </c>
      <c r="I3832" t="s">
        <v>204</v>
      </c>
      <c r="J3832" s="1">
        <v>46536</v>
      </c>
      <c r="K3832" t="s">
        <v>762</v>
      </c>
      <c r="L3832">
        <v>198518.11</v>
      </c>
      <c r="M3832">
        <v>198518.11</v>
      </c>
      <c r="N3832" t="s">
        <v>710</v>
      </c>
      <c r="O3832" t="s">
        <v>1033</v>
      </c>
      <c r="P3832" t="s">
        <v>4781</v>
      </c>
      <c r="Q3832" t="s">
        <v>4852</v>
      </c>
      <c r="R3832" t="s">
        <v>4771</v>
      </c>
    </row>
    <row r="3833" spans="1:18" x14ac:dyDescent="0.3">
      <c r="A3833">
        <v>1736</v>
      </c>
      <c r="B3833" t="s">
        <v>4874</v>
      </c>
      <c r="C3833" t="s">
        <v>252</v>
      </c>
      <c r="D3833" t="s">
        <v>183</v>
      </c>
      <c r="E3833" s="1">
        <v>45778</v>
      </c>
      <c r="F3833" t="s">
        <v>4404</v>
      </c>
      <c r="G3833" t="s">
        <v>1270</v>
      </c>
      <c r="H3833" t="s">
        <v>251</v>
      </c>
      <c r="I3833" t="s">
        <v>204</v>
      </c>
      <c r="J3833" s="1">
        <v>46418</v>
      </c>
      <c r="K3833" t="s">
        <v>762</v>
      </c>
      <c r="L3833">
        <v>18900</v>
      </c>
      <c r="M3833">
        <v>18900</v>
      </c>
      <c r="N3833" t="s">
        <v>719</v>
      </c>
      <c r="O3833" t="s">
        <v>4904</v>
      </c>
      <c r="P3833" t="s">
        <v>4792</v>
      </c>
      <c r="Q3833" t="s">
        <v>4904</v>
      </c>
      <c r="R3833" t="s">
        <v>4773</v>
      </c>
    </row>
    <row r="3834" spans="1:18" x14ac:dyDescent="0.3">
      <c r="A3834">
        <v>2712</v>
      </c>
      <c r="B3834" t="s">
        <v>4874</v>
      </c>
      <c r="C3834" t="s">
        <v>372</v>
      </c>
      <c r="D3834" t="s">
        <v>105</v>
      </c>
      <c r="E3834" s="1">
        <v>45778</v>
      </c>
      <c r="F3834" t="s">
        <v>4408</v>
      </c>
      <c r="G3834" t="s">
        <v>1862</v>
      </c>
      <c r="H3834" t="s">
        <v>371</v>
      </c>
      <c r="I3834" t="s">
        <v>209</v>
      </c>
      <c r="J3834" s="1">
        <v>45904</v>
      </c>
      <c r="K3834" t="s">
        <v>720</v>
      </c>
      <c r="L3834">
        <v>1</v>
      </c>
      <c r="M3834">
        <v>6834.3</v>
      </c>
      <c r="N3834" t="s">
        <v>719</v>
      </c>
      <c r="O3834" t="s">
        <v>1038</v>
      </c>
      <c r="P3834" t="s">
        <v>4777</v>
      </c>
      <c r="Q3834" t="s">
        <v>4858</v>
      </c>
      <c r="R3834" t="s">
        <v>4773</v>
      </c>
    </row>
    <row r="3835" spans="1:18" x14ac:dyDescent="0.3">
      <c r="A3835">
        <v>2433</v>
      </c>
      <c r="B3835" t="s">
        <v>1034</v>
      </c>
      <c r="C3835" t="s">
        <v>630</v>
      </c>
      <c r="D3835" t="s">
        <v>145</v>
      </c>
      <c r="E3835" s="1">
        <v>45778</v>
      </c>
      <c r="F3835" t="s">
        <v>4300</v>
      </c>
      <c r="G3835" t="s">
        <v>1768</v>
      </c>
      <c r="H3835" t="s">
        <v>629</v>
      </c>
      <c r="I3835" t="s">
        <v>204</v>
      </c>
      <c r="J3835" s="1">
        <v>46264</v>
      </c>
      <c r="K3835" t="s">
        <v>720</v>
      </c>
      <c r="L3835">
        <v>1</v>
      </c>
      <c r="M3835">
        <v>18000</v>
      </c>
      <c r="N3835" t="s">
        <v>710</v>
      </c>
      <c r="O3835" t="s">
        <v>4849</v>
      </c>
      <c r="P3835" t="s">
        <v>4777</v>
      </c>
      <c r="Q3835" t="s">
        <v>4855</v>
      </c>
      <c r="R3835" t="s">
        <v>4771</v>
      </c>
    </row>
    <row r="3836" spans="1:18" x14ac:dyDescent="0.3">
      <c r="A3836">
        <v>743</v>
      </c>
      <c r="B3836" t="s">
        <v>1034</v>
      </c>
      <c r="C3836" t="s">
        <v>603</v>
      </c>
      <c r="D3836" t="s">
        <v>69</v>
      </c>
      <c r="E3836" s="1">
        <v>45778</v>
      </c>
      <c r="F3836" t="s">
        <v>4345</v>
      </c>
      <c r="G3836" t="s">
        <v>1049</v>
      </c>
      <c r="H3836" t="s">
        <v>602</v>
      </c>
      <c r="I3836" t="s">
        <v>209</v>
      </c>
      <c r="J3836" s="1">
        <v>46276</v>
      </c>
      <c r="K3836" t="s">
        <v>720</v>
      </c>
      <c r="L3836">
        <v>1</v>
      </c>
      <c r="M3836">
        <v>2918.6</v>
      </c>
      <c r="N3836" t="s">
        <v>954</v>
      </c>
      <c r="O3836" t="s">
        <v>4834</v>
      </c>
      <c r="P3836" t="s">
        <v>952</v>
      </c>
      <c r="Q3836" t="s">
        <v>4901</v>
      </c>
      <c r="R3836" t="s">
        <v>4771</v>
      </c>
    </row>
    <row r="3837" spans="1:18" x14ac:dyDescent="0.3">
      <c r="A3837">
        <v>115727</v>
      </c>
      <c r="B3837" t="s">
        <v>4875</v>
      </c>
      <c r="C3837" t="s">
        <v>415</v>
      </c>
      <c r="D3837" t="s">
        <v>60</v>
      </c>
      <c r="E3837" s="1">
        <v>45778</v>
      </c>
      <c r="F3837" t="s">
        <v>4333</v>
      </c>
      <c r="G3837" t="s">
        <v>1892</v>
      </c>
      <c r="H3837" t="s">
        <v>414</v>
      </c>
      <c r="I3837" t="s">
        <v>204</v>
      </c>
      <c r="J3837" s="1">
        <v>46386</v>
      </c>
      <c r="K3837" t="s">
        <v>768</v>
      </c>
      <c r="L3837">
        <v>3283.47</v>
      </c>
      <c r="M3837">
        <v>3283.47</v>
      </c>
      <c r="N3837" t="s">
        <v>814</v>
      </c>
      <c r="O3837" t="s">
        <v>1037</v>
      </c>
      <c r="P3837" t="s">
        <v>4807</v>
      </c>
      <c r="Q3837" t="s">
        <v>4852</v>
      </c>
      <c r="R3837" t="s">
        <v>4771</v>
      </c>
    </row>
    <row r="3838" spans="1:18" x14ac:dyDescent="0.3">
      <c r="A3838">
        <v>202577</v>
      </c>
      <c r="B3838" t="s">
        <v>4875</v>
      </c>
      <c r="C3838" t="s">
        <v>322</v>
      </c>
      <c r="D3838" t="s">
        <v>158</v>
      </c>
      <c r="E3838" s="1">
        <v>45778</v>
      </c>
      <c r="F3838" t="s">
        <v>4431</v>
      </c>
      <c r="G3838" t="s">
        <v>1841</v>
      </c>
      <c r="H3838" t="s">
        <v>321</v>
      </c>
      <c r="I3838" t="s">
        <v>204</v>
      </c>
      <c r="J3838" s="1">
        <v>46310</v>
      </c>
      <c r="K3838" t="s">
        <v>748</v>
      </c>
      <c r="L3838">
        <v>13509.6</v>
      </c>
      <c r="M3838">
        <v>13509.6</v>
      </c>
      <c r="N3838" t="s">
        <v>710</v>
      </c>
      <c r="O3838" t="s">
        <v>1040</v>
      </c>
      <c r="P3838" t="s">
        <v>4782</v>
      </c>
      <c r="Q3838" t="s">
        <v>4856</v>
      </c>
      <c r="R3838" t="s">
        <v>4773</v>
      </c>
    </row>
    <row r="3839" spans="1:18" x14ac:dyDescent="0.3">
      <c r="A3839">
        <v>115726</v>
      </c>
      <c r="B3839" t="s">
        <v>4874</v>
      </c>
      <c r="C3839" t="s">
        <v>415</v>
      </c>
      <c r="D3839" t="s">
        <v>60</v>
      </c>
      <c r="E3839" s="1">
        <v>45778</v>
      </c>
      <c r="F3839" t="s">
        <v>4333</v>
      </c>
      <c r="G3839" t="s">
        <v>1891</v>
      </c>
      <c r="H3839" t="s">
        <v>457</v>
      </c>
      <c r="I3839" t="s">
        <v>204</v>
      </c>
      <c r="J3839" s="1">
        <v>46387</v>
      </c>
      <c r="K3839" t="s">
        <v>762</v>
      </c>
      <c r="L3839">
        <v>4187.3999999999996</v>
      </c>
      <c r="M3839">
        <v>4187.3999999999996</v>
      </c>
      <c r="N3839" t="s">
        <v>814</v>
      </c>
      <c r="O3839" t="s">
        <v>1037</v>
      </c>
      <c r="P3839" t="s">
        <v>4807</v>
      </c>
      <c r="Q3839" t="s">
        <v>4852</v>
      </c>
      <c r="R3839" t="s">
        <v>4771</v>
      </c>
    </row>
    <row r="3840" spans="1:18" x14ac:dyDescent="0.3">
      <c r="A3840">
        <v>77408</v>
      </c>
      <c r="B3840" t="s">
        <v>4874</v>
      </c>
      <c r="C3840" t="s">
        <v>634</v>
      </c>
      <c r="D3840" t="s">
        <v>99</v>
      </c>
      <c r="E3840" s="1">
        <v>45777</v>
      </c>
      <c r="F3840" t="s">
        <v>4310</v>
      </c>
      <c r="G3840" t="s">
        <v>1877</v>
      </c>
      <c r="H3840" t="s">
        <v>633</v>
      </c>
      <c r="I3840" t="s">
        <v>204</v>
      </c>
      <c r="J3840" s="1">
        <v>46204</v>
      </c>
      <c r="K3840" t="s">
        <v>762</v>
      </c>
      <c r="L3840">
        <v>120</v>
      </c>
      <c r="M3840">
        <v>406.8</v>
      </c>
      <c r="N3840" t="s">
        <v>719</v>
      </c>
      <c r="O3840" t="s">
        <v>1037</v>
      </c>
      <c r="P3840" t="s">
        <v>4790</v>
      </c>
      <c r="Q3840" t="s">
        <v>4852</v>
      </c>
    </row>
    <row r="3841" spans="1:18" x14ac:dyDescent="0.3">
      <c r="A3841">
        <v>77408</v>
      </c>
      <c r="B3841" t="s">
        <v>4874</v>
      </c>
      <c r="C3841" t="s">
        <v>634</v>
      </c>
      <c r="D3841" t="s">
        <v>99</v>
      </c>
      <c r="E3841" s="1">
        <v>45777</v>
      </c>
      <c r="F3841" t="s">
        <v>4400</v>
      </c>
      <c r="G3841" t="s">
        <v>1877</v>
      </c>
      <c r="H3841" t="s">
        <v>633</v>
      </c>
      <c r="I3841" t="s">
        <v>204</v>
      </c>
      <c r="J3841" s="1">
        <v>46204</v>
      </c>
      <c r="K3841" t="s">
        <v>762</v>
      </c>
      <c r="L3841">
        <v>3</v>
      </c>
      <c r="M3841">
        <v>16.260000000000002</v>
      </c>
      <c r="N3841" t="s">
        <v>719</v>
      </c>
      <c r="O3841" t="s">
        <v>1037</v>
      </c>
      <c r="P3841" t="s">
        <v>4790</v>
      </c>
      <c r="Q3841" t="s">
        <v>4852</v>
      </c>
    </row>
    <row r="3842" spans="1:18" x14ac:dyDescent="0.3">
      <c r="A3842">
        <v>77408</v>
      </c>
      <c r="B3842" t="s">
        <v>4874</v>
      </c>
      <c r="C3842" t="s">
        <v>634</v>
      </c>
      <c r="D3842" t="s">
        <v>99</v>
      </c>
      <c r="E3842" s="1">
        <v>45777</v>
      </c>
      <c r="F3842" t="s">
        <v>4413</v>
      </c>
      <c r="G3842" t="s">
        <v>1877</v>
      </c>
      <c r="H3842" t="s">
        <v>633</v>
      </c>
      <c r="I3842" t="s">
        <v>204</v>
      </c>
      <c r="J3842" s="1">
        <v>46204</v>
      </c>
      <c r="K3842" t="s">
        <v>762</v>
      </c>
      <c r="L3842">
        <v>1</v>
      </c>
      <c r="M3842">
        <v>4.17</v>
      </c>
      <c r="N3842" t="s">
        <v>719</v>
      </c>
      <c r="O3842" t="s">
        <v>1037</v>
      </c>
      <c r="P3842" t="s">
        <v>4790</v>
      </c>
      <c r="Q3842" t="s">
        <v>4852</v>
      </c>
    </row>
    <row r="3843" spans="1:18" x14ac:dyDescent="0.3">
      <c r="A3843">
        <v>77408</v>
      </c>
      <c r="B3843" t="s">
        <v>4874</v>
      </c>
      <c r="C3843" t="s">
        <v>634</v>
      </c>
      <c r="D3843" t="s">
        <v>99</v>
      </c>
      <c r="E3843" s="1">
        <v>45777</v>
      </c>
      <c r="F3843" t="s">
        <v>4329</v>
      </c>
      <c r="G3843" t="s">
        <v>1877</v>
      </c>
      <c r="H3843" t="s">
        <v>633</v>
      </c>
      <c r="I3843" t="s">
        <v>204</v>
      </c>
      <c r="J3843" s="1">
        <v>46204</v>
      </c>
      <c r="K3843" t="s">
        <v>762</v>
      </c>
      <c r="L3843">
        <v>29</v>
      </c>
      <c r="M3843">
        <v>356.7</v>
      </c>
      <c r="N3843" t="s">
        <v>719</v>
      </c>
      <c r="O3843" t="s">
        <v>1037</v>
      </c>
      <c r="P3843" t="s">
        <v>4790</v>
      </c>
      <c r="Q3843" t="s">
        <v>4852</v>
      </c>
    </row>
    <row r="3844" spans="1:18" x14ac:dyDescent="0.3">
      <c r="A3844">
        <v>77408</v>
      </c>
      <c r="B3844" t="s">
        <v>4874</v>
      </c>
      <c r="C3844" t="s">
        <v>634</v>
      </c>
      <c r="D3844" t="s">
        <v>99</v>
      </c>
      <c r="E3844" s="1">
        <v>45777</v>
      </c>
      <c r="F3844" t="s">
        <v>4308</v>
      </c>
      <c r="G3844" t="s">
        <v>1877</v>
      </c>
      <c r="H3844" t="s">
        <v>633</v>
      </c>
      <c r="I3844" t="s">
        <v>204</v>
      </c>
      <c r="J3844" s="1">
        <v>46204</v>
      </c>
      <c r="K3844" t="s">
        <v>762</v>
      </c>
      <c r="L3844">
        <v>82</v>
      </c>
      <c r="M3844">
        <v>369.82</v>
      </c>
      <c r="N3844" t="s">
        <v>719</v>
      </c>
      <c r="O3844" t="s">
        <v>1037</v>
      </c>
      <c r="P3844" t="s">
        <v>4790</v>
      </c>
      <c r="Q3844" t="s">
        <v>4852</v>
      </c>
    </row>
    <row r="3845" spans="1:18" x14ac:dyDescent="0.3">
      <c r="A3845">
        <v>77408</v>
      </c>
      <c r="B3845" t="s">
        <v>4874</v>
      </c>
      <c r="C3845" t="s">
        <v>634</v>
      </c>
      <c r="D3845" t="s">
        <v>99</v>
      </c>
      <c r="E3845" s="1">
        <v>45777</v>
      </c>
      <c r="F3845" t="s">
        <v>4394</v>
      </c>
      <c r="G3845" t="s">
        <v>1877</v>
      </c>
      <c r="H3845" t="s">
        <v>633</v>
      </c>
      <c r="I3845" t="s">
        <v>204</v>
      </c>
      <c r="J3845" s="1">
        <v>46204</v>
      </c>
      <c r="K3845" t="s">
        <v>762</v>
      </c>
      <c r="L3845">
        <v>2532</v>
      </c>
      <c r="M3845">
        <v>2532</v>
      </c>
      <c r="N3845" t="s">
        <v>719</v>
      </c>
      <c r="O3845" t="s">
        <v>1037</v>
      </c>
      <c r="P3845" t="s">
        <v>4790</v>
      </c>
      <c r="Q3845" t="s">
        <v>4852</v>
      </c>
    </row>
    <row r="3846" spans="1:18" x14ac:dyDescent="0.3">
      <c r="A3846">
        <v>77408</v>
      </c>
      <c r="B3846" t="s">
        <v>4874</v>
      </c>
      <c r="C3846" t="s">
        <v>634</v>
      </c>
      <c r="D3846" t="s">
        <v>99</v>
      </c>
      <c r="E3846" s="1">
        <v>45777</v>
      </c>
      <c r="F3846" t="s">
        <v>4307</v>
      </c>
      <c r="G3846" t="s">
        <v>1877</v>
      </c>
      <c r="H3846" t="s">
        <v>633</v>
      </c>
      <c r="I3846" t="s">
        <v>204</v>
      </c>
      <c r="J3846" s="1">
        <v>46204</v>
      </c>
      <c r="K3846" t="s">
        <v>762</v>
      </c>
      <c r="L3846">
        <v>2532</v>
      </c>
      <c r="M3846">
        <v>36359.519999999997</v>
      </c>
      <c r="N3846" t="s">
        <v>719</v>
      </c>
      <c r="O3846" t="s">
        <v>1037</v>
      </c>
      <c r="P3846" t="s">
        <v>4790</v>
      </c>
      <c r="Q3846" t="s">
        <v>4852</v>
      </c>
    </row>
    <row r="3847" spans="1:18" x14ac:dyDescent="0.3">
      <c r="A3847">
        <v>9817414</v>
      </c>
      <c r="B3847" t="s">
        <v>4874</v>
      </c>
      <c r="C3847" t="s">
        <v>433</v>
      </c>
      <c r="D3847" t="s">
        <v>168</v>
      </c>
      <c r="E3847" s="1">
        <v>45777</v>
      </c>
      <c r="F3847" t="s">
        <v>4319</v>
      </c>
      <c r="G3847" t="s">
        <v>1864</v>
      </c>
      <c r="H3847" t="s">
        <v>432</v>
      </c>
      <c r="I3847" t="s">
        <v>204</v>
      </c>
      <c r="J3847" s="1">
        <v>46473</v>
      </c>
      <c r="K3847" t="s">
        <v>762</v>
      </c>
      <c r="L3847">
        <v>1300</v>
      </c>
      <c r="M3847">
        <v>1299.69</v>
      </c>
      <c r="N3847" t="s">
        <v>710</v>
      </c>
      <c r="O3847" t="s">
        <v>4833</v>
      </c>
      <c r="P3847" t="s">
        <v>4802</v>
      </c>
      <c r="Q3847" t="s">
        <v>4852</v>
      </c>
      <c r="R3847" t="s">
        <v>4771</v>
      </c>
    </row>
    <row r="3848" spans="1:18" x14ac:dyDescent="0.3">
      <c r="A3848">
        <v>278611</v>
      </c>
      <c r="B3848" t="s">
        <v>4875</v>
      </c>
      <c r="C3848" t="s">
        <v>376</v>
      </c>
      <c r="D3848" t="s">
        <v>35</v>
      </c>
      <c r="E3848" s="1">
        <v>45777</v>
      </c>
      <c r="F3848" t="s">
        <v>4324</v>
      </c>
      <c r="G3848" t="s">
        <v>1849</v>
      </c>
      <c r="H3848" t="s">
        <v>486</v>
      </c>
      <c r="I3848" t="s">
        <v>209</v>
      </c>
      <c r="J3848" s="1">
        <v>54878</v>
      </c>
      <c r="K3848" t="s">
        <v>768</v>
      </c>
      <c r="L3848">
        <v>40237.15</v>
      </c>
      <c r="M3848">
        <v>40237.15</v>
      </c>
      <c r="N3848" t="s">
        <v>710</v>
      </c>
      <c r="Q3848" t="s">
        <v>4852</v>
      </c>
      <c r="R3848" t="s">
        <v>4771</v>
      </c>
    </row>
    <row r="3849" spans="1:18" x14ac:dyDescent="0.3">
      <c r="A3849">
        <v>4904535</v>
      </c>
      <c r="B3849" t="s">
        <v>1034</v>
      </c>
      <c r="C3849" t="s">
        <v>463</v>
      </c>
      <c r="D3849" t="s">
        <v>147</v>
      </c>
      <c r="E3849" s="1">
        <v>45777</v>
      </c>
      <c r="F3849" t="s">
        <v>4334</v>
      </c>
      <c r="G3849" t="s">
        <v>1887</v>
      </c>
      <c r="H3849" t="s">
        <v>462</v>
      </c>
      <c r="I3849" t="s">
        <v>204</v>
      </c>
      <c r="J3849" s="1">
        <v>46752</v>
      </c>
      <c r="K3849" t="s">
        <v>717</v>
      </c>
      <c r="L3849">
        <v>1082.6300000000001</v>
      </c>
      <c r="M3849">
        <v>1082.6300000000001</v>
      </c>
      <c r="N3849" t="s">
        <v>719</v>
      </c>
      <c r="O3849" t="s">
        <v>1033</v>
      </c>
      <c r="P3849" t="s">
        <v>4776</v>
      </c>
      <c r="Q3849" t="s">
        <v>4852</v>
      </c>
      <c r="R3849" t="s">
        <v>4771</v>
      </c>
    </row>
    <row r="3850" spans="1:18" x14ac:dyDescent="0.3">
      <c r="A3850">
        <v>155103</v>
      </c>
      <c r="B3850" t="s">
        <v>1034</v>
      </c>
      <c r="C3850" t="s">
        <v>301</v>
      </c>
      <c r="D3850" t="s">
        <v>23</v>
      </c>
      <c r="E3850" s="1">
        <v>45777</v>
      </c>
      <c r="F3850" t="s">
        <v>4321</v>
      </c>
      <c r="G3850" t="s">
        <v>1865</v>
      </c>
      <c r="H3850" t="s">
        <v>323</v>
      </c>
      <c r="I3850" t="s">
        <v>204</v>
      </c>
      <c r="J3850" s="1">
        <v>46538</v>
      </c>
      <c r="K3850" t="s">
        <v>711</v>
      </c>
      <c r="L3850">
        <v>5244.13</v>
      </c>
      <c r="M3850">
        <v>5244.13</v>
      </c>
      <c r="N3850" t="s">
        <v>710</v>
      </c>
      <c r="O3850" t="s">
        <v>1036</v>
      </c>
      <c r="P3850" t="s">
        <v>4782</v>
      </c>
      <c r="Q3850" t="s">
        <v>4901</v>
      </c>
      <c r="R3850" t="s">
        <v>4773</v>
      </c>
    </row>
    <row r="3851" spans="1:18" x14ac:dyDescent="0.3">
      <c r="A3851">
        <v>275949</v>
      </c>
      <c r="B3851" t="s">
        <v>1034</v>
      </c>
      <c r="C3851" t="s">
        <v>376</v>
      </c>
      <c r="D3851" t="s">
        <v>35</v>
      </c>
      <c r="E3851" s="1">
        <v>45777</v>
      </c>
      <c r="F3851" t="s">
        <v>4324</v>
      </c>
      <c r="G3851" t="s">
        <v>1850</v>
      </c>
      <c r="H3851" t="s">
        <v>375</v>
      </c>
      <c r="I3851" t="s">
        <v>209</v>
      </c>
      <c r="J3851" s="1">
        <v>54878</v>
      </c>
      <c r="K3851" t="s">
        <v>717</v>
      </c>
      <c r="L3851">
        <v>133457.16</v>
      </c>
      <c r="M3851">
        <v>133457.16</v>
      </c>
      <c r="N3851" t="s">
        <v>710</v>
      </c>
      <c r="O3851" t="s">
        <v>1037</v>
      </c>
      <c r="P3851" t="s">
        <v>4807</v>
      </c>
      <c r="Q3851" t="s">
        <v>4852</v>
      </c>
      <c r="R3851" t="s">
        <v>4771</v>
      </c>
    </row>
    <row r="3852" spans="1:18" x14ac:dyDescent="0.3">
      <c r="A3852">
        <v>279114</v>
      </c>
      <c r="B3852" t="s">
        <v>4874</v>
      </c>
      <c r="C3852" t="s">
        <v>376</v>
      </c>
      <c r="D3852" t="s">
        <v>35</v>
      </c>
      <c r="E3852" s="1">
        <v>45777</v>
      </c>
      <c r="F3852" t="s">
        <v>4324</v>
      </c>
      <c r="G3852" t="s">
        <v>1851</v>
      </c>
      <c r="H3852" t="s">
        <v>442</v>
      </c>
      <c r="I3852" t="s">
        <v>209</v>
      </c>
      <c r="J3852" s="1">
        <v>54878</v>
      </c>
      <c r="K3852" t="s">
        <v>762</v>
      </c>
      <c r="L3852">
        <v>246.65</v>
      </c>
      <c r="M3852">
        <v>246.65</v>
      </c>
      <c r="N3852" t="s">
        <v>710</v>
      </c>
      <c r="Q3852" t="s">
        <v>4852</v>
      </c>
      <c r="R3852" t="s">
        <v>4771</v>
      </c>
    </row>
    <row r="3853" spans="1:18" x14ac:dyDescent="0.3">
      <c r="A3853">
        <v>115721</v>
      </c>
      <c r="B3853" t="s">
        <v>1034</v>
      </c>
      <c r="C3853" t="s">
        <v>415</v>
      </c>
      <c r="D3853" t="s">
        <v>60</v>
      </c>
      <c r="E3853" s="1">
        <v>45776</v>
      </c>
      <c r="F3853" t="s">
        <v>4333</v>
      </c>
      <c r="G3853" t="s">
        <v>1852</v>
      </c>
      <c r="H3853" t="s">
        <v>431</v>
      </c>
      <c r="I3853" t="s">
        <v>204</v>
      </c>
      <c r="J3853" s="1">
        <v>46386</v>
      </c>
      <c r="K3853" t="s">
        <v>717</v>
      </c>
      <c r="L3853">
        <v>14968.13</v>
      </c>
      <c r="M3853">
        <v>14968.13</v>
      </c>
      <c r="N3853" t="s">
        <v>814</v>
      </c>
      <c r="O3853" t="s">
        <v>1037</v>
      </c>
      <c r="P3853" t="s">
        <v>4807</v>
      </c>
      <c r="Q3853" t="s">
        <v>4852</v>
      </c>
      <c r="R3853" t="s">
        <v>4771</v>
      </c>
    </row>
    <row r="3854" spans="1:18" x14ac:dyDescent="0.3">
      <c r="A3854">
        <v>6776</v>
      </c>
      <c r="B3854" t="s">
        <v>1035</v>
      </c>
      <c r="C3854" t="s">
        <v>230</v>
      </c>
      <c r="D3854" t="s">
        <v>85</v>
      </c>
      <c r="E3854" s="1">
        <v>45776</v>
      </c>
      <c r="F3854" t="s">
        <v>4348</v>
      </c>
      <c r="G3854" t="s">
        <v>1872</v>
      </c>
      <c r="H3854" t="s">
        <v>229</v>
      </c>
      <c r="I3854" t="s">
        <v>204</v>
      </c>
      <c r="J3854" s="1">
        <v>46203</v>
      </c>
      <c r="K3854" t="s">
        <v>744</v>
      </c>
      <c r="L3854">
        <v>7468.05</v>
      </c>
      <c r="M3854">
        <v>7468.05</v>
      </c>
      <c r="N3854" t="s">
        <v>710</v>
      </c>
      <c r="O3854" t="s">
        <v>1033</v>
      </c>
      <c r="P3854" t="s">
        <v>4781</v>
      </c>
      <c r="Q3854" t="s">
        <v>4852</v>
      </c>
      <c r="R3854" t="s">
        <v>4771</v>
      </c>
    </row>
    <row r="3855" spans="1:18" x14ac:dyDescent="0.3">
      <c r="A3855">
        <v>7900</v>
      </c>
      <c r="B3855" t="s">
        <v>4875</v>
      </c>
      <c r="C3855" t="s">
        <v>594</v>
      </c>
      <c r="D3855" t="s">
        <v>27</v>
      </c>
      <c r="E3855" s="1">
        <v>45775</v>
      </c>
      <c r="F3855" t="s">
        <v>4323</v>
      </c>
      <c r="G3855" t="s">
        <v>1861</v>
      </c>
      <c r="H3855" t="s">
        <v>596</v>
      </c>
      <c r="I3855" t="s">
        <v>204</v>
      </c>
      <c r="J3855" s="1">
        <v>46204</v>
      </c>
      <c r="K3855" t="s">
        <v>768</v>
      </c>
      <c r="L3855">
        <v>12690.28</v>
      </c>
      <c r="M3855">
        <v>12690.28</v>
      </c>
      <c r="N3855" t="s">
        <v>814</v>
      </c>
      <c r="O3855" t="s">
        <v>1037</v>
      </c>
      <c r="P3855" t="s">
        <v>4794</v>
      </c>
      <c r="Q3855" t="s">
        <v>4852</v>
      </c>
      <c r="R3855" t="s">
        <v>4772</v>
      </c>
    </row>
    <row r="3856" spans="1:18" x14ac:dyDescent="0.3">
      <c r="A3856">
        <v>7882</v>
      </c>
      <c r="B3856" t="s">
        <v>4874</v>
      </c>
      <c r="C3856" t="s">
        <v>594</v>
      </c>
      <c r="D3856" t="s">
        <v>27</v>
      </c>
      <c r="E3856" s="1">
        <v>45775</v>
      </c>
      <c r="F3856" t="s">
        <v>4323</v>
      </c>
      <c r="G3856" t="s">
        <v>1859</v>
      </c>
      <c r="H3856" t="s">
        <v>593</v>
      </c>
      <c r="I3856" t="s">
        <v>204</v>
      </c>
      <c r="J3856" s="1">
        <v>46204</v>
      </c>
      <c r="K3856" t="s">
        <v>762</v>
      </c>
      <c r="L3856">
        <v>337394.19</v>
      </c>
      <c r="M3856">
        <v>337394.19</v>
      </c>
      <c r="N3856" t="s">
        <v>814</v>
      </c>
      <c r="O3856" t="s">
        <v>1037</v>
      </c>
      <c r="P3856" t="s">
        <v>4794</v>
      </c>
      <c r="Q3856" t="s">
        <v>4852</v>
      </c>
      <c r="R3856" t="s">
        <v>4772</v>
      </c>
    </row>
    <row r="3857" spans="1:18" x14ac:dyDescent="0.3">
      <c r="A3857">
        <v>15565</v>
      </c>
      <c r="B3857" t="s">
        <v>1034</v>
      </c>
      <c r="C3857" t="s">
        <v>632</v>
      </c>
      <c r="D3857" t="s">
        <v>41</v>
      </c>
      <c r="E3857" s="1">
        <v>45775</v>
      </c>
      <c r="F3857" t="s">
        <v>4352</v>
      </c>
      <c r="G3857" t="s">
        <v>1875</v>
      </c>
      <c r="H3857" t="s">
        <v>631</v>
      </c>
      <c r="I3857" t="s">
        <v>204</v>
      </c>
      <c r="J3857" s="1">
        <v>50860</v>
      </c>
      <c r="K3857" t="s">
        <v>717</v>
      </c>
      <c r="L3857">
        <v>1</v>
      </c>
      <c r="M3857">
        <v>6240</v>
      </c>
      <c r="N3857" t="s">
        <v>710</v>
      </c>
      <c r="O3857" t="s">
        <v>4833</v>
      </c>
      <c r="P3857" t="s">
        <v>4776</v>
      </c>
      <c r="Q3857" t="s">
        <v>4852</v>
      </c>
      <c r="R3857" t="s">
        <v>4771</v>
      </c>
    </row>
    <row r="3858" spans="1:18" x14ac:dyDescent="0.3">
      <c r="A3858">
        <v>3375</v>
      </c>
      <c r="B3858" t="s">
        <v>1034</v>
      </c>
      <c r="C3858" t="s">
        <v>319</v>
      </c>
      <c r="D3858" t="s">
        <v>36</v>
      </c>
      <c r="E3858" s="1">
        <v>45775</v>
      </c>
      <c r="F3858" t="s">
        <v>4298</v>
      </c>
      <c r="G3858" t="s">
        <v>1871</v>
      </c>
      <c r="H3858" t="s">
        <v>318</v>
      </c>
      <c r="I3858" t="s">
        <v>204</v>
      </c>
      <c r="J3858" s="1">
        <v>46214</v>
      </c>
      <c r="K3858" t="s">
        <v>711</v>
      </c>
      <c r="L3858">
        <v>1656</v>
      </c>
      <c r="M3858">
        <v>1655.89</v>
      </c>
      <c r="N3858" t="s">
        <v>710</v>
      </c>
      <c r="O3858" t="s">
        <v>1036</v>
      </c>
      <c r="P3858" t="s">
        <v>4784</v>
      </c>
      <c r="Q3858" t="s">
        <v>4901</v>
      </c>
      <c r="R3858" t="s">
        <v>4771</v>
      </c>
    </row>
    <row r="3859" spans="1:18" x14ac:dyDescent="0.3">
      <c r="A3859">
        <v>66222</v>
      </c>
      <c r="B3859" t="s">
        <v>4874</v>
      </c>
      <c r="C3859" t="s">
        <v>296</v>
      </c>
      <c r="D3859" t="s">
        <v>93</v>
      </c>
      <c r="E3859" s="1">
        <v>45775</v>
      </c>
      <c r="F3859" t="s">
        <v>4362</v>
      </c>
      <c r="G3859" t="s">
        <v>1876</v>
      </c>
      <c r="H3859" t="s">
        <v>295</v>
      </c>
      <c r="I3859" t="s">
        <v>209</v>
      </c>
      <c r="J3859" s="1">
        <v>54878</v>
      </c>
      <c r="K3859" t="s">
        <v>720</v>
      </c>
      <c r="L3859">
        <v>6141.72</v>
      </c>
      <c r="M3859">
        <v>6141.72</v>
      </c>
      <c r="N3859" t="s">
        <v>710</v>
      </c>
      <c r="Q3859" t="s">
        <v>4845</v>
      </c>
      <c r="R3859" t="s">
        <v>4772</v>
      </c>
    </row>
    <row r="3860" spans="1:18" x14ac:dyDescent="0.3">
      <c r="A3860">
        <v>273232</v>
      </c>
      <c r="B3860" t="s">
        <v>4874</v>
      </c>
      <c r="C3860" t="s">
        <v>239</v>
      </c>
      <c r="D3860" t="s">
        <v>199</v>
      </c>
      <c r="E3860" s="1">
        <v>45775</v>
      </c>
      <c r="F3860" t="s">
        <v>4325</v>
      </c>
      <c r="G3860" t="s">
        <v>1878</v>
      </c>
      <c r="H3860" t="s">
        <v>268</v>
      </c>
      <c r="I3860" t="s">
        <v>204</v>
      </c>
      <c r="J3860" s="1">
        <v>46172</v>
      </c>
      <c r="K3860" t="s">
        <v>720</v>
      </c>
      <c r="L3860">
        <v>1</v>
      </c>
      <c r="M3860">
        <v>109.9</v>
      </c>
      <c r="N3860" t="s">
        <v>710</v>
      </c>
      <c r="O3860" t="s">
        <v>1038</v>
      </c>
      <c r="P3860" t="s">
        <v>4779</v>
      </c>
      <c r="Q3860" t="s">
        <v>4858</v>
      </c>
      <c r="R3860" t="s">
        <v>4771</v>
      </c>
    </row>
    <row r="3861" spans="1:18" x14ac:dyDescent="0.3">
      <c r="A3861">
        <v>6848</v>
      </c>
      <c r="B3861" t="s">
        <v>4874</v>
      </c>
      <c r="C3861" t="s">
        <v>628</v>
      </c>
      <c r="D3861" t="s">
        <v>25</v>
      </c>
      <c r="E3861" s="1">
        <v>45775</v>
      </c>
      <c r="F3861" t="s">
        <v>4415</v>
      </c>
      <c r="G3861" t="s">
        <v>1539</v>
      </c>
      <c r="H3861" t="s">
        <v>627</v>
      </c>
      <c r="I3861" t="s">
        <v>209</v>
      </c>
      <c r="J3861" s="1">
        <v>46476</v>
      </c>
      <c r="K3861" t="s">
        <v>720</v>
      </c>
      <c r="L3861">
        <v>1</v>
      </c>
      <c r="M3861">
        <v>740</v>
      </c>
      <c r="N3861" t="s">
        <v>710</v>
      </c>
      <c r="O3861" t="s">
        <v>1038</v>
      </c>
      <c r="P3861" t="s">
        <v>4776</v>
      </c>
      <c r="Q3861" t="s">
        <v>4858</v>
      </c>
      <c r="R3861" t="s">
        <v>4771</v>
      </c>
    </row>
    <row r="3862" spans="1:18" x14ac:dyDescent="0.3">
      <c r="A3862">
        <v>1446</v>
      </c>
      <c r="B3862" t="s">
        <v>1034</v>
      </c>
      <c r="C3862" t="s">
        <v>449</v>
      </c>
      <c r="D3862" t="s">
        <v>20</v>
      </c>
      <c r="E3862" s="1">
        <v>45775</v>
      </c>
      <c r="F3862" t="s">
        <v>4331</v>
      </c>
      <c r="G3862" t="s">
        <v>1869</v>
      </c>
      <c r="H3862" t="s">
        <v>448</v>
      </c>
      <c r="I3862" t="s">
        <v>204</v>
      </c>
      <c r="J3862" s="1">
        <v>46219</v>
      </c>
      <c r="K3862" t="s">
        <v>717</v>
      </c>
      <c r="L3862">
        <v>7492.83</v>
      </c>
      <c r="M3862">
        <v>7492.83</v>
      </c>
      <c r="N3862" t="s">
        <v>710</v>
      </c>
      <c r="O3862" t="s">
        <v>4902</v>
      </c>
      <c r="P3862" t="s">
        <v>4776</v>
      </c>
      <c r="Q3862" t="s">
        <v>4852</v>
      </c>
      <c r="R3862" t="s">
        <v>4771</v>
      </c>
    </row>
    <row r="3863" spans="1:18" x14ac:dyDescent="0.3">
      <c r="A3863">
        <v>7891</v>
      </c>
      <c r="B3863" t="s">
        <v>1034</v>
      </c>
      <c r="C3863" t="s">
        <v>594</v>
      </c>
      <c r="D3863" t="s">
        <v>27</v>
      </c>
      <c r="E3863" s="1">
        <v>45775</v>
      </c>
      <c r="F3863" t="s">
        <v>4323</v>
      </c>
      <c r="G3863" t="s">
        <v>1860</v>
      </c>
      <c r="H3863" t="s">
        <v>595</v>
      </c>
      <c r="I3863" t="s">
        <v>204</v>
      </c>
      <c r="J3863" s="1">
        <v>46204</v>
      </c>
      <c r="K3863" t="s">
        <v>717</v>
      </c>
      <c r="L3863">
        <v>58723.58</v>
      </c>
      <c r="M3863">
        <v>58723.58</v>
      </c>
      <c r="N3863" t="s">
        <v>814</v>
      </c>
      <c r="O3863" t="s">
        <v>1037</v>
      </c>
      <c r="P3863" t="s">
        <v>4794</v>
      </c>
      <c r="Q3863" t="s">
        <v>4852</v>
      </c>
      <c r="R3863" t="s">
        <v>4772</v>
      </c>
    </row>
    <row r="3864" spans="1:18" x14ac:dyDescent="0.3">
      <c r="A3864">
        <v>81215</v>
      </c>
      <c r="B3864" t="s">
        <v>1034</v>
      </c>
      <c r="C3864" t="s">
        <v>319</v>
      </c>
      <c r="D3864" t="s">
        <v>36</v>
      </c>
      <c r="E3864" s="1">
        <v>45775</v>
      </c>
      <c r="F3864" t="s">
        <v>4298</v>
      </c>
      <c r="G3864" t="s">
        <v>1874</v>
      </c>
      <c r="H3864" t="s">
        <v>318</v>
      </c>
      <c r="I3864" t="s">
        <v>204</v>
      </c>
      <c r="J3864" s="1">
        <v>46214</v>
      </c>
      <c r="K3864" t="s">
        <v>711</v>
      </c>
      <c r="L3864">
        <v>1727</v>
      </c>
      <c r="M3864">
        <v>1727.19</v>
      </c>
      <c r="N3864" t="s">
        <v>710</v>
      </c>
      <c r="O3864" t="s">
        <v>1036</v>
      </c>
      <c r="P3864" t="s">
        <v>4784</v>
      </c>
      <c r="Q3864" t="s">
        <v>4901</v>
      </c>
      <c r="R3864" t="s">
        <v>4771</v>
      </c>
    </row>
    <row r="3865" spans="1:18" x14ac:dyDescent="0.3">
      <c r="A3865">
        <v>8270</v>
      </c>
      <c r="B3865" t="s">
        <v>1034</v>
      </c>
      <c r="C3865" t="s">
        <v>267</v>
      </c>
      <c r="D3865" t="s">
        <v>186</v>
      </c>
      <c r="E3865" s="1">
        <v>45772</v>
      </c>
      <c r="F3865" t="s">
        <v>4350</v>
      </c>
      <c r="G3865" t="s">
        <v>1867</v>
      </c>
      <c r="H3865" t="s">
        <v>266</v>
      </c>
      <c r="I3865" t="s">
        <v>204</v>
      </c>
      <c r="J3865" s="1">
        <v>46259</v>
      </c>
      <c r="K3865" t="s">
        <v>717</v>
      </c>
      <c r="L3865">
        <v>17389.14</v>
      </c>
      <c r="M3865">
        <v>17389.14</v>
      </c>
      <c r="N3865" t="s">
        <v>710</v>
      </c>
      <c r="O3865" t="s">
        <v>1037</v>
      </c>
      <c r="P3865" t="s">
        <v>4780</v>
      </c>
      <c r="Q3865" t="s">
        <v>4852</v>
      </c>
      <c r="R3865" t="s">
        <v>4772</v>
      </c>
    </row>
    <row r="3866" spans="1:18" x14ac:dyDescent="0.3">
      <c r="A3866">
        <v>8269</v>
      </c>
      <c r="B3866" t="s">
        <v>1034</v>
      </c>
      <c r="C3866" t="s">
        <v>267</v>
      </c>
      <c r="D3866" t="s">
        <v>186</v>
      </c>
      <c r="E3866" s="1">
        <v>45772</v>
      </c>
      <c r="F3866" t="s">
        <v>4350</v>
      </c>
      <c r="G3866" t="s">
        <v>1867</v>
      </c>
      <c r="H3866" t="s">
        <v>266</v>
      </c>
      <c r="I3866" t="s">
        <v>204</v>
      </c>
      <c r="J3866" s="1">
        <v>46259</v>
      </c>
      <c r="K3866" t="s">
        <v>717</v>
      </c>
      <c r="L3866">
        <v>6823.66</v>
      </c>
      <c r="M3866">
        <v>6823.66</v>
      </c>
      <c r="N3866" t="s">
        <v>710</v>
      </c>
      <c r="O3866" t="s">
        <v>1037</v>
      </c>
      <c r="P3866" t="s">
        <v>4780</v>
      </c>
      <c r="Q3866" t="s">
        <v>4852</v>
      </c>
      <c r="R3866" t="s">
        <v>4772</v>
      </c>
    </row>
    <row r="3867" spans="1:18" x14ac:dyDescent="0.3">
      <c r="A3867">
        <v>41381</v>
      </c>
      <c r="B3867" t="s">
        <v>1034</v>
      </c>
      <c r="C3867" t="s">
        <v>327</v>
      </c>
      <c r="D3867" t="s">
        <v>159</v>
      </c>
      <c r="E3867" s="1">
        <v>45772</v>
      </c>
      <c r="F3867" t="s">
        <v>4295</v>
      </c>
      <c r="G3867" t="s">
        <v>1857</v>
      </c>
      <c r="H3867" t="s">
        <v>357</v>
      </c>
      <c r="I3867" t="s">
        <v>204</v>
      </c>
      <c r="J3867" s="1">
        <v>46476</v>
      </c>
      <c r="K3867" t="s">
        <v>711</v>
      </c>
      <c r="L3867">
        <v>2150</v>
      </c>
      <c r="M3867">
        <v>2150</v>
      </c>
      <c r="N3867" t="s">
        <v>890</v>
      </c>
      <c r="O3867" t="s">
        <v>4834</v>
      </c>
      <c r="P3867" t="s">
        <v>4776</v>
      </c>
      <c r="Q3867" t="s">
        <v>4901</v>
      </c>
      <c r="R3867" t="s">
        <v>4773</v>
      </c>
    </row>
    <row r="3868" spans="1:18" x14ac:dyDescent="0.3">
      <c r="A3868">
        <v>41382</v>
      </c>
      <c r="B3868" t="s">
        <v>1034</v>
      </c>
      <c r="C3868" t="s">
        <v>327</v>
      </c>
      <c r="D3868" t="s">
        <v>159</v>
      </c>
      <c r="E3868" s="1">
        <v>45772</v>
      </c>
      <c r="F3868" t="s">
        <v>4296</v>
      </c>
      <c r="G3868" t="s">
        <v>1858</v>
      </c>
      <c r="H3868" t="s">
        <v>357</v>
      </c>
      <c r="I3868" t="s">
        <v>204</v>
      </c>
      <c r="J3868" s="1">
        <v>46476</v>
      </c>
      <c r="K3868" t="s">
        <v>711</v>
      </c>
      <c r="L3868">
        <v>1287.28</v>
      </c>
      <c r="M3868">
        <v>1287.28</v>
      </c>
      <c r="N3868" t="s">
        <v>890</v>
      </c>
      <c r="O3868" t="s">
        <v>4834</v>
      </c>
      <c r="P3868" t="s">
        <v>4776</v>
      </c>
      <c r="Q3868" t="s">
        <v>4901</v>
      </c>
      <c r="R3868" t="s">
        <v>4773</v>
      </c>
    </row>
    <row r="3869" spans="1:18" x14ac:dyDescent="0.3">
      <c r="A3869">
        <v>816894</v>
      </c>
      <c r="B3869" t="s">
        <v>1034</v>
      </c>
      <c r="C3869" t="s">
        <v>276</v>
      </c>
      <c r="D3869" t="s">
        <v>5</v>
      </c>
      <c r="E3869" s="1">
        <v>45772</v>
      </c>
      <c r="F3869" t="s">
        <v>4315</v>
      </c>
      <c r="G3869" t="s">
        <v>1837</v>
      </c>
      <c r="H3869" t="s">
        <v>275</v>
      </c>
      <c r="I3869" t="s">
        <v>204</v>
      </c>
      <c r="J3869" s="1">
        <v>46904</v>
      </c>
      <c r="K3869" t="s">
        <v>717</v>
      </c>
      <c r="L3869">
        <v>4428.54</v>
      </c>
      <c r="M3869">
        <v>-4428.54</v>
      </c>
      <c r="N3869" t="s">
        <v>710</v>
      </c>
      <c r="O3869" t="s">
        <v>1037</v>
      </c>
      <c r="P3869" t="s">
        <v>4776</v>
      </c>
      <c r="Q3869" t="s">
        <v>4852</v>
      </c>
      <c r="R3869" t="s">
        <v>4773</v>
      </c>
    </row>
    <row r="3870" spans="1:18" x14ac:dyDescent="0.3">
      <c r="A3870">
        <v>15048</v>
      </c>
      <c r="B3870" t="s">
        <v>4876</v>
      </c>
      <c r="C3870" t="s">
        <v>439</v>
      </c>
      <c r="D3870" t="s">
        <v>156</v>
      </c>
      <c r="E3870" s="1">
        <v>45772</v>
      </c>
      <c r="F3870" t="s">
        <v>4396</v>
      </c>
      <c r="G3870" t="s">
        <v>1834</v>
      </c>
      <c r="H3870" t="s">
        <v>485</v>
      </c>
      <c r="I3870" t="s">
        <v>204</v>
      </c>
      <c r="J3870" s="1">
        <v>54878</v>
      </c>
      <c r="K3870" t="s">
        <v>839</v>
      </c>
      <c r="L3870">
        <v>5188.3599999999997</v>
      </c>
      <c r="M3870">
        <v>5188.3599999999997</v>
      </c>
      <c r="N3870" t="s">
        <v>710</v>
      </c>
      <c r="O3870" t="s">
        <v>1037</v>
      </c>
      <c r="P3870" t="s">
        <v>4776</v>
      </c>
      <c r="Q3870" t="s">
        <v>4852</v>
      </c>
      <c r="R3870" t="s">
        <v>4771</v>
      </c>
    </row>
    <row r="3871" spans="1:18" x14ac:dyDescent="0.3">
      <c r="A3871">
        <v>8273</v>
      </c>
      <c r="B3871" t="s">
        <v>1034</v>
      </c>
      <c r="C3871" t="s">
        <v>267</v>
      </c>
      <c r="D3871" t="s">
        <v>186</v>
      </c>
      <c r="E3871" s="1">
        <v>45772</v>
      </c>
      <c r="F3871" t="s">
        <v>4350</v>
      </c>
      <c r="G3871" t="s">
        <v>1867</v>
      </c>
      <c r="H3871" t="s">
        <v>266</v>
      </c>
      <c r="I3871" t="s">
        <v>204</v>
      </c>
      <c r="J3871" s="1">
        <v>46259</v>
      </c>
      <c r="K3871" t="s">
        <v>717</v>
      </c>
      <c r="L3871">
        <v>25200</v>
      </c>
      <c r="M3871">
        <v>25200</v>
      </c>
      <c r="N3871" t="s">
        <v>710</v>
      </c>
      <c r="O3871" t="s">
        <v>1037</v>
      </c>
      <c r="P3871" t="s">
        <v>4780</v>
      </c>
      <c r="Q3871" t="s">
        <v>4852</v>
      </c>
      <c r="R3871" t="s">
        <v>4772</v>
      </c>
    </row>
    <row r="3872" spans="1:18" x14ac:dyDescent="0.3">
      <c r="A3872">
        <v>8274</v>
      </c>
      <c r="B3872" t="s">
        <v>1034</v>
      </c>
      <c r="C3872" t="s">
        <v>267</v>
      </c>
      <c r="D3872" t="s">
        <v>186</v>
      </c>
      <c r="E3872" s="1">
        <v>45772</v>
      </c>
      <c r="F3872" t="s">
        <v>4350</v>
      </c>
      <c r="G3872" t="s">
        <v>1867</v>
      </c>
      <c r="H3872" t="s">
        <v>266</v>
      </c>
      <c r="I3872" t="s">
        <v>204</v>
      </c>
      <c r="J3872" s="1">
        <v>46259</v>
      </c>
      <c r="K3872" t="s">
        <v>717</v>
      </c>
      <c r="L3872">
        <v>20644.38</v>
      </c>
      <c r="M3872">
        <v>20644.38</v>
      </c>
      <c r="N3872" t="s">
        <v>710</v>
      </c>
      <c r="O3872" t="s">
        <v>1037</v>
      </c>
      <c r="P3872" t="s">
        <v>4780</v>
      </c>
      <c r="Q3872" t="s">
        <v>4852</v>
      </c>
      <c r="R3872" t="s">
        <v>4772</v>
      </c>
    </row>
    <row r="3873" spans="1:18" x14ac:dyDescent="0.3">
      <c r="A3873">
        <v>3552</v>
      </c>
      <c r="B3873" t="s">
        <v>1034</v>
      </c>
      <c r="C3873" t="s">
        <v>267</v>
      </c>
      <c r="D3873" t="s">
        <v>186</v>
      </c>
      <c r="E3873" s="1">
        <v>45772</v>
      </c>
      <c r="F3873" t="s">
        <v>4349</v>
      </c>
      <c r="G3873" t="s">
        <v>1867</v>
      </c>
      <c r="H3873" t="s">
        <v>266</v>
      </c>
      <c r="I3873" t="s">
        <v>204</v>
      </c>
      <c r="J3873" s="1">
        <v>46259</v>
      </c>
      <c r="K3873" t="s">
        <v>717</v>
      </c>
      <c r="L3873">
        <v>39505.4</v>
      </c>
      <c r="M3873">
        <v>39505.4</v>
      </c>
      <c r="N3873" t="s">
        <v>710</v>
      </c>
      <c r="O3873" t="s">
        <v>1037</v>
      </c>
      <c r="P3873" t="s">
        <v>4780</v>
      </c>
      <c r="Q3873" t="s">
        <v>4852</v>
      </c>
      <c r="R3873" t="s">
        <v>4772</v>
      </c>
    </row>
    <row r="3874" spans="1:18" x14ac:dyDescent="0.3">
      <c r="A3874">
        <v>8272</v>
      </c>
      <c r="B3874" t="s">
        <v>1034</v>
      </c>
      <c r="C3874" t="s">
        <v>267</v>
      </c>
      <c r="D3874" t="s">
        <v>186</v>
      </c>
      <c r="E3874" s="1">
        <v>45772</v>
      </c>
      <c r="F3874" t="s">
        <v>4350</v>
      </c>
      <c r="G3874" t="s">
        <v>1867</v>
      </c>
      <c r="H3874" t="s">
        <v>266</v>
      </c>
      <c r="I3874" t="s">
        <v>204</v>
      </c>
      <c r="J3874" s="1">
        <v>46259</v>
      </c>
      <c r="K3874" t="s">
        <v>717</v>
      </c>
      <c r="L3874">
        <v>13763.2</v>
      </c>
      <c r="M3874">
        <v>13763.2</v>
      </c>
      <c r="N3874" t="s">
        <v>710</v>
      </c>
      <c r="O3874" t="s">
        <v>1037</v>
      </c>
      <c r="P3874" t="s">
        <v>4780</v>
      </c>
      <c r="Q3874" t="s">
        <v>4852</v>
      </c>
      <c r="R3874" t="s">
        <v>4772</v>
      </c>
    </row>
    <row r="3875" spans="1:18" x14ac:dyDescent="0.3">
      <c r="A3875">
        <v>20498</v>
      </c>
      <c r="B3875" t="s">
        <v>1034</v>
      </c>
      <c r="C3875" t="s">
        <v>243</v>
      </c>
      <c r="D3875" t="s">
        <v>61</v>
      </c>
      <c r="E3875" s="1">
        <v>45772</v>
      </c>
      <c r="F3875" t="s">
        <v>4304</v>
      </c>
      <c r="G3875" t="s">
        <v>1856</v>
      </c>
      <c r="H3875" t="s">
        <v>246</v>
      </c>
      <c r="I3875" t="s">
        <v>204</v>
      </c>
      <c r="J3875" s="1">
        <v>46203</v>
      </c>
      <c r="K3875" t="s">
        <v>711</v>
      </c>
      <c r="L3875">
        <v>8790.25</v>
      </c>
      <c r="M3875">
        <v>8790.25</v>
      </c>
      <c r="N3875" t="s">
        <v>710</v>
      </c>
      <c r="O3875" t="s">
        <v>4834</v>
      </c>
      <c r="P3875" t="s">
        <v>4776</v>
      </c>
      <c r="Q3875" t="s">
        <v>4901</v>
      </c>
      <c r="R3875" t="s">
        <v>4771</v>
      </c>
    </row>
    <row r="3876" spans="1:18" x14ac:dyDescent="0.3">
      <c r="A3876">
        <v>8271</v>
      </c>
      <c r="B3876" t="s">
        <v>1034</v>
      </c>
      <c r="C3876" t="s">
        <v>267</v>
      </c>
      <c r="D3876" t="s">
        <v>186</v>
      </c>
      <c r="E3876" s="1">
        <v>45772</v>
      </c>
      <c r="F3876" t="s">
        <v>4350</v>
      </c>
      <c r="G3876" t="s">
        <v>1867</v>
      </c>
      <c r="H3876" t="s">
        <v>266</v>
      </c>
      <c r="I3876" t="s">
        <v>204</v>
      </c>
      <c r="J3876" s="1">
        <v>46259</v>
      </c>
      <c r="K3876" t="s">
        <v>717</v>
      </c>
      <c r="L3876">
        <v>49717.8</v>
      </c>
      <c r="M3876">
        <v>49717.8</v>
      </c>
      <c r="N3876" t="s">
        <v>710</v>
      </c>
      <c r="O3876" t="s">
        <v>1037</v>
      </c>
      <c r="P3876" t="s">
        <v>4780</v>
      </c>
      <c r="Q3876" t="s">
        <v>4852</v>
      </c>
      <c r="R3876" t="s">
        <v>4772</v>
      </c>
    </row>
    <row r="3877" spans="1:18" x14ac:dyDescent="0.3">
      <c r="A3877">
        <v>202565617</v>
      </c>
      <c r="B3877" t="s">
        <v>1034</v>
      </c>
      <c r="C3877" t="s">
        <v>522</v>
      </c>
      <c r="D3877" t="s">
        <v>50</v>
      </c>
      <c r="E3877" s="1">
        <v>45772</v>
      </c>
      <c r="F3877" t="s">
        <v>4352</v>
      </c>
      <c r="G3877" t="s">
        <v>1868</v>
      </c>
      <c r="H3877" t="s">
        <v>521</v>
      </c>
      <c r="I3877" t="s">
        <v>204</v>
      </c>
      <c r="J3877" s="1">
        <v>46387</v>
      </c>
      <c r="K3877" t="s">
        <v>717</v>
      </c>
      <c r="L3877">
        <v>547.27</v>
      </c>
      <c r="M3877">
        <v>547.27</v>
      </c>
      <c r="N3877" t="s">
        <v>884</v>
      </c>
      <c r="O3877" t="s">
        <v>1037</v>
      </c>
      <c r="P3877" t="s">
        <v>4776</v>
      </c>
      <c r="Q3877" t="s">
        <v>4852</v>
      </c>
      <c r="R3877" t="s">
        <v>4773</v>
      </c>
    </row>
    <row r="3878" spans="1:18" x14ac:dyDescent="0.3">
      <c r="A3878">
        <v>15049</v>
      </c>
      <c r="B3878" t="s">
        <v>4874</v>
      </c>
      <c r="C3878" t="s">
        <v>439</v>
      </c>
      <c r="D3878" t="s">
        <v>156</v>
      </c>
      <c r="E3878" s="1">
        <v>45772</v>
      </c>
      <c r="F3878" t="s">
        <v>4396</v>
      </c>
      <c r="G3878" t="s">
        <v>1835</v>
      </c>
      <c r="H3878" t="s">
        <v>438</v>
      </c>
      <c r="I3878" t="s">
        <v>204</v>
      </c>
      <c r="J3878" s="1">
        <v>46265</v>
      </c>
      <c r="K3878" t="s">
        <v>762</v>
      </c>
      <c r="L3878">
        <v>25714.49</v>
      </c>
      <c r="M3878">
        <v>25714.49</v>
      </c>
      <c r="N3878" t="s">
        <v>710</v>
      </c>
      <c r="O3878" t="s">
        <v>1037</v>
      </c>
      <c r="P3878" t="s">
        <v>4789</v>
      </c>
      <c r="Q3878" t="s">
        <v>4852</v>
      </c>
      <c r="R3878" t="s">
        <v>4771</v>
      </c>
    </row>
    <row r="3879" spans="1:18" x14ac:dyDescent="0.3">
      <c r="A3879">
        <v>779796</v>
      </c>
      <c r="B3879" t="s">
        <v>4874</v>
      </c>
      <c r="C3879" t="s">
        <v>459</v>
      </c>
      <c r="D3879" t="s">
        <v>160</v>
      </c>
      <c r="E3879" s="1">
        <v>45772</v>
      </c>
      <c r="F3879" t="s">
        <v>4399</v>
      </c>
      <c r="G3879" t="s">
        <v>1866</v>
      </c>
      <c r="H3879" t="s">
        <v>458</v>
      </c>
      <c r="I3879" t="s">
        <v>209</v>
      </c>
      <c r="J3879" s="1">
        <v>54878</v>
      </c>
      <c r="K3879" t="s">
        <v>762</v>
      </c>
      <c r="L3879">
        <v>35168.97</v>
      </c>
      <c r="M3879">
        <v>35168.97</v>
      </c>
      <c r="N3879" t="s">
        <v>710</v>
      </c>
      <c r="Q3879" t="s">
        <v>4852</v>
      </c>
      <c r="R3879" t="s">
        <v>4772</v>
      </c>
    </row>
    <row r="3880" spans="1:18" x14ac:dyDescent="0.3">
      <c r="A3880">
        <v>2464782</v>
      </c>
      <c r="B3880" t="s">
        <v>4874</v>
      </c>
      <c r="C3880" t="s">
        <v>403</v>
      </c>
      <c r="D3880" t="s">
        <v>106</v>
      </c>
      <c r="E3880" s="1">
        <v>45771</v>
      </c>
      <c r="F3880" t="s">
        <v>4362</v>
      </c>
      <c r="G3880" t="s">
        <v>1813</v>
      </c>
      <c r="H3880" t="s">
        <v>402</v>
      </c>
      <c r="I3880" t="s">
        <v>204</v>
      </c>
      <c r="J3880" s="1">
        <v>46386</v>
      </c>
      <c r="K3880" t="s">
        <v>762</v>
      </c>
      <c r="L3880">
        <v>782</v>
      </c>
      <c r="M3880">
        <v>782</v>
      </c>
      <c r="N3880" t="s">
        <v>710</v>
      </c>
      <c r="O3880" t="s">
        <v>1037</v>
      </c>
      <c r="P3880" t="s">
        <v>4779</v>
      </c>
      <c r="Q3880" t="s">
        <v>4852</v>
      </c>
      <c r="R3880" t="s">
        <v>4772</v>
      </c>
    </row>
    <row r="3881" spans="1:18" x14ac:dyDescent="0.3">
      <c r="A3881">
        <v>140</v>
      </c>
      <c r="B3881" t="s">
        <v>4874</v>
      </c>
      <c r="C3881" t="s">
        <v>607</v>
      </c>
      <c r="D3881" t="s">
        <v>81</v>
      </c>
      <c r="E3881" s="1">
        <v>45771</v>
      </c>
      <c r="F3881" t="s">
        <v>4357</v>
      </c>
      <c r="G3881" t="s">
        <v>1775</v>
      </c>
      <c r="H3881" t="s">
        <v>606</v>
      </c>
      <c r="I3881" t="s">
        <v>204</v>
      </c>
      <c r="J3881" s="1">
        <v>46387</v>
      </c>
      <c r="K3881" t="s">
        <v>720</v>
      </c>
      <c r="L3881">
        <v>1</v>
      </c>
      <c r="M3881">
        <v>32227.360000000001</v>
      </c>
      <c r="N3881" t="s">
        <v>710</v>
      </c>
      <c r="O3881" t="s">
        <v>1038</v>
      </c>
      <c r="P3881" t="s">
        <v>4777</v>
      </c>
      <c r="Q3881" t="s">
        <v>4858</v>
      </c>
      <c r="R3881" t="s">
        <v>4773</v>
      </c>
    </row>
    <row r="3882" spans="1:18" x14ac:dyDescent="0.3">
      <c r="A3882">
        <v>90106</v>
      </c>
      <c r="B3882" t="s">
        <v>1034</v>
      </c>
      <c r="C3882" t="s">
        <v>452</v>
      </c>
      <c r="D3882" t="s">
        <v>171</v>
      </c>
      <c r="E3882" s="1">
        <v>45771</v>
      </c>
      <c r="F3882" t="s">
        <v>4319</v>
      </c>
      <c r="G3882" t="s">
        <v>1848</v>
      </c>
      <c r="H3882" t="s">
        <v>512</v>
      </c>
      <c r="I3882" t="s">
        <v>209</v>
      </c>
      <c r="J3882" s="1">
        <v>45138</v>
      </c>
      <c r="K3882" t="s">
        <v>762</v>
      </c>
      <c r="L3882">
        <v>236</v>
      </c>
      <c r="M3882">
        <v>235.21</v>
      </c>
      <c r="N3882" t="s">
        <v>710</v>
      </c>
      <c r="O3882" t="s">
        <v>4833</v>
      </c>
      <c r="P3882" t="s">
        <v>4802</v>
      </c>
      <c r="Q3882" t="s">
        <v>4852</v>
      </c>
      <c r="R3882" t="s">
        <v>4771</v>
      </c>
    </row>
    <row r="3883" spans="1:18" x14ac:dyDescent="0.3">
      <c r="A3883">
        <v>3369</v>
      </c>
      <c r="B3883" t="s">
        <v>4875</v>
      </c>
      <c r="C3883" t="s">
        <v>319</v>
      </c>
      <c r="D3883" t="s">
        <v>36</v>
      </c>
      <c r="E3883" s="1">
        <v>45771</v>
      </c>
      <c r="F3883" t="s">
        <v>4298</v>
      </c>
      <c r="G3883" t="s">
        <v>1863</v>
      </c>
      <c r="H3883" t="s">
        <v>336</v>
      </c>
      <c r="I3883" t="s">
        <v>204</v>
      </c>
      <c r="J3883" s="1">
        <v>46075</v>
      </c>
      <c r="K3883" t="s">
        <v>748</v>
      </c>
      <c r="L3883">
        <v>5</v>
      </c>
      <c r="M3883">
        <v>988.35</v>
      </c>
      <c r="N3883" t="s">
        <v>710</v>
      </c>
      <c r="O3883" t="s">
        <v>1040</v>
      </c>
      <c r="P3883" t="s">
        <v>4784</v>
      </c>
      <c r="Q3883" t="s">
        <v>4856</v>
      </c>
      <c r="R3883" t="s">
        <v>4771</v>
      </c>
    </row>
    <row r="3884" spans="1:18" x14ac:dyDescent="0.3">
      <c r="A3884">
        <v>41352</v>
      </c>
      <c r="B3884" t="s">
        <v>4875</v>
      </c>
      <c r="C3884" t="s">
        <v>327</v>
      </c>
      <c r="D3884" t="s">
        <v>159</v>
      </c>
      <c r="E3884" s="1">
        <v>45771</v>
      </c>
      <c r="F3884" t="s">
        <v>4296</v>
      </c>
      <c r="G3884" t="s">
        <v>1819</v>
      </c>
      <c r="H3884" t="s">
        <v>326</v>
      </c>
      <c r="I3884" t="s">
        <v>204</v>
      </c>
      <c r="J3884" s="1">
        <v>54878</v>
      </c>
      <c r="K3884" t="s">
        <v>748</v>
      </c>
      <c r="L3884">
        <v>1245.75</v>
      </c>
      <c r="M3884">
        <v>1245.75</v>
      </c>
      <c r="N3884" t="s">
        <v>719</v>
      </c>
      <c r="O3884" t="s">
        <v>4834</v>
      </c>
      <c r="P3884" t="s">
        <v>4776</v>
      </c>
      <c r="Q3884" t="s">
        <v>4856</v>
      </c>
      <c r="R3884" t="s">
        <v>4773</v>
      </c>
    </row>
    <row r="3885" spans="1:18" x14ac:dyDescent="0.3">
      <c r="A3885">
        <v>293</v>
      </c>
      <c r="B3885" t="s">
        <v>1034</v>
      </c>
      <c r="C3885" t="s">
        <v>479</v>
      </c>
      <c r="D3885" t="s">
        <v>99</v>
      </c>
      <c r="E3885" s="1">
        <v>45770</v>
      </c>
      <c r="F3885" t="s">
        <v>4307</v>
      </c>
      <c r="G3885" t="s">
        <v>1843</v>
      </c>
      <c r="H3885" t="s">
        <v>478</v>
      </c>
      <c r="I3885" t="s">
        <v>204</v>
      </c>
      <c r="J3885" s="1">
        <v>46239</v>
      </c>
      <c r="K3885" t="s">
        <v>717</v>
      </c>
      <c r="L3885">
        <v>6</v>
      </c>
      <c r="M3885">
        <v>66.78</v>
      </c>
      <c r="N3885" t="s">
        <v>710</v>
      </c>
      <c r="O3885" t="s">
        <v>1037</v>
      </c>
      <c r="P3885" t="s">
        <v>4790</v>
      </c>
      <c r="Q3885" t="s">
        <v>4852</v>
      </c>
      <c r="R3885" t="s">
        <v>4772</v>
      </c>
    </row>
    <row r="3886" spans="1:18" x14ac:dyDescent="0.3">
      <c r="A3886">
        <v>292</v>
      </c>
      <c r="B3886" t="s">
        <v>1034</v>
      </c>
      <c r="C3886" t="s">
        <v>479</v>
      </c>
      <c r="D3886" t="s">
        <v>99</v>
      </c>
      <c r="E3886" s="1">
        <v>45770</v>
      </c>
      <c r="F3886" t="s">
        <v>4312</v>
      </c>
      <c r="G3886" t="s">
        <v>1842</v>
      </c>
      <c r="H3886" t="s">
        <v>478</v>
      </c>
      <c r="I3886" t="s">
        <v>204</v>
      </c>
      <c r="J3886" s="1">
        <v>46239</v>
      </c>
      <c r="K3886" t="s">
        <v>717</v>
      </c>
      <c r="L3886">
        <v>14</v>
      </c>
      <c r="M3886">
        <v>61.74</v>
      </c>
      <c r="N3886" t="s">
        <v>710</v>
      </c>
      <c r="O3886" t="s">
        <v>1037</v>
      </c>
      <c r="P3886" t="s">
        <v>4790</v>
      </c>
      <c r="Q3886" t="s">
        <v>4852</v>
      </c>
      <c r="R3886" t="s">
        <v>4772</v>
      </c>
    </row>
    <row r="3887" spans="1:18" x14ac:dyDescent="0.3">
      <c r="A3887">
        <v>292</v>
      </c>
      <c r="B3887" t="s">
        <v>1034</v>
      </c>
      <c r="C3887" t="s">
        <v>479</v>
      </c>
      <c r="D3887" t="s">
        <v>99</v>
      </c>
      <c r="E3887" s="1">
        <v>45770</v>
      </c>
      <c r="F3887" t="s">
        <v>4312</v>
      </c>
      <c r="G3887" t="s">
        <v>1842</v>
      </c>
      <c r="H3887" t="s">
        <v>478</v>
      </c>
      <c r="I3887" t="s">
        <v>204</v>
      </c>
      <c r="J3887" s="1">
        <v>46239</v>
      </c>
      <c r="K3887" t="s">
        <v>717</v>
      </c>
      <c r="L3887">
        <v>50</v>
      </c>
      <c r="M3887">
        <v>524.5</v>
      </c>
      <c r="N3887" t="s">
        <v>710</v>
      </c>
      <c r="O3887" t="s">
        <v>1037</v>
      </c>
      <c r="P3887" t="s">
        <v>4790</v>
      </c>
      <c r="Q3887" t="s">
        <v>4852</v>
      </c>
      <c r="R3887" t="s">
        <v>4772</v>
      </c>
    </row>
    <row r="3888" spans="1:18" x14ac:dyDescent="0.3">
      <c r="A3888">
        <v>292</v>
      </c>
      <c r="B3888" t="s">
        <v>1034</v>
      </c>
      <c r="C3888" t="s">
        <v>479</v>
      </c>
      <c r="D3888" t="s">
        <v>99</v>
      </c>
      <c r="E3888" s="1">
        <v>45770</v>
      </c>
      <c r="F3888" t="s">
        <v>4312</v>
      </c>
      <c r="G3888" t="s">
        <v>1842</v>
      </c>
      <c r="H3888" t="s">
        <v>478</v>
      </c>
      <c r="I3888" t="s">
        <v>204</v>
      </c>
      <c r="J3888" s="1">
        <v>46239</v>
      </c>
      <c r="K3888" t="s">
        <v>717</v>
      </c>
      <c r="L3888">
        <v>50</v>
      </c>
      <c r="M3888">
        <v>760.5</v>
      </c>
      <c r="N3888" t="s">
        <v>710</v>
      </c>
      <c r="O3888" t="s">
        <v>1037</v>
      </c>
      <c r="P3888" t="s">
        <v>4790</v>
      </c>
      <c r="Q3888" t="s">
        <v>4852</v>
      </c>
      <c r="R3888" t="s">
        <v>4772</v>
      </c>
    </row>
    <row r="3889" spans="1:18" x14ac:dyDescent="0.3">
      <c r="A3889">
        <v>293</v>
      </c>
      <c r="B3889" t="s">
        <v>1034</v>
      </c>
      <c r="C3889" t="s">
        <v>479</v>
      </c>
      <c r="D3889" t="s">
        <v>99</v>
      </c>
      <c r="E3889" s="1">
        <v>45770</v>
      </c>
      <c r="F3889" t="s">
        <v>4307</v>
      </c>
      <c r="G3889" t="s">
        <v>1843</v>
      </c>
      <c r="H3889" t="s">
        <v>478</v>
      </c>
      <c r="I3889" t="s">
        <v>204</v>
      </c>
      <c r="J3889" s="1">
        <v>46239</v>
      </c>
      <c r="K3889" t="s">
        <v>717</v>
      </c>
      <c r="L3889">
        <v>17</v>
      </c>
      <c r="M3889">
        <v>355.98</v>
      </c>
      <c r="N3889" t="s">
        <v>710</v>
      </c>
      <c r="O3889" t="s">
        <v>1037</v>
      </c>
      <c r="P3889" t="s">
        <v>4790</v>
      </c>
      <c r="Q3889" t="s">
        <v>4852</v>
      </c>
      <c r="R3889" t="s">
        <v>4772</v>
      </c>
    </row>
    <row r="3890" spans="1:18" x14ac:dyDescent="0.3">
      <c r="A3890">
        <v>292</v>
      </c>
      <c r="B3890" t="s">
        <v>1034</v>
      </c>
      <c r="C3890" t="s">
        <v>479</v>
      </c>
      <c r="D3890" t="s">
        <v>99</v>
      </c>
      <c r="E3890" s="1">
        <v>45770</v>
      </c>
      <c r="F3890" t="s">
        <v>4311</v>
      </c>
      <c r="G3890" t="s">
        <v>1842</v>
      </c>
      <c r="H3890" t="s">
        <v>478</v>
      </c>
      <c r="I3890" t="s">
        <v>204</v>
      </c>
      <c r="J3890" s="1">
        <v>46239</v>
      </c>
      <c r="K3890" t="s">
        <v>717</v>
      </c>
      <c r="L3890">
        <v>207</v>
      </c>
      <c r="M3890">
        <v>1639.44</v>
      </c>
      <c r="N3890" t="s">
        <v>710</v>
      </c>
      <c r="O3890" t="s">
        <v>1037</v>
      </c>
      <c r="P3890" t="s">
        <v>4790</v>
      </c>
      <c r="Q3890" t="s">
        <v>4852</v>
      </c>
      <c r="R3890" t="s">
        <v>4772</v>
      </c>
    </row>
    <row r="3891" spans="1:18" x14ac:dyDescent="0.3">
      <c r="A3891">
        <v>47611</v>
      </c>
      <c r="B3891" t="s">
        <v>4875</v>
      </c>
      <c r="C3891" t="s">
        <v>598</v>
      </c>
      <c r="D3891" t="s">
        <v>128</v>
      </c>
      <c r="E3891" s="1">
        <v>45770</v>
      </c>
      <c r="F3891" t="s">
        <v>4336</v>
      </c>
      <c r="G3891" t="s">
        <v>1845</v>
      </c>
      <c r="H3891" t="s">
        <v>600</v>
      </c>
      <c r="I3891" t="s">
        <v>204</v>
      </c>
      <c r="J3891" s="1">
        <v>45869</v>
      </c>
      <c r="K3891" t="s">
        <v>768</v>
      </c>
      <c r="L3891">
        <v>812.6</v>
      </c>
      <c r="M3891">
        <v>812.6</v>
      </c>
      <c r="N3891" t="s">
        <v>710</v>
      </c>
      <c r="O3891" t="s">
        <v>1037</v>
      </c>
      <c r="P3891" t="s">
        <v>4794</v>
      </c>
      <c r="Q3891" t="s">
        <v>4852</v>
      </c>
      <c r="R3891" t="s">
        <v>4772</v>
      </c>
    </row>
    <row r="3892" spans="1:18" x14ac:dyDescent="0.3">
      <c r="A3892">
        <v>292</v>
      </c>
      <c r="B3892" t="s">
        <v>1034</v>
      </c>
      <c r="C3892" t="s">
        <v>479</v>
      </c>
      <c r="D3892" t="s">
        <v>99</v>
      </c>
      <c r="E3892" s="1">
        <v>45770</v>
      </c>
      <c r="F3892" t="s">
        <v>4307</v>
      </c>
      <c r="G3892" t="s">
        <v>1842</v>
      </c>
      <c r="H3892" t="s">
        <v>478</v>
      </c>
      <c r="I3892" t="s">
        <v>204</v>
      </c>
      <c r="J3892" s="1">
        <v>46239</v>
      </c>
      <c r="K3892" t="s">
        <v>717</v>
      </c>
      <c r="L3892">
        <v>4610</v>
      </c>
      <c r="M3892">
        <v>52323.5</v>
      </c>
      <c r="N3892" t="s">
        <v>710</v>
      </c>
      <c r="O3892" t="s">
        <v>1037</v>
      </c>
      <c r="P3892" t="s">
        <v>4790</v>
      </c>
      <c r="Q3892" t="s">
        <v>4852</v>
      </c>
      <c r="R3892" t="s">
        <v>4772</v>
      </c>
    </row>
    <row r="3893" spans="1:18" x14ac:dyDescent="0.3">
      <c r="A3893">
        <v>20257</v>
      </c>
      <c r="B3893" t="s">
        <v>1034</v>
      </c>
      <c r="C3893" t="s">
        <v>516</v>
      </c>
      <c r="D3893" t="s">
        <v>12</v>
      </c>
      <c r="E3893" s="1">
        <v>45770</v>
      </c>
      <c r="F3893" t="s">
        <v>4337</v>
      </c>
      <c r="G3893" t="s">
        <v>1836</v>
      </c>
      <c r="H3893" t="s">
        <v>515</v>
      </c>
      <c r="I3893" t="s">
        <v>204</v>
      </c>
      <c r="J3893" s="1">
        <v>46489</v>
      </c>
      <c r="K3893" t="s">
        <v>711</v>
      </c>
      <c r="L3893">
        <v>3380</v>
      </c>
      <c r="M3893">
        <v>3380</v>
      </c>
      <c r="N3893" t="s">
        <v>884</v>
      </c>
      <c r="O3893" t="s">
        <v>1037</v>
      </c>
      <c r="P3893" t="s">
        <v>4776</v>
      </c>
      <c r="Q3893" t="s">
        <v>4852</v>
      </c>
      <c r="R3893" t="s">
        <v>4772</v>
      </c>
    </row>
    <row r="3894" spans="1:18" x14ac:dyDescent="0.3">
      <c r="A3894">
        <v>47612</v>
      </c>
      <c r="B3894" t="s">
        <v>1034</v>
      </c>
      <c r="C3894" t="s">
        <v>598</v>
      </c>
      <c r="D3894" t="s">
        <v>128</v>
      </c>
      <c r="E3894" s="1">
        <v>45770</v>
      </c>
      <c r="F3894" t="s">
        <v>4336</v>
      </c>
      <c r="G3894" t="s">
        <v>1846</v>
      </c>
      <c r="H3894" t="s">
        <v>597</v>
      </c>
      <c r="I3894" t="s">
        <v>204</v>
      </c>
      <c r="J3894" s="1">
        <v>45839</v>
      </c>
      <c r="K3894" t="s">
        <v>717</v>
      </c>
      <c r="L3894">
        <v>4509.6000000000004</v>
      </c>
      <c r="M3894">
        <v>4509.6000000000004</v>
      </c>
      <c r="N3894" t="s">
        <v>710</v>
      </c>
      <c r="O3894" t="s">
        <v>1037</v>
      </c>
      <c r="P3894" t="s">
        <v>4794</v>
      </c>
      <c r="Q3894" t="s">
        <v>4852</v>
      </c>
      <c r="R3894" t="s">
        <v>4772</v>
      </c>
    </row>
    <row r="3895" spans="1:18" x14ac:dyDescent="0.3">
      <c r="A3895">
        <v>47613</v>
      </c>
      <c r="B3895" t="s">
        <v>4874</v>
      </c>
      <c r="C3895" t="s">
        <v>598</v>
      </c>
      <c r="D3895" t="s">
        <v>128</v>
      </c>
      <c r="E3895" s="1">
        <v>45770</v>
      </c>
      <c r="F3895" t="s">
        <v>4336</v>
      </c>
      <c r="G3895" t="s">
        <v>1847</v>
      </c>
      <c r="H3895" t="s">
        <v>599</v>
      </c>
      <c r="I3895" t="s">
        <v>204</v>
      </c>
      <c r="J3895" s="1">
        <v>45869</v>
      </c>
      <c r="K3895" t="s">
        <v>762</v>
      </c>
      <c r="L3895">
        <v>3537.56</v>
      </c>
      <c r="M3895">
        <v>3537.56</v>
      </c>
      <c r="N3895" t="s">
        <v>710</v>
      </c>
      <c r="O3895" t="s">
        <v>1037</v>
      </c>
      <c r="P3895" t="s">
        <v>4794</v>
      </c>
      <c r="Q3895" t="s">
        <v>4852</v>
      </c>
      <c r="R3895" t="s">
        <v>4772</v>
      </c>
    </row>
    <row r="3896" spans="1:18" x14ac:dyDescent="0.3">
      <c r="A3896">
        <v>128</v>
      </c>
      <c r="B3896" t="s">
        <v>4874</v>
      </c>
      <c r="C3896" t="s">
        <v>565</v>
      </c>
      <c r="D3896" t="s">
        <v>113</v>
      </c>
      <c r="E3896" s="1">
        <v>45770</v>
      </c>
      <c r="F3896" t="s">
        <v>4390</v>
      </c>
      <c r="G3896" t="s">
        <v>1838</v>
      </c>
      <c r="H3896" t="s">
        <v>564</v>
      </c>
      <c r="I3896" t="s">
        <v>204</v>
      </c>
      <c r="J3896" s="1">
        <v>46386</v>
      </c>
      <c r="K3896" t="s">
        <v>720</v>
      </c>
      <c r="L3896">
        <v>1</v>
      </c>
      <c r="M3896">
        <v>5200</v>
      </c>
      <c r="N3896" t="s">
        <v>710</v>
      </c>
      <c r="O3896" t="s">
        <v>1038</v>
      </c>
      <c r="P3896" t="s">
        <v>4777</v>
      </c>
      <c r="Q3896" t="s">
        <v>4858</v>
      </c>
      <c r="R3896" t="s">
        <v>4771</v>
      </c>
    </row>
    <row r="3897" spans="1:18" x14ac:dyDescent="0.3">
      <c r="A3897">
        <v>4877</v>
      </c>
      <c r="B3897" t="s">
        <v>4875</v>
      </c>
      <c r="C3897" t="s">
        <v>319</v>
      </c>
      <c r="D3897" t="s">
        <v>36</v>
      </c>
      <c r="E3897" s="1">
        <v>45770</v>
      </c>
      <c r="F3897" t="s">
        <v>4434</v>
      </c>
      <c r="G3897" t="s">
        <v>1821</v>
      </c>
      <c r="H3897" t="s">
        <v>336</v>
      </c>
      <c r="I3897" t="s">
        <v>204</v>
      </c>
      <c r="J3897" s="1">
        <v>46075</v>
      </c>
      <c r="K3897" t="s">
        <v>748</v>
      </c>
      <c r="L3897">
        <v>40537.040000000001</v>
      </c>
      <c r="M3897">
        <v>40537.040000000001</v>
      </c>
      <c r="N3897" t="s">
        <v>710</v>
      </c>
      <c r="O3897" t="s">
        <v>1040</v>
      </c>
      <c r="P3897" t="s">
        <v>4784</v>
      </c>
      <c r="Q3897" t="s">
        <v>4856</v>
      </c>
      <c r="R3897" t="s">
        <v>4771</v>
      </c>
    </row>
    <row r="3898" spans="1:18" x14ac:dyDescent="0.3">
      <c r="A3898">
        <v>293</v>
      </c>
      <c r="B3898" t="s">
        <v>1034</v>
      </c>
      <c r="C3898" t="s">
        <v>479</v>
      </c>
      <c r="D3898" t="s">
        <v>99</v>
      </c>
      <c r="E3898" s="1">
        <v>45770</v>
      </c>
      <c r="F3898" t="s">
        <v>4307</v>
      </c>
      <c r="G3898" t="s">
        <v>1843</v>
      </c>
      <c r="H3898" t="s">
        <v>478</v>
      </c>
      <c r="I3898" t="s">
        <v>204</v>
      </c>
      <c r="J3898" s="1">
        <v>46239</v>
      </c>
      <c r="K3898" t="s">
        <v>717</v>
      </c>
      <c r="L3898">
        <v>29</v>
      </c>
      <c r="M3898">
        <v>415.57</v>
      </c>
      <c r="N3898" t="s">
        <v>710</v>
      </c>
      <c r="O3898" t="s">
        <v>1037</v>
      </c>
      <c r="P3898" t="s">
        <v>4790</v>
      </c>
      <c r="Q3898" t="s">
        <v>4852</v>
      </c>
      <c r="R3898" t="s">
        <v>4772</v>
      </c>
    </row>
    <row r="3899" spans="1:18" x14ac:dyDescent="0.3">
      <c r="A3899">
        <v>292</v>
      </c>
      <c r="B3899" t="s">
        <v>1034</v>
      </c>
      <c r="C3899" t="s">
        <v>479</v>
      </c>
      <c r="D3899" t="s">
        <v>99</v>
      </c>
      <c r="E3899" s="1">
        <v>45770</v>
      </c>
      <c r="F3899" t="s">
        <v>4310</v>
      </c>
      <c r="G3899" t="s">
        <v>1842</v>
      </c>
      <c r="H3899" t="s">
        <v>478</v>
      </c>
      <c r="I3899" t="s">
        <v>204</v>
      </c>
      <c r="J3899" s="1">
        <v>46239</v>
      </c>
      <c r="K3899" t="s">
        <v>717</v>
      </c>
      <c r="L3899">
        <v>28</v>
      </c>
      <c r="M3899">
        <v>92.4</v>
      </c>
      <c r="N3899" t="s">
        <v>710</v>
      </c>
      <c r="O3899" t="s">
        <v>1037</v>
      </c>
      <c r="P3899" t="s">
        <v>4790</v>
      </c>
      <c r="Q3899" t="s">
        <v>4852</v>
      </c>
      <c r="R3899" t="s">
        <v>4772</v>
      </c>
    </row>
    <row r="3900" spans="1:18" x14ac:dyDescent="0.3">
      <c r="A3900">
        <v>292</v>
      </c>
      <c r="B3900" t="s">
        <v>1034</v>
      </c>
      <c r="C3900" t="s">
        <v>479</v>
      </c>
      <c r="D3900" t="s">
        <v>99</v>
      </c>
      <c r="E3900" s="1">
        <v>45770</v>
      </c>
      <c r="F3900" t="s">
        <v>4308</v>
      </c>
      <c r="G3900" t="s">
        <v>1842</v>
      </c>
      <c r="H3900" t="s">
        <v>478</v>
      </c>
      <c r="I3900" t="s">
        <v>204</v>
      </c>
      <c r="J3900" s="1">
        <v>46239</v>
      </c>
      <c r="K3900" t="s">
        <v>717</v>
      </c>
      <c r="L3900">
        <v>3274</v>
      </c>
      <c r="M3900">
        <v>12048.32</v>
      </c>
      <c r="N3900" t="s">
        <v>710</v>
      </c>
      <c r="O3900" t="s">
        <v>1037</v>
      </c>
      <c r="P3900" t="s">
        <v>4790</v>
      </c>
      <c r="Q3900" t="s">
        <v>4852</v>
      </c>
      <c r="R3900" t="s">
        <v>4772</v>
      </c>
    </row>
    <row r="3901" spans="1:18" x14ac:dyDescent="0.3">
      <c r="A3901">
        <v>293</v>
      </c>
      <c r="B3901" t="s">
        <v>1034</v>
      </c>
      <c r="C3901" t="s">
        <v>479</v>
      </c>
      <c r="D3901" t="s">
        <v>99</v>
      </c>
      <c r="E3901" s="1">
        <v>45770</v>
      </c>
      <c r="F3901" t="s">
        <v>4307</v>
      </c>
      <c r="G3901" t="s">
        <v>1843</v>
      </c>
      <c r="H3901" t="s">
        <v>478</v>
      </c>
      <c r="I3901" t="s">
        <v>204</v>
      </c>
      <c r="J3901" s="1">
        <v>46239</v>
      </c>
      <c r="K3901" t="s">
        <v>717</v>
      </c>
      <c r="L3901">
        <v>10</v>
      </c>
      <c r="M3901">
        <v>111.3</v>
      </c>
      <c r="N3901" t="s">
        <v>710</v>
      </c>
      <c r="O3901" t="s">
        <v>1037</v>
      </c>
      <c r="P3901" t="s">
        <v>4790</v>
      </c>
      <c r="Q3901" t="s">
        <v>4852</v>
      </c>
      <c r="R3901" t="s">
        <v>4772</v>
      </c>
    </row>
    <row r="3902" spans="1:18" x14ac:dyDescent="0.3">
      <c r="A3902">
        <v>41351</v>
      </c>
      <c r="B3902" t="s">
        <v>4875</v>
      </c>
      <c r="C3902" t="s">
        <v>327</v>
      </c>
      <c r="D3902" t="s">
        <v>159</v>
      </c>
      <c r="E3902" s="1">
        <v>45769</v>
      </c>
      <c r="F3902" t="s">
        <v>4295</v>
      </c>
      <c r="G3902" t="s">
        <v>1820</v>
      </c>
      <c r="H3902" t="s">
        <v>326</v>
      </c>
      <c r="I3902" t="s">
        <v>204</v>
      </c>
      <c r="J3902" s="1">
        <v>54878</v>
      </c>
      <c r="K3902" t="s">
        <v>748</v>
      </c>
      <c r="L3902">
        <v>2150</v>
      </c>
      <c r="M3902">
        <v>2150</v>
      </c>
      <c r="N3902" t="s">
        <v>719</v>
      </c>
      <c r="O3902" t="s">
        <v>4834</v>
      </c>
      <c r="P3902" t="s">
        <v>4776</v>
      </c>
      <c r="Q3902" t="s">
        <v>4856</v>
      </c>
      <c r="R3902" t="s">
        <v>4773</v>
      </c>
    </row>
    <row r="3903" spans="1:18" x14ac:dyDescent="0.3">
      <c r="A3903">
        <v>713368</v>
      </c>
      <c r="B3903" t="s">
        <v>4875</v>
      </c>
      <c r="C3903" t="s">
        <v>338</v>
      </c>
      <c r="D3903" t="s">
        <v>31</v>
      </c>
      <c r="E3903" s="1">
        <v>45769</v>
      </c>
      <c r="F3903" t="s">
        <v>4299</v>
      </c>
      <c r="G3903" t="s">
        <v>1802</v>
      </c>
      <c r="H3903" t="s">
        <v>353</v>
      </c>
      <c r="I3903" t="s">
        <v>204</v>
      </c>
      <c r="J3903" s="1">
        <v>54878</v>
      </c>
      <c r="K3903" t="s">
        <v>748</v>
      </c>
      <c r="L3903">
        <v>5389</v>
      </c>
      <c r="M3903">
        <v>5389.28</v>
      </c>
      <c r="N3903" t="s">
        <v>710</v>
      </c>
      <c r="O3903" t="s">
        <v>1040</v>
      </c>
      <c r="P3903" t="s">
        <v>4785</v>
      </c>
      <c r="Q3903" t="s">
        <v>4856</v>
      </c>
      <c r="R3903" t="s">
        <v>4773</v>
      </c>
    </row>
    <row r="3904" spans="1:18" x14ac:dyDescent="0.3">
      <c r="A3904">
        <v>170665</v>
      </c>
      <c r="B3904" t="s">
        <v>1034</v>
      </c>
      <c r="C3904" t="s">
        <v>488</v>
      </c>
      <c r="D3904" t="s">
        <v>178</v>
      </c>
      <c r="E3904" s="1">
        <v>45769</v>
      </c>
      <c r="F3904" t="s">
        <v>4345</v>
      </c>
      <c r="G3904" t="s">
        <v>1831</v>
      </c>
      <c r="H3904" t="s">
        <v>487</v>
      </c>
      <c r="I3904" t="s">
        <v>204</v>
      </c>
      <c r="J3904" s="1">
        <v>54878</v>
      </c>
      <c r="K3904" t="s">
        <v>717</v>
      </c>
      <c r="L3904">
        <v>26623.21</v>
      </c>
      <c r="M3904">
        <v>26623.21</v>
      </c>
      <c r="N3904" t="s">
        <v>710</v>
      </c>
      <c r="O3904" t="s">
        <v>4833</v>
      </c>
      <c r="P3904" t="s">
        <v>4776</v>
      </c>
      <c r="Q3904" t="s">
        <v>4852</v>
      </c>
      <c r="R3904" t="s">
        <v>4773</v>
      </c>
    </row>
    <row r="3905" spans="1:18" x14ac:dyDescent="0.3">
      <c r="A3905">
        <v>395738317</v>
      </c>
      <c r="B3905" t="s">
        <v>1034</v>
      </c>
      <c r="C3905" t="s">
        <v>433</v>
      </c>
      <c r="D3905" t="s">
        <v>168</v>
      </c>
      <c r="E3905" s="1">
        <v>45769</v>
      </c>
      <c r="F3905" t="s">
        <v>4319</v>
      </c>
      <c r="G3905" t="s">
        <v>1829</v>
      </c>
      <c r="H3905" t="s">
        <v>432</v>
      </c>
      <c r="I3905" t="s">
        <v>204</v>
      </c>
      <c r="J3905" s="1">
        <v>46473</v>
      </c>
      <c r="K3905" t="s">
        <v>762</v>
      </c>
      <c r="L3905">
        <v>313</v>
      </c>
      <c r="M3905">
        <v>312.32</v>
      </c>
      <c r="N3905" t="s">
        <v>710</v>
      </c>
      <c r="O3905" t="s">
        <v>4833</v>
      </c>
      <c r="P3905" t="s">
        <v>4802</v>
      </c>
      <c r="Q3905" t="s">
        <v>4852</v>
      </c>
      <c r="R3905" t="s">
        <v>4771</v>
      </c>
    </row>
    <row r="3906" spans="1:18" x14ac:dyDescent="0.3">
      <c r="A3906">
        <v>1218</v>
      </c>
      <c r="B3906" t="s">
        <v>4874</v>
      </c>
      <c r="C3906" t="s">
        <v>305</v>
      </c>
      <c r="D3906" t="s">
        <v>59</v>
      </c>
      <c r="E3906" s="1">
        <v>45769</v>
      </c>
      <c r="F3906" t="s">
        <v>4359</v>
      </c>
      <c r="G3906" t="s">
        <v>1827</v>
      </c>
      <c r="H3906" t="s">
        <v>304</v>
      </c>
      <c r="I3906" t="s">
        <v>204</v>
      </c>
      <c r="J3906" s="1">
        <v>46481</v>
      </c>
      <c r="K3906" t="s">
        <v>720</v>
      </c>
      <c r="L3906">
        <v>1</v>
      </c>
      <c r="M3906">
        <v>760</v>
      </c>
      <c r="N3906" t="s">
        <v>809</v>
      </c>
      <c r="O3906" t="s">
        <v>1038</v>
      </c>
      <c r="P3906" t="s">
        <v>4783</v>
      </c>
      <c r="Q3906" t="s">
        <v>4858</v>
      </c>
      <c r="R3906" t="s">
        <v>4771</v>
      </c>
    </row>
    <row r="3907" spans="1:18" x14ac:dyDescent="0.3">
      <c r="A3907">
        <v>19147</v>
      </c>
      <c r="B3907" t="s">
        <v>4874</v>
      </c>
      <c r="C3907" t="s">
        <v>539</v>
      </c>
      <c r="D3907" t="s">
        <v>189</v>
      </c>
      <c r="E3907" s="1">
        <v>45769</v>
      </c>
      <c r="F3907" t="s">
        <v>4327</v>
      </c>
      <c r="G3907" t="s">
        <v>1840</v>
      </c>
      <c r="H3907" t="s">
        <v>573</v>
      </c>
      <c r="I3907" t="s">
        <v>209</v>
      </c>
      <c r="J3907" s="1">
        <v>45808</v>
      </c>
      <c r="K3907" t="s">
        <v>762</v>
      </c>
      <c r="L3907">
        <v>262.25</v>
      </c>
      <c r="M3907">
        <v>262.25</v>
      </c>
      <c r="N3907" t="s">
        <v>890</v>
      </c>
      <c r="Q3907" t="s">
        <v>807</v>
      </c>
    </row>
    <row r="3908" spans="1:18" x14ac:dyDescent="0.3">
      <c r="A3908">
        <v>202533</v>
      </c>
      <c r="B3908" t="s">
        <v>1034</v>
      </c>
      <c r="C3908" t="s">
        <v>507</v>
      </c>
      <c r="D3908" t="s">
        <v>18</v>
      </c>
      <c r="E3908" s="1">
        <v>45769</v>
      </c>
      <c r="F3908" t="s">
        <v>4322</v>
      </c>
      <c r="G3908" t="s">
        <v>1801</v>
      </c>
      <c r="H3908" t="s">
        <v>506</v>
      </c>
      <c r="I3908" t="s">
        <v>204</v>
      </c>
      <c r="J3908" s="1">
        <v>46741</v>
      </c>
      <c r="K3908" t="s">
        <v>711</v>
      </c>
      <c r="L3908">
        <v>4</v>
      </c>
      <c r="M3908">
        <v>2800</v>
      </c>
      <c r="N3908" t="s">
        <v>710</v>
      </c>
      <c r="O3908" t="s">
        <v>1036</v>
      </c>
      <c r="P3908" t="s">
        <v>4777</v>
      </c>
      <c r="Q3908" t="s">
        <v>4901</v>
      </c>
      <c r="R3908" t="s">
        <v>4773</v>
      </c>
    </row>
    <row r="3909" spans="1:18" x14ac:dyDescent="0.3">
      <c r="A3909">
        <v>202533</v>
      </c>
      <c r="B3909" t="s">
        <v>1034</v>
      </c>
      <c r="C3909" t="s">
        <v>507</v>
      </c>
      <c r="D3909" t="s">
        <v>18</v>
      </c>
      <c r="E3909" s="1">
        <v>45769</v>
      </c>
      <c r="F3909" t="s">
        <v>4322</v>
      </c>
      <c r="G3909" t="s">
        <v>1801</v>
      </c>
      <c r="H3909" t="s">
        <v>506</v>
      </c>
      <c r="I3909" t="s">
        <v>204</v>
      </c>
      <c r="J3909" s="1">
        <v>46741</v>
      </c>
      <c r="K3909" t="s">
        <v>711</v>
      </c>
      <c r="L3909">
        <v>38</v>
      </c>
      <c r="M3909">
        <v>13300</v>
      </c>
      <c r="N3909" t="s">
        <v>710</v>
      </c>
      <c r="O3909" t="s">
        <v>1036</v>
      </c>
      <c r="P3909" t="s">
        <v>4777</v>
      </c>
      <c r="Q3909" t="s">
        <v>4901</v>
      </c>
      <c r="R3909" t="s">
        <v>4773</v>
      </c>
    </row>
    <row r="3910" spans="1:18" x14ac:dyDescent="0.3">
      <c r="A3910">
        <v>811000</v>
      </c>
      <c r="B3910" t="s">
        <v>4874</v>
      </c>
      <c r="C3910" t="s">
        <v>397</v>
      </c>
      <c r="D3910" t="s">
        <v>161</v>
      </c>
      <c r="E3910" s="1">
        <v>45769</v>
      </c>
      <c r="F3910" t="s">
        <v>4323</v>
      </c>
      <c r="G3910" t="s">
        <v>1839</v>
      </c>
      <c r="H3910" t="s">
        <v>482</v>
      </c>
      <c r="I3910" t="s">
        <v>209</v>
      </c>
      <c r="J3910" s="1">
        <v>54878</v>
      </c>
      <c r="K3910" t="s">
        <v>762</v>
      </c>
      <c r="L3910">
        <v>17.940000000000001</v>
      </c>
      <c r="M3910">
        <v>17.940000000000001</v>
      </c>
      <c r="N3910" t="s">
        <v>710</v>
      </c>
      <c r="Q3910" t="s">
        <v>4852</v>
      </c>
      <c r="R3910" t="s">
        <v>4772</v>
      </c>
    </row>
    <row r="3911" spans="1:18" x14ac:dyDescent="0.3">
      <c r="A3911">
        <v>1217</v>
      </c>
      <c r="B3911" t="s">
        <v>4874</v>
      </c>
      <c r="C3911" t="s">
        <v>305</v>
      </c>
      <c r="D3911" t="s">
        <v>59</v>
      </c>
      <c r="E3911" s="1">
        <v>45764</v>
      </c>
      <c r="F3911" t="s">
        <v>4359</v>
      </c>
      <c r="G3911" t="s">
        <v>1798</v>
      </c>
      <c r="H3911" t="s">
        <v>304</v>
      </c>
      <c r="I3911" t="s">
        <v>204</v>
      </c>
      <c r="J3911" s="1">
        <v>46481</v>
      </c>
      <c r="K3911" t="s">
        <v>720</v>
      </c>
      <c r="L3911">
        <v>1</v>
      </c>
      <c r="M3911">
        <v>720</v>
      </c>
      <c r="N3911" t="s">
        <v>809</v>
      </c>
      <c r="O3911" t="s">
        <v>1038</v>
      </c>
      <c r="P3911" t="s">
        <v>4783</v>
      </c>
      <c r="Q3911" t="s">
        <v>4858</v>
      </c>
      <c r="R3911" t="s">
        <v>4771</v>
      </c>
    </row>
    <row r="3912" spans="1:18" x14ac:dyDescent="0.3">
      <c r="A3912">
        <v>561</v>
      </c>
      <c r="B3912" t="s">
        <v>4874</v>
      </c>
      <c r="C3912" t="s">
        <v>259</v>
      </c>
      <c r="D3912" t="s">
        <v>122</v>
      </c>
      <c r="E3912" s="1">
        <v>45764</v>
      </c>
      <c r="F3912" t="s">
        <v>4390</v>
      </c>
      <c r="G3912" t="s">
        <v>1799</v>
      </c>
      <c r="H3912" t="s">
        <v>258</v>
      </c>
      <c r="I3912" t="s">
        <v>204</v>
      </c>
      <c r="J3912" s="1">
        <v>46337</v>
      </c>
      <c r="K3912" t="s">
        <v>720</v>
      </c>
      <c r="L3912">
        <v>1</v>
      </c>
      <c r="M3912">
        <v>28390</v>
      </c>
      <c r="N3912" t="s">
        <v>710</v>
      </c>
      <c r="O3912" t="s">
        <v>1038</v>
      </c>
      <c r="P3912" t="s">
        <v>4777</v>
      </c>
      <c r="Q3912" t="s">
        <v>4858</v>
      </c>
      <c r="R3912" t="s">
        <v>4771</v>
      </c>
    </row>
    <row r="3913" spans="1:18" x14ac:dyDescent="0.3">
      <c r="A3913">
        <v>395738247</v>
      </c>
      <c r="B3913" t="s">
        <v>4874</v>
      </c>
      <c r="C3913" t="s">
        <v>433</v>
      </c>
      <c r="D3913" t="s">
        <v>168</v>
      </c>
      <c r="E3913" s="1">
        <v>45764</v>
      </c>
      <c r="F3913" t="s">
        <v>4319</v>
      </c>
      <c r="G3913" t="s">
        <v>1828</v>
      </c>
      <c r="H3913" t="s">
        <v>432</v>
      </c>
      <c r="I3913" t="s">
        <v>204</v>
      </c>
      <c r="J3913" s="1">
        <v>46473</v>
      </c>
      <c r="K3913" t="s">
        <v>762</v>
      </c>
      <c r="L3913">
        <v>125</v>
      </c>
      <c r="M3913">
        <v>124.13</v>
      </c>
      <c r="N3913" t="s">
        <v>710</v>
      </c>
      <c r="O3913" t="s">
        <v>4833</v>
      </c>
      <c r="P3913" t="s">
        <v>4802</v>
      </c>
      <c r="Q3913" t="s">
        <v>4852</v>
      </c>
      <c r="R3913" t="s">
        <v>4771</v>
      </c>
    </row>
    <row r="3914" spans="1:18" x14ac:dyDescent="0.3">
      <c r="A3914">
        <v>6726</v>
      </c>
      <c r="B3914" t="s">
        <v>1035</v>
      </c>
      <c r="C3914" t="s">
        <v>230</v>
      </c>
      <c r="D3914" t="s">
        <v>85</v>
      </c>
      <c r="E3914" s="1">
        <v>45764</v>
      </c>
      <c r="F3914" t="s">
        <v>4436</v>
      </c>
      <c r="G3914" t="s">
        <v>1817</v>
      </c>
      <c r="H3914" t="s">
        <v>229</v>
      </c>
      <c r="I3914" t="s">
        <v>204</v>
      </c>
      <c r="J3914" s="1">
        <v>46203</v>
      </c>
      <c r="K3914" t="s">
        <v>744</v>
      </c>
      <c r="L3914">
        <v>5793.36</v>
      </c>
      <c r="M3914">
        <v>5793.36</v>
      </c>
      <c r="N3914" t="s">
        <v>710</v>
      </c>
      <c r="O3914" t="s">
        <v>1033</v>
      </c>
      <c r="P3914" t="s">
        <v>4781</v>
      </c>
      <c r="Q3914" t="s">
        <v>4852</v>
      </c>
      <c r="R3914" t="s">
        <v>4771</v>
      </c>
    </row>
    <row r="3915" spans="1:18" x14ac:dyDescent="0.3">
      <c r="A3915">
        <v>258072</v>
      </c>
      <c r="B3915" t="s">
        <v>1035</v>
      </c>
      <c r="C3915" t="s">
        <v>239</v>
      </c>
      <c r="D3915" t="s">
        <v>199</v>
      </c>
      <c r="E3915" s="1">
        <v>45764</v>
      </c>
      <c r="F3915" t="s">
        <v>4325</v>
      </c>
      <c r="G3915" t="s">
        <v>1826</v>
      </c>
      <c r="H3915" t="s">
        <v>238</v>
      </c>
      <c r="I3915" t="s">
        <v>204</v>
      </c>
      <c r="J3915" s="1">
        <v>54878</v>
      </c>
      <c r="K3915" t="s">
        <v>754</v>
      </c>
      <c r="L3915">
        <v>1</v>
      </c>
      <c r="M3915">
        <v>75.08</v>
      </c>
      <c r="N3915" t="s">
        <v>710</v>
      </c>
      <c r="O3915" t="s">
        <v>4903</v>
      </c>
      <c r="P3915" t="s">
        <v>4779</v>
      </c>
      <c r="Q3915" t="s">
        <v>4858</v>
      </c>
      <c r="R3915" t="s">
        <v>4771</v>
      </c>
    </row>
    <row r="3916" spans="1:18" x14ac:dyDescent="0.3">
      <c r="A3916">
        <v>6767</v>
      </c>
      <c r="B3916" t="s">
        <v>1035</v>
      </c>
      <c r="C3916" t="s">
        <v>230</v>
      </c>
      <c r="D3916" t="s">
        <v>85</v>
      </c>
      <c r="E3916" s="1">
        <v>45764</v>
      </c>
      <c r="F3916" t="s">
        <v>4348</v>
      </c>
      <c r="G3916" t="s">
        <v>1817</v>
      </c>
      <c r="H3916" t="s">
        <v>229</v>
      </c>
      <c r="I3916" t="s">
        <v>204</v>
      </c>
      <c r="J3916" s="1">
        <v>46203</v>
      </c>
      <c r="K3916" t="s">
        <v>744</v>
      </c>
      <c r="L3916">
        <v>2951.02</v>
      </c>
      <c r="M3916">
        <v>2951.02</v>
      </c>
      <c r="N3916" t="s">
        <v>710</v>
      </c>
      <c r="O3916" t="s">
        <v>1033</v>
      </c>
      <c r="P3916" t="s">
        <v>4781</v>
      </c>
      <c r="Q3916" t="s">
        <v>4852</v>
      </c>
      <c r="R3916" t="s">
        <v>4771</v>
      </c>
    </row>
    <row r="3917" spans="1:18" x14ac:dyDescent="0.3">
      <c r="A3917">
        <v>32666</v>
      </c>
      <c r="B3917" t="s">
        <v>4875</v>
      </c>
      <c r="C3917" t="s">
        <v>314</v>
      </c>
      <c r="D3917" t="s">
        <v>39</v>
      </c>
      <c r="E3917" s="1">
        <v>45764</v>
      </c>
      <c r="F3917" t="s">
        <v>4347</v>
      </c>
      <c r="G3917" t="s">
        <v>1766</v>
      </c>
      <c r="H3917" t="s">
        <v>341</v>
      </c>
      <c r="I3917" t="s">
        <v>204</v>
      </c>
      <c r="J3917" s="1">
        <v>46266</v>
      </c>
      <c r="K3917" t="s">
        <v>748</v>
      </c>
      <c r="L3917">
        <v>664.4</v>
      </c>
      <c r="M3917">
        <v>664.4</v>
      </c>
      <c r="N3917" t="s">
        <v>710</v>
      </c>
      <c r="O3917" t="s">
        <v>4834</v>
      </c>
      <c r="P3917" t="s">
        <v>4776</v>
      </c>
      <c r="Q3917" t="s">
        <v>4856</v>
      </c>
      <c r="R3917" t="s">
        <v>4773</v>
      </c>
    </row>
    <row r="3918" spans="1:18" x14ac:dyDescent="0.3">
      <c r="A3918">
        <v>10592</v>
      </c>
      <c r="B3918" t="s">
        <v>4874</v>
      </c>
      <c r="C3918" t="s">
        <v>546</v>
      </c>
      <c r="D3918" t="s">
        <v>75</v>
      </c>
      <c r="E3918" s="1">
        <v>45764</v>
      </c>
      <c r="F3918" t="s">
        <v>4355</v>
      </c>
      <c r="G3918" t="s">
        <v>1832</v>
      </c>
      <c r="H3918" t="s">
        <v>581</v>
      </c>
      <c r="I3918" t="s">
        <v>204</v>
      </c>
      <c r="J3918" s="1">
        <v>46233</v>
      </c>
      <c r="K3918" t="s">
        <v>720</v>
      </c>
      <c r="L3918">
        <v>1</v>
      </c>
      <c r="M3918">
        <v>3090.55</v>
      </c>
      <c r="N3918" t="s">
        <v>814</v>
      </c>
      <c r="O3918" t="s">
        <v>1038</v>
      </c>
      <c r="P3918" t="s">
        <v>4779</v>
      </c>
      <c r="Q3918" t="s">
        <v>4858</v>
      </c>
      <c r="R3918" t="s">
        <v>4773</v>
      </c>
    </row>
    <row r="3919" spans="1:18" x14ac:dyDescent="0.3">
      <c r="A3919">
        <v>816890</v>
      </c>
      <c r="B3919" t="s">
        <v>1034</v>
      </c>
      <c r="C3919" t="s">
        <v>276</v>
      </c>
      <c r="D3919" t="s">
        <v>5</v>
      </c>
      <c r="E3919" s="1">
        <v>45764</v>
      </c>
      <c r="F3919" t="s">
        <v>4315</v>
      </c>
      <c r="G3919" t="s">
        <v>1837</v>
      </c>
      <c r="H3919" t="s">
        <v>275</v>
      </c>
      <c r="I3919" t="s">
        <v>204</v>
      </c>
      <c r="J3919" s="1">
        <v>46904</v>
      </c>
      <c r="K3919" t="s">
        <v>717</v>
      </c>
      <c r="L3919">
        <v>31263.54</v>
      </c>
      <c r="M3919">
        <v>31263.54</v>
      </c>
      <c r="N3919" t="s">
        <v>710</v>
      </c>
      <c r="O3919" t="s">
        <v>1037</v>
      </c>
      <c r="P3919" t="s">
        <v>4776</v>
      </c>
      <c r="Q3919" t="s">
        <v>4852</v>
      </c>
      <c r="R3919" t="s">
        <v>4773</v>
      </c>
    </row>
    <row r="3920" spans="1:18" x14ac:dyDescent="0.3">
      <c r="A3920">
        <v>816894</v>
      </c>
      <c r="B3920" t="s">
        <v>1034</v>
      </c>
      <c r="C3920" t="s">
        <v>276</v>
      </c>
      <c r="D3920" t="s">
        <v>5</v>
      </c>
      <c r="E3920" s="1">
        <v>45764</v>
      </c>
      <c r="F3920" t="s">
        <v>4315</v>
      </c>
      <c r="G3920" t="s">
        <v>1837</v>
      </c>
      <c r="H3920" t="s">
        <v>275</v>
      </c>
      <c r="I3920" t="s">
        <v>204</v>
      </c>
      <c r="J3920" s="1">
        <v>46904</v>
      </c>
      <c r="K3920" t="s">
        <v>717</v>
      </c>
      <c r="L3920">
        <v>4428.54</v>
      </c>
      <c r="M3920">
        <v>4428.54</v>
      </c>
      <c r="N3920" t="s">
        <v>710</v>
      </c>
      <c r="O3920" t="s">
        <v>1037</v>
      </c>
      <c r="P3920" t="s">
        <v>4776</v>
      </c>
      <c r="Q3920" t="s">
        <v>4852</v>
      </c>
      <c r="R3920" t="s">
        <v>4773</v>
      </c>
    </row>
    <row r="3921" spans="1:18" x14ac:dyDescent="0.3">
      <c r="A3921">
        <v>395737224</v>
      </c>
      <c r="B3921" t="s">
        <v>4874</v>
      </c>
      <c r="C3921" t="s">
        <v>433</v>
      </c>
      <c r="D3921" t="s">
        <v>168</v>
      </c>
      <c r="E3921" s="1">
        <v>45764</v>
      </c>
      <c r="F3921" t="s">
        <v>4319</v>
      </c>
      <c r="G3921" t="s">
        <v>1830</v>
      </c>
      <c r="H3921" t="s">
        <v>432</v>
      </c>
      <c r="I3921" t="s">
        <v>204</v>
      </c>
      <c r="J3921" s="1">
        <v>46473</v>
      </c>
      <c r="K3921" t="s">
        <v>762</v>
      </c>
      <c r="L3921">
        <v>180</v>
      </c>
      <c r="M3921">
        <v>180</v>
      </c>
      <c r="N3921" t="s">
        <v>710</v>
      </c>
      <c r="O3921" t="s">
        <v>4833</v>
      </c>
      <c r="P3921" t="s">
        <v>4802</v>
      </c>
      <c r="Q3921" t="s">
        <v>4852</v>
      </c>
      <c r="R3921" t="s">
        <v>4771</v>
      </c>
    </row>
    <row r="3922" spans="1:18" x14ac:dyDescent="0.3">
      <c r="A3922">
        <v>442697</v>
      </c>
      <c r="B3922" t="s">
        <v>1034</v>
      </c>
      <c r="C3922" t="s">
        <v>585</v>
      </c>
      <c r="D3922" t="s">
        <v>179</v>
      </c>
      <c r="E3922" s="1">
        <v>45763</v>
      </c>
      <c r="F3922" t="s">
        <v>4306</v>
      </c>
      <c r="G3922" t="s">
        <v>1805</v>
      </c>
      <c r="H3922" t="s">
        <v>584</v>
      </c>
      <c r="I3922" t="s">
        <v>204</v>
      </c>
      <c r="J3922" s="1">
        <v>46477</v>
      </c>
      <c r="K3922" t="s">
        <v>717</v>
      </c>
      <c r="L3922">
        <v>1140</v>
      </c>
      <c r="M3922">
        <v>-1139.9000000000001</v>
      </c>
      <c r="N3922" t="s">
        <v>719</v>
      </c>
      <c r="O3922" t="s">
        <v>4833</v>
      </c>
      <c r="P3922" t="s">
        <v>4786</v>
      </c>
      <c r="Q3922" t="s">
        <v>4852</v>
      </c>
      <c r="R3922" t="s">
        <v>4771</v>
      </c>
    </row>
    <row r="3923" spans="1:18" x14ac:dyDescent="0.3">
      <c r="A3923">
        <v>3349</v>
      </c>
      <c r="B3923" t="s">
        <v>1034</v>
      </c>
      <c r="C3923" t="s">
        <v>319</v>
      </c>
      <c r="D3923" t="s">
        <v>36</v>
      </c>
      <c r="E3923" s="1">
        <v>45763</v>
      </c>
      <c r="F3923" t="s">
        <v>4298</v>
      </c>
      <c r="G3923" t="s">
        <v>1833</v>
      </c>
      <c r="H3923" t="s">
        <v>318</v>
      </c>
      <c r="I3923" t="s">
        <v>204</v>
      </c>
      <c r="J3923" s="1">
        <v>46214</v>
      </c>
      <c r="K3923" t="s">
        <v>711</v>
      </c>
      <c r="L3923">
        <v>1656</v>
      </c>
      <c r="M3923">
        <v>1655.89</v>
      </c>
      <c r="N3923" t="s">
        <v>710</v>
      </c>
      <c r="O3923" t="s">
        <v>1036</v>
      </c>
      <c r="P3923" t="s">
        <v>4784</v>
      </c>
      <c r="Q3923" t="s">
        <v>4901</v>
      </c>
      <c r="R3923" t="s">
        <v>4771</v>
      </c>
    </row>
    <row r="3924" spans="1:18" x14ac:dyDescent="0.3">
      <c r="A3924">
        <v>713449</v>
      </c>
      <c r="B3924" t="s">
        <v>1034</v>
      </c>
      <c r="C3924" t="s">
        <v>338</v>
      </c>
      <c r="D3924" t="s">
        <v>31</v>
      </c>
      <c r="E3924" s="1">
        <v>45763</v>
      </c>
      <c r="F3924" t="s">
        <v>4299</v>
      </c>
      <c r="G3924" t="s">
        <v>1803</v>
      </c>
      <c r="H3924" t="s">
        <v>337</v>
      </c>
      <c r="I3924" t="s">
        <v>204</v>
      </c>
      <c r="J3924" s="1">
        <v>54878</v>
      </c>
      <c r="K3924" t="s">
        <v>711</v>
      </c>
      <c r="L3924">
        <v>34062</v>
      </c>
      <c r="M3924">
        <v>34062.21</v>
      </c>
      <c r="N3924" t="s">
        <v>710</v>
      </c>
      <c r="O3924" t="s">
        <v>1036</v>
      </c>
      <c r="P3924" t="s">
        <v>4785</v>
      </c>
      <c r="Q3924" t="s">
        <v>4901</v>
      </c>
      <c r="R3924" t="s">
        <v>4773</v>
      </c>
    </row>
    <row r="3925" spans="1:18" x14ac:dyDescent="0.3">
      <c r="A3925">
        <v>585442</v>
      </c>
      <c r="B3925" t="s">
        <v>1034</v>
      </c>
      <c r="C3925" t="s">
        <v>248</v>
      </c>
      <c r="D3925" t="s">
        <v>13</v>
      </c>
      <c r="E3925" s="1">
        <v>45763</v>
      </c>
      <c r="F3925" t="s">
        <v>4297</v>
      </c>
      <c r="G3925" t="s">
        <v>1804</v>
      </c>
      <c r="H3925" t="s">
        <v>315</v>
      </c>
      <c r="I3925" t="s">
        <v>204</v>
      </c>
      <c r="J3925" s="1">
        <v>46073</v>
      </c>
      <c r="K3925" t="s">
        <v>711</v>
      </c>
      <c r="L3925">
        <v>5391.91</v>
      </c>
      <c r="M3925">
        <v>5391.91</v>
      </c>
      <c r="N3925" t="s">
        <v>710</v>
      </c>
      <c r="O3925" t="s">
        <v>1036</v>
      </c>
      <c r="P3925" t="s">
        <v>4779</v>
      </c>
      <c r="Q3925" t="s">
        <v>4901</v>
      </c>
      <c r="R3925" t="s">
        <v>4773</v>
      </c>
    </row>
    <row r="3926" spans="1:18" x14ac:dyDescent="0.3">
      <c r="A3926">
        <v>442698</v>
      </c>
      <c r="B3926" t="s">
        <v>4875</v>
      </c>
      <c r="C3926" t="s">
        <v>585</v>
      </c>
      <c r="D3926" t="s">
        <v>179</v>
      </c>
      <c r="E3926" s="1">
        <v>45763</v>
      </c>
      <c r="F3926" t="s">
        <v>4306</v>
      </c>
      <c r="G3926" t="s">
        <v>1806</v>
      </c>
      <c r="H3926" t="s">
        <v>586</v>
      </c>
      <c r="I3926" t="s">
        <v>204</v>
      </c>
      <c r="J3926" s="1">
        <v>46477</v>
      </c>
      <c r="K3926" t="s">
        <v>768</v>
      </c>
      <c r="L3926">
        <v>1140</v>
      </c>
      <c r="M3926">
        <v>-1139.9000000000001</v>
      </c>
      <c r="N3926" t="s">
        <v>719</v>
      </c>
      <c r="O3926" t="s">
        <v>4833</v>
      </c>
      <c r="P3926" t="s">
        <v>4786</v>
      </c>
      <c r="Q3926" t="s">
        <v>4852</v>
      </c>
      <c r="R3926" t="s">
        <v>4771</v>
      </c>
    </row>
    <row r="3927" spans="1:18" x14ac:dyDescent="0.3">
      <c r="A3927">
        <v>249338</v>
      </c>
      <c r="B3927" t="s">
        <v>4874</v>
      </c>
      <c r="C3927" t="s">
        <v>239</v>
      </c>
      <c r="D3927" t="s">
        <v>199</v>
      </c>
      <c r="E3927" s="1">
        <v>45763</v>
      </c>
      <c r="F3927" t="s">
        <v>4325</v>
      </c>
      <c r="G3927" t="s">
        <v>1825</v>
      </c>
      <c r="H3927" t="s">
        <v>268</v>
      </c>
      <c r="I3927" t="s">
        <v>204</v>
      </c>
      <c r="J3927" s="1">
        <v>46172</v>
      </c>
      <c r="K3927" t="s">
        <v>720</v>
      </c>
      <c r="L3927">
        <v>1</v>
      </c>
      <c r="M3927">
        <v>712.5</v>
      </c>
      <c r="N3927" t="s">
        <v>710</v>
      </c>
      <c r="O3927" t="s">
        <v>1038</v>
      </c>
      <c r="P3927" t="s">
        <v>4779</v>
      </c>
      <c r="Q3927" t="s">
        <v>4858</v>
      </c>
      <c r="R3927" t="s">
        <v>4771</v>
      </c>
    </row>
    <row r="3928" spans="1:18" x14ac:dyDescent="0.3">
      <c r="A3928">
        <v>19268</v>
      </c>
      <c r="B3928" t="s">
        <v>4874</v>
      </c>
      <c r="C3928" t="s">
        <v>592</v>
      </c>
      <c r="D3928" t="s">
        <v>8</v>
      </c>
      <c r="E3928" s="1">
        <v>45763</v>
      </c>
      <c r="F3928" t="s">
        <v>4352</v>
      </c>
      <c r="G3928" t="s">
        <v>1818</v>
      </c>
      <c r="H3928" t="s">
        <v>601</v>
      </c>
      <c r="I3928" t="s">
        <v>209</v>
      </c>
      <c r="J3928" s="1">
        <v>45945</v>
      </c>
      <c r="K3928" t="s">
        <v>762</v>
      </c>
      <c r="L3928">
        <v>1053</v>
      </c>
      <c r="M3928">
        <v>1052.8</v>
      </c>
      <c r="N3928" t="s">
        <v>890</v>
      </c>
      <c r="O3928" t="s">
        <v>4833</v>
      </c>
      <c r="P3928" t="s">
        <v>950</v>
      </c>
      <c r="Q3928" t="s">
        <v>4852</v>
      </c>
      <c r="R3928" t="s">
        <v>807</v>
      </c>
    </row>
    <row r="3929" spans="1:18" x14ac:dyDescent="0.3">
      <c r="A3929">
        <v>77277</v>
      </c>
      <c r="B3929" t="s">
        <v>4874</v>
      </c>
      <c r="C3929" t="s">
        <v>634</v>
      </c>
      <c r="D3929" t="s">
        <v>99</v>
      </c>
      <c r="E3929" s="1">
        <v>45762</v>
      </c>
      <c r="F3929" t="s">
        <v>4307</v>
      </c>
      <c r="G3929" t="s">
        <v>1816</v>
      </c>
      <c r="H3929" t="s">
        <v>633</v>
      </c>
      <c r="I3929" t="s">
        <v>204</v>
      </c>
      <c r="J3929" s="1">
        <v>46204</v>
      </c>
      <c r="K3929" t="s">
        <v>762</v>
      </c>
      <c r="L3929">
        <v>2119</v>
      </c>
      <c r="M3929">
        <v>30428.84</v>
      </c>
      <c r="N3929" t="s">
        <v>719</v>
      </c>
      <c r="O3929" t="s">
        <v>1037</v>
      </c>
      <c r="P3929" t="s">
        <v>4790</v>
      </c>
      <c r="Q3929" t="s">
        <v>4852</v>
      </c>
    </row>
    <row r="3930" spans="1:18" x14ac:dyDescent="0.3">
      <c r="A3930">
        <v>452211</v>
      </c>
      <c r="B3930" t="s">
        <v>4875</v>
      </c>
      <c r="C3930" t="s">
        <v>333</v>
      </c>
      <c r="D3930" t="s">
        <v>29</v>
      </c>
      <c r="E3930" s="1">
        <v>45762</v>
      </c>
      <c r="F3930" t="s">
        <v>4317</v>
      </c>
      <c r="G3930" t="s">
        <v>1823</v>
      </c>
      <c r="H3930" t="s">
        <v>335</v>
      </c>
      <c r="I3930" t="s">
        <v>204</v>
      </c>
      <c r="J3930" s="1">
        <v>54878</v>
      </c>
      <c r="K3930" t="s">
        <v>748</v>
      </c>
      <c r="L3930">
        <v>103</v>
      </c>
      <c r="M3930">
        <v>103.32</v>
      </c>
      <c r="N3930" t="s">
        <v>710</v>
      </c>
      <c r="O3930" t="s">
        <v>1040</v>
      </c>
      <c r="P3930" t="s">
        <v>4776</v>
      </c>
      <c r="Q3930" t="s">
        <v>4856</v>
      </c>
      <c r="R3930" t="s">
        <v>4771</v>
      </c>
    </row>
    <row r="3931" spans="1:18" x14ac:dyDescent="0.3">
      <c r="A3931">
        <v>4597</v>
      </c>
      <c r="B3931" t="s">
        <v>4874</v>
      </c>
      <c r="C3931" t="s">
        <v>456</v>
      </c>
      <c r="D3931" t="s">
        <v>71</v>
      </c>
      <c r="E3931" s="1">
        <v>45762</v>
      </c>
      <c r="F3931" t="s">
        <v>4401</v>
      </c>
      <c r="G3931" t="s">
        <v>1726</v>
      </c>
      <c r="H3931" t="s">
        <v>455</v>
      </c>
      <c r="I3931" t="s">
        <v>204</v>
      </c>
      <c r="J3931" s="1">
        <v>54878</v>
      </c>
      <c r="K3931" t="s">
        <v>762</v>
      </c>
      <c r="L3931">
        <v>6885.9</v>
      </c>
      <c r="M3931">
        <v>6885.9</v>
      </c>
      <c r="N3931" t="s">
        <v>710</v>
      </c>
      <c r="O3931" t="s">
        <v>1042</v>
      </c>
      <c r="P3931" t="s">
        <v>1006</v>
      </c>
      <c r="Q3931" t="s">
        <v>4852</v>
      </c>
      <c r="R3931" t="s">
        <v>4771</v>
      </c>
    </row>
    <row r="3932" spans="1:18" x14ac:dyDescent="0.3">
      <c r="A3932">
        <v>77277</v>
      </c>
      <c r="B3932" t="s">
        <v>4874</v>
      </c>
      <c r="C3932" t="s">
        <v>634</v>
      </c>
      <c r="D3932" t="s">
        <v>99</v>
      </c>
      <c r="E3932" s="1">
        <v>45762</v>
      </c>
      <c r="F3932" t="s">
        <v>4398</v>
      </c>
      <c r="G3932" t="s">
        <v>1816</v>
      </c>
      <c r="H3932" t="s">
        <v>633</v>
      </c>
      <c r="I3932" t="s">
        <v>204</v>
      </c>
      <c r="J3932" s="1">
        <v>46204</v>
      </c>
      <c r="K3932" t="s">
        <v>762</v>
      </c>
      <c r="L3932">
        <v>100</v>
      </c>
      <c r="M3932">
        <v>10</v>
      </c>
      <c r="N3932" t="s">
        <v>719</v>
      </c>
      <c r="O3932" t="s">
        <v>1037</v>
      </c>
      <c r="P3932" t="s">
        <v>4790</v>
      </c>
      <c r="Q3932" t="s">
        <v>4852</v>
      </c>
    </row>
    <row r="3933" spans="1:18" x14ac:dyDescent="0.3">
      <c r="A3933">
        <v>456190</v>
      </c>
      <c r="B3933" t="s">
        <v>4874</v>
      </c>
      <c r="C3933" t="s">
        <v>333</v>
      </c>
      <c r="D3933" t="s">
        <v>29</v>
      </c>
      <c r="E3933" s="1">
        <v>45762</v>
      </c>
      <c r="F3933" t="s">
        <v>4317</v>
      </c>
      <c r="G3933" t="s">
        <v>1824</v>
      </c>
      <c r="H3933" t="s">
        <v>460</v>
      </c>
      <c r="I3933" t="s">
        <v>204</v>
      </c>
      <c r="J3933" s="1">
        <v>54878</v>
      </c>
      <c r="K3933" t="s">
        <v>785</v>
      </c>
      <c r="L3933">
        <v>1</v>
      </c>
      <c r="M3933">
        <v>139.16999999999999</v>
      </c>
      <c r="N3933" t="s">
        <v>710</v>
      </c>
      <c r="O3933" t="s">
        <v>1038</v>
      </c>
      <c r="P3933" t="s">
        <v>4776</v>
      </c>
      <c r="Q3933" t="s">
        <v>4858</v>
      </c>
      <c r="R3933" t="s">
        <v>4771</v>
      </c>
    </row>
    <row r="3934" spans="1:18" x14ac:dyDescent="0.3">
      <c r="A3934">
        <v>77277</v>
      </c>
      <c r="B3934" t="s">
        <v>4874</v>
      </c>
      <c r="C3934" t="s">
        <v>634</v>
      </c>
      <c r="D3934" t="s">
        <v>99</v>
      </c>
      <c r="E3934" s="1">
        <v>45762</v>
      </c>
      <c r="F3934" t="s">
        <v>4413</v>
      </c>
      <c r="G3934" t="s">
        <v>1816</v>
      </c>
      <c r="H3934" t="s">
        <v>633</v>
      </c>
      <c r="I3934" t="s">
        <v>204</v>
      </c>
      <c r="J3934" s="1">
        <v>46204</v>
      </c>
      <c r="K3934" t="s">
        <v>762</v>
      </c>
      <c r="L3934">
        <v>15</v>
      </c>
      <c r="M3934">
        <v>81.3</v>
      </c>
      <c r="N3934" t="s">
        <v>719</v>
      </c>
      <c r="O3934" t="s">
        <v>1037</v>
      </c>
      <c r="P3934" t="s">
        <v>4790</v>
      </c>
      <c r="Q3934" t="s">
        <v>4852</v>
      </c>
    </row>
    <row r="3935" spans="1:18" x14ac:dyDescent="0.3">
      <c r="A3935">
        <v>7106000</v>
      </c>
      <c r="B3935" t="s">
        <v>4874</v>
      </c>
      <c r="C3935" t="s">
        <v>397</v>
      </c>
      <c r="D3935" t="s">
        <v>161</v>
      </c>
      <c r="E3935" s="1">
        <v>45762</v>
      </c>
      <c r="F3935" t="s">
        <v>4323</v>
      </c>
      <c r="G3935" t="s">
        <v>1676</v>
      </c>
      <c r="H3935" t="s">
        <v>482</v>
      </c>
      <c r="I3935" t="s">
        <v>209</v>
      </c>
      <c r="J3935" s="1">
        <v>54878</v>
      </c>
      <c r="K3935" t="s">
        <v>762</v>
      </c>
      <c r="L3935">
        <v>514.91999999999996</v>
      </c>
      <c r="M3935">
        <v>514.91999999999996</v>
      </c>
      <c r="N3935" t="s">
        <v>710</v>
      </c>
      <c r="Q3935" t="s">
        <v>4852</v>
      </c>
      <c r="R3935" t="s">
        <v>4772</v>
      </c>
    </row>
    <row r="3936" spans="1:18" x14ac:dyDescent="0.3">
      <c r="A3936">
        <v>77277</v>
      </c>
      <c r="B3936" t="s">
        <v>4874</v>
      </c>
      <c r="C3936" t="s">
        <v>634</v>
      </c>
      <c r="D3936" t="s">
        <v>99</v>
      </c>
      <c r="E3936" s="1">
        <v>45762</v>
      </c>
      <c r="F3936" t="s">
        <v>4310</v>
      </c>
      <c r="G3936" t="s">
        <v>1816</v>
      </c>
      <c r="H3936" t="s">
        <v>633</v>
      </c>
      <c r="I3936" t="s">
        <v>204</v>
      </c>
      <c r="J3936" s="1">
        <v>46204</v>
      </c>
      <c r="K3936" t="s">
        <v>762</v>
      </c>
      <c r="L3936">
        <v>83</v>
      </c>
      <c r="M3936">
        <v>281.37</v>
      </c>
      <c r="N3936" t="s">
        <v>719</v>
      </c>
      <c r="O3936" t="s">
        <v>1037</v>
      </c>
      <c r="P3936" t="s">
        <v>4790</v>
      </c>
      <c r="Q3936" t="s">
        <v>4852</v>
      </c>
    </row>
    <row r="3937" spans="1:18" x14ac:dyDescent="0.3">
      <c r="A3937">
        <v>264</v>
      </c>
      <c r="B3937" t="s">
        <v>4874</v>
      </c>
      <c r="C3937" t="s">
        <v>575</v>
      </c>
      <c r="D3937" t="s">
        <v>174</v>
      </c>
      <c r="E3937" s="1">
        <v>45762</v>
      </c>
      <c r="F3937" t="s">
        <v>4412</v>
      </c>
      <c r="G3937" t="s">
        <v>1780</v>
      </c>
      <c r="H3937" t="s">
        <v>574</v>
      </c>
      <c r="I3937" t="s">
        <v>204</v>
      </c>
      <c r="J3937" s="1">
        <v>46203</v>
      </c>
      <c r="K3937" t="s">
        <v>720</v>
      </c>
      <c r="L3937">
        <v>1</v>
      </c>
      <c r="M3937">
        <v>9515</v>
      </c>
      <c r="N3937" t="s">
        <v>890</v>
      </c>
      <c r="O3937" t="s">
        <v>1039</v>
      </c>
      <c r="P3937" t="s">
        <v>4776</v>
      </c>
      <c r="Q3937" t="s">
        <v>4858</v>
      </c>
      <c r="R3937" t="s">
        <v>4771</v>
      </c>
    </row>
    <row r="3938" spans="1:18" x14ac:dyDescent="0.3">
      <c r="A3938">
        <v>77277</v>
      </c>
      <c r="B3938" t="s">
        <v>4874</v>
      </c>
      <c r="C3938" t="s">
        <v>634</v>
      </c>
      <c r="D3938" t="s">
        <v>99</v>
      </c>
      <c r="E3938" s="1">
        <v>45762</v>
      </c>
      <c r="F3938" t="s">
        <v>4329</v>
      </c>
      <c r="G3938" t="s">
        <v>1816</v>
      </c>
      <c r="H3938" t="s">
        <v>633</v>
      </c>
      <c r="I3938" t="s">
        <v>204</v>
      </c>
      <c r="J3938" s="1">
        <v>46204</v>
      </c>
      <c r="K3938" t="s">
        <v>762</v>
      </c>
      <c r="L3938">
        <v>1</v>
      </c>
      <c r="M3938">
        <v>3500</v>
      </c>
      <c r="N3938" t="s">
        <v>719</v>
      </c>
      <c r="O3938" t="s">
        <v>1037</v>
      </c>
      <c r="P3938" t="s">
        <v>4790</v>
      </c>
      <c r="Q3938" t="s">
        <v>4852</v>
      </c>
    </row>
    <row r="3939" spans="1:18" x14ac:dyDescent="0.3">
      <c r="A3939">
        <v>11294</v>
      </c>
      <c r="B3939" t="s">
        <v>4874</v>
      </c>
      <c r="C3939" t="s">
        <v>237</v>
      </c>
      <c r="D3939" t="s">
        <v>4</v>
      </c>
      <c r="E3939" s="1">
        <v>45762</v>
      </c>
      <c r="F3939" t="s">
        <v>4368</v>
      </c>
      <c r="G3939" t="s">
        <v>1781</v>
      </c>
      <c r="H3939" t="s">
        <v>236</v>
      </c>
      <c r="I3939" t="s">
        <v>204</v>
      </c>
      <c r="J3939" s="1">
        <v>54878</v>
      </c>
      <c r="K3939" t="s">
        <v>720</v>
      </c>
      <c r="L3939">
        <v>1</v>
      </c>
      <c r="M3939">
        <v>4926.1400000000003</v>
      </c>
      <c r="N3939" t="s">
        <v>710</v>
      </c>
      <c r="O3939" t="s">
        <v>1038</v>
      </c>
      <c r="P3939" t="s">
        <v>4776</v>
      </c>
      <c r="Q3939" t="s">
        <v>4858</v>
      </c>
      <c r="R3939" t="s">
        <v>4771</v>
      </c>
    </row>
    <row r="3940" spans="1:18" x14ac:dyDescent="0.3">
      <c r="A3940">
        <v>77277</v>
      </c>
      <c r="B3940" t="s">
        <v>4874</v>
      </c>
      <c r="C3940" t="s">
        <v>634</v>
      </c>
      <c r="D3940" t="s">
        <v>99</v>
      </c>
      <c r="E3940" s="1">
        <v>45762</v>
      </c>
      <c r="F3940" t="s">
        <v>4329</v>
      </c>
      <c r="G3940" t="s">
        <v>1816</v>
      </c>
      <c r="H3940" t="s">
        <v>633</v>
      </c>
      <c r="I3940" t="s">
        <v>204</v>
      </c>
      <c r="J3940" s="1">
        <v>46204</v>
      </c>
      <c r="K3940" t="s">
        <v>762</v>
      </c>
      <c r="L3940">
        <v>74</v>
      </c>
      <c r="M3940">
        <v>910.2</v>
      </c>
      <c r="N3940" t="s">
        <v>719</v>
      </c>
      <c r="O3940" t="s">
        <v>1037</v>
      </c>
      <c r="P3940" t="s">
        <v>4790</v>
      </c>
      <c r="Q3940" t="s">
        <v>4852</v>
      </c>
    </row>
    <row r="3941" spans="1:18" x14ac:dyDescent="0.3">
      <c r="A3941">
        <v>453755</v>
      </c>
      <c r="B3941" t="s">
        <v>1034</v>
      </c>
      <c r="C3941" t="s">
        <v>333</v>
      </c>
      <c r="D3941" t="s">
        <v>29</v>
      </c>
      <c r="E3941" s="1">
        <v>45762</v>
      </c>
      <c r="F3941" t="s">
        <v>4317</v>
      </c>
      <c r="G3941" t="s">
        <v>1822</v>
      </c>
      <c r="H3941" t="s">
        <v>332</v>
      </c>
      <c r="I3941" t="s">
        <v>204</v>
      </c>
      <c r="J3941" s="1">
        <v>54878</v>
      </c>
      <c r="K3941" t="s">
        <v>711</v>
      </c>
      <c r="L3941">
        <v>138</v>
      </c>
      <c r="M3941">
        <v>137.72</v>
      </c>
      <c r="N3941" t="s">
        <v>710</v>
      </c>
      <c r="O3941" t="s">
        <v>1036</v>
      </c>
      <c r="P3941" t="s">
        <v>4776</v>
      </c>
      <c r="Q3941" t="s">
        <v>4901</v>
      </c>
      <c r="R3941" t="s">
        <v>4771</v>
      </c>
    </row>
    <row r="3942" spans="1:18" x14ac:dyDescent="0.3">
      <c r="A3942">
        <v>77277</v>
      </c>
      <c r="B3942" t="s">
        <v>4874</v>
      </c>
      <c r="C3942" t="s">
        <v>634</v>
      </c>
      <c r="D3942" t="s">
        <v>99</v>
      </c>
      <c r="E3942" s="1">
        <v>45762</v>
      </c>
      <c r="F3942" t="s">
        <v>4394</v>
      </c>
      <c r="G3942" t="s">
        <v>1816</v>
      </c>
      <c r="H3942" t="s">
        <v>633</v>
      </c>
      <c r="I3942" t="s">
        <v>204</v>
      </c>
      <c r="J3942" s="1">
        <v>46204</v>
      </c>
      <c r="K3942" t="s">
        <v>762</v>
      </c>
      <c r="L3942">
        <v>2119</v>
      </c>
      <c r="M3942">
        <v>2119</v>
      </c>
      <c r="N3942" t="s">
        <v>719</v>
      </c>
      <c r="O3942" t="s">
        <v>1037</v>
      </c>
      <c r="P3942" t="s">
        <v>4790</v>
      </c>
      <c r="Q3942" t="s">
        <v>4852</v>
      </c>
    </row>
    <row r="3943" spans="1:18" x14ac:dyDescent="0.3">
      <c r="A3943">
        <v>4879</v>
      </c>
      <c r="B3943" t="s">
        <v>1034</v>
      </c>
      <c r="C3943" t="s">
        <v>319</v>
      </c>
      <c r="D3943" t="s">
        <v>36</v>
      </c>
      <c r="E3943" s="1">
        <v>45762</v>
      </c>
      <c r="F3943" t="s">
        <v>4298</v>
      </c>
      <c r="G3943" t="s">
        <v>1815</v>
      </c>
      <c r="H3943" t="s">
        <v>318</v>
      </c>
      <c r="I3943" t="s">
        <v>204</v>
      </c>
      <c r="J3943" s="1">
        <v>46214</v>
      </c>
      <c r="K3943" t="s">
        <v>711</v>
      </c>
      <c r="L3943">
        <v>1172</v>
      </c>
      <c r="M3943">
        <v>1171.74</v>
      </c>
      <c r="N3943" t="s">
        <v>710</v>
      </c>
      <c r="O3943" t="s">
        <v>1036</v>
      </c>
      <c r="P3943" t="s">
        <v>4784</v>
      </c>
      <c r="Q3943" t="s">
        <v>4901</v>
      </c>
      <c r="R3943" t="s">
        <v>4771</v>
      </c>
    </row>
    <row r="3944" spans="1:18" x14ac:dyDescent="0.3">
      <c r="A3944">
        <v>3327</v>
      </c>
      <c r="B3944" t="s">
        <v>1034</v>
      </c>
      <c r="C3944" t="s">
        <v>319</v>
      </c>
      <c r="D3944" t="s">
        <v>36</v>
      </c>
      <c r="E3944" s="1">
        <v>45761</v>
      </c>
      <c r="F3944" t="s">
        <v>4298</v>
      </c>
      <c r="G3944" t="s">
        <v>1800</v>
      </c>
      <c r="H3944" t="s">
        <v>318</v>
      </c>
      <c r="I3944" t="s">
        <v>204</v>
      </c>
      <c r="J3944" s="1">
        <v>46214</v>
      </c>
      <c r="K3944" t="s">
        <v>711</v>
      </c>
      <c r="L3944">
        <v>1656</v>
      </c>
      <c r="M3944">
        <v>1655.89</v>
      </c>
      <c r="N3944" t="s">
        <v>710</v>
      </c>
      <c r="O3944" t="s">
        <v>1036</v>
      </c>
      <c r="P3944" t="s">
        <v>4784</v>
      </c>
      <c r="Q3944" t="s">
        <v>4901</v>
      </c>
      <c r="R3944" t="s">
        <v>4771</v>
      </c>
    </row>
    <row r="3945" spans="1:18" x14ac:dyDescent="0.3">
      <c r="A3945">
        <v>46558</v>
      </c>
      <c r="B3945" t="s">
        <v>4875</v>
      </c>
      <c r="C3945" t="s">
        <v>208</v>
      </c>
      <c r="D3945" t="s">
        <v>164</v>
      </c>
      <c r="E3945" s="1">
        <v>45761</v>
      </c>
      <c r="F3945" t="s">
        <v>4297</v>
      </c>
      <c r="G3945" t="s">
        <v>1666</v>
      </c>
      <c r="H3945" t="s">
        <v>605</v>
      </c>
      <c r="I3945" t="s">
        <v>204</v>
      </c>
      <c r="J3945" s="1">
        <v>46256</v>
      </c>
      <c r="K3945" t="s">
        <v>748</v>
      </c>
      <c r="L3945">
        <v>1</v>
      </c>
      <c r="M3945">
        <v>120</v>
      </c>
      <c r="N3945" t="s">
        <v>710</v>
      </c>
      <c r="O3945" t="s">
        <v>1040</v>
      </c>
      <c r="P3945" t="s">
        <v>4795</v>
      </c>
      <c r="Q3945" t="s">
        <v>4856</v>
      </c>
    </row>
    <row r="3946" spans="1:18" x14ac:dyDescent="0.3">
      <c r="A3946">
        <v>442697</v>
      </c>
      <c r="B3946" t="s">
        <v>1034</v>
      </c>
      <c r="C3946" t="s">
        <v>585</v>
      </c>
      <c r="D3946" t="s">
        <v>179</v>
      </c>
      <c r="E3946" s="1">
        <v>45761</v>
      </c>
      <c r="F3946" t="s">
        <v>4306</v>
      </c>
      <c r="G3946" t="s">
        <v>1805</v>
      </c>
      <c r="H3946" t="s">
        <v>584</v>
      </c>
      <c r="I3946" t="s">
        <v>204</v>
      </c>
      <c r="J3946" s="1">
        <v>46477</v>
      </c>
      <c r="K3946" t="s">
        <v>717</v>
      </c>
      <c r="L3946">
        <v>1140</v>
      </c>
      <c r="M3946">
        <v>1139.9000000000001</v>
      </c>
      <c r="N3946" t="s">
        <v>719</v>
      </c>
      <c r="O3946" t="s">
        <v>4833</v>
      </c>
      <c r="P3946" t="s">
        <v>4786</v>
      </c>
      <c r="Q3946" t="s">
        <v>4852</v>
      </c>
      <c r="R3946" t="s">
        <v>4771</v>
      </c>
    </row>
    <row r="3947" spans="1:18" x14ac:dyDescent="0.3">
      <c r="A3947">
        <v>8690</v>
      </c>
      <c r="B3947" t="s">
        <v>1034</v>
      </c>
      <c r="C3947" t="s">
        <v>270</v>
      </c>
      <c r="D3947" t="s">
        <v>82</v>
      </c>
      <c r="E3947" s="1">
        <v>45761</v>
      </c>
      <c r="F3947" t="s">
        <v>4296</v>
      </c>
      <c r="G3947" t="s">
        <v>1710</v>
      </c>
      <c r="H3947" t="s">
        <v>362</v>
      </c>
      <c r="I3947" t="s">
        <v>209</v>
      </c>
      <c r="J3947" s="1">
        <v>54878</v>
      </c>
      <c r="K3947" t="s">
        <v>711</v>
      </c>
      <c r="L3947">
        <v>1882</v>
      </c>
      <c r="M3947">
        <v>1882</v>
      </c>
      <c r="N3947" t="s">
        <v>710</v>
      </c>
    </row>
    <row r="3948" spans="1:18" x14ac:dyDescent="0.3">
      <c r="A3948">
        <v>18368</v>
      </c>
      <c r="B3948" t="s">
        <v>4874</v>
      </c>
      <c r="C3948" t="s">
        <v>212</v>
      </c>
      <c r="D3948" t="s">
        <v>62</v>
      </c>
      <c r="E3948" s="1">
        <v>45761</v>
      </c>
      <c r="F3948" t="s">
        <v>4318</v>
      </c>
      <c r="G3948" t="s">
        <v>1810</v>
      </c>
      <c r="H3948" t="s">
        <v>211</v>
      </c>
      <c r="I3948" t="s">
        <v>204</v>
      </c>
      <c r="J3948" s="1">
        <v>54878</v>
      </c>
      <c r="K3948" t="s">
        <v>720</v>
      </c>
      <c r="L3948">
        <v>1</v>
      </c>
      <c r="M3948">
        <v>1000</v>
      </c>
      <c r="N3948" t="s">
        <v>719</v>
      </c>
      <c r="O3948" t="s">
        <v>4834</v>
      </c>
      <c r="P3948" t="s">
        <v>4776</v>
      </c>
      <c r="Q3948" t="s">
        <v>4858</v>
      </c>
      <c r="R3948" t="s">
        <v>4771</v>
      </c>
    </row>
    <row r="3949" spans="1:18" x14ac:dyDescent="0.3">
      <c r="A3949">
        <v>442698</v>
      </c>
      <c r="B3949" t="s">
        <v>4875</v>
      </c>
      <c r="C3949" t="s">
        <v>585</v>
      </c>
      <c r="D3949" t="s">
        <v>179</v>
      </c>
      <c r="E3949" s="1">
        <v>45761</v>
      </c>
      <c r="F3949" t="s">
        <v>4306</v>
      </c>
      <c r="G3949" t="s">
        <v>1806</v>
      </c>
      <c r="H3949" t="s">
        <v>586</v>
      </c>
      <c r="I3949" t="s">
        <v>204</v>
      </c>
      <c r="J3949" s="1">
        <v>46477</v>
      </c>
      <c r="K3949" t="s">
        <v>768</v>
      </c>
      <c r="L3949">
        <v>1140</v>
      </c>
      <c r="M3949">
        <v>1139.9000000000001</v>
      </c>
      <c r="N3949" t="s">
        <v>719</v>
      </c>
      <c r="O3949" t="s">
        <v>4833</v>
      </c>
      <c r="P3949" t="s">
        <v>4786</v>
      </c>
      <c r="Q3949" t="s">
        <v>4852</v>
      </c>
      <c r="R3949" t="s">
        <v>4771</v>
      </c>
    </row>
    <row r="3950" spans="1:18" x14ac:dyDescent="0.3">
      <c r="A3950">
        <v>2818</v>
      </c>
      <c r="B3950" t="s">
        <v>4874</v>
      </c>
      <c r="C3950" t="s">
        <v>469</v>
      </c>
      <c r="D3950" t="s">
        <v>124</v>
      </c>
      <c r="E3950" s="1">
        <v>45761</v>
      </c>
      <c r="F3950" t="s">
        <v>4361</v>
      </c>
      <c r="G3950" t="s">
        <v>1811</v>
      </c>
      <c r="H3950" t="s">
        <v>468</v>
      </c>
      <c r="I3950" t="s">
        <v>204</v>
      </c>
      <c r="J3950" s="1">
        <v>54878</v>
      </c>
      <c r="K3950" t="s">
        <v>762</v>
      </c>
      <c r="L3950">
        <v>240</v>
      </c>
      <c r="M3950">
        <v>240</v>
      </c>
      <c r="N3950" t="s">
        <v>719</v>
      </c>
      <c r="O3950" t="s">
        <v>4845</v>
      </c>
      <c r="P3950" t="s">
        <v>4776</v>
      </c>
      <c r="Q3950" t="s">
        <v>4845</v>
      </c>
      <c r="R3950" t="s">
        <v>4771</v>
      </c>
    </row>
    <row r="3951" spans="1:18" x14ac:dyDescent="0.3">
      <c r="A3951">
        <v>51169</v>
      </c>
      <c r="B3951" t="s">
        <v>4874</v>
      </c>
      <c r="C3951" t="s">
        <v>514</v>
      </c>
      <c r="D3951" t="s">
        <v>47</v>
      </c>
      <c r="E3951" s="1">
        <v>45761</v>
      </c>
      <c r="F3951" t="s">
        <v>4362</v>
      </c>
      <c r="G3951" t="s">
        <v>1795</v>
      </c>
      <c r="H3951" t="s">
        <v>513</v>
      </c>
      <c r="I3951" t="s">
        <v>204</v>
      </c>
      <c r="J3951" s="1">
        <v>46386</v>
      </c>
      <c r="K3951" t="s">
        <v>762</v>
      </c>
      <c r="L3951">
        <v>7580.3</v>
      </c>
      <c r="M3951">
        <v>7580.29</v>
      </c>
      <c r="N3951" t="s">
        <v>710</v>
      </c>
      <c r="O3951" t="s">
        <v>4833</v>
      </c>
      <c r="P3951" t="s">
        <v>4779</v>
      </c>
      <c r="Q3951" t="s">
        <v>4852</v>
      </c>
    </row>
    <row r="3952" spans="1:18" x14ac:dyDescent="0.3">
      <c r="A3952">
        <v>2461592</v>
      </c>
      <c r="B3952" t="s">
        <v>4874</v>
      </c>
      <c r="C3952" t="s">
        <v>403</v>
      </c>
      <c r="D3952" t="s">
        <v>106</v>
      </c>
      <c r="E3952" s="1">
        <v>45761</v>
      </c>
      <c r="F3952" t="s">
        <v>4362</v>
      </c>
      <c r="G3952" t="s">
        <v>1814</v>
      </c>
      <c r="H3952" t="s">
        <v>402</v>
      </c>
      <c r="I3952" t="s">
        <v>204</v>
      </c>
      <c r="J3952" s="1">
        <v>46386</v>
      </c>
      <c r="K3952" t="s">
        <v>762</v>
      </c>
      <c r="L3952">
        <v>1317.18</v>
      </c>
      <c r="M3952">
        <v>1317.18</v>
      </c>
      <c r="N3952" t="s">
        <v>710</v>
      </c>
      <c r="O3952" t="s">
        <v>1037</v>
      </c>
      <c r="P3952" t="s">
        <v>4779</v>
      </c>
      <c r="Q3952" t="s">
        <v>4852</v>
      </c>
      <c r="R3952" t="s">
        <v>4772</v>
      </c>
    </row>
    <row r="3953" spans="1:18" x14ac:dyDescent="0.3">
      <c r="A3953">
        <v>20445</v>
      </c>
      <c r="B3953" t="s">
        <v>1034</v>
      </c>
      <c r="C3953" t="s">
        <v>243</v>
      </c>
      <c r="D3953" t="s">
        <v>61</v>
      </c>
      <c r="E3953" s="1">
        <v>45761</v>
      </c>
      <c r="F3953" t="s">
        <v>4304</v>
      </c>
      <c r="G3953" t="s">
        <v>1673</v>
      </c>
      <c r="H3953" t="s">
        <v>246</v>
      </c>
      <c r="I3953" t="s">
        <v>204</v>
      </c>
      <c r="J3953" s="1">
        <v>46203</v>
      </c>
      <c r="K3953" t="s">
        <v>711</v>
      </c>
      <c r="L3953">
        <v>3536.56</v>
      </c>
      <c r="M3953">
        <v>3536.56</v>
      </c>
      <c r="N3953" t="s">
        <v>710</v>
      </c>
      <c r="O3953" t="s">
        <v>4834</v>
      </c>
      <c r="P3953" t="s">
        <v>4776</v>
      </c>
      <c r="Q3953" t="s">
        <v>4901</v>
      </c>
      <c r="R3953" t="s">
        <v>4771</v>
      </c>
    </row>
    <row r="3954" spans="1:18" x14ac:dyDescent="0.3">
      <c r="A3954">
        <v>2277765</v>
      </c>
      <c r="B3954" t="s">
        <v>4874</v>
      </c>
      <c r="C3954" t="s">
        <v>403</v>
      </c>
      <c r="D3954" t="s">
        <v>106</v>
      </c>
      <c r="E3954" s="1">
        <v>45761</v>
      </c>
      <c r="F3954" t="s">
        <v>4362</v>
      </c>
      <c r="G3954" t="s">
        <v>1812</v>
      </c>
      <c r="H3954" t="s">
        <v>402</v>
      </c>
      <c r="I3954" t="s">
        <v>204</v>
      </c>
      <c r="J3954" s="1">
        <v>46386</v>
      </c>
      <c r="K3954" t="s">
        <v>762</v>
      </c>
      <c r="L3954">
        <v>14550.03</v>
      </c>
      <c r="M3954">
        <v>14550.03</v>
      </c>
      <c r="N3954" t="s">
        <v>710</v>
      </c>
      <c r="O3954" t="s">
        <v>1037</v>
      </c>
      <c r="P3954" t="s">
        <v>4779</v>
      </c>
      <c r="Q3954" t="s">
        <v>4852</v>
      </c>
      <c r="R3954" t="s">
        <v>4772</v>
      </c>
    </row>
    <row r="3955" spans="1:18" x14ac:dyDescent="0.3">
      <c r="A3955">
        <v>40198</v>
      </c>
      <c r="B3955" t="s">
        <v>4874</v>
      </c>
      <c r="C3955" t="s">
        <v>294</v>
      </c>
      <c r="D3955" t="s">
        <v>101</v>
      </c>
      <c r="E3955" s="1">
        <v>45761</v>
      </c>
      <c r="F3955" t="s">
        <v>4304</v>
      </c>
      <c r="G3955" t="s">
        <v>1809</v>
      </c>
      <c r="H3955" t="s">
        <v>293</v>
      </c>
      <c r="I3955" t="s">
        <v>204</v>
      </c>
      <c r="J3955" s="1">
        <v>46191</v>
      </c>
      <c r="K3955" t="s">
        <v>720</v>
      </c>
      <c r="L3955">
        <v>1</v>
      </c>
      <c r="M3955">
        <v>180</v>
      </c>
      <c r="N3955" t="s">
        <v>710</v>
      </c>
      <c r="O3955" t="s">
        <v>4834</v>
      </c>
      <c r="P3955" t="s">
        <v>4776</v>
      </c>
      <c r="Q3955" t="s">
        <v>4858</v>
      </c>
      <c r="R3955" t="s">
        <v>4773</v>
      </c>
    </row>
    <row r="3956" spans="1:18" x14ac:dyDescent="0.3">
      <c r="A3956">
        <v>2403</v>
      </c>
      <c r="B3956" t="s">
        <v>1034</v>
      </c>
      <c r="C3956" t="s">
        <v>630</v>
      </c>
      <c r="D3956" t="s">
        <v>145</v>
      </c>
      <c r="E3956" s="1">
        <v>45761</v>
      </c>
      <c r="F3956" t="s">
        <v>4300</v>
      </c>
      <c r="G3956" t="s">
        <v>1768</v>
      </c>
      <c r="H3956" t="s">
        <v>629</v>
      </c>
      <c r="I3956" t="s">
        <v>204</v>
      </c>
      <c r="J3956" s="1">
        <v>46264</v>
      </c>
      <c r="K3956" t="s">
        <v>720</v>
      </c>
      <c r="L3956">
        <v>1</v>
      </c>
      <c r="M3956">
        <v>18000</v>
      </c>
      <c r="N3956" t="s">
        <v>710</v>
      </c>
      <c r="O3956" t="s">
        <v>4849</v>
      </c>
      <c r="P3956" t="s">
        <v>4777</v>
      </c>
      <c r="Q3956" t="s">
        <v>4855</v>
      </c>
      <c r="R3956" t="s">
        <v>4771</v>
      </c>
    </row>
    <row r="3957" spans="1:18" x14ac:dyDescent="0.3">
      <c r="A3957">
        <v>2402</v>
      </c>
      <c r="B3957" t="s">
        <v>1034</v>
      </c>
      <c r="C3957" t="s">
        <v>630</v>
      </c>
      <c r="D3957" t="s">
        <v>145</v>
      </c>
      <c r="E3957" s="1">
        <v>45761</v>
      </c>
      <c r="F3957" t="s">
        <v>4300</v>
      </c>
      <c r="G3957" t="s">
        <v>1768</v>
      </c>
      <c r="H3957" t="s">
        <v>629</v>
      </c>
      <c r="I3957" t="s">
        <v>204</v>
      </c>
      <c r="J3957" s="1">
        <v>46264</v>
      </c>
      <c r="K3957" t="s">
        <v>720</v>
      </c>
      <c r="L3957">
        <v>1</v>
      </c>
      <c r="M3957">
        <v>18000</v>
      </c>
      <c r="N3957" t="s">
        <v>710</v>
      </c>
      <c r="O3957" t="s">
        <v>4849</v>
      </c>
      <c r="P3957" t="s">
        <v>4777</v>
      </c>
      <c r="Q3957" t="s">
        <v>4855</v>
      </c>
      <c r="R3957" t="s">
        <v>4771</v>
      </c>
    </row>
    <row r="3958" spans="1:18" x14ac:dyDescent="0.3">
      <c r="A3958">
        <v>7</v>
      </c>
      <c r="B3958" t="s">
        <v>4874</v>
      </c>
      <c r="C3958" t="s">
        <v>626</v>
      </c>
      <c r="D3958" t="s">
        <v>184</v>
      </c>
      <c r="E3958" s="1">
        <v>45761</v>
      </c>
      <c r="F3958" t="s">
        <v>4414</v>
      </c>
      <c r="G3958" t="s">
        <v>1790</v>
      </c>
      <c r="H3958" t="s">
        <v>625</v>
      </c>
      <c r="I3958" t="s">
        <v>204</v>
      </c>
      <c r="J3958" s="1">
        <v>46440</v>
      </c>
      <c r="K3958" t="s">
        <v>720</v>
      </c>
      <c r="L3958">
        <v>1</v>
      </c>
      <c r="M3958">
        <v>23750</v>
      </c>
      <c r="N3958" t="s">
        <v>710</v>
      </c>
      <c r="O3958" t="s">
        <v>1039</v>
      </c>
      <c r="P3958" t="s">
        <v>4777</v>
      </c>
      <c r="Q3958" t="s">
        <v>4858</v>
      </c>
      <c r="R3958" t="s">
        <v>4773</v>
      </c>
    </row>
    <row r="3959" spans="1:18" x14ac:dyDescent="0.3">
      <c r="A3959">
        <v>77112</v>
      </c>
      <c r="B3959" t="s">
        <v>4874</v>
      </c>
      <c r="C3959" t="s">
        <v>634</v>
      </c>
      <c r="D3959" t="s">
        <v>99</v>
      </c>
      <c r="E3959" s="1">
        <v>45758</v>
      </c>
      <c r="F3959" t="s">
        <v>4307</v>
      </c>
      <c r="G3959" t="s">
        <v>1796</v>
      </c>
      <c r="H3959" t="s">
        <v>633</v>
      </c>
      <c r="I3959" t="s">
        <v>204</v>
      </c>
      <c r="J3959" s="1">
        <v>46204</v>
      </c>
      <c r="K3959" t="s">
        <v>762</v>
      </c>
      <c r="L3959">
        <v>1614</v>
      </c>
      <c r="M3959">
        <v>23177.040000000001</v>
      </c>
      <c r="N3959" t="s">
        <v>719</v>
      </c>
      <c r="O3959" t="s">
        <v>1037</v>
      </c>
      <c r="P3959" t="s">
        <v>4790</v>
      </c>
      <c r="Q3959" t="s">
        <v>4852</v>
      </c>
    </row>
    <row r="3960" spans="1:18" x14ac:dyDescent="0.3">
      <c r="A3960">
        <v>77112</v>
      </c>
      <c r="B3960" t="s">
        <v>4874</v>
      </c>
      <c r="C3960" t="s">
        <v>634</v>
      </c>
      <c r="D3960" t="s">
        <v>99</v>
      </c>
      <c r="E3960" s="1">
        <v>45758</v>
      </c>
      <c r="F3960" t="s">
        <v>4308</v>
      </c>
      <c r="G3960" t="s">
        <v>1796</v>
      </c>
      <c r="H3960" t="s">
        <v>633</v>
      </c>
      <c r="I3960" t="s">
        <v>204</v>
      </c>
      <c r="J3960" s="1">
        <v>46204</v>
      </c>
      <c r="K3960" t="s">
        <v>762</v>
      </c>
      <c r="L3960">
        <v>49</v>
      </c>
      <c r="M3960">
        <v>220.99</v>
      </c>
      <c r="N3960" t="s">
        <v>719</v>
      </c>
      <c r="O3960" t="s">
        <v>1037</v>
      </c>
      <c r="P3960" t="s">
        <v>4790</v>
      </c>
      <c r="Q3960" t="s">
        <v>4852</v>
      </c>
    </row>
    <row r="3961" spans="1:18" x14ac:dyDescent="0.3">
      <c r="A3961">
        <v>109691</v>
      </c>
      <c r="B3961" t="s">
        <v>4874</v>
      </c>
      <c r="C3961" t="s">
        <v>379</v>
      </c>
      <c r="D3961" t="s">
        <v>131</v>
      </c>
      <c r="E3961" s="1">
        <v>45758</v>
      </c>
      <c r="F3961" t="s">
        <v>4392</v>
      </c>
      <c r="G3961" t="s">
        <v>1793</v>
      </c>
      <c r="H3961" t="s">
        <v>378</v>
      </c>
      <c r="I3961" t="s">
        <v>204</v>
      </c>
      <c r="J3961" s="1">
        <v>54878</v>
      </c>
      <c r="K3961" t="s">
        <v>762</v>
      </c>
      <c r="L3961">
        <v>68.510000000000005</v>
      </c>
      <c r="M3961">
        <v>68.510000000000005</v>
      </c>
      <c r="N3961" t="s">
        <v>710</v>
      </c>
      <c r="O3961" t="s">
        <v>4833</v>
      </c>
      <c r="P3961" t="s">
        <v>4776</v>
      </c>
      <c r="Q3961" t="s">
        <v>4852</v>
      </c>
      <c r="R3961" t="s">
        <v>4773</v>
      </c>
    </row>
    <row r="3962" spans="1:18" x14ac:dyDescent="0.3">
      <c r="A3962">
        <v>77112</v>
      </c>
      <c r="B3962" t="s">
        <v>4874</v>
      </c>
      <c r="C3962" t="s">
        <v>634</v>
      </c>
      <c r="D3962" t="s">
        <v>99</v>
      </c>
      <c r="E3962" s="1">
        <v>45758</v>
      </c>
      <c r="F3962" t="s">
        <v>4394</v>
      </c>
      <c r="G3962" t="s">
        <v>1796</v>
      </c>
      <c r="H3962" t="s">
        <v>633</v>
      </c>
      <c r="I3962" t="s">
        <v>204</v>
      </c>
      <c r="J3962" s="1">
        <v>46204</v>
      </c>
      <c r="K3962" t="s">
        <v>762</v>
      </c>
      <c r="L3962">
        <v>1614</v>
      </c>
      <c r="M3962">
        <v>1614</v>
      </c>
      <c r="N3962" t="s">
        <v>719</v>
      </c>
      <c r="O3962" t="s">
        <v>1037</v>
      </c>
      <c r="P3962" t="s">
        <v>4790</v>
      </c>
      <c r="Q3962" t="s">
        <v>4852</v>
      </c>
    </row>
    <row r="3963" spans="1:18" x14ac:dyDescent="0.3">
      <c r="A3963">
        <v>65256</v>
      </c>
      <c r="B3963" t="s">
        <v>4874</v>
      </c>
      <c r="C3963" t="s">
        <v>296</v>
      </c>
      <c r="D3963" t="s">
        <v>93</v>
      </c>
      <c r="E3963" s="1">
        <v>45758</v>
      </c>
      <c r="F3963" t="s">
        <v>4362</v>
      </c>
      <c r="G3963" t="s">
        <v>1684</v>
      </c>
      <c r="H3963" t="s">
        <v>295</v>
      </c>
      <c r="I3963" t="s">
        <v>209</v>
      </c>
      <c r="J3963" s="1">
        <v>54878</v>
      </c>
      <c r="K3963" t="s">
        <v>720</v>
      </c>
      <c r="L3963">
        <v>3711.1</v>
      </c>
      <c r="M3963">
        <v>3711.1</v>
      </c>
      <c r="N3963" t="s">
        <v>710</v>
      </c>
      <c r="Q3963" t="s">
        <v>4845</v>
      </c>
      <c r="R3963" t="s">
        <v>4772</v>
      </c>
    </row>
    <row r="3964" spans="1:18" x14ac:dyDescent="0.3">
      <c r="A3964">
        <v>1791450</v>
      </c>
      <c r="B3964" t="s">
        <v>1034</v>
      </c>
      <c r="C3964" t="s">
        <v>417</v>
      </c>
      <c r="D3964" t="s">
        <v>185</v>
      </c>
      <c r="E3964" s="1">
        <v>45758</v>
      </c>
      <c r="F3964" t="s">
        <v>4346</v>
      </c>
      <c r="G3964" t="s">
        <v>1720</v>
      </c>
      <c r="H3964" t="s">
        <v>416</v>
      </c>
      <c r="I3964" t="s">
        <v>204</v>
      </c>
      <c r="J3964" s="1">
        <v>54878</v>
      </c>
      <c r="K3964" t="s">
        <v>717</v>
      </c>
      <c r="L3964">
        <v>3398.64</v>
      </c>
      <c r="M3964">
        <v>3398.64</v>
      </c>
      <c r="N3964" t="s">
        <v>710</v>
      </c>
      <c r="O3964" t="s">
        <v>1037</v>
      </c>
      <c r="P3964" t="s">
        <v>4780</v>
      </c>
      <c r="Q3964" t="s">
        <v>4852</v>
      </c>
      <c r="R3964" t="s">
        <v>4771</v>
      </c>
    </row>
    <row r="3965" spans="1:18" x14ac:dyDescent="0.3">
      <c r="A3965">
        <v>1791221</v>
      </c>
      <c r="B3965" t="s">
        <v>4874</v>
      </c>
      <c r="C3965" t="s">
        <v>417</v>
      </c>
      <c r="D3965" t="s">
        <v>185</v>
      </c>
      <c r="E3965" s="1">
        <v>45758</v>
      </c>
      <c r="F3965" t="s">
        <v>4346</v>
      </c>
      <c r="G3965" t="s">
        <v>1721</v>
      </c>
      <c r="H3965" t="s">
        <v>461</v>
      </c>
      <c r="I3965" t="s">
        <v>204</v>
      </c>
      <c r="J3965" s="1">
        <v>54878</v>
      </c>
      <c r="K3965" t="s">
        <v>762</v>
      </c>
      <c r="L3965">
        <v>19488.12</v>
      </c>
      <c r="M3965">
        <v>19488.12</v>
      </c>
      <c r="N3965" t="s">
        <v>710</v>
      </c>
      <c r="O3965" t="s">
        <v>1037</v>
      </c>
      <c r="P3965" t="s">
        <v>4780</v>
      </c>
      <c r="Q3965" t="s">
        <v>4852</v>
      </c>
      <c r="R3965" t="s">
        <v>4771</v>
      </c>
    </row>
    <row r="3966" spans="1:18" x14ac:dyDescent="0.3">
      <c r="A3966">
        <v>1213</v>
      </c>
      <c r="B3966" t="s">
        <v>4874</v>
      </c>
      <c r="C3966" t="s">
        <v>305</v>
      </c>
      <c r="D3966" t="s">
        <v>59</v>
      </c>
      <c r="E3966" s="1">
        <v>45757</v>
      </c>
      <c r="F3966" t="s">
        <v>4359</v>
      </c>
      <c r="G3966" t="s">
        <v>1778</v>
      </c>
      <c r="H3966" t="s">
        <v>304</v>
      </c>
      <c r="I3966" t="s">
        <v>204</v>
      </c>
      <c r="J3966" s="1">
        <v>46481</v>
      </c>
      <c r="K3966" t="s">
        <v>720</v>
      </c>
      <c r="L3966">
        <v>1</v>
      </c>
      <c r="M3966">
        <v>1120</v>
      </c>
      <c r="N3966" t="s">
        <v>809</v>
      </c>
      <c r="O3966" t="s">
        <v>1038</v>
      </c>
      <c r="P3966" t="s">
        <v>4783</v>
      </c>
      <c r="Q3966" t="s">
        <v>4858</v>
      </c>
      <c r="R3966" t="s">
        <v>4771</v>
      </c>
    </row>
    <row r="3967" spans="1:18" x14ac:dyDescent="0.3">
      <c r="A3967">
        <v>109608</v>
      </c>
      <c r="B3967" t="s">
        <v>4874</v>
      </c>
      <c r="C3967" t="s">
        <v>227</v>
      </c>
      <c r="D3967" t="s">
        <v>191</v>
      </c>
      <c r="E3967" s="1">
        <v>45757</v>
      </c>
      <c r="F3967" t="s">
        <v>4387</v>
      </c>
      <c r="G3967" t="s">
        <v>1756</v>
      </c>
      <c r="H3967" t="s">
        <v>577</v>
      </c>
      <c r="I3967" t="s">
        <v>204</v>
      </c>
      <c r="J3967" s="1">
        <v>46493</v>
      </c>
      <c r="K3967" t="s">
        <v>762</v>
      </c>
      <c r="L3967">
        <v>67955.83</v>
      </c>
      <c r="M3967">
        <v>67955.83</v>
      </c>
      <c r="N3967" t="s">
        <v>809</v>
      </c>
      <c r="O3967" t="s">
        <v>4904</v>
      </c>
      <c r="P3967" t="s">
        <v>4792</v>
      </c>
      <c r="Q3967" t="s">
        <v>4904</v>
      </c>
      <c r="R3967" t="s">
        <v>4772</v>
      </c>
    </row>
    <row r="3968" spans="1:18" x14ac:dyDescent="0.3">
      <c r="A3968">
        <v>3660</v>
      </c>
      <c r="B3968" t="s">
        <v>4874</v>
      </c>
      <c r="C3968" t="s">
        <v>444</v>
      </c>
      <c r="D3968" t="s">
        <v>21</v>
      </c>
      <c r="E3968" s="1">
        <v>45757</v>
      </c>
      <c r="F3968" t="s">
        <v>4380</v>
      </c>
      <c r="G3968" t="s">
        <v>1794</v>
      </c>
      <c r="H3968" t="s">
        <v>443</v>
      </c>
      <c r="I3968" t="s">
        <v>209</v>
      </c>
      <c r="J3968" s="1">
        <v>54878</v>
      </c>
      <c r="K3968" t="s">
        <v>762</v>
      </c>
      <c r="L3968">
        <v>1</v>
      </c>
      <c r="M3968">
        <v>160</v>
      </c>
      <c r="N3968" t="s">
        <v>710</v>
      </c>
      <c r="O3968" t="s">
        <v>1037</v>
      </c>
      <c r="P3968" t="s">
        <v>4808</v>
      </c>
      <c r="Q3968" t="s">
        <v>4852</v>
      </c>
      <c r="R3968" t="s">
        <v>4772</v>
      </c>
    </row>
    <row r="3969" spans="1:18" x14ac:dyDescent="0.3">
      <c r="A3969">
        <v>2949</v>
      </c>
      <c r="B3969" t="s">
        <v>1034</v>
      </c>
      <c r="C3969" t="s">
        <v>590</v>
      </c>
      <c r="D3969" t="s">
        <v>79</v>
      </c>
      <c r="E3969" s="1">
        <v>45757</v>
      </c>
      <c r="F3969" t="s">
        <v>4365</v>
      </c>
      <c r="G3969" t="s">
        <v>1792</v>
      </c>
      <c r="H3969" t="s">
        <v>589</v>
      </c>
      <c r="I3969" t="s">
        <v>204</v>
      </c>
      <c r="J3969" s="1">
        <v>46387</v>
      </c>
      <c r="K3969" t="s">
        <v>717</v>
      </c>
      <c r="L3969">
        <v>420</v>
      </c>
      <c r="M3969">
        <v>420</v>
      </c>
      <c r="N3969" t="s">
        <v>814</v>
      </c>
      <c r="O3969" t="s">
        <v>4845</v>
      </c>
      <c r="P3969" t="s">
        <v>4793</v>
      </c>
      <c r="Q3969" t="s">
        <v>4845</v>
      </c>
      <c r="R3969" t="s">
        <v>4773</v>
      </c>
    </row>
    <row r="3970" spans="1:18" x14ac:dyDescent="0.3">
      <c r="A3970">
        <v>258</v>
      </c>
      <c r="B3970" t="s">
        <v>1034</v>
      </c>
      <c r="C3970" t="s">
        <v>325</v>
      </c>
      <c r="D3970" t="s">
        <v>193</v>
      </c>
      <c r="E3970" s="1">
        <v>45757</v>
      </c>
      <c r="F3970" t="s">
        <v>4297</v>
      </c>
      <c r="G3970" t="s">
        <v>1709</v>
      </c>
      <c r="H3970" t="s">
        <v>324</v>
      </c>
      <c r="I3970" t="s">
        <v>204</v>
      </c>
      <c r="J3970" s="1">
        <v>54878</v>
      </c>
      <c r="K3970" t="s">
        <v>711</v>
      </c>
      <c r="L3970">
        <v>3900</v>
      </c>
      <c r="M3970">
        <v>3900</v>
      </c>
      <c r="N3970" t="s">
        <v>710</v>
      </c>
      <c r="O3970" t="s">
        <v>4844</v>
      </c>
      <c r="P3970" t="s">
        <v>4779</v>
      </c>
      <c r="Q3970" t="s">
        <v>4901</v>
      </c>
      <c r="R3970" t="s">
        <v>4773</v>
      </c>
    </row>
    <row r="3971" spans="1:18" x14ac:dyDescent="0.3">
      <c r="A3971">
        <v>2025150</v>
      </c>
      <c r="B3971" t="s">
        <v>1034</v>
      </c>
      <c r="C3971" t="s">
        <v>588</v>
      </c>
      <c r="D3971" t="s">
        <v>136</v>
      </c>
      <c r="E3971" s="1">
        <v>45757</v>
      </c>
      <c r="F3971" t="s">
        <v>4364</v>
      </c>
      <c r="G3971" t="s">
        <v>1660</v>
      </c>
      <c r="H3971" t="s">
        <v>587</v>
      </c>
      <c r="I3971" t="s">
        <v>204</v>
      </c>
      <c r="J3971" s="1">
        <v>46142</v>
      </c>
      <c r="K3971" t="s">
        <v>711</v>
      </c>
      <c r="L3971">
        <v>19339.05</v>
      </c>
      <c r="M3971">
        <v>19339.05</v>
      </c>
      <c r="N3971" t="s">
        <v>710</v>
      </c>
      <c r="O3971" t="s">
        <v>4834</v>
      </c>
      <c r="P3971" t="s">
        <v>4809</v>
      </c>
      <c r="Q3971" t="s">
        <v>4901</v>
      </c>
      <c r="R3971" t="s">
        <v>4773</v>
      </c>
    </row>
    <row r="3972" spans="1:18" x14ac:dyDescent="0.3">
      <c r="A3972">
        <v>584176</v>
      </c>
      <c r="B3972" t="s">
        <v>1034</v>
      </c>
      <c r="C3972" t="s">
        <v>248</v>
      </c>
      <c r="D3972" t="s">
        <v>13</v>
      </c>
      <c r="E3972" s="1">
        <v>45757</v>
      </c>
      <c r="F3972" t="s">
        <v>4297</v>
      </c>
      <c r="G3972" t="s">
        <v>1668</v>
      </c>
      <c r="H3972" t="s">
        <v>315</v>
      </c>
      <c r="I3972" t="s">
        <v>204</v>
      </c>
      <c r="J3972" s="1">
        <v>46073</v>
      </c>
      <c r="K3972" t="s">
        <v>711</v>
      </c>
      <c r="L3972">
        <v>5391.91</v>
      </c>
      <c r="M3972">
        <v>5391.91</v>
      </c>
      <c r="N3972" t="s">
        <v>710</v>
      </c>
      <c r="O3972" t="s">
        <v>1036</v>
      </c>
      <c r="P3972" t="s">
        <v>4779</v>
      </c>
      <c r="Q3972" t="s">
        <v>4901</v>
      </c>
      <c r="R3972" t="s">
        <v>4773</v>
      </c>
    </row>
    <row r="3973" spans="1:18" x14ac:dyDescent="0.3">
      <c r="A3973">
        <v>41297</v>
      </c>
      <c r="B3973" t="s">
        <v>1034</v>
      </c>
      <c r="C3973" t="s">
        <v>327</v>
      </c>
      <c r="D3973" t="s">
        <v>159</v>
      </c>
      <c r="E3973" s="1">
        <v>45757</v>
      </c>
      <c r="F3973" t="s">
        <v>4295</v>
      </c>
      <c r="G3973" t="s">
        <v>1786</v>
      </c>
      <c r="H3973" t="s">
        <v>357</v>
      </c>
      <c r="I3973" t="s">
        <v>204</v>
      </c>
      <c r="J3973" s="1">
        <v>46476</v>
      </c>
      <c r="K3973" t="s">
        <v>711</v>
      </c>
      <c r="L3973">
        <v>2150</v>
      </c>
      <c r="M3973">
        <v>2150</v>
      </c>
      <c r="N3973" t="s">
        <v>890</v>
      </c>
      <c r="O3973" t="s">
        <v>4834</v>
      </c>
      <c r="P3973" t="s">
        <v>4776</v>
      </c>
      <c r="Q3973" t="s">
        <v>4901</v>
      </c>
      <c r="R3973" t="s">
        <v>4773</v>
      </c>
    </row>
    <row r="3974" spans="1:18" x14ac:dyDescent="0.3">
      <c r="A3974">
        <v>41296</v>
      </c>
      <c r="B3974" t="s">
        <v>1034</v>
      </c>
      <c r="C3974" t="s">
        <v>327</v>
      </c>
      <c r="D3974" t="s">
        <v>159</v>
      </c>
      <c r="E3974" s="1">
        <v>45757</v>
      </c>
      <c r="F3974" t="s">
        <v>4295</v>
      </c>
      <c r="G3974" t="s">
        <v>1787</v>
      </c>
      <c r="H3974" t="s">
        <v>357</v>
      </c>
      <c r="I3974" t="s">
        <v>204</v>
      </c>
      <c r="J3974" s="1">
        <v>46476</v>
      </c>
      <c r="K3974" t="s">
        <v>711</v>
      </c>
      <c r="L3974">
        <v>746.55</v>
      </c>
      <c r="M3974">
        <v>746.55</v>
      </c>
      <c r="N3974" t="s">
        <v>890</v>
      </c>
      <c r="O3974" t="s">
        <v>4834</v>
      </c>
      <c r="P3974" t="s">
        <v>4776</v>
      </c>
      <c r="Q3974" t="s">
        <v>4901</v>
      </c>
      <c r="R3974" t="s">
        <v>4773</v>
      </c>
    </row>
    <row r="3975" spans="1:18" x14ac:dyDescent="0.3">
      <c r="A3975">
        <v>41295</v>
      </c>
      <c r="B3975" t="s">
        <v>1034</v>
      </c>
      <c r="C3975" t="s">
        <v>327</v>
      </c>
      <c r="D3975" t="s">
        <v>159</v>
      </c>
      <c r="E3975" s="1">
        <v>45757</v>
      </c>
      <c r="F3975" t="s">
        <v>4295</v>
      </c>
      <c r="G3975" t="s">
        <v>1788</v>
      </c>
      <c r="H3975" t="s">
        <v>357</v>
      </c>
      <c r="I3975" t="s">
        <v>204</v>
      </c>
      <c r="J3975" s="1">
        <v>46476</v>
      </c>
      <c r="K3975" t="s">
        <v>711</v>
      </c>
      <c r="L3975">
        <v>2150</v>
      </c>
      <c r="M3975">
        <v>2150</v>
      </c>
      <c r="N3975" t="s">
        <v>890</v>
      </c>
      <c r="O3975" t="s">
        <v>4834</v>
      </c>
      <c r="P3975" t="s">
        <v>4776</v>
      </c>
      <c r="Q3975" t="s">
        <v>4901</v>
      </c>
      <c r="R3975" t="s">
        <v>4773</v>
      </c>
    </row>
    <row r="3976" spans="1:18" x14ac:dyDescent="0.3">
      <c r="A3976">
        <v>41294</v>
      </c>
      <c r="B3976" t="s">
        <v>1034</v>
      </c>
      <c r="C3976" t="s">
        <v>327</v>
      </c>
      <c r="D3976" t="s">
        <v>159</v>
      </c>
      <c r="E3976" s="1">
        <v>45757</v>
      </c>
      <c r="F3976" t="s">
        <v>4295</v>
      </c>
      <c r="G3976" t="s">
        <v>1789</v>
      </c>
      <c r="H3976" t="s">
        <v>357</v>
      </c>
      <c r="I3976" t="s">
        <v>204</v>
      </c>
      <c r="J3976" s="1">
        <v>46476</v>
      </c>
      <c r="K3976" t="s">
        <v>711</v>
      </c>
      <c r="L3976">
        <v>1715.18</v>
      </c>
      <c r="M3976">
        <v>1715.18</v>
      </c>
      <c r="N3976" t="s">
        <v>890</v>
      </c>
      <c r="O3976" t="s">
        <v>4834</v>
      </c>
      <c r="P3976" t="s">
        <v>4776</v>
      </c>
      <c r="Q3976" t="s">
        <v>4901</v>
      </c>
      <c r="R3976" t="s">
        <v>4773</v>
      </c>
    </row>
    <row r="3977" spans="1:18" x14ac:dyDescent="0.3">
      <c r="A3977">
        <v>3697</v>
      </c>
      <c r="B3977" t="s">
        <v>1034</v>
      </c>
      <c r="C3977" t="s">
        <v>535</v>
      </c>
      <c r="D3977" t="s">
        <v>148</v>
      </c>
      <c r="E3977" s="1">
        <v>45757</v>
      </c>
      <c r="F3977" t="s">
        <v>4355</v>
      </c>
      <c r="G3977" t="s">
        <v>1743</v>
      </c>
      <c r="H3977" t="s">
        <v>534</v>
      </c>
      <c r="I3977" t="s">
        <v>209</v>
      </c>
      <c r="J3977" s="1">
        <v>46295</v>
      </c>
      <c r="K3977" t="s">
        <v>711</v>
      </c>
      <c r="L3977">
        <v>1</v>
      </c>
      <c r="M3977">
        <v>3200</v>
      </c>
      <c r="N3977" t="s">
        <v>890</v>
      </c>
      <c r="O3977" t="s">
        <v>1036</v>
      </c>
      <c r="P3977" t="s">
        <v>4779</v>
      </c>
      <c r="Q3977" t="s">
        <v>4856</v>
      </c>
      <c r="R3977" t="s">
        <v>807</v>
      </c>
    </row>
    <row r="3978" spans="1:18" x14ac:dyDescent="0.3">
      <c r="A3978">
        <v>645174</v>
      </c>
      <c r="B3978" t="s">
        <v>1034</v>
      </c>
      <c r="C3978" t="s">
        <v>376</v>
      </c>
      <c r="D3978" t="s">
        <v>35</v>
      </c>
      <c r="E3978" s="1">
        <v>45757</v>
      </c>
      <c r="F3978" t="s">
        <v>4302</v>
      </c>
      <c r="G3978" t="s">
        <v>1744</v>
      </c>
      <c r="H3978" t="s">
        <v>377</v>
      </c>
      <c r="I3978" t="s">
        <v>209</v>
      </c>
      <c r="J3978" s="1">
        <v>54878</v>
      </c>
      <c r="K3978" t="s">
        <v>717</v>
      </c>
      <c r="L3978">
        <v>43152.13</v>
      </c>
      <c r="M3978">
        <v>43152.13</v>
      </c>
      <c r="N3978" t="s">
        <v>710</v>
      </c>
      <c r="Q3978" t="s">
        <v>4852</v>
      </c>
      <c r="R3978" t="s">
        <v>4771</v>
      </c>
    </row>
    <row r="3979" spans="1:18" x14ac:dyDescent="0.3">
      <c r="A3979">
        <v>20251119</v>
      </c>
      <c r="B3979" t="s">
        <v>1034</v>
      </c>
      <c r="C3979" t="s">
        <v>364</v>
      </c>
      <c r="D3979" t="s">
        <v>72</v>
      </c>
      <c r="E3979" s="1">
        <v>45757</v>
      </c>
      <c r="F3979" t="s">
        <v>4295</v>
      </c>
      <c r="G3979" t="s">
        <v>1734</v>
      </c>
      <c r="H3979" t="s">
        <v>363</v>
      </c>
      <c r="I3979" t="s">
        <v>209</v>
      </c>
      <c r="J3979" s="1">
        <v>46092</v>
      </c>
      <c r="K3979" t="s">
        <v>711</v>
      </c>
      <c r="L3979">
        <v>5192</v>
      </c>
      <c r="M3979">
        <v>5192</v>
      </c>
      <c r="N3979" t="s">
        <v>710</v>
      </c>
      <c r="O3979" t="s">
        <v>4834</v>
      </c>
      <c r="P3979" t="s">
        <v>4776</v>
      </c>
      <c r="Q3979" t="s">
        <v>4901</v>
      </c>
      <c r="R3979" t="s">
        <v>4773</v>
      </c>
    </row>
    <row r="3980" spans="1:18" x14ac:dyDescent="0.3">
      <c r="A3980">
        <v>41255</v>
      </c>
      <c r="B3980" t="s">
        <v>1034</v>
      </c>
      <c r="C3980" t="s">
        <v>327</v>
      </c>
      <c r="D3980" t="s">
        <v>159</v>
      </c>
      <c r="E3980" s="1">
        <v>45756</v>
      </c>
      <c r="F3980" t="s">
        <v>4295</v>
      </c>
      <c r="G3980" t="s">
        <v>1737</v>
      </c>
      <c r="H3980" t="s">
        <v>357</v>
      </c>
      <c r="I3980" t="s">
        <v>204</v>
      </c>
      <c r="J3980" s="1">
        <v>46476</v>
      </c>
      <c r="K3980" t="s">
        <v>711</v>
      </c>
      <c r="L3980">
        <v>1266.3</v>
      </c>
      <c r="M3980">
        <v>1266.3</v>
      </c>
      <c r="N3980" t="s">
        <v>890</v>
      </c>
      <c r="O3980" t="s">
        <v>4834</v>
      </c>
      <c r="P3980" t="s">
        <v>4776</v>
      </c>
      <c r="Q3980" t="s">
        <v>4901</v>
      </c>
      <c r="R3980" t="s">
        <v>4773</v>
      </c>
    </row>
    <row r="3981" spans="1:18" x14ac:dyDescent="0.3">
      <c r="A3981">
        <v>3271</v>
      </c>
      <c r="B3981" t="s">
        <v>1034</v>
      </c>
      <c r="C3981" t="s">
        <v>319</v>
      </c>
      <c r="D3981" t="s">
        <v>36</v>
      </c>
      <c r="E3981" s="1">
        <v>45756</v>
      </c>
      <c r="F3981" t="s">
        <v>4298</v>
      </c>
      <c r="G3981" t="s">
        <v>1674</v>
      </c>
      <c r="H3981" t="s">
        <v>318</v>
      </c>
      <c r="I3981" t="s">
        <v>204</v>
      </c>
      <c r="J3981" s="1">
        <v>46214</v>
      </c>
      <c r="K3981" t="s">
        <v>711</v>
      </c>
      <c r="L3981">
        <v>4140</v>
      </c>
      <c r="M3981">
        <v>4139.72</v>
      </c>
      <c r="N3981" t="s">
        <v>710</v>
      </c>
      <c r="O3981" t="s">
        <v>1036</v>
      </c>
      <c r="P3981" t="s">
        <v>4784</v>
      </c>
      <c r="Q3981" t="s">
        <v>4901</v>
      </c>
      <c r="R3981" t="s">
        <v>4771</v>
      </c>
    </row>
    <row r="3982" spans="1:18" x14ac:dyDescent="0.3">
      <c r="A3982">
        <v>77076</v>
      </c>
      <c r="B3982" t="s">
        <v>4874</v>
      </c>
      <c r="C3982" t="s">
        <v>422</v>
      </c>
      <c r="D3982" t="s">
        <v>37</v>
      </c>
      <c r="E3982" s="1">
        <v>45756</v>
      </c>
      <c r="F3982" t="s">
        <v>4306</v>
      </c>
      <c r="G3982" t="s">
        <v>1776</v>
      </c>
      <c r="H3982" t="s">
        <v>421</v>
      </c>
      <c r="I3982" t="s">
        <v>204</v>
      </c>
      <c r="J3982" s="1">
        <v>46080</v>
      </c>
      <c r="K3982" t="s">
        <v>762</v>
      </c>
      <c r="L3982">
        <v>800</v>
      </c>
      <c r="M3982">
        <v>800</v>
      </c>
      <c r="N3982" t="s">
        <v>710</v>
      </c>
      <c r="O3982" t="s">
        <v>4833</v>
      </c>
      <c r="P3982" t="s">
        <v>4786</v>
      </c>
      <c r="Q3982" t="s">
        <v>4852</v>
      </c>
      <c r="R3982" t="s">
        <v>4773</v>
      </c>
    </row>
    <row r="3983" spans="1:18" x14ac:dyDescent="0.3">
      <c r="A3983">
        <v>198274</v>
      </c>
      <c r="B3983" t="s">
        <v>4874</v>
      </c>
      <c r="C3983" t="s">
        <v>441</v>
      </c>
      <c r="D3983" t="s">
        <v>38</v>
      </c>
      <c r="E3983" s="1">
        <v>45756</v>
      </c>
      <c r="F3983" t="s">
        <v>4393</v>
      </c>
      <c r="G3983" t="s">
        <v>1777</v>
      </c>
      <c r="H3983" t="s">
        <v>440</v>
      </c>
      <c r="I3983" t="s">
        <v>204</v>
      </c>
      <c r="J3983" s="1">
        <v>46191</v>
      </c>
      <c r="K3983" t="s">
        <v>762</v>
      </c>
      <c r="L3983">
        <v>10035</v>
      </c>
      <c r="M3983">
        <v>10035</v>
      </c>
      <c r="N3983" t="s">
        <v>710</v>
      </c>
      <c r="O3983" t="s">
        <v>4833</v>
      </c>
      <c r="P3983" t="s">
        <v>4786</v>
      </c>
      <c r="Q3983" t="s">
        <v>4852</v>
      </c>
      <c r="R3983" t="s">
        <v>4773</v>
      </c>
    </row>
    <row r="3984" spans="1:18" x14ac:dyDescent="0.3">
      <c r="A3984">
        <v>2237</v>
      </c>
      <c r="B3984" t="s">
        <v>4874</v>
      </c>
      <c r="C3984" t="s">
        <v>541</v>
      </c>
      <c r="D3984" t="s">
        <v>173</v>
      </c>
      <c r="E3984" s="1">
        <v>45756</v>
      </c>
      <c r="F3984" t="s">
        <v>4326</v>
      </c>
      <c r="G3984" t="s">
        <v>1782</v>
      </c>
      <c r="H3984" t="s">
        <v>548</v>
      </c>
      <c r="I3984" t="s">
        <v>204</v>
      </c>
      <c r="J3984" s="1">
        <v>46387</v>
      </c>
      <c r="K3984" t="s">
        <v>720</v>
      </c>
      <c r="L3984">
        <v>1</v>
      </c>
      <c r="M3984">
        <v>2300</v>
      </c>
      <c r="N3984" t="s">
        <v>710</v>
      </c>
      <c r="O3984" t="s">
        <v>1038</v>
      </c>
      <c r="P3984" t="s">
        <v>4791</v>
      </c>
      <c r="Q3984" t="s">
        <v>4858</v>
      </c>
      <c r="R3984" t="s">
        <v>4773</v>
      </c>
    </row>
    <row r="3985" spans="1:18" x14ac:dyDescent="0.3">
      <c r="A3985">
        <v>154118</v>
      </c>
      <c r="B3985" t="s">
        <v>4874</v>
      </c>
      <c r="C3985" t="s">
        <v>301</v>
      </c>
      <c r="D3985" t="s">
        <v>23</v>
      </c>
      <c r="E3985" s="1">
        <v>45756</v>
      </c>
      <c r="F3985" t="s">
        <v>4321</v>
      </c>
      <c r="G3985" t="s">
        <v>1791</v>
      </c>
      <c r="H3985" t="s">
        <v>300</v>
      </c>
      <c r="I3985" t="s">
        <v>204</v>
      </c>
      <c r="J3985" s="1">
        <v>46418</v>
      </c>
      <c r="K3985" t="s">
        <v>720</v>
      </c>
      <c r="L3985">
        <v>1</v>
      </c>
      <c r="M3985">
        <v>5140.3900000000003</v>
      </c>
      <c r="N3985" t="s">
        <v>710</v>
      </c>
      <c r="O3985" t="s">
        <v>1038</v>
      </c>
      <c r="P3985" t="s">
        <v>4782</v>
      </c>
      <c r="Q3985" t="s">
        <v>4858</v>
      </c>
      <c r="R3985" t="s">
        <v>4773</v>
      </c>
    </row>
    <row r="3986" spans="1:18" x14ac:dyDescent="0.3">
      <c r="A3986">
        <v>374400</v>
      </c>
      <c r="B3986" t="s">
        <v>4874</v>
      </c>
      <c r="C3986" t="s">
        <v>250</v>
      </c>
      <c r="D3986" t="s">
        <v>55</v>
      </c>
      <c r="E3986" s="1">
        <v>45756</v>
      </c>
      <c r="F3986" t="s">
        <v>4391</v>
      </c>
      <c r="G3986" t="s">
        <v>1783</v>
      </c>
      <c r="H3986" t="s">
        <v>249</v>
      </c>
      <c r="I3986" t="s">
        <v>204</v>
      </c>
      <c r="J3986" s="1">
        <v>54878</v>
      </c>
      <c r="K3986" t="s">
        <v>720</v>
      </c>
      <c r="L3986">
        <v>1</v>
      </c>
      <c r="M3986">
        <v>643.59</v>
      </c>
      <c r="N3986" t="s">
        <v>719</v>
      </c>
      <c r="O3986" t="s">
        <v>1038</v>
      </c>
      <c r="P3986" t="s">
        <v>4778</v>
      </c>
      <c r="Q3986" t="s">
        <v>4858</v>
      </c>
      <c r="R3986" t="s">
        <v>4771</v>
      </c>
    </row>
    <row r="3987" spans="1:18" x14ac:dyDescent="0.3">
      <c r="A3987">
        <v>172543</v>
      </c>
      <c r="B3987" t="s">
        <v>4874</v>
      </c>
      <c r="C3987" t="s">
        <v>298</v>
      </c>
      <c r="D3987" t="s">
        <v>11</v>
      </c>
      <c r="E3987" s="1">
        <v>45756</v>
      </c>
      <c r="F3987" t="s">
        <v>4297</v>
      </c>
      <c r="G3987" t="s">
        <v>1785</v>
      </c>
      <c r="H3987" t="s">
        <v>297</v>
      </c>
      <c r="I3987" t="s">
        <v>204</v>
      </c>
      <c r="J3987" s="1">
        <v>54878</v>
      </c>
      <c r="K3987" t="s">
        <v>720</v>
      </c>
      <c r="L3987">
        <v>1</v>
      </c>
      <c r="M3987">
        <v>1225.32</v>
      </c>
      <c r="N3987" t="s">
        <v>710</v>
      </c>
      <c r="O3987" t="s">
        <v>1038</v>
      </c>
      <c r="P3987" t="s">
        <v>4779</v>
      </c>
      <c r="Q3987" t="s">
        <v>4858</v>
      </c>
      <c r="R3987" t="s">
        <v>4771</v>
      </c>
    </row>
    <row r="3988" spans="1:18" x14ac:dyDescent="0.3">
      <c r="A3988">
        <v>585683</v>
      </c>
      <c r="B3988" t="s">
        <v>4874</v>
      </c>
      <c r="C3988" t="s">
        <v>248</v>
      </c>
      <c r="D3988" t="s">
        <v>13</v>
      </c>
      <c r="E3988" s="1">
        <v>45756</v>
      </c>
      <c r="F3988" t="s">
        <v>4297</v>
      </c>
      <c r="G3988" t="s">
        <v>1784</v>
      </c>
      <c r="H3988" t="s">
        <v>247</v>
      </c>
      <c r="I3988" t="s">
        <v>204</v>
      </c>
      <c r="J3988" s="1">
        <v>54878</v>
      </c>
      <c r="K3988" t="s">
        <v>720</v>
      </c>
      <c r="L3988">
        <v>1</v>
      </c>
      <c r="M3988">
        <v>488.4</v>
      </c>
      <c r="N3988" t="s">
        <v>710</v>
      </c>
      <c r="O3988" t="s">
        <v>1038</v>
      </c>
      <c r="P3988" t="s">
        <v>4779</v>
      </c>
      <c r="Q3988" t="s">
        <v>4858</v>
      </c>
      <c r="R3988" t="s">
        <v>4773</v>
      </c>
    </row>
    <row r="3989" spans="1:18" x14ac:dyDescent="0.3">
      <c r="A3989">
        <v>130909</v>
      </c>
      <c r="B3989" t="s">
        <v>4874</v>
      </c>
      <c r="C3989" t="s">
        <v>389</v>
      </c>
      <c r="D3989" t="s">
        <v>32</v>
      </c>
      <c r="E3989" s="1">
        <v>45756</v>
      </c>
      <c r="F3989" t="s">
        <v>4299</v>
      </c>
      <c r="G3989" t="s">
        <v>1797</v>
      </c>
      <c r="H3989" t="s">
        <v>388</v>
      </c>
      <c r="I3989" t="s">
        <v>204</v>
      </c>
      <c r="J3989" s="1">
        <v>46752</v>
      </c>
      <c r="K3989" t="s">
        <v>785</v>
      </c>
      <c r="L3989">
        <v>1</v>
      </c>
      <c r="M3989">
        <v>42688.34</v>
      </c>
      <c r="N3989" t="s">
        <v>710</v>
      </c>
      <c r="O3989" t="s">
        <v>1038</v>
      </c>
      <c r="P3989" t="s">
        <v>4785</v>
      </c>
      <c r="Q3989" t="s">
        <v>4858</v>
      </c>
      <c r="R3989" t="s">
        <v>4771</v>
      </c>
    </row>
    <row r="3990" spans="1:18" x14ac:dyDescent="0.3">
      <c r="A3990">
        <v>178572</v>
      </c>
      <c r="B3990" t="s">
        <v>4874</v>
      </c>
      <c r="C3990" t="s">
        <v>411</v>
      </c>
      <c r="D3990" t="s">
        <v>154</v>
      </c>
      <c r="E3990" s="1">
        <v>45756</v>
      </c>
      <c r="F3990" t="s">
        <v>4315</v>
      </c>
      <c r="G3990" t="s">
        <v>1750</v>
      </c>
      <c r="H3990" t="s">
        <v>410</v>
      </c>
      <c r="I3990" t="s">
        <v>204</v>
      </c>
      <c r="J3990" s="1">
        <v>46344</v>
      </c>
      <c r="K3990" t="s">
        <v>762</v>
      </c>
      <c r="L3990">
        <v>2538</v>
      </c>
      <c r="M3990">
        <v>2537.44</v>
      </c>
      <c r="N3990" t="s">
        <v>710</v>
      </c>
      <c r="O3990" t="s">
        <v>4833</v>
      </c>
      <c r="P3990" t="s">
        <v>4776</v>
      </c>
      <c r="Q3990" t="s">
        <v>4852</v>
      </c>
      <c r="R3990" t="s">
        <v>4773</v>
      </c>
    </row>
    <row r="3991" spans="1:18" x14ac:dyDescent="0.3">
      <c r="A3991">
        <v>98681</v>
      </c>
      <c r="B3991" t="s">
        <v>1034</v>
      </c>
      <c r="C3991" t="s">
        <v>502</v>
      </c>
      <c r="D3991" t="s">
        <v>2</v>
      </c>
      <c r="E3991" s="1">
        <v>45756</v>
      </c>
      <c r="F3991" t="s">
        <v>4303</v>
      </c>
      <c r="G3991" t="s">
        <v>1772</v>
      </c>
      <c r="H3991" t="s">
        <v>501</v>
      </c>
      <c r="I3991" t="s">
        <v>204</v>
      </c>
      <c r="J3991" s="1">
        <v>54878</v>
      </c>
      <c r="K3991" t="s">
        <v>717</v>
      </c>
      <c r="L3991">
        <v>1884.23</v>
      </c>
      <c r="M3991">
        <v>1884.23</v>
      </c>
      <c r="N3991" t="s">
        <v>710</v>
      </c>
      <c r="O3991" t="s">
        <v>4833</v>
      </c>
      <c r="P3991" t="s">
        <v>4776</v>
      </c>
      <c r="Q3991" t="s">
        <v>4852</v>
      </c>
      <c r="R3991" t="s">
        <v>4774</v>
      </c>
    </row>
    <row r="3992" spans="1:18" x14ac:dyDescent="0.3">
      <c r="A3992">
        <v>202561</v>
      </c>
      <c r="B3992" t="s">
        <v>4875</v>
      </c>
      <c r="C3992" t="s">
        <v>322</v>
      </c>
      <c r="D3992" t="s">
        <v>158</v>
      </c>
      <c r="E3992" s="1">
        <v>45756</v>
      </c>
      <c r="F3992" t="s">
        <v>4431</v>
      </c>
      <c r="G3992" t="s">
        <v>1694</v>
      </c>
      <c r="H3992" t="s">
        <v>321</v>
      </c>
      <c r="I3992" t="s">
        <v>204</v>
      </c>
      <c r="J3992" s="1">
        <v>46310</v>
      </c>
      <c r="K3992" t="s">
        <v>748</v>
      </c>
      <c r="L3992">
        <v>10716.75</v>
      </c>
      <c r="M3992">
        <v>10716.75</v>
      </c>
      <c r="N3992" t="s">
        <v>710</v>
      </c>
      <c r="O3992" t="s">
        <v>1040</v>
      </c>
      <c r="P3992" t="s">
        <v>4782</v>
      </c>
      <c r="Q3992" t="s">
        <v>4856</v>
      </c>
      <c r="R3992" t="s">
        <v>4773</v>
      </c>
    </row>
    <row r="3993" spans="1:18" x14ac:dyDescent="0.3">
      <c r="A3993">
        <v>20417</v>
      </c>
      <c r="B3993" t="s">
        <v>4875</v>
      </c>
      <c r="C3993" t="s">
        <v>243</v>
      </c>
      <c r="D3993" t="s">
        <v>61</v>
      </c>
      <c r="E3993" s="1">
        <v>45756</v>
      </c>
      <c r="F3993" t="s">
        <v>4304</v>
      </c>
      <c r="G3993" t="s">
        <v>1749</v>
      </c>
      <c r="H3993" t="s">
        <v>242</v>
      </c>
      <c r="I3993" t="s">
        <v>204</v>
      </c>
      <c r="J3993" s="1">
        <v>54878</v>
      </c>
      <c r="K3993" t="s">
        <v>748</v>
      </c>
      <c r="L3993">
        <v>23.76</v>
      </c>
      <c r="M3993">
        <v>23.76</v>
      </c>
      <c r="N3993" t="s">
        <v>710</v>
      </c>
      <c r="O3993" t="s">
        <v>4834</v>
      </c>
      <c r="P3993" t="s">
        <v>4776</v>
      </c>
      <c r="Q3993" t="s">
        <v>4856</v>
      </c>
      <c r="R3993" t="s">
        <v>4771</v>
      </c>
    </row>
    <row r="3994" spans="1:18" x14ac:dyDescent="0.3">
      <c r="A3994">
        <v>41271</v>
      </c>
      <c r="B3994" t="s">
        <v>4875</v>
      </c>
      <c r="C3994" t="s">
        <v>327</v>
      </c>
      <c r="D3994" t="s">
        <v>159</v>
      </c>
      <c r="E3994" s="1">
        <v>45756</v>
      </c>
      <c r="F3994" t="s">
        <v>4295</v>
      </c>
      <c r="G3994" t="s">
        <v>1757</v>
      </c>
      <c r="H3994" t="s">
        <v>326</v>
      </c>
      <c r="I3994" t="s">
        <v>204</v>
      </c>
      <c r="J3994" s="1">
        <v>54878</v>
      </c>
      <c r="K3994" t="s">
        <v>748</v>
      </c>
      <c r="L3994">
        <v>1824.49</v>
      </c>
      <c r="M3994">
        <v>1824.49</v>
      </c>
      <c r="N3994" t="s">
        <v>719</v>
      </c>
      <c r="O3994" t="s">
        <v>4834</v>
      </c>
      <c r="P3994" t="s">
        <v>4776</v>
      </c>
      <c r="Q3994" t="s">
        <v>4856</v>
      </c>
      <c r="R3994" t="s">
        <v>4773</v>
      </c>
    </row>
    <row r="3995" spans="1:18" x14ac:dyDescent="0.3">
      <c r="A3995">
        <v>41272</v>
      </c>
      <c r="B3995" t="s">
        <v>4875</v>
      </c>
      <c r="C3995" t="s">
        <v>327</v>
      </c>
      <c r="D3995" t="s">
        <v>159</v>
      </c>
      <c r="E3995" s="1">
        <v>45756</v>
      </c>
      <c r="F3995" t="s">
        <v>4295</v>
      </c>
      <c r="G3995" t="s">
        <v>1758</v>
      </c>
      <c r="H3995" t="s">
        <v>326</v>
      </c>
      <c r="I3995" t="s">
        <v>204</v>
      </c>
      <c r="J3995" s="1">
        <v>54878</v>
      </c>
      <c r="K3995" t="s">
        <v>748</v>
      </c>
      <c r="L3995">
        <v>2150</v>
      </c>
      <c r="M3995">
        <v>2150</v>
      </c>
      <c r="N3995" t="s">
        <v>719</v>
      </c>
      <c r="O3995" t="s">
        <v>4834</v>
      </c>
      <c r="P3995" t="s">
        <v>4776</v>
      </c>
      <c r="Q3995" t="s">
        <v>4856</v>
      </c>
      <c r="R3995" t="s">
        <v>4773</v>
      </c>
    </row>
    <row r="3996" spans="1:18" x14ac:dyDescent="0.3">
      <c r="A3996">
        <v>110472</v>
      </c>
      <c r="B3996" t="s">
        <v>1034</v>
      </c>
      <c r="C3996" t="s">
        <v>497</v>
      </c>
      <c r="D3996" t="s">
        <v>58</v>
      </c>
      <c r="E3996" s="1">
        <v>45756</v>
      </c>
      <c r="F3996" t="s">
        <v>4354</v>
      </c>
      <c r="G3996" t="s">
        <v>1773</v>
      </c>
      <c r="H3996" t="s">
        <v>496</v>
      </c>
      <c r="I3996" t="s">
        <v>204</v>
      </c>
      <c r="J3996" s="1">
        <v>46265</v>
      </c>
      <c r="K3996" t="s">
        <v>717</v>
      </c>
      <c r="L3996">
        <v>4971</v>
      </c>
      <c r="M3996">
        <v>4970.59</v>
      </c>
      <c r="N3996" t="s">
        <v>710</v>
      </c>
      <c r="O3996" t="s">
        <v>4833</v>
      </c>
      <c r="P3996" t="s">
        <v>4776</v>
      </c>
      <c r="Q3996" t="s">
        <v>4852</v>
      </c>
      <c r="R3996" t="s">
        <v>4773</v>
      </c>
    </row>
    <row r="3997" spans="1:18" x14ac:dyDescent="0.3">
      <c r="A3997">
        <v>11137639</v>
      </c>
      <c r="B3997" t="s">
        <v>1034</v>
      </c>
      <c r="C3997" t="s">
        <v>452</v>
      </c>
      <c r="D3997" t="s">
        <v>171</v>
      </c>
      <c r="E3997" s="1">
        <v>45756</v>
      </c>
      <c r="F3997" t="s">
        <v>4319</v>
      </c>
      <c r="G3997" t="s">
        <v>1685</v>
      </c>
      <c r="H3997" t="s">
        <v>450</v>
      </c>
      <c r="I3997" t="s">
        <v>209</v>
      </c>
      <c r="J3997" s="1">
        <v>54878</v>
      </c>
      <c r="K3997" t="s">
        <v>717</v>
      </c>
      <c r="L3997">
        <v>2570</v>
      </c>
      <c r="M3997">
        <v>2569.77</v>
      </c>
      <c r="N3997" t="s">
        <v>710</v>
      </c>
      <c r="Q3997" t="s">
        <v>4852</v>
      </c>
      <c r="R3997" t="s">
        <v>4771</v>
      </c>
    </row>
    <row r="3998" spans="1:18" x14ac:dyDescent="0.3">
      <c r="A3998">
        <v>11137588</v>
      </c>
      <c r="B3998" t="s">
        <v>1034</v>
      </c>
      <c r="C3998" t="s">
        <v>452</v>
      </c>
      <c r="D3998" t="s">
        <v>171</v>
      </c>
      <c r="E3998" s="1">
        <v>45756</v>
      </c>
      <c r="F3998" t="s">
        <v>4319</v>
      </c>
      <c r="G3998" t="s">
        <v>1685</v>
      </c>
      <c r="H3998" t="s">
        <v>450</v>
      </c>
      <c r="I3998" t="s">
        <v>209</v>
      </c>
      <c r="J3998" s="1">
        <v>54878</v>
      </c>
      <c r="K3998" t="s">
        <v>717</v>
      </c>
      <c r="L3998">
        <v>1616</v>
      </c>
      <c r="M3998">
        <v>1616.09</v>
      </c>
      <c r="N3998" t="s">
        <v>710</v>
      </c>
      <c r="Q3998" t="s">
        <v>4852</v>
      </c>
      <c r="R3998" t="s">
        <v>4771</v>
      </c>
    </row>
    <row r="3999" spans="1:18" x14ac:dyDescent="0.3">
      <c r="A3999">
        <v>11137698</v>
      </c>
      <c r="B3999" t="s">
        <v>1034</v>
      </c>
      <c r="C3999" t="s">
        <v>452</v>
      </c>
      <c r="D3999" t="s">
        <v>171</v>
      </c>
      <c r="E3999" s="1">
        <v>45756</v>
      </c>
      <c r="F3999" t="s">
        <v>4319</v>
      </c>
      <c r="G3999" t="s">
        <v>1685</v>
      </c>
      <c r="H3999" t="s">
        <v>450</v>
      </c>
      <c r="I3999" t="s">
        <v>209</v>
      </c>
      <c r="J3999" s="1">
        <v>54878</v>
      </c>
      <c r="K3999" t="s">
        <v>717</v>
      </c>
      <c r="L3999">
        <v>1438</v>
      </c>
      <c r="M3999">
        <v>1438.46</v>
      </c>
      <c r="N3999" t="s">
        <v>710</v>
      </c>
      <c r="Q3999" t="s">
        <v>4852</v>
      </c>
      <c r="R3999" t="s">
        <v>4771</v>
      </c>
    </row>
    <row r="4000" spans="1:18" x14ac:dyDescent="0.3">
      <c r="A4000">
        <v>202560</v>
      </c>
      <c r="B4000" t="s">
        <v>4875</v>
      </c>
      <c r="C4000" t="s">
        <v>322</v>
      </c>
      <c r="D4000" t="s">
        <v>158</v>
      </c>
      <c r="E4000" s="1">
        <v>45756</v>
      </c>
      <c r="F4000" t="s">
        <v>4433</v>
      </c>
      <c r="G4000" t="s">
        <v>1693</v>
      </c>
      <c r="H4000" t="s">
        <v>346</v>
      </c>
      <c r="I4000" t="s">
        <v>204</v>
      </c>
      <c r="J4000" s="1">
        <v>46310</v>
      </c>
      <c r="K4000" t="s">
        <v>748</v>
      </c>
      <c r="L4000">
        <v>25510</v>
      </c>
      <c r="M4000">
        <v>25510</v>
      </c>
      <c r="N4000" t="s">
        <v>710</v>
      </c>
      <c r="O4000" t="s">
        <v>1040</v>
      </c>
      <c r="P4000" t="s">
        <v>4782</v>
      </c>
      <c r="Q4000" t="s">
        <v>4856</v>
      </c>
      <c r="R4000" t="s">
        <v>4773</v>
      </c>
    </row>
    <row r="4001" spans="1:18" x14ac:dyDescent="0.3">
      <c r="A4001">
        <v>291613</v>
      </c>
      <c r="B4001" t="s">
        <v>1034</v>
      </c>
      <c r="C4001" t="s">
        <v>500</v>
      </c>
      <c r="D4001" t="s">
        <v>16</v>
      </c>
      <c r="E4001" s="1">
        <v>45756</v>
      </c>
      <c r="F4001" t="s">
        <v>4306</v>
      </c>
      <c r="G4001" t="s">
        <v>1779</v>
      </c>
      <c r="H4001" t="s">
        <v>499</v>
      </c>
      <c r="I4001" t="s">
        <v>204</v>
      </c>
      <c r="J4001" s="1">
        <v>54878</v>
      </c>
      <c r="K4001" t="s">
        <v>717</v>
      </c>
      <c r="L4001">
        <v>1634</v>
      </c>
      <c r="M4001">
        <v>1633.45</v>
      </c>
      <c r="N4001" t="s">
        <v>710</v>
      </c>
      <c r="O4001" t="s">
        <v>4833</v>
      </c>
      <c r="P4001" t="s">
        <v>4786</v>
      </c>
      <c r="Q4001" t="s">
        <v>4852</v>
      </c>
      <c r="R4001" t="s">
        <v>4773</v>
      </c>
    </row>
    <row r="4002" spans="1:18" x14ac:dyDescent="0.3">
      <c r="A4002">
        <v>41258</v>
      </c>
      <c r="B4002" t="s">
        <v>1034</v>
      </c>
      <c r="C4002" t="s">
        <v>327</v>
      </c>
      <c r="D4002" t="s">
        <v>159</v>
      </c>
      <c r="E4002" s="1">
        <v>45756</v>
      </c>
      <c r="F4002" t="s">
        <v>4295</v>
      </c>
      <c r="G4002" t="s">
        <v>1759</v>
      </c>
      <c r="H4002" t="s">
        <v>357</v>
      </c>
      <c r="I4002" t="s">
        <v>204</v>
      </c>
      <c r="J4002" s="1">
        <v>46476</v>
      </c>
      <c r="K4002" t="s">
        <v>711</v>
      </c>
      <c r="L4002">
        <v>2150</v>
      </c>
      <c r="M4002">
        <v>2150</v>
      </c>
      <c r="N4002" t="s">
        <v>890</v>
      </c>
      <c r="O4002" t="s">
        <v>4834</v>
      </c>
      <c r="P4002" t="s">
        <v>4776</v>
      </c>
      <c r="Q4002" t="s">
        <v>4901</v>
      </c>
      <c r="R4002" t="s">
        <v>4773</v>
      </c>
    </row>
    <row r="4003" spans="1:18" x14ac:dyDescent="0.3">
      <c r="A4003">
        <v>41257</v>
      </c>
      <c r="B4003" t="s">
        <v>1034</v>
      </c>
      <c r="C4003" t="s">
        <v>327</v>
      </c>
      <c r="D4003" t="s">
        <v>159</v>
      </c>
      <c r="E4003" s="1">
        <v>45756</v>
      </c>
      <c r="F4003" t="s">
        <v>4296</v>
      </c>
      <c r="G4003" t="s">
        <v>1760</v>
      </c>
      <c r="H4003" t="s">
        <v>357</v>
      </c>
      <c r="I4003" t="s">
        <v>204</v>
      </c>
      <c r="J4003" s="1">
        <v>46476</v>
      </c>
      <c r="K4003" t="s">
        <v>711</v>
      </c>
      <c r="L4003">
        <v>822.95</v>
      </c>
      <c r="M4003">
        <v>822.95</v>
      </c>
      <c r="N4003" t="s">
        <v>890</v>
      </c>
      <c r="O4003" t="s">
        <v>4834</v>
      </c>
      <c r="P4003" t="s">
        <v>4776</v>
      </c>
      <c r="Q4003" t="s">
        <v>4901</v>
      </c>
      <c r="R4003" t="s">
        <v>4773</v>
      </c>
    </row>
    <row r="4004" spans="1:18" x14ac:dyDescent="0.3">
      <c r="A4004">
        <v>202562</v>
      </c>
      <c r="B4004" t="s">
        <v>4875</v>
      </c>
      <c r="C4004" t="s">
        <v>322</v>
      </c>
      <c r="D4004" t="s">
        <v>158</v>
      </c>
      <c r="E4004" s="1">
        <v>45756</v>
      </c>
      <c r="F4004" t="s">
        <v>4432</v>
      </c>
      <c r="G4004" t="s">
        <v>1695</v>
      </c>
      <c r="H4004" t="s">
        <v>352</v>
      </c>
      <c r="I4004" t="s">
        <v>204</v>
      </c>
      <c r="J4004" s="1">
        <v>46310</v>
      </c>
      <c r="K4004" t="s">
        <v>748</v>
      </c>
      <c r="L4004">
        <v>2318.84</v>
      </c>
      <c r="M4004">
        <v>2318.84</v>
      </c>
      <c r="N4004" t="s">
        <v>710</v>
      </c>
      <c r="O4004" t="s">
        <v>1040</v>
      </c>
      <c r="P4004" t="s">
        <v>4782</v>
      </c>
      <c r="Q4004" t="s">
        <v>4856</v>
      </c>
      <c r="R4004" t="s">
        <v>4773</v>
      </c>
    </row>
    <row r="4005" spans="1:18" x14ac:dyDescent="0.3">
      <c r="A4005">
        <v>41256</v>
      </c>
      <c r="B4005" t="s">
        <v>1034</v>
      </c>
      <c r="C4005" t="s">
        <v>327</v>
      </c>
      <c r="D4005" t="s">
        <v>159</v>
      </c>
      <c r="E4005" s="1">
        <v>45756</v>
      </c>
      <c r="F4005" t="s">
        <v>4295</v>
      </c>
      <c r="G4005" t="s">
        <v>1736</v>
      </c>
      <c r="H4005" t="s">
        <v>357</v>
      </c>
      <c r="I4005" t="s">
        <v>204</v>
      </c>
      <c r="J4005" s="1">
        <v>46476</v>
      </c>
      <c r="K4005" t="s">
        <v>711</v>
      </c>
      <c r="L4005">
        <v>2150</v>
      </c>
      <c r="M4005">
        <v>2150</v>
      </c>
      <c r="N4005" t="s">
        <v>890</v>
      </c>
      <c r="O4005" t="s">
        <v>4834</v>
      </c>
      <c r="P4005" t="s">
        <v>4776</v>
      </c>
      <c r="Q4005" t="s">
        <v>4901</v>
      </c>
      <c r="R4005" t="s">
        <v>4773</v>
      </c>
    </row>
    <row r="4006" spans="1:18" x14ac:dyDescent="0.3">
      <c r="A4006">
        <v>291612</v>
      </c>
      <c r="B4006" t="s">
        <v>1034</v>
      </c>
      <c r="C4006" t="s">
        <v>500</v>
      </c>
      <c r="D4006" t="s">
        <v>16</v>
      </c>
      <c r="E4006" s="1">
        <v>45756</v>
      </c>
      <c r="F4006" t="s">
        <v>4306</v>
      </c>
      <c r="G4006" t="s">
        <v>1779</v>
      </c>
      <c r="H4006" t="s">
        <v>499</v>
      </c>
      <c r="I4006" t="s">
        <v>204</v>
      </c>
      <c r="J4006" s="1">
        <v>54878</v>
      </c>
      <c r="K4006" t="s">
        <v>717</v>
      </c>
      <c r="L4006">
        <v>1634</v>
      </c>
      <c r="M4006">
        <v>1633.45</v>
      </c>
      <c r="N4006" t="s">
        <v>710</v>
      </c>
      <c r="O4006" t="s">
        <v>4833</v>
      </c>
      <c r="P4006" t="s">
        <v>4786</v>
      </c>
      <c r="Q4006" t="s">
        <v>4852</v>
      </c>
      <c r="R4006" t="s">
        <v>4773</v>
      </c>
    </row>
    <row r="4007" spans="1:18" x14ac:dyDescent="0.3">
      <c r="A4007">
        <v>43189</v>
      </c>
      <c r="B4007" t="s">
        <v>1034</v>
      </c>
      <c r="C4007" t="s">
        <v>497</v>
      </c>
      <c r="D4007" t="s">
        <v>58</v>
      </c>
      <c r="E4007" s="1">
        <v>45756</v>
      </c>
      <c r="F4007" t="s">
        <v>4316</v>
      </c>
      <c r="G4007" t="s">
        <v>1774</v>
      </c>
      <c r="H4007" t="s">
        <v>498</v>
      </c>
      <c r="I4007" t="s">
        <v>204</v>
      </c>
      <c r="J4007" s="1">
        <v>46265</v>
      </c>
      <c r="K4007" t="s">
        <v>717</v>
      </c>
      <c r="L4007">
        <v>538</v>
      </c>
      <c r="M4007">
        <v>537.17999999999995</v>
      </c>
      <c r="N4007" t="s">
        <v>710</v>
      </c>
      <c r="O4007" t="s">
        <v>4833</v>
      </c>
      <c r="P4007" t="s">
        <v>4776</v>
      </c>
      <c r="Q4007" t="s">
        <v>4852</v>
      </c>
      <c r="R4007" t="s">
        <v>4773</v>
      </c>
    </row>
    <row r="4008" spans="1:18" x14ac:dyDescent="0.3">
      <c r="A4008">
        <v>2025494</v>
      </c>
      <c r="B4008" t="s">
        <v>4875</v>
      </c>
      <c r="C4008" t="s">
        <v>550</v>
      </c>
      <c r="D4008" t="s">
        <v>189</v>
      </c>
      <c r="E4008" s="1">
        <v>45755</v>
      </c>
      <c r="F4008" t="s">
        <v>4338</v>
      </c>
      <c r="G4008" t="s">
        <v>1770</v>
      </c>
      <c r="H4008" t="s">
        <v>569</v>
      </c>
      <c r="I4008" t="s">
        <v>204</v>
      </c>
      <c r="J4008" s="1">
        <v>46599</v>
      </c>
      <c r="K4008" t="s">
        <v>768</v>
      </c>
      <c r="L4008">
        <v>23437.4</v>
      </c>
      <c r="M4008">
        <v>23437.4</v>
      </c>
      <c r="N4008" t="s">
        <v>710</v>
      </c>
      <c r="O4008" t="s">
        <v>4904</v>
      </c>
      <c r="P4008" t="s">
        <v>4792</v>
      </c>
      <c r="Q4008" t="s">
        <v>4904</v>
      </c>
      <c r="R4008" t="s">
        <v>4772</v>
      </c>
    </row>
    <row r="4009" spans="1:18" x14ac:dyDescent="0.3">
      <c r="A4009">
        <v>187799</v>
      </c>
      <c r="B4009" t="s">
        <v>4874</v>
      </c>
      <c r="C4009" t="s">
        <v>467</v>
      </c>
      <c r="D4009" t="s">
        <v>175</v>
      </c>
      <c r="E4009" s="1">
        <v>45755</v>
      </c>
      <c r="F4009" t="s">
        <v>4315</v>
      </c>
      <c r="G4009" t="s">
        <v>1722</v>
      </c>
      <c r="H4009" t="s">
        <v>466</v>
      </c>
      <c r="I4009" t="s">
        <v>204</v>
      </c>
      <c r="J4009" s="1">
        <v>46266</v>
      </c>
      <c r="K4009" t="s">
        <v>762</v>
      </c>
      <c r="L4009">
        <v>10772</v>
      </c>
      <c r="M4009">
        <v>10771.59</v>
      </c>
      <c r="N4009" t="s">
        <v>710</v>
      </c>
      <c r="O4009" t="s">
        <v>4845</v>
      </c>
      <c r="P4009" t="s">
        <v>4776</v>
      </c>
      <c r="Q4009" t="s">
        <v>4845</v>
      </c>
      <c r="R4009" t="s">
        <v>4773</v>
      </c>
    </row>
    <row r="4010" spans="1:18" x14ac:dyDescent="0.3">
      <c r="A4010">
        <v>7018</v>
      </c>
      <c r="B4010" t="s">
        <v>4874</v>
      </c>
      <c r="C4010" t="s">
        <v>484</v>
      </c>
      <c r="D4010" t="s">
        <v>140</v>
      </c>
      <c r="E4010" s="1">
        <v>45755</v>
      </c>
      <c r="F4010" t="s">
        <v>4345</v>
      </c>
      <c r="G4010" t="s">
        <v>1717</v>
      </c>
      <c r="H4010" t="s">
        <v>483</v>
      </c>
      <c r="I4010" t="s">
        <v>204</v>
      </c>
      <c r="J4010" s="1">
        <v>46508</v>
      </c>
      <c r="K4010" t="s">
        <v>762</v>
      </c>
      <c r="L4010">
        <v>22560</v>
      </c>
      <c r="M4010">
        <v>22560</v>
      </c>
      <c r="N4010" t="s">
        <v>710</v>
      </c>
      <c r="O4010" t="s">
        <v>4833</v>
      </c>
      <c r="P4010" t="s">
        <v>4776</v>
      </c>
      <c r="Q4010" t="s">
        <v>4852</v>
      </c>
      <c r="R4010" t="s">
        <v>4773</v>
      </c>
    </row>
    <row r="4011" spans="1:18" x14ac:dyDescent="0.3">
      <c r="A4011">
        <v>115933</v>
      </c>
      <c r="B4011" t="s">
        <v>4874</v>
      </c>
      <c r="C4011" t="s">
        <v>433</v>
      </c>
      <c r="D4011" t="s">
        <v>168</v>
      </c>
      <c r="E4011" s="1">
        <v>45755</v>
      </c>
      <c r="F4011" t="s">
        <v>4319</v>
      </c>
      <c r="G4011" t="s">
        <v>1703</v>
      </c>
      <c r="H4011" t="s">
        <v>432</v>
      </c>
      <c r="I4011" t="s">
        <v>204</v>
      </c>
      <c r="J4011" s="1">
        <v>46473</v>
      </c>
      <c r="K4011" t="s">
        <v>762</v>
      </c>
      <c r="L4011">
        <v>4120</v>
      </c>
      <c r="M4011">
        <v>4119.42</v>
      </c>
      <c r="N4011" t="s">
        <v>710</v>
      </c>
      <c r="O4011" t="s">
        <v>4833</v>
      </c>
      <c r="P4011" t="s">
        <v>4802</v>
      </c>
      <c r="Q4011" t="s">
        <v>4852</v>
      </c>
      <c r="R4011" t="s">
        <v>4771</v>
      </c>
    </row>
    <row r="4012" spans="1:18" x14ac:dyDescent="0.3">
      <c r="A4012">
        <v>267636</v>
      </c>
      <c r="B4012" t="s">
        <v>4874</v>
      </c>
      <c r="C4012" t="s">
        <v>391</v>
      </c>
      <c r="D4012" t="s">
        <v>104</v>
      </c>
      <c r="E4012" s="1">
        <v>45755</v>
      </c>
      <c r="F4012" t="s">
        <v>4315</v>
      </c>
      <c r="G4012" t="s">
        <v>1745</v>
      </c>
      <c r="H4012" t="s">
        <v>390</v>
      </c>
      <c r="I4012" t="s">
        <v>204</v>
      </c>
      <c r="J4012" s="1">
        <v>54878</v>
      </c>
      <c r="K4012" t="s">
        <v>762</v>
      </c>
      <c r="L4012">
        <v>82.81</v>
      </c>
      <c r="M4012">
        <v>82.81</v>
      </c>
      <c r="N4012" t="s">
        <v>710</v>
      </c>
      <c r="O4012" t="s">
        <v>4833</v>
      </c>
      <c r="P4012" t="s">
        <v>4776</v>
      </c>
      <c r="Q4012" t="s">
        <v>4852</v>
      </c>
      <c r="R4012" t="s">
        <v>4773</v>
      </c>
    </row>
    <row r="4013" spans="1:18" x14ac:dyDescent="0.3">
      <c r="A4013">
        <v>7020</v>
      </c>
      <c r="B4013" t="s">
        <v>4874</v>
      </c>
      <c r="C4013" t="s">
        <v>484</v>
      </c>
      <c r="D4013" t="s">
        <v>140</v>
      </c>
      <c r="E4013" s="1">
        <v>45755</v>
      </c>
      <c r="F4013" t="s">
        <v>4345</v>
      </c>
      <c r="G4013" t="s">
        <v>1718</v>
      </c>
      <c r="H4013" t="s">
        <v>483</v>
      </c>
      <c r="I4013" t="s">
        <v>204</v>
      </c>
      <c r="J4013" s="1">
        <v>46508</v>
      </c>
      <c r="K4013" t="s">
        <v>762</v>
      </c>
      <c r="L4013">
        <v>7850</v>
      </c>
      <c r="M4013">
        <v>7850</v>
      </c>
      <c r="N4013" t="s">
        <v>710</v>
      </c>
      <c r="O4013" t="s">
        <v>4833</v>
      </c>
      <c r="P4013" t="s">
        <v>4776</v>
      </c>
      <c r="Q4013" t="s">
        <v>4852</v>
      </c>
      <c r="R4013" t="s">
        <v>4773</v>
      </c>
    </row>
    <row r="4014" spans="1:18" x14ac:dyDescent="0.3">
      <c r="A4014">
        <v>153598</v>
      </c>
      <c r="B4014" t="s">
        <v>1034</v>
      </c>
      <c r="C4014" t="s">
        <v>301</v>
      </c>
      <c r="D4014" t="s">
        <v>23</v>
      </c>
      <c r="E4014" s="1">
        <v>45755</v>
      </c>
      <c r="F4014" t="s">
        <v>4321</v>
      </c>
      <c r="G4014" t="s">
        <v>1670</v>
      </c>
      <c r="H4014" t="s">
        <v>323</v>
      </c>
      <c r="I4014" t="s">
        <v>204</v>
      </c>
      <c r="J4014" s="1">
        <v>46538</v>
      </c>
      <c r="K4014" t="s">
        <v>711</v>
      </c>
      <c r="L4014">
        <v>5244.13</v>
      </c>
      <c r="M4014">
        <v>5244.13</v>
      </c>
      <c r="N4014" t="s">
        <v>710</v>
      </c>
      <c r="O4014" t="s">
        <v>1036</v>
      </c>
      <c r="P4014" t="s">
        <v>4782</v>
      </c>
      <c r="Q4014" t="s">
        <v>4901</v>
      </c>
      <c r="R4014" t="s">
        <v>4773</v>
      </c>
    </row>
    <row r="4015" spans="1:18" x14ac:dyDescent="0.3">
      <c r="A4015">
        <v>177856</v>
      </c>
      <c r="B4015" t="s">
        <v>4874</v>
      </c>
      <c r="C4015" t="s">
        <v>411</v>
      </c>
      <c r="D4015" t="s">
        <v>154</v>
      </c>
      <c r="E4015" s="1">
        <v>45755</v>
      </c>
      <c r="F4015" t="s">
        <v>4345</v>
      </c>
      <c r="G4015" t="s">
        <v>1725</v>
      </c>
      <c r="H4015" t="s">
        <v>410</v>
      </c>
      <c r="I4015" t="s">
        <v>204</v>
      </c>
      <c r="J4015" s="1">
        <v>46344</v>
      </c>
      <c r="K4015" t="s">
        <v>762</v>
      </c>
      <c r="L4015">
        <v>15206.21</v>
      </c>
      <c r="M4015">
        <v>15206.21</v>
      </c>
      <c r="N4015" t="s">
        <v>710</v>
      </c>
      <c r="O4015" t="s">
        <v>4833</v>
      </c>
      <c r="P4015" t="s">
        <v>4776</v>
      </c>
      <c r="Q4015" t="s">
        <v>4852</v>
      </c>
      <c r="R4015" t="s">
        <v>4773</v>
      </c>
    </row>
    <row r="4016" spans="1:18" x14ac:dyDescent="0.3">
      <c r="A4016">
        <v>217965</v>
      </c>
      <c r="B4016" t="s">
        <v>4875</v>
      </c>
      <c r="C4016" t="s">
        <v>493</v>
      </c>
      <c r="D4016" t="s">
        <v>197</v>
      </c>
      <c r="E4016" s="1">
        <v>45755</v>
      </c>
      <c r="F4016" t="s">
        <v>4306</v>
      </c>
      <c r="G4016" t="s">
        <v>1751</v>
      </c>
      <c r="H4016" t="s">
        <v>492</v>
      </c>
      <c r="I4016" t="s">
        <v>204</v>
      </c>
      <c r="J4016" s="1">
        <v>54878</v>
      </c>
      <c r="K4016" t="s">
        <v>768</v>
      </c>
      <c r="L4016">
        <v>799</v>
      </c>
      <c r="M4016">
        <v>799</v>
      </c>
      <c r="N4016" t="s">
        <v>710</v>
      </c>
      <c r="O4016" t="s">
        <v>4833</v>
      </c>
      <c r="P4016" t="s">
        <v>4786</v>
      </c>
      <c r="Q4016" t="s">
        <v>4852</v>
      </c>
      <c r="R4016" t="s">
        <v>4773</v>
      </c>
    </row>
    <row r="4017" spans="1:18" x14ac:dyDescent="0.3">
      <c r="A4017">
        <v>184900</v>
      </c>
      <c r="B4017" t="s">
        <v>4874</v>
      </c>
      <c r="C4017" t="s">
        <v>391</v>
      </c>
      <c r="D4017" t="s">
        <v>104</v>
      </c>
      <c r="E4017" s="1">
        <v>45755</v>
      </c>
      <c r="F4017" t="s">
        <v>4354</v>
      </c>
      <c r="G4017" t="s">
        <v>1745</v>
      </c>
      <c r="H4017" t="s">
        <v>390</v>
      </c>
      <c r="I4017" t="s">
        <v>204</v>
      </c>
      <c r="J4017" s="1">
        <v>54878</v>
      </c>
      <c r="K4017" t="s">
        <v>762</v>
      </c>
      <c r="L4017">
        <v>211.58</v>
      </c>
      <c r="M4017">
        <v>211.58</v>
      </c>
      <c r="N4017" t="s">
        <v>710</v>
      </c>
      <c r="O4017" t="s">
        <v>4833</v>
      </c>
      <c r="P4017" t="s">
        <v>4776</v>
      </c>
      <c r="Q4017" t="s">
        <v>4852</v>
      </c>
      <c r="R4017" t="s">
        <v>4773</v>
      </c>
    </row>
    <row r="4018" spans="1:18" x14ac:dyDescent="0.3">
      <c r="A4018">
        <v>18941</v>
      </c>
      <c r="B4018" t="s">
        <v>4874</v>
      </c>
      <c r="C4018" t="s">
        <v>539</v>
      </c>
      <c r="D4018" t="s">
        <v>189</v>
      </c>
      <c r="E4018" s="1">
        <v>45755</v>
      </c>
      <c r="F4018" t="s">
        <v>4327</v>
      </c>
      <c r="G4018" t="s">
        <v>1688</v>
      </c>
      <c r="H4018" t="s">
        <v>573</v>
      </c>
      <c r="I4018" t="s">
        <v>209</v>
      </c>
      <c r="J4018" s="1">
        <v>45808</v>
      </c>
      <c r="K4018" t="s">
        <v>762</v>
      </c>
      <c r="L4018">
        <v>5499.6</v>
      </c>
      <c r="M4018">
        <v>5499.6</v>
      </c>
      <c r="N4018" t="s">
        <v>890</v>
      </c>
      <c r="Q4018" t="s">
        <v>807</v>
      </c>
    </row>
    <row r="4019" spans="1:18" x14ac:dyDescent="0.3">
      <c r="A4019">
        <v>201125</v>
      </c>
      <c r="B4019" t="s">
        <v>4874</v>
      </c>
      <c r="C4019" t="s">
        <v>391</v>
      </c>
      <c r="D4019" t="s">
        <v>104</v>
      </c>
      <c r="E4019" s="1">
        <v>45755</v>
      </c>
      <c r="F4019" t="s">
        <v>4306</v>
      </c>
      <c r="G4019" t="s">
        <v>1745</v>
      </c>
      <c r="H4019" t="s">
        <v>390</v>
      </c>
      <c r="I4019" t="s">
        <v>204</v>
      </c>
      <c r="J4019" s="1">
        <v>54878</v>
      </c>
      <c r="K4019" t="s">
        <v>762</v>
      </c>
      <c r="L4019">
        <v>839</v>
      </c>
      <c r="M4019">
        <v>838.58</v>
      </c>
      <c r="N4019" t="s">
        <v>710</v>
      </c>
      <c r="O4019" t="s">
        <v>4833</v>
      </c>
      <c r="P4019" t="s">
        <v>4776</v>
      </c>
      <c r="Q4019" t="s">
        <v>4852</v>
      </c>
      <c r="R4019" t="s">
        <v>4773</v>
      </c>
    </row>
    <row r="4020" spans="1:18" x14ac:dyDescent="0.3">
      <c r="A4020">
        <v>217964</v>
      </c>
      <c r="B4020" t="s">
        <v>4875</v>
      </c>
      <c r="C4020" t="s">
        <v>493</v>
      </c>
      <c r="D4020" t="s">
        <v>197</v>
      </c>
      <c r="E4020" s="1">
        <v>45755</v>
      </c>
      <c r="F4020" t="s">
        <v>4306</v>
      </c>
      <c r="G4020" t="s">
        <v>1752</v>
      </c>
      <c r="H4020" t="s">
        <v>492</v>
      </c>
      <c r="I4020" t="s">
        <v>204</v>
      </c>
      <c r="J4020" s="1">
        <v>54878</v>
      </c>
      <c r="K4020" t="s">
        <v>768</v>
      </c>
      <c r="L4020">
        <v>650</v>
      </c>
      <c r="M4020">
        <v>650</v>
      </c>
      <c r="N4020" t="s">
        <v>710</v>
      </c>
      <c r="O4020" t="s">
        <v>4833</v>
      </c>
      <c r="P4020" t="s">
        <v>4786</v>
      </c>
      <c r="Q4020" t="s">
        <v>4852</v>
      </c>
      <c r="R4020" t="s">
        <v>4773</v>
      </c>
    </row>
    <row r="4021" spans="1:18" x14ac:dyDescent="0.3">
      <c r="A4021">
        <v>2025495</v>
      </c>
      <c r="B4021" t="s">
        <v>1034</v>
      </c>
      <c r="C4021" t="s">
        <v>550</v>
      </c>
      <c r="D4021" t="s">
        <v>189</v>
      </c>
      <c r="E4021" s="1">
        <v>45755</v>
      </c>
      <c r="F4021" t="s">
        <v>4338</v>
      </c>
      <c r="G4021" t="s">
        <v>1771</v>
      </c>
      <c r="H4021" t="s">
        <v>582</v>
      </c>
      <c r="I4021" t="s">
        <v>204</v>
      </c>
      <c r="J4021" s="1">
        <v>46599</v>
      </c>
      <c r="K4021" t="s">
        <v>717</v>
      </c>
      <c r="L4021">
        <v>27301.11</v>
      </c>
      <c r="M4021">
        <v>27301.11</v>
      </c>
      <c r="N4021" t="s">
        <v>710</v>
      </c>
      <c r="O4021" t="s">
        <v>4904</v>
      </c>
      <c r="P4021" t="s">
        <v>4792</v>
      </c>
      <c r="Q4021" t="s">
        <v>4904</v>
      </c>
      <c r="R4021" t="s">
        <v>4772</v>
      </c>
    </row>
    <row r="4022" spans="1:18" x14ac:dyDescent="0.3">
      <c r="A4022">
        <v>690673</v>
      </c>
      <c r="B4022" t="s">
        <v>4874</v>
      </c>
      <c r="C4022" t="s">
        <v>409</v>
      </c>
      <c r="D4022" t="s">
        <v>28</v>
      </c>
      <c r="E4022" s="1">
        <v>45755</v>
      </c>
      <c r="F4022" t="s">
        <v>4388</v>
      </c>
      <c r="G4022" t="s">
        <v>1712</v>
      </c>
      <c r="H4022" t="s">
        <v>408</v>
      </c>
      <c r="I4022" t="s">
        <v>204</v>
      </c>
      <c r="J4022" s="1">
        <v>54878</v>
      </c>
      <c r="K4022" t="s">
        <v>762</v>
      </c>
      <c r="L4022">
        <v>19634</v>
      </c>
      <c r="M4022">
        <v>19633.419999999998</v>
      </c>
      <c r="N4022" t="s">
        <v>710</v>
      </c>
      <c r="O4022" t="s">
        <v>4833</v>
      </c>
      <c r="P4022" t="s">
        <v>4776</v>
      </c>
      <c r="Q4022" t="s">
        <v>4852</v>
      </c>
      <c r="R4022" t="s">
        <v>4773</v>
      </c>
    </row>
    <row r="4023" spans="1:18" x14ac:dyDescent="0.3">
      <c r="A4023">
        <v>202595</v>
      </c>
      <c r="B4023" t="s">
        <v>1034</v>
      </c>
      <c r="C4023" t="s">
        <v>552</v>
      </c>
      <c r="D4023" t="s">
        <v>190</v>
      </c>
      <c r="E4023" s="1">
        <v>45755</v>
      </c>
      <c r="F4023" t="s">
        <v>4339</v>
      </c>
      <c r="G4023" t="s">
        <v>1689</v>
      </c>
      <c r="H4023" t="s">
        <v>583</v>
      </c>
      <c r="I4023" t="s">
        <v>204</v>
      </c>
      <c r="J4023" s="1">
        <v>46441</v>
      </c>
      <c r="K4023" t="s">
        <v>717</v>
      </c>
      <c r="L4023">
        <v>64252.04</v>
      </c>
      <c r="M4023">
        <v>64252.04</v>
      </c>
      <c r="N4023" t="s">
        <v>710</v>
      </c>
      <c r="O4023" t="s">
        <v>4904</v>
      </c>
      <c r="P4023" t="s">
        <v>4792</v>
      </c>
      <c r="Q4023" t="s">
        <v>4904</v>
      </c>
      <c r="R4023" t="s">
        <v>4772</v>
      </c>
    </row>
    <row r="4024" spans="1:18" x14ac:dyDescent="0.3">
      <c r="A4024">
        <v>1279566</v>
      </c>
      <c r="B4024" t="s">
        <v>4874</v>
      </c>
      <c r="C4024" t="s">
        <v>407</v>
      </c>
      <c r="D4024" t="s">
        <v>170</v>
      </c>
      <c r="E4024" s="1">
        <v>45755</v>
      </c>
      <c r="F4024" t="s">
        <v>4388</v>
      </c>
      <c r="G4024" t="s">
        <v>1702</v>
      </c>
      <c r="H4024" t="s">
        <v>406</v>
      </c>
      <c r="I4024" t="s">
        <v>204</v>
      </c>
      <c r="J4024" s="1">
        <v>46387</v>
      </c>
      <c r="K4024" t="s">
        <v>762</v>
      </c>
      <c r="L4024">
        <v>32915</v>
      </c>
      <c r="M4024">
        <v>32914.68</v>
      </c>
      <c r="N4024" t="s">
        <v>710</v>
      </c>
      <c r="O4024" t="s">
        <v>4833</v>
      </c>
      <c r="P4024" t="s">
        <v>4776</v>
      </c>
      <c r="Q4024" t="s">
        <v>4852</v>
      </c>
      <c r="R4024" t="s">
        <v>4771</v>
      </c>
    </row>
    <row r="4025" spans="1:18" x14ac:dyDescent="0.3">
      <c r="A4025">
        <v>2025111</v>
      </c>
      <c r="B4025" t="s">
        <v>1034</v>
      </c>
      <c r="C4025" t="s">
        <v>552</v>
      </c>
      <c r="D4025" t="s">
        <v>190</v>
      </c>
      <c r="E4025" s="1">
        <v>45755</v>
      </c>
      <c r="F4025" t="s">
        <v>4339</v>
      </c>
      <c r="G4025" t="s">
        <v>1769</v>
      </c>
      <c r="H4025" t="s">
        <v>583</v>
      </c>
      <c r="I4025" t="s">
        <v>204</v>
      </c>
      <c r="J4025" s="1">
        <v>46441</v>
      </c>
      <c r="K4025" t="s">
        <v>717</v>
      </c>
      <c r="L4025">
        <v>64252.04</v>
      </c>
      <c r="M4025">
        <v>64252.04</v>
      </c>
      <c r="N4025" t="s">
        <v>710</v>
      </c>
      <c r="O4025" t="s">
        <v>4904</v>
      </c>
      <c r="P4025" t="s">
        <v>4792</v>
      </c>
      <c r="Q4025" t="s">
        <v>4904</v>
      </c>
      <c r="R4025" t="s">
        <v>4772</v>
      </c>
    </row>
    <row r="4026" spans="1:18" x14ac:dyDescent="0.3">
      <c r="A4026">
        <v>10575</v>
      </c>
      <c r="B4026" t="s">
        <v>4874</v>
      </c>
      <c r="C4026" t="s">
        <v>546</v>
      </c>
      <c r="D4026" t="s">
        <v>75</v>
      </c>
      <c r="E4026" s="1">
        <v>45754</v>
      </c>
      <c r="F4026" t="s">
        <v>4355</v>
      </c>
      <c r="G4026" t="s">
        <v>1728</v>
      </c>
      <c r="H4026" t="s">
        <v>581</v>
      </c>
      <c r="I4026" t="s">
        <v>204</v>
      </c>
      <c r="J4026" s="1">
        <v>46233</v>
      </c>
      <c r="K4026" t="s">
        <v>720</v>
      </c>
      <c r="L4026">
        <v>1</v>
      </c>
      <c r="M4026">
        <v>3090.55</v>
      </c>
      <c r="N4026" t="s">
        <v>814</v>
      </c>
      <c r="O4026" t="s">
        <v>1038</v>
      </c>
      <c r="P4026" t="s">
        <v>4779</v>
      </c>
      <c r="Q4026" t="s">
        <v>4858</v>
      </c>
      <c r="R4026" t="s">
        <v>4773</v>
      </c>
    </row>
    <row r="4027" spans="1:18" x14ac:dyDescent="0.3">
      <c r="A4027">
        <v>1183917</v>
      </c>
      <c r="B4027" t="s">
        <v>4874</v>
      </c>
      <c r="C4027" t="s">
        <v>472</v>
      </c>
      <c r="D4027" t="s">
        <v>48</v>
      </c>
      <c r="E4027" s="1">
        <v>45754</v>
      </c>
      <c r="F4027" t="s">
        <v>4345</v>
      </c>
      <c r="G4027" t="s">
        <v>1746</v>
      </c>
      <c r="H4027" t="s">
        <v>471</v>
      </c>
      <c r="I4027" t="s">
        <v>204</v>
      </c>
      <c r="J4027" s="1">
        <v>46270</v>
      </c>
      <c r="K4027" t="s">
        <v>762</v>
      </c>
      <c r="L4027">
        <v>52.2</v>
      </c>
      <c r="M4027">
        <v>52.2</v>
      </c>
      <c r="N4027" t="s">
        <v>710</v>
      </c>
      <c r="O4027" t="s">
        <v>4845</v>
      </c>
      <c r="P4027" t="s">
        <v>4776</v>
      </c>
      <c r="Q4027" t="s">
        <v>4845</v>
      </c>
      <c r="R4027" t="s">
        <v>4773</v>
      </c>
    </row>
    <row r="4028" spans="1:18" x14ac:dyDescent="0.3">
      <c r="A4028">
        <v>6068</v>
      </c>
      <c r="B4028" t="s">
        <v>1034</v>
      </c>
      <c r="C4028" t="s">
        <v>208</v>
      </c>
      <c r="D4028" t="s">
        <v>164</v>
      </c>
      <c r="E4028" s="1">
        <v>45754</v>
      </c>
      <c r="F4028" t="s">
        <v>4297</v>
      </c>
      <c r="G4028" t="s">
        <v>1753</v>
      </c>
      <c r="H4028" t="s">
        <v>604</v>
      </c>
      <c r="I4028" t="s">
        <v>204</v>
      </c>
      <c r="J4028" s="1">
        <v>46256</v>
      </c>
      <c r="K4028" t="s">
        <v>711</v>
      </c>
      <c r="L4028">
        <v>2</v>
      </c>
      <c r="M4028">
        <v>120</v>
      </c>
      <c r="N4028" t="s">
        <v>710</v>
      </c>
      <c r="O4028" t="s">
        <v>1036</v>
      </c>
      <c r="P4028" t="s">
        <v>4784</v>
      </c>
      <c r="Q4028" t="s">
        <v>4901</v>
      </c>
    </row>
    <row r="4029" spans="1:18" x14ac:dyDescent="0.3">
      <c r="A4029">
        <v>6068</v>
      </c>
      <c r="B4029" t="s">
        <v>1034</v>
      </c>
      <c r="C4029" t="s">
        <v>208</v>
      </c>
      <c r="D4029" t="s">
        <v>164</v>
      </c>
      <c r="E4029" s="1">
        <v>45754</v>
      </c>
      <c r="F4029" t="s">
        <v>4297</v>
      </c>
      <c r="G4029" t="s">
        <v>1753</v>
      </c>
      <c r="H4029" t="s">
        <v>604</v>
      </c>
      <c r="I4029" t="s">
        <v>204</v>
      </c>
      <c r="J4029" s="1">
        <v>46256</v>
      </c>
      <c r="K4029" t="s">
        <v>711</v>
      </c>
      <c r="L4029">
        <v>4</v>
      </c>
      <c r="M4029">
        <v>240</v>
      </c>
      <c r="N4029" t="s">
        <v>710</v>
      </c>
      <c r="O4029" t="s">
        <v>1036</v>
      </c>
      <c r="P4029" t="s">
        <v>4784</v>
      </c>
      <c r="Q4029" t="s">
        <v>4901</v>
      </c>
    </row>
    <row r="4030" spans="1:18" x14ac:dyDescent="0.3">
      <c r="A4030">
        <v>4802</v>
      </c>
      <c r="B4030" t="s">
        <v>1034</v>
      </c>
      <c r="C4030" t="s">
        <v>208</v>
      </c>
      <c r="D4030" t="s">
        <v>164</v>
      </c>
      <c r="E4030" s="1">
        <v>45754</v>
      </c>
      <c r="F4030" t="s">
        <v>4341</v>
      </c>
      <c r="G4030" t="s">
        <v>1711</v>
      </c>
      <c r="H4030" t="s">
        <v>604</v>
      </c>
      <c r="I4030" t="s">
        <v>204</v>
      </c>
      <c r="J4030" s="1">
        <v>46256</v>
      </c>
      <c r="K4030" t="s">
        <v>711</v>
      </c>
      <c r="L4030">
        <v>1</v>
      </c>
      <c r="M4030">
        <v>640</v>
      </c>
      <c r="N4030" t="s">
        <v>710</v>
      </c>
      <c r="O4030" t="s">
        <v>1036</v>
      </c>
      <c r="P4030" t="s">
        <v>4784</v>
      </c>
      <c r="Q4030" t="s">
        <v>4901</v>
      </c>
    </row>
    <row r="4031" spans="1:18" x14ac:dyDescent="0.3">
      <c r="A4031">
        <v>16270</v>
      </c>
      <c r="B4031" t="s">
        <v>1034</v>
      </c>
      <c r="C4031" t="s">
        <v>359</v>
      </c>
      <c r="D4031" t="s">
        <v>53</v>
      </c>
      <c r="E4031" s="1">
        <v>45754</v>
      </c>
      <c r="F4031" t="s">
        <v>4305</v>
      </c>
      <c r="G4031" t="s">
        <v>1735</v>
      </c>
      <c r="H4031" t="s">
        <v>358</v>
      </c>
      <c r="I4031" t="s">
        <v>204</v>
      </c>
      <c r="J4031" s="1">
        <v>54878</v>
      </c>
      <c r="K4031" t="s">
        <v>711</v>
      </c>
      <c r="L4031">
        <v>625.37</v>
      </c>
      <c r="M4031">
        <v>625.37</v>
      </c>
      <c r="N4031" t="s">
        <v>710</v>
      </c>
      <c r="O4031" t="s">
        <v>1036</v>
      </c>
      <c r="P4031" t="s">
        <v>4776</v>
      </c>
      <c r="Q4031" t="s">
        <v>4901</v>
      </c>
      <c r="R4031" t="s">
        <v>4773</v>
      </c>
    </row>
    <row r="4032" spans="1:18" x14ac:dyDescent="0.3">
      <c r="A4032">
        <v>4802</v>
      </c>
      <c r="B4032" t="s">
        <v>1034</v>
      </c>
      <c r="C4032" t="s">
        <v>208</v>
      </c>
      <c r="D4032" t="s">
        <v>164</v>
      </c>
      <c r="E4032" s="1">
        <v>45754</v>
      </c>
      <c r="F4032" t="s">
        <v>4343</v>
      </c>
      <c r="G4032" t="s">
        <v>1711</v>
      </c>
      <c r="H4032" t="s">
        <v>604</v>
      </c>
      <c r="I4032" t="s">
        <v>204</v>
      </c>
      <c r="J4032" s="1">
        <v>46256</v>
      </c>
      <c r="K4032" t="s">
        <v>711</v>
      </c>
      <c r="L4032">
        <v>2</v>
      </c>
      <c r="M4032">
        <v>280</v>
      </c>
      <c r="N4032" t="s">
        <v>710</v>
      </c>
      <c r="O4032" t="s">
        <v>1036</v>
      </c>
      <c r="P4032" t="s">
        <v>4784</v>
      </c>
      <c r="Q4032" t="s">
        <v>4901</v>
      </c>
    </row>
    <row r="4033" spans="1:18" x14ac:dyDescent="0.3">
      <c r="A4033">
        <v>4802</v>
      </c>
      <c r="B4033" t="s">
        <v>1034</v>
      </c>
      <c r="C4033" t="s">
        <v>208</v>
      </c>
      <c r="D4033" t="s">
        <v>164</v>
      </c>
      <c r="E4033" s="1">
        <v>45754</v>
      </c>
      <c r="F4033" t="s">
        <v>4342</v>
      </c>
      <c r="G4033" t="s">
        <v>1711</v>
      </c>
      <c r="H4033" t="s">
        <v>604</v>
      </c>
      <c r="I4033" t="s">
        <v>204</v>
      </c>
      <c r="J4033" s="1">
        <v>46256</v>
      </c>
      <c r="K4033" t="s">
        <v>711</v>
      </c>
      <c r="L4033">
        <v>2</v>
      </c>
      <c r="M4033">
        <v>680</v>
      </c>
      <c r="N4033" t="s">
        <v>710</v>
      </c>
      <c r="O4033" t="s">
        <v>1036</v>
      </c>
      <c r="P4033" t="s">
        <v>4784</v>
      </c>
      <c r="Q4033" t="s">
        <v>4901</v>
      </c>
    </row>
    <row r="4034" spans="1:18" x14ac:dyDescent="0.3">
      <c r="A4034">
        <v>1492</v>
      </c>
      <c r="B4034" t="s">
        <v>1034</v>
      </c>
      <c r="C4034" t="s">
        <v>312</v>
      </c>
      <c r="D4034" t="s">
        <v>73</v>
      </c>
      <c r="E4034" s="1">
        <v>45754</v>
      </c>
      <c r="F4034" t="s">
        <v>4300</v>
      </c>
      <c r="G4034" t="s">
        <v>1755</v>
      </c>
      <c r="H4034" t="s">
        <v>311</v>
      </c>
      <c r="I4034" t="s">
        <v>204</v>
      </c>
      <c r="J4034" s="1">
        <v>54878</v>
      </c>
      <c r="K4034" t="s">
        <v>711</v>
      </c>
      <c r="L4034">
        <v>2255</v>
      </c>
      <c r="M4034">
        <v>2255</v>
      </c>
      <c r="N4034" t="s">
        <v>719</v>
      </c>
      <c r="O4034" t="s">
        <v>4834</v>
      </c>
      <c r="P4034" t="s">
        <v>1006</v>
      </c>
      <c r="Q4034" t="s">
        <v>4901</v>
      </c>
      <c r="R4034" t="s">
        <v>4773</v>
      </c>
    </row>
    <row r="4035" spans="1:18" x14ac:dyDescent="0.3">
      <c r="A4035">
        <v>10574</v>
      </c>
      <c r="B4035" t="s">
        <v>4874</v>
      </c>
      <c r="C4035" t="s">
        <v>546</v>
      </c>
      <c r="D4035" t="s">
        <v>75</v>
      </c>
      <c r="E4035" s="1">
        <v>45754</v>
      </c>
      <c r="F4035" t="s">
        <v>4355</v>
      </c>
      <c r="G4035" t="s">
        <v>1731</v>
      </c>
      <c r="H4035" t="s">
        <v>581</v>
      </c>
      <c r="I4035" t="s">
        <v>204</v>
      </c>
      <c r="J4035" s="1">
        <v>46233</v>
      </c>
      <c r="K4035" t="s">
        <v>720</v>
      </c>
      <c r="L4035">
        <v>1</v>
      </c>
      <c r="M4035">
        <v>3200</v>
      </c>
      <c r="N4035" t="s">
        <v>814</v>
      </c>
      <c r="O4035" t="s">
        <v>1038</v>
      </c>
      <c r="P4035" t="s">
        <v>4779</v>
      </c>
      <c r="Q4035" t="s">
        <v>4858</v>
      </c>
      <c r="R4035" t="s">
        <v>4773</v>
      </c>
    </row>
    <row r="4036" spans="1:18" x14ac:dyDescent="0.3">
      <c r="A4036">
        <v>17093</v>
      </c>
      <c r="B4036" t="s">
        <v>1034</v>
      </c>
      <c r="C4036" t="s">
        <v>355</v>
      </c>
      <c r="D4036" t="s">
        <v>143</v>
      </c>
      <c r="E4036" s="1">
        <v>45754</v>
      </c>
      <c r="F4036" t="s">
        <v>4368</v>
      </c>
      <c r="G4036" t="s">
        <v>1716</v>
      </c>
      <c r="H4036" t="s">
        <v>361</v>
      </c>
      <c r="I4036" t="s">
        <v>204</v>
      </c>
      <c r="J4036" s="1">
        <v>54878</v>
      </c>
      <c r="K4036" t="s">
        <v>711</v>
      </c>
      <c r="L4036">
        <v>1</v>
      </c>
      <c r="M4036">
        <v>2160</v>
      </c>
      <c r="N4036" t="s">
        <v>710</v>
      </c>
      <c r="O4036" t="s">
        <v>4834</v>
      </c>
      <c r="P4036" t="s">
        <v>4776</v>
      </c>
      <c r="Q4036" t="s">
        <v>4901</v>
      </c>
      <c r="R4036" t="s">
        <v>4771</v>
      </c>
    </row>
    <row r="4037" spans="1:18" x14ac:dyDescent="0.3">
      <c r="A4037">
        <v>3784460</v>
      </c>
      <c r="B4037" t="s">
        <v>1034</v>
      </c>
      <c r="C4037" t="s">
        <v>417</v>
      </c>
      <c r="D4037" t="s">
        <v>185</v>
      </c>
      <c r="E4037" s="1">
        <v>45754</v>
      </c>
      <c r="F4037" t="s">
        <v>4335</v>
      </c>
      <c r="G4037" t="s">
        <v>1720</v>
      </c>
      <c r="H4037" t="s">
        <v>416</v>
      </c>
      <c r="I4037" t="s">
        <v>204</v>
      </c>
      <c r="J4037" s="1">
        <v>54878</v>
      </c>
      <c r="K4037" t="s">
        <v>717</v>
      </c>
      <c r="L4037">
        <v>705.68</v>
      </c>
      <c r="M4037">
        <v>705.68</v>
      </c>
      <c r="N4037" t="s">
        <v>710</v>
      </c>
      <c r="O4037" t="s">
        <v>1037</v>
      </c>
      <c r="P4037" t="s">
        <v>4780</v>
      </c>
      <c r="Q4037" t="s">
        <v>4852</v>
      </c>
      <c r="R4037" t="s">
        <v>4771</v>
      </c>
    </row>
    <row r="4038" spans="1:18" x14ac:dyDescent="0.3">
      <c r="A4038">
        <v>729995</v>
      </c>
      <c r="B4038" t="s">
        <v>1034</v>
      </c>
      <c r="C4038" t="s">
        <v>609</v>
      </c>
      <c r="D4038" t="s">
        <v>182</v>
      </c>
      <c r="E4038" s="1">
        <v>45754</v>
      </c>
      <c r="F4038" t="s">
        <v>4336</v>
      </c>
      <c r="G4038" t="s">
        <v>1762</v>
      </c>
      <c r="H4038" t="s">
        <v>608</v>
      </c>
      <c r="I4038" t="s">
        <v>204</v>
      </c>
      <c r="J4038" s="1">
        <v>46281</v>
      </c>
      <c r="K4038" t="s">
        <v>717</v>
      </c>
      <c r="L4038">
        <v>173673.39</v>
      </c>
      <c r="M4038">
        <v>173673.39</v>
      </c>
      <c r="N4038" t="s">
        <v>719</v>
      </c>
      <c r="O4038" t="s">
        <v>1037</v>
      </c>
      <c r="P4038" t="s">
        <v>4794</v>
      </c>
      <c r="Q4038" t="s">
        <v>4852</v>
      </c>
      <c r="R4038" t="s">
        <v>4772</v>
      </c>
    </row>
    <row r="4039" spans="1:18" x14ac:dyDescent="0.3">
      <c r="A4039">
        <v>733409</v>
      </c>
      <c r="B4039" t="s">
        <v>1034</v>
      </c>
      <c r="C4039" t="s">
        <v>609</v>
      </c>
      <c r="D4039" t="s">
        <v>182</v>
      </c>
      <c r="E4039" s="1">
        <v>45754</v>
      </c>
      <c r="F4039" t="s">
        <v>4336</v>
      </c>
      <c r="G4039" t="s">
        <v>1762</v>
      </c>
      <c r="H4039" t="s">
        <v>608</v>
      </c>
      <c r="I4039" t="s">
        <v>204</v>
      </c>
      <c r="J4039" s="1">
        <v>46281</v>
      </c>
      <c r="K4039" t="s">
        <v>717</v>
      </c>
      <c r="L4039">
        <v>24216.880000000001</v>
      </c>
      <c r="M4039">
        <v>24216.880000000001</v>
      </c>
      <c r="N4039" t="s">
        <v>719</v>
      </c>
      <c r="O4039" t="s">
        <v>1037</v>
      </c>
      <c r="P4039" t="s">
        <v>4794</v>
      </c>
      <c r="Q4039" t="s">
        <v>4852</v>
      </c>
      <c r="R4039" t="s">
        <v>4772</v>
      </c>
    </row>
    <row r="4040" spans="1:18" x14ac:dyDescent="0.3">
      <c r="A4040">
        <v>733408</v>
      </c>
      <c r="B4040" t="s">
        <v>4875</v>
      </c>
      <c r="C4040" t="s">
        <v>609</v>
      </c>
      <c r="D4040" t="s">
        <v>182</v>
      </c>
      <c r="E4040" s="1">
        <v>45754</v>
      </c>
      <c r="F4040" t="s">
        <v>4336</v>
      </c>
      <c r="G4040" t="s">
        <v>1763</v>
      </c>
      <c r="H4040" t="s">
        <v>610</v>
      </c>
      <c r="I4040" t="s">
        <v>204</v>
      </c>
      <c r="J4040" s="1">
        <v>46282</v>
      </c>
      <c r="K4040" t="s">
        <v>768</v>
      </c>
      <c r="L4040">
        <v>5036.01</v>
      </c>
      <c r="M4040">
        <v>5036.01</v>
      </c>
      <c r="N4040" t="s">
        <v>710</v>
      </c>
      <c r="O4040" t="s">
        <v>1037</v>
      </c>
      <c r="P4040" t="s">
        <v>4794</v>
      </c>
      <c r="Q4040" t="s">
        <v>4852</v>
      </c>
      <c r="R4040" t="s">
        <v>4772</v>
      </c>
    </row>
    <row r="4041" spans="1:18" x14ac:dyDescent="0.3">
      <c r="A4041">
        <v>38679095</v>
      </c>
      <c r="B4041" t="s">
        <v>4874</v>
      </c>
      <c r="C4041" t="s">
        <v>428</v>
      </c>
      <c r="D4041" t="s">
        <v>127</v>
      </c>
      <c r="E4041" s="1">
        <v>45754</v>
      </c>
      <c r="F4041" t="s">
        <v>4336</v>
      </c>
      <c r="G4041" t="s">
        <v>1767</v>
      </c>
      <c r="H4041" t="s">
        <v>427</v>
      </c>
      <c r="I4041" t="s">
        <v>209</v>
      </c>
      <c r="J4041" s="1">
        <v>54878</v>
      </c>
      <c r="K4041" t="s">
        <v>762</v>
      </c>
      <c r="L4041">
        <v>1631.78</v>
      </c>
      <c r="M4041">
        <v>1631.78</v>
      </c>
      <c r="N4041" t="s">
        <v>710</v>
      </c>
      <c r="Q4041" t="s">
        <v>4852</v>
      </c>
      <c r="R4041" t="s">
        <v>4772</v>
      </c>
    </row>
    <row r="4042" spans="1:18" x14ac:dyDescent="0.3">
      <c r="A4042">
        <v>38580348</v>
      </c>
      <c r="B4042" t="s">
        <v>4874</v>
      </c>
      <c r="C4042" t="s">
        <v>428</v>
      </c>
      <c r="D4042" t="s">
        <v>127</v>
      </c>
      <c r="E4042" s="1">
        <v>45754</v>
      </c>
      <c r="F4042" t="s">
        <v>4336</v>
      </c>
      <c r="G4042" t="s">
        <v>1765</v>
      </c>
      <c r="H4042" t="s">
        <v>427</v>
      </c>
      <c r="I4042" t="s">
        <v>209</v>
      </c>
      <c r="J4042" s="1">
        <v>54878</v>
      </c>
      <c r="K4042" t="s">
        <v>762</v>
      </c>
      <c r="L4042">
        <v>62431.81</v>
      </c>
      <c r="M4042">
        <v>62431.81</v>
      </c>
      <c r="N4042" t="s">
        <v>710</v>
      </c>
      <c r="Q4042" t="s">
        <v>4852</v>
      </c>
      <c r="R4042" t="s">
        <v>4772</v>
      </c>
    </row>
    <row r="4043" spans="1:18" x14ac:dyDescent="0.3">
      <c r="A4043">
        <v>3784232</v>
      </c>
      <c r="B4043" t="s">
        <v>4874</v>
      </c>
      <c r="C4043" t="s">
        <v>417</v>
      </c>
      <c r="D4043" t="s">
        <v>185</v>
      </c>
      <c r="E4043" s="1">
        <v>45754</v>
      </c>
      <c r="F4043" t="s">
        <v>4335</v>
      </c>
      <c r="G4043" t="s">
        <v>1721</v>
      </c>
      <c r="H4043" t="s">
        <v>461</v>
      </c>
      <c r="I4043" t="s">
        <v>204</v>
      </c>
      <c r="J4043" s="1">
        <v>54878</v>
      </c>
      <c r="K4043" t="s">
        <v>762</v>
      </c>
      <c r="L4043">
        <v>2432.4</v>
      </c>
      <c r="M4043">
        <v>2432.4</v>
      </c>
      <c r="N4043" t="s">
        <v>710</v>
      </c>
      <c r="O4043" t="s">
        <v>1037</v>
      </c>
      <c r="P4043" t="s">
        <v>4780</v>
      </c>
      <c r="Q4043" t="s">
        <v>4852</v>
      </c>
      <c r="R4043" t="s">
        <v>4771</v>
      </c>
    </row>
    <row r="4044" spans="1:18" x14ac:dyDescent="0.3">
      <c r="A4044">
        <v>1183911</v>
      </c>
      <c r="B4044" t="s">
        <v>4874</v>
      </c>
      <c r="C4044" t="s">
        <v>472</v>
      </c>
      <c r="D4044" t="s">
        <v>48</v>
      </c>
      <c r="E4044" s="1">
        <v>45754</v>
      </c>
      <c r="F4044" t="s">
        <v>4315</v>
      </c>
      <c r="G4044" t="s">
        <v>1746</v>
      </c>
      <c r="H4044" t="s">
        <v>471</v>
      </c>
      <c r="I4044" t="s">
        <v>204</v>
      </c>
      <c r="J4044" s="1">
        <v>46270</v>
      </c>
      <c r="K4044" t="s">
        <v>762</v>
      </c>
      <c r="L4044">
        <v>521.97</v>
      </c>
      <c r="M4044">
        <v>521.97</v>
      </c>
      <c r="N4044" t="s">
        <v>710</v>
      </c>
      <c r="O4044" t="s">
        <v>4845</v>
      </c>
      <c r="P4044" t="s">
        <v>4776</v>
      </c>
      <c r="Q4044" t="s">
        <v>4845</v>
      </c>
      <c r="R4044" t="s">
        <v>4773</v>
      </c>
    </row>
    <row r="4045" spans="1:18" x14ac:dyDescent="0.3">
      <c r="A4045">
        <v>2791</v>
      </c>
      <c r="B4045" t="s">
        <v>4874</v>
      </c>
      <c r="C4045" t="s">
        <v>533</v>
      </c>
      <c r="D4045" t="s">
        <v>103</v>
      </c>
      <c r="E4045" s="1">
        <v>45754</v>
      </c>
      <c r="F4045" t="s">
        <v>4410</v>
      </c>
      <c r="G4045" t="s">
        <v>1747</v>
      </c>
      <c r="H4045" t="s">
        <v>532</v>
      </c>
      <c r="I4045" t="s">
        <v>204</v>
      </c>
      <c r="J4045" s="1">
        <v>46568</v>
      </c>
      <c r="K4045" t="s">
        <v>892</v>
      </c>
      <c r="L4045">
        <v>1</v>
      </c>
      <c r="M4045">
        <v>10378.5</v>
      </c>
      <c r="N4045" t="s">
        <v>710</v>
      </c>
      <c r="O4045" t="s">
        <v>4811</v>
      </c>
      <c r="P4045" t="s">
        <v>4776</v>
      </c>
      <c r="Q4045" t="s">
        <v>4859</v>
      </c>
      <c r="R4045" t="s">
        <v>4771</v>
      </c>
    </row>
    <row r="4046" spans="1:18" x14ac:dyDescent="0.3">
      <c r="A4046">
        <v>729994</v>
      </c>
      <c r="B4046" t="s">
        <v>4875</v>
      </c>
      <c r="C4046" t="s">
        <v>609</v>
      </c>
      <c r="D4046" t="s">
        <v>182</v>
      </c>
      <c r="E4046" s="1">
        <v>45754</v>
      </c>
      <c r="F4046" t="s">
        <v>4336</v>
      </c>
      <c r="G4046" t="s">
        <v>1763</v>
      </c>
      <c r="H4046" t="s">
        <v>610</v>
      </c>
      <c r="I4046" t="s">
        <v>204</v>
      </c>
      <c r="J4046" s="1">
        <v>46282</v>
      </c>
      <c r="K4046" t="s">
        <v>768</v>
      </c>
      <c r="L4046">
        <v>45789.58</v>
      </c>
      <c r="M4046">
        <v>45789.58</v>
      </c>
      <c r="N4046" t="s">
        <v>710</v>
      </c>
      <c r="O4046" t="s">
        <v>1037</v>
      </c>
      <c r="P4046" t="s">
        <v>4794</v>
      </c>
      <c r="Q4046" t="s">
        <v>4852</v>
      </c>
      <c r="R4046" t="s">
        <v>4772</v>
      </c>
    </row>
    <row r="4047" spans="1:18" x14ac:dyDescent="0.3">
      <c r="A4047">
        <v>6068</v>
      </c>
      <c r="B4047" t="s">
        <v>1034</v>
      </c>
      <c r="C4047" t="s">
        <v>208</v>
      </c>
      <c r="D4047" t="s">
        <v>164</v>
      </c>
      <c r="E4047" s="1">
        <v>45754</v>
      </c>
      <c r="F4047" t="s">
        <v>4297</v>
      </c>
      <c r="G4047" t="s">
        <v>1753</v>
      </c>
      <c r="H4047" t="s">
        <v>604</v>
      </c>
      <c r="I4047" t="s">
        <v>204</v>
      </c>
      <c r="J4047" s="1">
        <v>46256</v>
      </c>
      <c r="K4047" t="s">
        <v>711</v>
      </c>
      <c r="L4047">
        <v>3</v>
      </c>
      <c r="M4047">
        <v>180</v>
      </c>
      <c r="N4047" t="s">
        <v>710</v>
      </c>
      <c r="O4047" t="s">
        <v>1036</v>
      </c>
      <c r="P4047" t="s">
        <v>4784</v>
      </c>
      <c r="Q4047" t="s">
        <v>4901</v>
      </c>
    </row>
    <row r="4048" spans="1:18" x14ac:dyDescent="0.3">
      <c r="A4048">
        <v>1209</v>
      </c>
      <c r="B4048" t="s">
        <v>4874</v>
      </c>
      <c r="C4048" t="s">
        <v>305</v>
      </c>
      <c r="D4048" t="s">
        <v>59</v>
      </c>
      <c r="E4048" s="1">
        <v>45754</v>
      </c>
      <c r="F4048" t="s">
        <v>4359</v>
      </c>
      <c r="G4048" t="s">
        <v>1635</v>
      </c>
      <c r="H4048" t="s">
        <v>304</v>
      </c>
      <c r="I4048" t="s">
        <v>204</v>
      </c>
      <c r="J4048" s="1">
        <v>46481</v>
      </c>
      <c r="K4048" t="s">
        <v>720</v>
      </c>
      <c r="L4048">
        <v>1</v>
      </c>
      <c r="M4048">
        <v>1430</v>
      </c>
      <c r="N4048" t="s">
        <v>809</v>
      </c>
      <c r="O4048" t="s">
        <v>1038</v>
      </c>
      <c r="P4048" t="s">
        <v>4783</v>
      </c>
      <c r="Q4048" t="s">
        <v>4858</v>
      </c>
      <c r="R4048" t="s">
        <v>4771</v>
      </c>
    </row>
    <row r="4049" spans="1:18" x14ac:dyDescent="0.3">
      <c r="A4049">
        <v>342998</v>
      </c>
      <c r="B4049" t="s">
        <v>1034</v>
      </c>
      <c r="C4049" t="s">
        <v>435</v>
      </c>
      <c r="D4049" t="s">
        <v>30</v>
      </c>
      <c r="E4049" s="1">
        <v>45754</v>
      </c>
      <c r="F4049" t="s">
        <v>4351</v>
      </c>
      <c r="G4049" t="s">
        <v>1742</v>
      </c>
      <c r="H4049" t="s">
        <v>434</v>
      </c>
      <c r="I4049" t="s">
        <v>204</v>
      </c>
      <c r="J4049" s="1">
        <v>46752</v>
      </c>
      <c r="K4049" t="s">
        <v>785</v>
      </c>
      <c r="L4049">
        <v>1</v>
      </c>
      <c r="M4049">
        <v>170214.38</v>
      </c>
      <c r="N4049" t="s">
        <v>998</v>
      </c>
      <c r="O4049" t="s">
        <v>1038</v>
      </c>
      <c r="P4049" t="s">
        <v>4787</v>
      </c>
      <c r="Q4049" t="s">
        <v>4858</v>
      </c>
      <c r="R4049" t="s">
        <v>4771</v>
      </c>
    </row>
    <row r="4050" spans="1:18" x14ac:dyDescent="0.3">
      <c r="A4050">
        <v>37</v>
      </c>
      <c r="B4050" t="s">
        <v>4876</v>
      </c>
      <c r="C4050" t="s">
        <v>476</v>
      </c>
      <c r="D4050" t="s">
        <v>195</v>
      </c>
      <c r="E4050" s="1">
        <v>45754</v>
      </c>
      <c r="F4050" t="s">
        <v>4401</v>
      </c>
      <c r="G4050" t="s">
        <v>1732</v>
      </c>
      <c r="H4050" t="s">
        <v>475</v>
      </c>
      <c r="I4050" t="s">
        <v>204</v>
      </c>
      <c r="J4050" s="1">
        <v>54878</v>
      </c>
      <c r="K4050" t="s">
        <v>839</v>
      </c>
      <c r="L4050">
        <v>39330</v>
      </c>
      <c r="M4050">
        <v>39330</v>
      </c>
      <c r="N4050" t="s">
        <v>710</v>
      </c>
      <c r="O4050" t="s">
        <v>1042</v>
      </c>
      <c r="P4050" t="s">
        <v>1006</v>
      </c>
      <c r="Q4050" t="s">
        <v>4852</v>
      </c>
      <c r="R4050" t="s">
        <v>4771</v>
      </c>
    </row>
    <row r="4051" spans="1:18" x14ac:dyDescent="0.3">
      <c r="A4051">
        <v>109469</v>
      </c>
      <c r="B4051" t="s">
        <v>4874</v>
      </c>
      <c r="C4051" t="s">
        <v>227</v>
      </c>
      <c r="D4051" t="s">
        <v>191</v>
      </c>
      <c r="E4051" s="1">
        <v>45754</v>
      </c>
      <c r="F4051" t="s">
        <v>4387</v>
      </c>
      <c r="G4051" t="s">
        <v>1754</v>
      </c>
      <c r="H4051" t="s">
        <v>577</v>
      </c>
      <c r="I4051" t="s">
        <v>204</v>
      </c>
      <c r="J4051" s="1">
        <v>46493</v>
      </c>
      <c r="K4051" t="s">
        <v>762</v>
      </c>
      <c r="L4051">
        <v>746.44</v>
      </c>
      <c r="M4051">
        <v>746.44</v>
      </c>
      <c r="N4051" t="s">
        <v>809</v>
      </c>
      <c r="O4051" t="s">
        <v>4904</v>
      </c>
      <c r="P4051" t="s">
        <v>4792</v>
      </c>
      <c r="Q4051" t="s">
        <v>4904</v>
      </c>
      <c r="R4051" t="s">
        <v>4772</v>
      </c>
    </row>
    <row r="4052" spans="1:18" x14ac:dyDescent="0.3">
      <c r="A4052">
        <v>6068</v>
      </c>
      <c r="B4052" t="s">
        <v>1034</v>
      </c>
      <c r="C4052" t="s">
        <v>208</v>
      </c>
      <c r="D4052" t="s">
        <v>164</v>
      </c>
      <c r="E4052" s="1">
        <v>45754</v>
      </c>
      <c r="F4052" t="s">
        <v>4297</v>
      </c>
      <c r="G4052" t="s">
        <v>1753</v>
      </c>
      <c r="H4052" t="s">
        <v>604</v>
      </c>
      <c r="I4052" t="s">
        <v>204</v>
      </c>
      <c r="J4052" s="1">
        <v>46256</v>
      </c>
      <c r="K4052" t="s">
        <v>711</v>
      </c>
      <c r="L4052">
        <v>1</v>
      </c>
      <c r="M4052">
        <v>60</v>
      </c>
      <c r="N4052" t="s">
        <v>710</v>
      </c>
      <c r="O4052" t="s">
        <v>1036</v>
      </c>
      <c r="P4052" t="s">
        <v>4784</v>
      </c>
      <c r="Q4052" t="s">
        <v>4901</v>
      </c>
    </row>
    <row r="4053" spans="1:18" x14ac:dyDescent="0.3">
      <c r="A4053">
        <v>6068</v>
      </c>
      <c r="B4053" t="s">
        <v>1034</v>
      </c>
      <c r="C4053" t="s">
        <v>208</v>
      </c>
      <c r="D4053" t="s">
        <v>164</v>
      </c>
      <c r="E4053" s="1">
        <v>45754</v>
      </c>
      <c r="F4053" t="s">
        <v>4297</v>
      </c>
      <c r="G4053" t="s">
        <v>1753</v>
      </c>
      <c r="H4053" t="s">
        <v>604</v>
      </c>
      <c r="I4053" t="s">
        <v>204</v>
      </c>
      <c r="J4053" s="1">
        <v>46256</v>
      </c>
      <c r="K4053" t="s">
        <v>711</v>
      </c>
      <c r="L4053">
        <v>2</v>
      </c>
      <c r="M4053">
        <v>120</v>
      </c>
      <c r="N4053" t="s">
        <v>710</v>
      </c>
      <c r="O4053" t="s">
        <v>1036</v>
      </c>
      <c r="P4053" t="s">
        <v>4784</v>
      </c>
      <c r="Q4053" t="s">
        <v>4901</v>
      </c>
    </row>
    <row r="4054" spans="1:18" x14ac:dyDescent="0.3">
      <c r="A4054">
        <v>10576</v>
      </c>
      <c r="B4054" t="s">
        <v>4874</v>
      </c>
      <c r="C4054" t="s">
        <v>546</v>
      </c>
      <c r="D4054" t="s">
        <v>75</v>
      </c>
      <c r="E4054" s="1">
        <v>45754</v>
      </c>
      <c r="F4054" t="s">
        <v>4355</v>
      </c>
      <c r="G4054" t="s">
        <v>1729</v>
      </c>
      <c r="H4054" t="s">
        <v>581</v>
      </c>
      <c r="I4054" t="s">
        <v>204</v>
      </c>
      <c r="J4054" s="1">
        <v>46233</v>
      </c>
      <c r="K4054" t="s">
        <v>720</v>
      </c>
      <c r="L4054">
        <v>1</v>
      </c>
      <c r="M4054">
        <v>3307.43</v>
      </c>
      <c r="N4054" t="s">
        <v>814</v>
      </c>
      <c r="O4054" t="s">
        <v>1038</v>
      </c>
      <c r="P4054" t="s">
        <v>4779</v>
      </c>
      <c r="Q4054" t="s">
        <v>4858</v>
      </c>
      <c r="R4054" t="s">
        <v>4773</v>
      </c>
    </row>
    <row r="4055" spans="1:18" x14ac:dyDescent="0.3">
      <c r="A4055">
        <v>37105</v>
      </c>
      <c r="B4055" t="s">
        <v>4874</v>
      </c>
      <c r="C4055" t="s">
        <v>447</v>
      </c>
      <c r="D4055" t="s">
        <v>57</v>
      </c>
      <c r="E4055" s="1">
        <v>45754</v>
      </c>
      <c r="F4055" t="s">
        <v>4383</v>
      </c>
      <c r="G4055" t="s">
        <v>1707</v>
      </c>
      <c r="H4055" t="s">
        <v>446</v>
      </c>
      <c r="I4055" t="s">
        <v>204</v>
      </c>
      <c r="J4055" s="1">
        <v>46203</v>
      </c>
      <c r="K4055" t="s">
        <v>762</v>
      </c>
      <c r="L4055">
        <v>753.16</v>
      </c>
      <c r="M4055">
        <v>753.16</v>
      </c>
      <c r="N4055" t="s">
        <v>710</v>
      </c>
      <c r="O4055" t="s">
        <v>1038</v>
      </c>
      <c r="P4055" t="s">
        <v>4776</v>
      </c>
      <c r="Q4055" t="s">
        <v>4858</v>
      </c>
      <c r="R4055" t="s">
        <v>4774</v>
      </c>
    </row>
    <row r="4056" spans="1:18" x14ac:dyDescent="0.3">
      <c r="A4056">
        <v>10573</v>
      </c>
      <c r="B4056" t="s">
        <v>4874</v>
      </c>
      <c r="C4056" t="s">
        <v>546</v>
      </c>
      <c r="D4056" t="s">
        <v>75</v>
      </c>
      <c r="E4056" s="1">
        <v>45754</v>
      </c>
      <c r="F4056" t="s">
        <v>4355</v>
      </c>
      <c r="G4056" t="s">
        <v>1730</v>
      </c>
      <c r="H4056" t="s">
        <v>581</v>
      </c>
      <c r="I4056" t="s">
        <v>204</v>
      </c>
      <c r="J4056" s="1">
        <v>46233</v>
      </c>
      <c r="K4056" t="s">
        <v>720</v>
      </c>
      <c r="L4056">
        <v>1</v>
      </c>
      <c r="M4056">
        <v>5530.46</v>
      </c>
      <c r="N4056" t="s">
        <v>814</v>
      </c>
      <c r="O4056" t="s">
        <v>1038</v>
      </c>
      <c r="P4056" t="s">
        <v>4779</v>
      </c>
      <c r="Q4056" t="s">
        <v>4858</v>
      </c>
      <c r="R4056" t="s">
        <v>4773</v>
      </c>
    </row>
    <row r="4057" spans="1:18" x14ac:dyDescent="0.3">
      <c r="A4057">
        <v>5292</v>
      </c>
      <c r="B4057" t="s">
        <v>4874</v>
      </c>
      <c r="C4057" t="s">
        <v>401</v>
      </c>
      <c r="D4057" t="s">
        <v>187</v>
      </c>
      <c r="E4057" s="1">
        <v>45754</v>
      </c>
      <c r="F4057" t="s">
        <v>4345</v>
      </c>
      <c r="G4057" t="s">
        <v>1738</v>
      </c>
      <c r="H4057" t="s">
        <v>400</v>
      </c>
      <c r="I4057" t="s">
        <v>204</v>
      </c>
      <c r="J4057" s="1">
        <v>54878</v>
      </c>
      <c r="K4057" t="s">
        <v>762</v>
      </c>
      <c r="L4057">
        <v>390</v>
      </c>
      <c r="M4057">
        <v>390</v>
      </c>
      <c r="N4057" t="s">
        <v>710</v>
      </c>
      <c r="O4057" t="s">
        <v>4833</v>
      </c>
      <c r="P4057" t="s">
        <v>4776</v>
      </c>
      <c r="Q4057" t="s">
        <v>4852</v>
      </c>
      <c r="R4057" t="s">
        <v>4773</v>
      </c>
    </row>
    <row r="4058" spans="1:18" x14ac:dyDescent="0.3">
      <c r="A4058">
        <v>7036</v>
      </c>
      <c r="B4058" t="s">
        <v>4874</v>
      </c>
      <c r="C4058" t="s">
        <v>387</v>
      </c>
      <c r="D4058" t="s">
        <v>42</v>
      </c>
      <c r="E4058" s="1">
        <v>45754</v>
      </c>
      <c r="F4058" t="s">
        <v>4345</v>
      </c>
      <c r="G4058" t="s">
        <v>1701</v>
      </c>
      <c r="H4058" t="s">
        <v>386</v>
      </c>
      <c r="I4058" t="s">
        <v>204</v>
      </c>
      <c r="J4058" s="1">
        <v>54878</v>
      </c>
      <c r="K4058" t="s">
        <v>762</v>
      </c>
      <c r="L4058">
        <v>1870</v>
      </c>
      <c r="M4058">
        <v>1870</v>
      </c>
      <c r="N4058" t="s">
        <v>719</v>
      </c>
      <c r="O4058" t="s">
        <v>4833</v>
      </c>
      <c r="P4058" t="s">
        <v>4776</v>
      </c>
      <c r="Q4058" t="s">
        <v>4852</v>
      </c>
      <c r="R4058" t="s">
        <v>4773</v>
      </c>
    </row>
    <row r="4059" spans="1:18" x14ac:dyDescent="0.3">
      <c r="A4059">
        <v>31</v>
      </c>
      <c r="B4059" t="s">
        <v>1034</v>
      </c>
      <c r="C4059" t="s">
        <v>319</v>
      </c>
      <c r="D4059" t="s">
        <v>36</v>
      </c>
      <c r="E4059" s="1">
        <v>45754</v>
      </c>
      <c r="F4059" t="s">
        <v>4298</v>
      </c>
      <c r="G4059" t="s">
        <v>1715</v>
      </c>
      <c r="H4059" t="s">
        <v>318</v>
      </c>
      <c r="I4059" t="s">
        <v>204</v>
      </c>
      <c r="J4059" s="1">
        <v>46214</v>
      </c>
      <c r="K4059" t="s">
        <v>711</v>
      </c>
      <c r="L4059">
        <v>1047</v>
      </c>
      <c r="M4059">
        <v>1047.1099999999999</v>
      </c>
      <c r="N4059" t="s">
        <v>710</v>
      </c>
      <c r="O4059" t="s">
        <v>1036</v>
      </c>
      <c r="P4059" t="s">
        <v>4784</v>
      </c>
      <c r="Q4059" t="s">
        <v>4901</v>
      </c>
      <c r="R4059" t="s">
        <v>4771</v>
      </c>
    </row>
    <row r="4060" spans="1:18" x14ac:dyDescent="0.3">
      <c r="A4060">
        <v>3309</v>
      </c>
      <c r="B4060" t="s">
        <v>1034</v>
      </c>
      <c r="C4060" t="s">
        <v>319</v>
      </c>
      <c r="D4060" t="s">
        <v>36</v>
      </c>
      <c r="E4060" s="1">
        <v>45754</v>
      </c>
      <c r="F4060" t="s">
        <v>4298</v>
      </c>
      <c r="G4060" t="s">
        <v>1714</v>
      </c>
      <c r="H4060" t="s">
        <v>318</v>
      </c>
      <c r="I4060" t="s">
        <v>204</v>
      </c>
      <c r="J4060" s="1">
        <v>46214</v>
      </c>
      <c r="K4060" t="s">
        <v>711</v>
      </c>
      <c r="L4060">
        <v>1449</v>
      </c>
      <c r="M4060">
        <v>1448.9</v>
      </c>
      <c r="N4060" t="s">
        <v>710</v>
      </c>
      <c r="O4060" t="s">
        <v>1036</v>
      </c>
      <c r="P4060" t="s">
        <v>4784</v>
      </c>
      <c r="Q4060" t="s">
        <v>4901</v>
      </c>
      <c r="R4060" t="s">
        <v>4771</v>
      </c>
    </row>
    <row r="4061" spans="1:18" x14ac:dyDescent="0.3">
      <c r="A4061">
        <v>103190</v>
      </c>
      <c r="B4061" t="s">
        <v>1034</v>
      </c>
      <c r="C4061" t="s">
        <v>495</v>
      </c>
      <c r="D4061" t="s">
        <v>44</v>
      </c>
      <c r="E4061" s="1">
        <v>45754</v>
      </c>
      <c r="F4061" t="s">
        <v>4303</v>
      </c>
      <c r="G4061" t="s">
        <v>1719</v>
      </c>
      <c r="H4061" t="s">
        <v>494</v>
      </c>
      <c r="I4061" t="s">
        <v>204</v>
      </c>
      <c r="J4061" s="1">
        <v>54878</v>
      </c>
      <c r="K4061" t="s">
        <v>717</v>
      </c>
      <c r="L4061">
        <v>1660.37</v>
      </c>
      <c r="M4061">
        <v>1660.37</v>
      </c>
      <c r="N4061" t="s">
        <v>710</v>
      </c>
      <c r="O4061" t="s">
        <v>4833</v>
      </c>
      <c r="P4061" t="s">
        <v>4776</v>
      </c>
      <c r="Q4061" t="s">
        <v>4852</v>
      </c>
      <c r="R4061" t="s">
        <v>4773</v>
      </c>
    </row>
    <row r="4062" spans="1:18" x14ac:dyDescent="0.3">
      <c r="A4062">
        <v>36682</v>
      </c>
      <c r="B4062" t="s">
        <v>4874</v>
      </c>
      <c r="C4062" t="s">
        <v>614</v>
      </c>
      <c r="D4062" t="s">
        <v>74</v>
      </c>
      <c r="E4062" s="1">
        <v>45754</v>
      </c>
      <c r="F4062" t="s">
        <v>4362</v>
      </c>
      <c r="G4062" t="s">
        <v>1764</v>
      </c>
      <c r="H4062" t="s">
        <v>613</v>
      </c>
      <c r="I4062" t="s">
        <v>204</v>
      </c>
      <c r="J4062" s="1">
        <v>46993</v>
      </c>
      <c r="K4062" t="s">
        <v>720</v>
      </c>
      <c r="L4062">
        <v>1</v>
      </c>
      <c r="M4062">
        <v>1515</v>
      </c>
      <c r="N4062" t="s">
        <v>710</v>
      </c>
      <c r="O4062" t="s">
        <v>1038</v>
      </c>
      <c r="P4062" t="s">
        <v>4779</v>
      </c>
      <c r="Q4062" t="s">
        <v>4858</v>
      </c>
      <c r="R4062" t="s">
        <v>4771</v>
      </c>
    </row>
    <row r="4063" spans="1:18" x14ac:dyDescent="0.3">
      <c r="A4063">
        <v>2234</v>
      </c>
      <c r="B4063" t="s">
        <v>1034</v>
      </c>
      <c r="C4063" t="s">
        <v>541</v>
      </c>
      <c r="D4063" t="s">
        <v>173</v>
      </c>
      <c r="E4063" s="1">
        <v>45754</v>
      </c>
      <c r="F4063" t="s">
        <v>4326</v>
      </c>
      <c r="G4063" t="s">
        <v>1733</v>
      </c>
      <c r="H4063" t="s">
        <v>540</v>
      </c>
      <c r="I4063" t="s">
        <v>204</v>
      </c>
      <c r="J4063" s="1">
        <v>46386</v>
      </c>
      <c r="K4063" t="s">
        <v>711</v>
      </c>
      <c r="L4063">
        <v>1</v>
      </c>
      <c r="M4063">
        <v>2337.9499999999998</v>
      </c>
      <c r="N4063" t="s">
        <v>890</v>
      </c>
      <c r="O4063" t="s">
        <v>1036</v>
      </c>
      <c r="P4063" t="s">
        <v>4791</v>
      </c>
      <c r="Q4063" t="s">
        <v>4901</v>
      </c>
      <c r="R4063" t="s">
        <v>4773</v>
      </c>
    </row>
    <row r="4064" spans="1:18" x14ac:dyDescent="0.3">
      <c r="A4064">
        <v>202549811</v>
      </c>
      <c r="B4064" t="s">
        <v>1034</v>
      </c>
      <c r="C4064" t="s">
        <v>522</v>
      </c>
      <c r="D4064" t="s">
        <v>50</v>
      </c>
      <c r="E4064" s="1">
        <v>45751</v>
      </c>
      <c r="F4064" t="s">
        <v>4352</v>
      </c>
      <c r="G4064" t="s">
        <v>1748</v>
      </c>
      <c r="H4064" t="s">
        <v>521</v>
      </c>
      <c r="I4064" t="s">
        <v>204</v>
      </c>
      <c r="J4064" s="1">
        <v>46387</v>
      </c>
      <c r="K4064" t="s">
        <v>717</v>
      </c>
      <c r="L4064">
        <v>547.27</v>
      </c>
      <c r="M4064">
        <v>547.27</v>
      </c>
      <c r="N4064" t="s">
        <v>884</v>
      </c>
      <c r="O4064" t="s">
        <v>1037</v>
      </c>
      <c r="P4064" t="s">
        <v>4776</v>
      </c>
      <c r="Q4064" t="s">
        <v>4852</v>
      </c>
      <c r="R4064" t="s">
        <v>4773</v>
      </c>
    </row>
    <row r="4065" spans="1:18" x14ac:dyDescent="0.3">
      <c r="A4065">
        <v>2025384</v>
      </c>
      <c r="B4065" t="s">
        <v>1034</v>
      </c>
      <c r="C4065" t="s">
        <v>550</v>
      </c>
      <c r="D4065" t="s">
        <v>189</v>
      </c>
      <c r="E4065" s="1">
        <v>45751</v>
      </c>
      <c r="F4065" t="s">
        <v>4338</v>
      </c>
      <c r="G4065" t="s">
        <v>1690</v>
      </c>
      <c r="H4065" t="s">
        <v>582</v>
      </c>
      <c r="I4065" t="s">
        <v>204</v>
      </c>
      <c r="J4065" s="1">
        <v>46599</v>
      </c>
      <c r="K4065" t="s">
        <v>717</v>
      </c>
      <c r="L4065">
        <v>27301.11</v>
      </c>
      <c r="M4065">
        <v>27301.11</v>
      </c>
      <c r="N4065" t="s">
        <v>710</v>
      </c>
      <c r="O4065" t="s">
        <v>4904</v>
      </c>
      <c r="P4065" t="s">
        <v>4792</v>
      </c>
      <c r="Q4065" t="s">
        <v>4904</v>
      </c>
      <c r="R4065" t="s">
        <v>4772</v>
      </c>
    </row>
    <row r="4066" spans="1:18" x14ac:dyDescent="0.3">
      <c r="A4066">
        <v>46961</v>
      </c>
      <c r="B4066" t="s">
        <v>1034</v>
      </c>
      <c r="C4066" t="s">
        <v>790</v>
      </c>
      <c r="D4066" t="s">
        <v>19</v>
      </c>
      <c r="E4066" s="1">
        <v>45751</v>
      </c>
      <c r="F4066" t="s">
        <v>4348</v>
      </c>
      <c r="G4066" t="s">
        <v>1739</v>
      </c>
      <c r="H4066" t="s">
        <v>287</v>
      </c>
      <c r="I4066" t="s">
        <v>209</v>
      </c>
      <c r="J4066" s="1">
        <v>54878</v>
      </c>
      <c r="K4066" t="s">
        <v>711</v>
      </c>
      <c r="L4066">
        <v>1</v>
      </c>
      <c r="M4066">
        <v>2950</v>
      </c>
      <c r="N4066" t="s">
        <v>710</v>
      </c>
      <c r="O4066" t="s">
        <v>1037</v>
      </c>
      <c r="P4066" t="s">
        <v>4781</v>
      </c>
      <c r="Q4066" t="s">
        <v>4852</v>
      </c>
      <c r="R4066" t="s">
        <v>4771</v>
      </c>
    </row>
    <row r="4067" spans="1:18" x14ac:dyDescent="0.3">
      <c r="A4067">
        <v>343037</v>
      </c>
      <c r="B4067" t="s">
        <v>4874</v>
      </c>
      <c r="C4067" t="s">
        <v>435</v>
      </c>
      <c r="D4067" t="s">
        <v>30</v>
      </c>
      <c r="E4067" s="1">
        <v>45751</v>
      </c>
      <c r="F4067" t="s">
        <v>4351</v>
      </c>
      <c r="G4067" t="s">
        <v>1740</v>
      </c>
      <c r="H4067" t="s">
        <v>434</v>
      </c>
      <c r="I4067" t="s">
        <v>204</v>
      </c>
      <c r="J4067" s="1">
        <v>46752</v>
      </c>
      <c r="K4067" t="s">
        <v>785</v>
      </c>
      <c r="L4067">
        <v>1</v>
      </c>
      <c r="M4067">
        <v>143533.72</v>
      </c>
      <c r="N4067" t="s">
        <v>998</v>
      </c>
      <c r="O4067" t="s">
        <v>1038</v>
      </c>
      <c r="P4067" t="s">
        <v>4787</v>
      </c>
      <c r="Q4067" t="s">
        <v>4858</v>
      </c>
      <c r="R4067" t="s">
        <v>4771</v>
      </c>
    </row>
    <row r="4068" spans="1:18" x14ac:dyDescent="0.3">
      <c r="A4068">
        <v>301052</v>
      </c>
      <c r="B4068" t="s">
        <v>4874</v>
      </c>
      <c r="C4068" t="s">
        <v>426</v>
      </c>
      <c r="D4068" t="s">
        <v>54</v>
      </c>
      <c r="E4068" s="1">
        <v>45751</v>
      </c>
      <c r="F4068" t="s">
        <v>4409</v>
      </c>
      <c r="G4068" t="s">
        <v>1761</v>
      </c>
      <c r="H4068" t="s">
        <v>425</v>
      </c>
      <c r="I4068" t="s">
        <v>204</v>
      </c>
      <c r="J4068" s="1">
        <v>46752</v>
      </c>
      <c r="K4068" t="s">
        <v>785</v>
      </c>
      <c r="L4068">
        <v>1</v>
      </c>
      <c r="M4068">
        <v>91712.95</v>
      </c>
      <c r="N4068" t="s">
        <v>710</v>
      </c>
      <c r="O4068" t="s">
        <v>1038</v>
      </c>
      <c r="P4068" t="s">
        <v>4787</v>
      </c>
      <c r="Q4068" t="s">
        <v>4858</v>
      </c>
      <c r="R4068" t="s">
        <v>4771</v>
      </c>
    </row>
    <row r="4069" spans="1:18" x14ac:dyDescent="0.3">
      <c r="A4069">
        <v>6674</v>
      </c>
      <c r="B4069" t="s">
        <v>1035</v>
      </c>
      <c r="C4069" t="s">
        <v>230</v>
      </c>
      <c r="D4069" t="s">
        <v>85</v>
      </c>
      <c r="E4069" s="1">
        <v>45751</v>
      </c>
      <c r="F4069" t="s">
        <v>4348</v>
      </c>
      <c r="G4069" t="s">
        <v>1698</v>
      </c>
      <c r="H4069" t="s">
        <v>229</v>
      </c>
      <c r="I4069" t="s">
        <v>204</v>
      </c>
      <c r="J4069" s="1">
        <v>46203</v>
      </c>
      <c r="K4069" t="s">
        <v>744</v>
      </c>
      <c r="L4069">
        <v>18802.560000000001</v>
      </c>
      <c r="M4069">
        <v>18802.560000000001</v>
      </c>
      <c r="N4069" t="s">
        <v>710</v>
      </c>
      <c r="O4069" t="s">
        <v>1033</v>
      </c>
      <c r="P4069" t="s">
        <v>4781</v>
      </c>
      <c r="Q4069" t="s">
        <v>4852</v>
      </c>
      <c r="R4069" t="s">
        <v>4771</v>
      </c>
    </row>
    <row r="4070" spans="1:18" x14ac:dyDescent="0.3">
      <c r="A4070">
        <v>6673</v>
      </c>
      <c r="B4070" t="s">
        <v>1035</v>
      </c>
      <c r="C4070" t="s">
        <v>230</v>
      </c>
      <c r="D4070" t="s">
        <v>85</v>
      </c>
      <c r="E4070" s="1">
        <v>45751</v>
      </c>
      <c r="F4070" t="s">
        <v>4348</v>
      </c>
      <c r="G4070" t="s">
        <v>1698</v>
      </c>
      <c r="H4070" t="s">
        <v>229</v>
      </c>
      <c r="I4070" t="s">
        <v>204</v>
      </c>
      <c r="J4070" s="1">
        <v>46203</v>
      </c>
      <c r="K4070" t="s">
        <v>744</v>
      </c>
      <c r="L4070">
        <v>48517.85</v>
      </c>
      <c r="M4070">
        <v>48517.85</v>
      </c>
      <c r="N4070" t="s">
        <v>710</v>
      </c>
      <c r="O4070" t="s">
        <v>1033</v>
      </c>
      <c r="P4070" t="s">
        <v>4781</v>
      </c>
      <c r="Q4070" t="s">
        <v>4852</v>
      </c>
      <c r="R4070" t="s">
        <v>4771</v>
      </c>
    </row>
    <row r="4071" spans="1:18" x14ac:dyDescent="0.3">
      <c r="A4071">
        <v>6717</v>
      </c>
      <c r="B4071" t="s">
        <v>1035</v>
      </c>
      <c r="C4071" t="s">
        <v>230</v>
      </c>
      <c r="D4071" t="s">
        <v>85</v>
      </c>
      <c r="E4071" s="1">
        <v>45751</v>
      </c>
      <c r="F4071" t="s">
        <v>4348</v>
      </c>
      <c r="G4071" t="s">
        <v>1698</v>
      </c>
      <c r="H4071" t="s">
        <v>229</v>
      </c>
      <c r="I4071" t="s">
        <v>204</v>
      </c>
      <c r="J4071" s="1">
        <v>46203</v>
      </c>
      <c r="K4071" t="s">
        <v>744</v>
      </c>
      <c r="L4071">
        <v>7598.05</v>
      </c>
      <c r="M4071">
        <v>7598.05</v>
      </c>
      <c r="N4071" t="s">
        <v>710</v>
      </c>
      <c r="O4071" t="s">
        <v>1033</v>
      </c>
      <c r="P4071" t="s">
        <v>4781</v>
      </c>
      <c r="Q4071" t="s">
        <v>4852</v>
      </c>
      <c r="R4071" t="s">
        <v>4771</v>
      </c>
    </row>
    <row r="4072" spans="1:18" x14ac:dyDescent="0.3">
      <c r="A4072">
        <v>41236</v>
      </c>
      <c r="B4072" t="s">
        <v>4875</v>
      </c>
      <c r="C4072" t="s">
        <v>327</v>
      </c>
      <c r="D4072" t="s">
        <v>159</v>
      </c>
      <c r="E4072" s="1">
        <v>45751</v>
      </c>
      <c r="F4072" t="s">
        <v>4295</v>
      </c>
      <c r="G4072" t="s">
        <v>1643</v>
      </c>
      <c r="H4072" t="s">
        <v>326</v>
      </c>
      <c r="I4072" t="s">
        <v>204</v>
      </c>
      <c r="J4072" s="1">
        <v>54878</v>
      </c>
      <c r="K4072" t="s">
        <v>748</v>
      </c>
      <c r="L4072">
        <v>2150</v>
      </c>
      <c r="M4072">
        <v>2150</v>
      </c>
      <c r="N4072" t="s">
        <v>719</v>
      </c>
      <c r="O4072" t="s">
        <v>4834</v>
      </c>
      <c r="P4072" t="s">
        <v>4776</v>
      </c>
      <c r="Q4072" t="s">
        <v>4856</v>
      </c>
      <c r="R4072" t="s">
        <v>4773</v>
      </c>
    </row>
    <row r="4073" spans="1:18" x14ac:dyDescent="0.3">
      <c r="A4073">
        <v>41235</v>
      </c>
      <c r="B4073" t="s">
        <v>4875</v>
      </c>
      <c r="C4073" t="s">
        <v>327</v>
      </c>
      <c r="D4073" t="s">
        <v>159</v>
      </c>
      <c r="E4073" s="1">
        <v>45751</v>
      </c>
      <c r="F4073" t="s">
        <v>4295</v>
      </c>
      <c r="G4073" t="s">
        <v>1644</v>
      </c>
      <c r="H4073" t="s">
        <v>326</v>
      </c>
      <c r="I4073" t="s">
        <v>204</v>
      </c>
      <c r="J4073" s="1">
        <v>54878</v>
      </c>
      <c r="K4073" t="s">
        <v>748</v>
      </c>
      <c r="L4073">
        <v>3257.48</v>
      </c>
      <c r="M4073">
        <v>3257.48</v>
      </c>
      <c r="N4073" t="s">
        <v>719</v>
      </c>
      <c r="O4073" t="s">
        <v>4834</v>
      </c>
      <c r="P4073" t="s">
        <v>4776</v>
      </c>
      <c r="Q4073" t="s">
        <v>4856</v>
      </c>
      <c r="R4073" t="s">
        <v>4773</v>
      </c>
    </row>
    <row r="4074" spans="1:18" x14ac:dyDescent="0.3">
      <c r="A4074">
        <v>153966</v>
      </c>
      <c r="B4074" t="s">
        <v>4875</v>
      </c>
      <c r="C4074" t="s">
        <v>301</v>
      </c>
      <c r="D4074" t="s">
        <v>23</v>
      </c>
      <c r="E4074" s="1">
        <v>45751</v>
      </c>
      <c r="F4074" t="s">
        <v>4321</v>
      </c>
      <c r="G4074" t="s">
        <v>1656</v>
      </c>
      <c r="H4074" t="s">
        <v>342</v>
      </c>
      <c r="I4074" t="s">
        <v>204</v>
      </c>
      <c r="J4074" s="1">
        <v>46285</v>
      </c>
      <c r="K4074" t="s">
        <v>748</v>
      </c>
      <c r="L4074">
        <v>4912.05</v>
      </c>
      <c r="M4074">
        <v>4912.03</v>
      </c>
      <c r="N4074" t="s">
        <v>710</v>
      </c>
      <c r="O4074" t="s">
        <v>1040</v>
      </c>
      <c r="P4074" t="s">
        <v>4782</v>
      </c>
      <c r="Q4074" t="s">
        <v>4856</v>
      </c>
      <c r="R4074" t="s">
        <v>4773</v>
      </c>
    </row>
    <row r="4075" spans="1:18" x14ac:dyDescent="0.3">
      <c r="A4075">
        <v>2025385</v>
      </c>
      <c r="B4075" t="s">
        <v>4875</v>
      </c>
      <c r="C4075" t="s">
        <v>550</v>
      </c>
      <c r="D4075" t="s">
        <v>189</v>
      </c>
      <c r="E4075" s="1">
        <v>45751</v>
      </c>
      <c r="F4075" t="s">
        <v>4338</v>
      </c>
      <c r="G4075" t="s">
        <v>1691</v>
      </c>
      <c r="H4075" t="s">
        <v>569</v>
      </c>
      <c r="I4075" t="s">
        <v>204</v>
      </c>
      <c r="J4075" s="1">
        <v>46599</v>
      </c>
      <c r="K4075" t="s">
        <v>768</v>
      </c>
      <c r="L4075">
        <v>23437.4</v>
      </c>
      <c r="M4075">
        <v>23437.4</v>
      </c>
      <c r="N4075" t="s">
        <v>710</v>
      </c>
      <c r="O4075" t="s">
        <v>4904</v>
      </c>
      <c r="P4075" t="s">
        <v>4792</v>
      </c>
      <c r="Q4075" t="s">
        <v>4904</v>
      </c>
      <c r="R4075" t="s">
        <v>4772</v>
      </c>
    </row>
    <row r="4076" spans="1:18" x14ac:dyDescent="0.3">
      <c r="A4076">
        <v>1981</v>
      </c>
      <c r="B4076" t="s">
        <v>4874</v>
      </c>
      <c r="C4076" t="s">
        <v>616</v>
      </c>
      <c r="D4076" t="s">
        <v>152</v>
      </c>
      <c r="E4076" s="1">
        <v>45751</v>
      </c>
      <c r="F4076" t="s">
        <v>4338</v>
      </c>
      <c r="G4076" t="s">
        <v>1667</v>
      </c>
      <c r="H4076" t="s">
        <v>615</v>
      </c>
      <c r="I4076" t="s">
        <v>204</v>
      </c>
      <c r="J4076" s="1">
        <v>46327</v>
      </c>
      <c r="K4076" t="s">
        <v>720</v>
      </c>
      <c r="L4076">
        <v>1</v>
      </c>
      <c r="M4076">
        <v>86710.77</v>
      </c>
      <c r="N4076" t="s">
        <v>710</v>
      </c>
      <c r="O4076" t="s">
        <v>4834</v>
      </c>
      <c r="P4076" t="s">
        <v>4776</v>
      </c>
      <c r="Q4076" t="s">
        <v>4858</v>
      </c>
      <c r="R4076" t="s">
        <v>4772</v>
      </c>
    </row>
    <row r="4077" spans="1:18" x14ac:dyDescent="0.3">
      <c r="A4077">
        <v>342997</v>
      </c>
      <c r="B4077" t="s">
        <v>4875</v>
      </c>
      <c r="C4077" t="s">
        <v>435</v>
      </c>
      <c r="D4077" t="s">
        <v>30</v>
      </c>
      <c r="E4077" s="1">
        <v>45751</v>
      </c>
      <c r="F4077" t="s">
        <v>4351</v>
      </c>
      <c r="G4077" t="s">
        <v>1741</v>
      </c>
      <c r="H4077" t="s">
        <v>434</v>
      </c>
      <c r="I4077" t="s">
        <v>204</v>
      </c>
      <c r="J4077" s="1">
        <v>46752</v>
      </c>
      <c r="K4077" t="s">
        <v>785</v>
      </c>
      <c r="L4077">
        <v>1</v>
      </c>
      <c r="M4077">
        <v>59761.13</v>
      </c>
      <c r="N4077" t="s">
        <v>998</v>
      </c>
      <c r="O4077" t="s">
        <v>1038</v>
      </c>
      <c r="P4077" t="s">
        <v>4787</v>
      </c>
      <c r="Q4077" t="s">
        <v>4858</v>
      </c>
      <c r="R4077" t="s">
        <v>4771</v>
      </c>
    </row>
    <row r="4078" spans="1:18" x14ac:dyDescent="0.3">
      <c r="A4078">
        <v>202524456</v>
      </c>
      <c r="B4078" t="s">
        <v>4874</v>
      </c>
      <c r="C4078" t="s">
        <v>222</v>
      </c>
      <c r="D4078" t="s">
        <v>80</v>
      </c>
      <c r="E4078" s="1">
        <v>45750</v>
      </c>
      <c r="F4078" t="s">
        <v>4347</v>
      </c>
      <c r="G4078" t="s">
        <v>1677</v>
      </c>
      <c r="H4078" t="s">
        <v>223</v>
      </c>
      <c r="I4078" t="s">
        <v>204</v>
      </c>
      <c r="J4078" s="1">
        <v>46504</v>
      </c>
      <c r="K4078" t="s">
        <v>720</v>
      </c>
      <c r="L4078">
        <v>1</v>
      </c>
      <c r="M4078">
        <v>283.62</v>
      </c>
      <c r="N4078" t="s">
        <v>710</v>
      </c>
      <c r="O4078" t="s">
        <v>4834</v>
      </c>
      <c r="P4078" t="s">
        <v>4778</v>
      </c>
      <c r="Q4078" t="s">
        <v>4858</v>
      </c>
      <c r="R4078" t="s">
        <v>4773</v>
      </c>
    </row>
    <row r="4079" spans="1:18" x14ac:dyDescent="0.3">
      <c r="A4079">
        <v>180442697</v>
      </c>
      <c r="B4079" t="s">
        <v>1034</v>
      </c>
      <c r="C4079" t="s">
        <v>585</v>
      </c>
      <c r="D4079" t="s">
        <v>179</v>
      </c>
      <c r="E4079" s="1">
        <v>45750</v>
      </c>
      <c r="F4079" t="s">
        <v>4306</v>
      </c>
      <c r="G4079" t="s">
        <v>1724</v>
      </c>
      <c r="H4079" t="s">
        <v>584</v>
      </c>
      <c r="I4079" t="s">
        <v>204</v>
      </c>
      <c r="J4079" s="1">
        <v>46477</v>
      </c>
      <c r="K4079" t="s">
        <v>717</v>
      </c>
      <c r="L4079">
        <v>1140</v>
      </c>
      <c r="M4079">
        <v>1139.9000000000001</v>
      </c>
      <c r="N4079" t="s">
        <v>719</v>
      </c>
      <c r="O4079" t="s">
        <v>4833</v>
      </c>
      <c r="P4079" t="s">
        <v>4786</v>
      </c>
      <c r="Q4079" t="s">
        <v>4852</v>
      </c>
      <c r="R4079" t="s">
        <v>4771</v>
      </c>
    </row>
    <row r="4080" spans="1:18" x14ac:dyDescent="0.3">
      <c r="A4080">
        <v>41208</v>
      </c>
      <c r="B4080" t="s">
        <v>1034</v>
      </c>
      <c r="C4080" t="s">
        <v>327</v>
      </c>
      <c r="D4080" t="s">
        <v>159</v>
      </c>
      <c r="E4080" s="1">
        <v>45750</v>
      </c>
      <c r="F4080" t="s">
        <v>4296</v>
      </c>
      <c r="G4080" t="s">
        <v>1627</v>
      </c>
      <c r="H4080" t="s">
        <v>357</v>
      </c>
      <c r="I4080" t="s">
        <v>204</v>
      </c>
      <c r="J4080" s="1">
        <v>46476</v>
      </c>
      <c r="K4080" t="s">
        <v>711</v>
      </c>
      <c r="L4080">
        <v>758.78</v>
      </c>
      <c r="M4080">
        <v>758.78</v>
      </c>
      <c r="N4080" t="s">
        <v>890</v>
      </c>
      <c r="O4080" t="s">
        <v>4834</v>
      </c>
      <c r="P4080" t="s">
        <v>4776</v>
      </c>
      <c r="Q4080" t="s">
        <v>4901</v>
      </c>
      <c r="R4080" t="s">
        <v>4773</v>
      </c>
    </row>
    <row r="4081" spans="1:18" x14ac:dyDescent="0.3">
      <c r="A4081">
        <v>88</v>
      </c>
      <c r="B4081" t="s">
        <v>1034</v>
      </c>
      <c r="C4081" t="s">
        <v>618</v>
      </c>
      <c r="D4081" t="s">
        <v>112</v>
      </c>
      <c r="E4081" s="1">
        <v>45750</v>
      </c>
      <c r="F4081" t="s">
        <v>4361</v>
      </c>
      <c r="G4081" t="s">
        <v>1727</v>
      </c>
      <c r="H4081" t="s">
        <v>617</v>
      </c>
      <c r="I4081" t="s">
        <v>204</v>
      </c>
      <c r="J4081" s="1">
        <v>46347</v>
      </c>
      <c r="K4081" t="s">
        <v>711</v>
      </c>
      <c r="L4081">
        <v>1</v>
      </c>
      <c r="M4081">
        <v>1006.4</v>
      </c>
      <c r="N4081" t="s">
        <v>818</v>
      </c>
      <c r="O4081" t="s">
        <v>1036</v>
      </c>
      <c r="P4081" t="s">
        <v>4776</v>
      </c>
      <c r="Q4081" t="s">
        <v>4901</v>
      </c>
      <c r="R4081" t="s">
        <v>4771</v>
      </c>
    </row>
    <row r="4082" spans="1:18" x14ac:dyDescent="0.3">
      <c r="A4082">
        <v>3184</v>
      </c>
      <c r="B4082" t="s">
        <v>4874</v>
      </c>
      <c r="C4082" t="s">
        <v>612</v>
      </c>
      <c r="D4082" t="s">
        <v>102</v>
      </c>
      <c r="E4082" s="1">
        <v>45750</v>
      </c>
      <c r="F4082" t="s">
        <v>4300</v>
      </c>
      <c r="G4082" t="s">
        <v>1708</v>
      </c>
      <c r="H4082" t="s">
        <v>611</v>
      </c>
      <c r="I4082" t="s">
        <v>209</v>
      </c>
      <c r="J4082" s="1">
        <v>45961</v>
      </c>
      <c r="K4082" t="s">
        <v>720</v>
      </c>
      <c r="L4082">
        <v>20748</v>
      </c>
      <c r="M4082">
        <v>20748</v>
      </c>
      <c r="N4082" t="s">
        <v>710</v>
      </c>
      <c r="O4082" t="s">
        <v>1037</v>
      </c>
      <c r="P4082" t="s">
        <v>4777</v>
      </c>
      <c r="Q4082" t="s">
        <v>4852</v>
      </c>
      <c r="R4082" t="s">
        <v>4773</v>
      </c>
    </row>
    <row r="4083" spans="1:18" x14ac:dyDescent="0.3">
      <c r="A4083">
        <v>3636</v>
      </c>
      <c r="B4083" t="s">
        <v>4874</v>
      </c>
      <c r="C4083" t="s">
        <v>225</v>
      </c>
      <c r="D4083" t="s">
        <v>166</v>
      </c>
      <c r="E4083" s="1">
        <v>45750</v>
      </c>
      <c r="F4083" t="s">
        <v>4383</v>
      </c>
      <c r="G4083" t="s">
        <v>1699</v>
      </c>
      <c r="H4083" t="s">
        <v>224</v>
      </c>
      <c r="I4083" t="s">
        <v>204</v>
      </c>
      <c r="J4083" s="1">
        <v>54878</v>
      </c>
      <c r="K4083" t="s">
        <v>720</v>
      </c>
      <c r="L4083">
        <v>476.36</v>
      </c>
      <c r="M4083">
        <v>476.36</v>
      </c>
      <c r="N4083" t="s">
        <v>710</v>
      </c>
      <c r="O4083" t="s">
        <v>4849</v>
      </c>
      <c r="P4083" t="s">
        <v>4776</v>
      </c>
      <c r="Q4083" t="s">
        <v>4855</v>
      </c>
      <c r="R4083" t="s">
        <v>4773</v>
      </c>
    </row>
    <row r="4084" spans="1:18" x14ac:dyDescent="0.3">
      <c r="A4084">
        <v>2688</v>
      </c>
      <c r="B4084" t="s">
        <v>4874</v>
      </c>
      <c r="C4084" t="s">
        <v>372</v>
      </c>
      <c r="D4084" t="s">
        <v>105</v>
      </c>
      <c r="E4084" s="1">
        <v>45750</v>
      </c>
      <c r="F4084" t="s">
        <v>4408</v>
      </c>
      <c r="G4084" t="s">
        <v>1700</v>
      </c>
      <c r="H4084" t="s">
        <v>371</v>
      </c>
      <c r="I4084" t="s">
        <v>209</v>
      </c>
      <c r="J4084" s="1">
        <v>45904</v>
      </c>
      <c r="K4084" t="s">
        <v>720</v>
      </c>
      <c r="L4084">
        <v>1</v>
      </c>
      <c r="M4084">
        <v>3861</v>
      </c>
      <c r="N4084" t="s">
        <v>719</v>
      </c>
      <c r="O4084" t="s">
        <v>1038</v>
      </c>
      <c r="P4084" t="s">
        <v>4777</v>
      </c>
      <c r="Q4084" t="s">
        <v>4858</v>
      </c>
      <c r="R4084" t="s">
        <v>4773</v>
      </c>
    </row>
    <row r="4085" spans="1:18" x14ac:dyDescent="0.3">
      <c r="A4085">
        <v>34356</v>
      </c>
      <c r="B4085" t="s">
        <v>4875</v>
      </c>
      <c r="C4085" t="s">
        <v>530</v>
      </c>
      <c r="D4085" t="s">
        <v>24</v>
      </c>
      <c r="E4085" s="1">
        <v>45750</v>
      </c>
      <c r="F4085" t="s">
        <v>4297</v>
      </c>
      <c r="G4085" t="s">
        <v>1657</v>
      </c>
      <c r="H4085" t="s">
        <v>529</v>
      </c>
      <c r="I4085" t="s">
        <v>204</v>
      </c>
      <c r="J4085" s="1">
        <v>46477</v>
      </c>
      <c r="K4085" t="s">
        <v>748</v>
      </c>
      <c r="L4085">
        <v>1</v>
      </c>
      <c r="M4085">
        <v>6498</v>
      </c>
      <c r="N4085" t="s">
        <v>710</v>
      </c>
      <c r="O4085" t="s">
        <v>1040</v>
      </c>
      <c r="P4085" t="s">
        <v>4779</v>
      </c>
      <c r="Q4085" t="s">
        <v>4856</v>
      </c>
      <c r="R4085" t="s">
        <v>4773</v>
      </c>
    </row>
    <row r="4086" spans="1:18" x14ac:dyDescent="0.3">
      <c r="A4086">
        <v>41209</v>
      </c>
      <c r="B4086" t="s">
        <v>1034</v>
      </c>
      <c r="C4086" t="s">
        <v>327</v>
      </c>
      <c r="D4086" t="s">
        <v>159</v>
      </c>
      <c r="E4086" s="1">
        <v>45750</v>
      </c>
      <c r="F4086" t="s">
        <v>4295</v>
      </c>
      <c r="G4086" t="s">
        <v>1628</v>
      </c>
      <c r="H4086" t="s">
        <v>357</v>
      </c>
      <c r="I4086" t="s">
        <v>204</v>
      </c>
      <c r="J4086" s="1">
        <v>46476</v>
      </c>
      <c r="K4086" t="s">
        <v>711</v>
      </c>
      <c r="L4086">
        <v>2150</v>
      </c>
      <c r="M4086">
        <v>2150</v>
      </c>
      <c r="N4086" t="s">
        <v>890</v>
      </c>
      <c r="O4086" t="s">
        <v>4834</v>
      </c>
      <c r="P4086" t="s">
        <v>4776</v>
      </c>
      <c r="Q4086" t="s">
        <v>4901</v>
      </c>
      <c r="R4086" t="s">
        <v>4773</v>
      </c>
    </row>
    <row r="4087" spans="1:18" x14ac:dyDescent="0.3">
      <c r="A4087">
        <v>17094</v>
      </c>
      <c r="B4087" t="s">
        <v>4875</v>
      </c>
      <c r="C4087" t="s">
        <v>355</v>
      </c>
      <c r="D4087" t="s">
        <v>143</v>
      </c>
      <c r="E4087" s="1">
        <v>45750</v>
      </c>
      <c r="F4087" t="s">
        <v>4318</v>
      </c>
      <c r="G4087" t="s">
        <v>1713</v>
      </c>
      <c r="H4087" t="s">
        <v>354</v>
      </c>
      <c r="I4087" t="s">
        <v>204</v>
      </c>
      <c r="J4087" s="1">
        <v>54878</v>
      </c>
      <c r="K4087" t="s">
        <v>748</v>
      </c>
      <c r="L4087">
        <v>1440.7</v>
      </c>
      <c r="M4087">
        <v>1440.7</v>
      </c>
      <c r="N4087" t="s">
        <v>710</v>
      </c>
      <c r="O4087" t="s">
        <v>4834</v>
      </c>
      <c r="P4087" t="s">
        <v>4776</v>
      </c>
      <c r="Q4087" t="s">
        <v>4856</v>
      </c>
      <c r="R4087" t="s">
        <v>4771</v>
      </c>
    </row>
    <row r="4088" spans="1:18" x14ac:dyDescent="0.3">
      <c r="A4088">
        <v>41211</v>
      </c>
      <c r="B4088" t="s">
        <v>1034</v>
      </c>
      <c r="C4088" t="s">
        <v>327</v>
      </c>
      <c r="D4088" t="s">
        <v>159</v>
      </c>
      <c r="E4088" s="1">
        <v>45750</v>
      </c>
      <c r="F4088" t="s">
        <v>4295</v>
      </c>
      <c r="G4088" t="s">
        <v>1671</v>
      </c>
      <c r="H4088" t="s">
        <v>357</v>
      </c>
      <c r="I4088" t="s">
        <v>204</v>
      </c>
      <c r="J4088" s="1">
        <v>46476</v>
      </c>
      <c r="K4088" t="s">
        <v>711</v>
      </c>
      <c r="L4088">
        <v>2150</v>
      </c>
      <c r="M4088">
        <v>2150</v>
      </c>
      <c r="N4088" t="s">
        <v>890</v>
      </c>
      <c r="O4088" t="s">
        <v>4834</v>
      </c>
      <c r="P4088" t="s">
        <v>4776</v>
      </c>
      <c r="Q4088" t="s">
        <v>4901</v>
      </c>
      <c r="R4088" t="s">
        <v>4773</v>
      </c>
    </row>
    <row r="4089" spans="1:18" x14ac:dyDescent="0.3">
      <c r="A4089">
        <v>8658</v>
      </c>
      <c r="B4089" t="s">
        <v>4875</v>
      </c>
      <c r="C4089" t="s">
        <v>270</v>
      </c>
      <c r="D4089" t="s">
        <v>82</v>
      </c>
      <c r="E4089" s="1">
        <v>45750</v>
      </c>
      <c r="F4089" t="s">
        <v>4296</v>
      </c>
      <c r="G4089" t="s">
        <v>1697</v>
      </c>
      <c r="H4089" t="s">
        <v>334</v>
      </c>
      <c r="I4089" t="s">
        <v>209</v>
      </c>
      <c r="J4089" s="1">
        <v>54878</v>
      </c>
      <c r="K4089" t="s">
        <v>748</v>
      </c>
      <c r="L4089">
        <v>1261</v>
      </c>
      <c r="M4089">
        <v>1261</v>
      </c>
      <c r="N4089" t="s">
        <v>710</v>
      </c>
    </row>
    <row r="4090" spans="1:18" x14ac:dyDescent="0.3">
      <c r="A4090">
        <v>8657</v>
      </c>
      <c r="B4090" t="s">
        <v>4875</v>
      </c>
      <c r="C4090" t="s">
        <v>270</v>
      </c>
      <c r="D4090" t="s">
        <v>82</v>
      </c>
      <c r="E4090" s="1">
        <v>45750</v>
      </c>
      <c r="F4090" t="s">
        <v>4296</v>
      </c>
      <c r="G4090" t="s">
        <v>1696</v>
      </c>
      <c r="H4090" t="s">
        <v>334</v>
      </c>
      <c r="I4090" t="s">
        <v>209</v>
      </c>
      <c r="J4090" s="1">
        <v>54878</v>
      </c>
      <c r="K4090" t="s">
        <v>748</v>
      </c>
      <c r="L4090">
        <v>1261</v>
      </c>
      <c r="M4090">
        <v>1261</v>
      </c>
      <c r="N4090" t="s">
        <v>710</v>
      </c>
    </row>
    <row r="4091" spans="1:18" x14ac:dyDescent="0.3">
      <c r="A4091">
        <v>585438</v>
      </c>
      <c r="B4091" t="s">
        <v>4875</v>
      </c>
      <c r="C4091" t="s">
        <v>248</v>
      </c>
      <c r="D4091" t="s">
        <v>13</v>
      </c>
      <c r="E4091" s="1">
        <v>45750</v>
      </c>
      <c r="F4091" t="s">
        <v>4430</v>
      </c>
      <c r="G4091" t="s">
        <v>1679</v>
      </c>
      <c r="H4091" t="s">
        <v>351</v>
      </c>
      <c r="I4091" t="s">
        <v>204</v>
      </c>
      <c r="J4091" s="1">
        <v>54878</v>
      </c>
      <c r="K4091" t="s">
        <v>748</v>
      </c>
      <c r="L4091">
        <v>1450.04</v>
      </c>
      <c r="M4091">
        <v>1450.04</v>
      </c>
      <c r="N4091" t="s">
        <v>710</v>
      </c>
      <c r="O4091" t="s">
        <v>1040</v>
      </c>
      <c r="P4091" t="s">
        <v>4779</v>
      </c>
      <c r="Q4091" t="s">
        <v>4856</v>
      </c>
      <c r="R4091" t="s">
        <v>4773</v>
      </c>
    </row>
    <row r="4092" spans="1:18" x14ac:dyDescent="0.3">
      <c r="A4092">
        <v>3302</v>
      </c>
      <c r="B4092" t="s">
        <v>4875</v>
      </c>
      <c r="C4092" t="s">
        <v>319</v>
      </c>
      <c r="D4092" t="s">
        <v>36</v>
      </c>
      <c r="E4092" s="1">
        <v>45750</v>
      </c>
      <c r="F4092" t="s">
        <v>4298</v>
      </c>
      <c r="G4092" t="s">
        <v>1692</v>
      </c>
      <c r="H4092" t="s">
        <v>336</v>
      </c>
      <c r="I4092" t="s">
        <v>204</v>
      </c>
      <c r="J4092" s="1">
        <v>46075</v>
      </c>
      <c r="K4092" t="s">
        <v>748</v>
      </c>
      <c r="L4092">
        <v>4</v>
      </c>
      <c r="M4092">
        <v>790.68</v>
      </c>
      <c r="N4092" t="s">
        <v>710</v>
      </c>
      <c r="O4092" t="s">
        <v>1040</v>
      </c>
      <c r="P4092" t="s">
        <v>4784</v>
      </c>
      <c r="Q4092" t="s">
        <v>4856</v>
      </c>
      <c r="R4092" t="s">
        <v>4771</v>
      </c>
    </row>
    <row r="4093" spans="1:18" x14ac:dyDescent="0.3">
      <c r="A4093">
        <v>41213</v>
      </c>
      <c r="B4093" t="s">
        <v>1034</v>
      </c>
      <c r="C4093" t="s">
        <v>327</v>
      </c>
      <c r="D4093" t="s">
        <v>159</v>
      </c>
      <c r="E4093" s="1">
        <v>45750</v>
      </c>
      <c r="F4093" t="s">
        <v>4295</v>
      </c>
      <c r="G4093" t="s">
        <v>1626</v>
      </c>
      <c r="H4093" t="s">
        <v>357</v>
      </c>
      <c r="I4093" t="s">
        <v>204</v>
      </c>
      <c r="J4093" s="1">
        <v>46476</v>
      </c>
      <c r="K4093" t="s">
        <v>711</v>
      </c>
      <c r="L4093">
        <v>2150</v>
      </c>
      <c r="M4093">
        <v>2150</v>
      </c>
      <c r="N4093" t="s">
        <v>890</v>
      </c>
      <c r="O4093" t="s">
        <v>4834</v>
      </c>
      <c r="P4093" t="s">
        <v>4776</v>
      </c>
      <c r="Q4093" t="s">
        <v>4901</v>
      </c>
      <c r="R4093" t="s">
        <v>4773</v>
      </c>
    </row>
    <row r="4094" spans="1:18" x14ac:dyDescent="0.3">
      <c r="A4094">
        <v>36</v>
      </c>
      <c r="B4094" t="s">
        <v>4875</v>
      </c>
      <c r="C4094" t="s">
        <v>561</v>
      </c>
      <c r="D4094" t="s">
        <v>121</v>
      </c>
      <c r="E4094" s="1">
        <v>45750</v>
      </c>
      <c r="F4094" t="s">
        <v>4390</v>
      </c>
      <c r="G4094" t="s">
        <v>1655</v>
      </c>
      <c r="H4094" t="s">
        <v>560</v>
      </c>
      <c r="I4094" t="s">
        <v>204</v>
      </c>
      <c r="J4094" s="1">
        <v>46732</v>
      </c>
      <c r="K4094" t="s">
        <v>748</v>
      </c>
      <c r="L4094">
        <v>6700</v>
      </c>
      <c r="M4094">
        <v>6700</v>
      </c>
      <c r="N4094" t="s">
        <v>818</v>
      </c>
      <c r="O4094" t="s">
        <v>1040</v>
      </c>
      <c r="P4094" t="s">
        <v>4777</v>
      </c>
      <c r="Q4094" t="s">
        <v>4856</v>
      </c>
      <c r="R4094" t="s">
        <v>4771</v>
      </c>
    </row>
    <row r="4095" spans="1:18" x14ac:dyDescent="0.3">
      <c r="A4095">
        <v>41212</v>
      </c>
      <c r="B4095" t="s">
        <v>1034</v>
      </c>
      <c r="C4095" t="s">
        <v>327</v>
      </c>
      <c r="D4095" t="s">
        <v>159</v>
      </c>
      <c r="E4095" s="1">
        <v>45750</v>
      </c>
      <c r="F4095" t="s">
        <v>4295</v>
      </c>
      <c r="G4095" t="s">
        <v>1672</v>
      </c>
      <c r="H4095" t="s">
        <v>357</v>
      </c>
      <c r="I4095" t="s">
        <v>204</v>
      </c>
      <c r="J4095" s="1">
        <v>46476</v>
      </c>
      <c r="K4095" t="s">
        <v>711</v>
      </c>
      <c r="L4095">
        <v>1195.43</v>
      </c>
      <c r="M4095">
        <v>1195.43</v>
      </c>
      <c r="N4095" t="s">
        <v>890</v>
      </c>
      <c r="O4095" t="s">
        <v>4834</v>
      </c>
      <c r="P4095" t="s">
        <v>4776</v>
      </c>
      <c r="Q4095" t="s">
        <v>4901</v>
      </c>
      <c r="R4095" t="s">
        <v>4773</v>
      </c>
    </row>
    <row r="4096" spans="1:18" x14ac:dyDescent="0.3">
      <c r="A4096">
        <v>2236</v>
      </c>
      <c r="B4096" t="s">
        <v>4875</v>
      </c>
      <c r="C4096" t="s">
        <v>541</v>
      </c>
      <c r="D4096" t="s">
        <v>173</v>
      </c>
      <c r="E4096" s="1">
        <v>45750</v>
      </c>
      <c r="F4096" t="s">
        <v>4326</v>
      </c>
      <c r="G4096" t="s">
        <v>1680</v>
      </c>
      <c r="H4096" t="s">
        <v>542</v>
      </c>
      <c r="I4096" t="s">
        <v>204</v>
      </c>
      <c r="J4096" s="1">
        <v>46537</v>
      </c>
      <c r="K4096" t="s">
        <v>748</v>
      </c>
      <c r="L4096">
        <v>1</v>
      </c>
      <c r="M4096">
        <v>2337.9499999999998</v>
      </c>
      <c r="N4096" t="s">
        <v>814</v>
      </c>
      <c r="O4096" t="s">
        <v>1040</v>
      </c>
      <c r="P4096" t="s">
        <v>4791</v>
      </c>
      <c r="Q4096" t="s">
        <v>4856</v>
      </c>
      <c r="R4096" t="s">
        <v>4773</v>
      </c>
    </row>
    <row r="4097" spans="1:18" x14ac:dyDescent="0.3">
      <c r="A4097">
        <v>1980</v>
      </c>
      <c r="B4097" t="s">
        <v>4875</v>
      </c>
      <c r="C4097" t="s">
        <v>616</v>
      </c>
      <c r="D4097" t="s">
        <v>152</v>
      </c>
      <c r="E4097" s="1">
        <v>45750</v>
      </c>
      <c r="F4097" t="s">
        <v>4338</v>
      </c>
      <c r="G4097" t="s">
        <v>1651</v>
      </c>
      <c r="H4097" t="s">
        <v>622</v>
      </c>
      <c r="I4097" t="s">
        <v>204</v>
      </c>
      <c r="J4097" s="1">
        <v>46351</v>
      </c>
      <c r="K4097" t="s">
        <v>748</v>
      </c>
      <c r="L4097">
        <v>1</v>
      </c>
      <c r="M4097">
        <v>28600.99</v>
      </c>
      <c r="N4097" t="s">
        <v>710</v>
      </c>
      <c r="O4097" t="s">
        <v>4904</v>
      </c>
      <c r="P4097" t="s">
        <v>4796</v>
      </c>
      <c r="Q4097" t="s">
        <v>4856</v>
      </c>
      <c r="R4097" t="s">
        <v>4772</v>
      </c>
    </row>
    <row r="4098" spans="1:18" x14ac:dyDescent="0.3">
      <c r="A4098">
        <v>180442698</v>
      </c>
      <c r="B4098" t="s">
        <v>4875</v>
      </c>
      <c r="C4098" t="s">
        <v>585</v>
      </c>
      <c r="D4098" t="s">
        <v>179</v>
      </c>
      <c r="E4098" s="1">
        <v>45750</v>
      </c>
      <c r="F4098" t="s">
        <v>4306</v>
      </c>
      <c r="G4098" t="s">
        <v>1723</v>
      </c>
      <c r="H4098" t="s">
        <v>586</v>
      </c>
      <c r="I4098" t="s">
        <v>204</v>
      </c>
      <c r="J4098" s="1">
        <v>46477</v>
      </c>
      <c r="K4098" t="s">
        <v>768</v>
      </c>
      <c r="L4098">
        <v>1140</v>
      </c>
      <c r="M4098">
        <v>1139.9000000000001</v>
      </c>
      <c r="N4098" t="s">
        <v>719</v>
      </c>
      <c r="O4098" t="s">
        <v>4833</v>
      </c>
      <c r="P4098" t="s">
        <v>4786</v>
      </c>
      <c r="Q4098" t="s">
        <v>4852</v>
      </c>
      <c r="R4098" t="s">
        <v>4771</v>
      </c>
    </row>
    <row r="4099" spans="1:18" x14ac:dyDescent="0.3">
      <c r="A4099">
        <v>41210</v>
      </c>
      <c r="B4099" t="s">
        <v>1034</v>
      </c>
      <c r="C4099" t="s">
        <v>327</v>
      </c>
      <c r="D4099" t="s">
        <v>159</v>
      </c>
      <c r="E4099" s="1">
        <v>45750</v>
      </c>
      <c r="F4099" t="s">
        <v>4295</v>
      </c>
      <c r="G4099" t="s">
        <v>1629</v>
      </c>
      <c r="H4099" t="s">
        <v>357</v>
      </c>
      <c r="I4099" t="s">
        <v>204</v>
      </c>
      <c r="J4099" s="1">
        <v>46476</v>
      </c>
      <c r="K4099" t="s">
        <v>711</v>
      </c>
      <c r="L4099">
        <v>1294.6500000000001</v>
      </c>
      <c r="M4099">
        <v>1294.6500000000001</v>
      </c>
      <c r="N4099" t="s">
        <v>890</v>
      </c>
      <c r="O4099" t="s">
        <v>4834</v>
      </c>
      <c r="P4099" t="s">
        <v>4776</v>
      </c>
      <c r="Q4099" t="s">
        <v>4901</v>
      </c>
      <c r="R4099" t="s">
        <v>4773</v>
      </c>
    </row>
    <row r="4100" spans="1:18" x14ac:dyDescent="0.3">
      <c r="A4100">
        <v>264177</v>
      </c>
      <c r="B4100" t="s">
        <v>1034</v>
      </c>
      <c r="C4100" t="s">
        <v>376</v>
      </c>
      <c r="D4100" t="s">
        <v>35</v>
      </c>
      <c r="E4100" s="1">
        <v>45749</v>
      </c>
      <c r="F4100" t="s">
        <v>4324</v>
      </c>
      <c r="G4100" t="s">
        <v>1682</v>
      </c>
      <c r="H4100" t="s">
        <v>375</v>
      </c>
      <c r="I4100" t="s">
        <v>209</v>
      </c>
      <c r="J4100" s="1">
        <v>54878</v>
      </c>
      <c r="K4100" t="s">
        <v>717</v>
      </c>
      <c r="L4100">
        <v>246.65</v>
      </c>
      <c r="M4100">
        <v>246.65</v>
      </c>
      <c r="N4100" t="s">
        <v>710</v>
      </c>
      <c r="O4100" t="s">
        <v>1037</v>
      </c>
      <c r="P4100" t="s">
        <v>4807</v>
      </c>
      <c r="Q4100" t="s">
        <v>4852</v>
      </c>
      <c r="R4100" t="s">
        <v>4771</v>
      </c>
    </row>
    <row r="4101" spans="1:18" x14ac:dyDescent="0.3">
      <c r="A4101">
        <v>202552</v>
      </c>
      <c r="B4101" t="s">
        <v>4875</v>
      </c>
      <c r="C4101" t="s">
        <v>322</v>
      </c>
      <c r="D4101" t="s">
        <v>158</v>
      </c>
      <c r="E4101" s="1">
        <v>45749</v>
      </c>
      <c r="F4101" t="s">
        <v>4431</v>
      </c>
      <c r="G4101" t="s">
        <v>1624</v>
      </c>
      <c r="H4101" t="s">
        <v>321</v>
      </c>
      <c r="I4101" t="s">
        <v>204</v>
      </c>
      <c r="J4101" s="1">
        <v>46310</v>
      </c>
      <c r="K4101" t="s">
        <v>748</v>
      </c>
      <c r="L4101">
        <v>9469.7099999999991</v>
      </c>
      <c r="M4101">
        <v>9469.7099999999991</v>
      </c>
      <c r="N4101" t="s">
        <v>710</v>
      </c>
      <c r="O4101" t="s">
        <v>1040</v>
      </c>
      <c r="P4101" t="s">
        <v>4782</v>
      </c>
      <c r="Q4101" t="s">
        <v>4856</v>
      </c>
      <c r="R4101" t="s">
        <v>4773</v>
      </c>
    </row>
    <row r="4102" spans="1:18" x14ac:dyDescent="0.3">
      <c r="A4102">
        <v>1518</v>
      </c>
      <c r="B4102" t="s">
        <v>4875</v>
      </c>
      <c r="C4102" t="s">
        <v>312</v>
      </c>
      <c r="D4102" t="s">
        <v>73</v>
      </c>
      <c r="E4102" s="1">
        <v>45749</v>
      </c>
      <c r="F4102" t="s">
        <v>4300</v>
      </c>
      <c r="G4102" t="s">
        <v>1678</v>
      </c>
      <c r="H4102" t="s">
        <v>365</v>
      </c>
      <c r="I4102" t="s">
        <v>204</v>
      </c>
      <c r="J4102" s="1">
        <v>46418</v>
      </c>
      <c r="K4102" t="s">
        <v>748</v>
      </c>
      <c r="L4102">
        <v>2255</v>
      </c>
      <c r="M4102">
        <v>2255</v>
      </c>
      <c r="N4102" t="s">
        <v>710</v>
      </c>
      <c r="O4102" t="s">
        <v>4834</v>
      </c>
      <c r="P4102" t="s">
        <v>1006</v>
      </c>
      <c r="Q4102" t="s">
        <v>4856</v>
      </c>
      <c r="R4102" t="s">
        <v>4773</v>
      </c>
    </row>
    <row r="4103" spans="1:18" x14ac:dyDescent="0.3">
      <c r="A4103">
        <v>569960</v>
      </c>
      <c r="B4103" t="s">
        <v>4874</v>
      </c>
      <c r="C4103" t="s">
        <v>376</v>
      </c>
      <c r="D4103" t="s">
        <v>35</v>
      </c>
      <c r="E4103" s="1">
        <v>45749</v>
      </c>
      <c r="F4103" t="s">
        <v>4324</v>
      </c>
      <c r="G4103" t="s">
        <v>1683</v>
      </c>
      <c r="H4103" t="s">
        <v>442</v>
      </c>
      <c r="I4103" t="s">
        <v>209</v>
      </c>
      <c r="J4103" s="1">
        <v>54878</v>
      </c>
      <c r="K4103" t="s">
        <v>762</v>
      </c>
      <c r="L4103">
        <v>3800</v>
      </c>
      <c r="M4103">
        <v>3800</v>
      </c>
      <c r="N4103" t="s">
        <v>710</v>
      </c>
      <c r="Q4103" t="s">
        <v>4852</v>
      </c>
      <c r="R4103" t="s">
        <v>4771</v>
      </c>
    </row>
    <row r="4104" spans="1:18" x14ac:dyDescent="0.3">
      <c r="A4104">
        <v>470146</v>
      </c>
      <c r="B4104" t="s">
        <v>4874</v>
      </c>
      <c r="C4104" t="s">
        <v>376</v>
      </c>
      <c r="D4104" t="s">
        <v>35</v>
      </c>
      <c r="E4104" s="1">
        <v>45749</v>
      </c>
      <c r="F4104" t="s">
        <v>4324</v>
      </c>
      <c r="G4104" t="s">
        <v>1683</v>
      </c>
      <c r="H4104" t="s">
        <v>442</v>
      </c>
      <c r="I4104" t="s">
        <v>209</v>
      </c>
      <c r="J4104" s="1">
        <v>54878</v>
      </c>
      <c r="K4104" t="s">
        <v>762</v>
      </c>
      <c r="L4104">
        <v>236.5</v>
      </c>
      <c r="M4104">
        <v>236.5</v>
      </c>
      <c r="N4104" t="s">
        <v>710</v>
      </c>
      <c r="Q4104" t="s">
        <v>4852</v>
      </c>
      <c r="R4104" t="s">
        <v>4771</v>
      </c>
    </row>
    <row r="4105" spans="1:18" x14ac:dyDescent="0.3">
      <c r="A4105">
        <v>535917</v>
      </c>
      <c r="B4105" t="s">
        <v>4874</v>
      </c>
      <c r="C4105" t="s">
        <v>376</v>
      </c>
      <c r="D4105" t="s">
        <v>35</v>
      </c>
      <c r="E4105" s="1">
        <v>45749</v>
      </c>
      <c r="F4105" t="s">
        <v>4324</v>
      </c>
      <c r="G4105" t="s">
        <v>1683</v>
      </c>
      <c r="H4105" t="s">
        <v>442</v>
      </c>
      <c r="I4105" t="s">
        <v>209</v>
      </c>
      <c r="J4105" s="1">
        <v>54878</v>
      </c>
      <c r="K4105" t="s">
        <v>762</v>
      </c>
      <c r="L4105">
        <v>910.15</v>
      </c>
      <c r="M4105">
        <v>910.15</v>
      </c>
      <c r="N4105" t="s">
        <v>710</v>
      </c>
      <c r="Q4105" t="s">
        <v>4852</v>
      </c>
      <c r="R4105" t="s">
        <v>4771</v>
      </c>
    </row>
    <row r="4106" spans="1:18" x14ac:dyDescent="0.3">
      <c r="A4106">
        <v>1983</v>
      </c>
      <c r="B4106" t="s">
        <v>1034</v>
      </c>
      <c r="C4106" t="s">
        <v>616</v>
      </c>
      <c r="D4106" t="s">
        <v>152</v>
      </c>
      <c r="E4106" s="1">
        <v>45749</v>
      </c>
      <c r="F4106" t="s">
        <v>4338</v>
      </c>
      <c r="G4106" t="s">
        <v>1659</v>
      </c>
      <c r="H4106" t="s">
        <v>621</v>
      </c>
      <c r="I4106" t="s">
        <v>204</v>
      </c>
      <c r="J4106" s="1">
        <v>46349</v>
      </c>
      <c r="K4106" t="s">
        <v>711</v>
      </c>
      <c r="L4106">
        <v>67259.55</v>
      </c>
      <c r="M4106">
        <v>67259.55</v>
      </c>
      <c r="N4106" t="s">
        <v>710</v>
      </c>
      <c r="O4106" t="s">
        <v>4904</v>
      </c>
      <c r="P4106" t="s">
        <v>4796</v>
      </c>
      <c r="Q4106" t="s">
        <v>4901</v>
      </c>
      <c r="R4106" t="s">
        <v>4772</v>
      </c>
    </row>
    <row r="4107" spans="1:18" x14ac:dyDescent="0.3">
      <c r="A4107">
        <v>4764</v>
      </c>
      <c r="B4107" t="s">
        <v>1034</v>
      </c>
      <c r="C4107" t="s">
        <v>319</v>
      </c>
      <c r="D4107" t="s">
        <v>36</v>
      </c>
      <c r="E4107" s="1">
        <v>45748</v>
      </c>
      <c r="F4107" t="s">
        <v>4298</v>
      </c>
      <c r="G4107" t="s">
        <v>1687</v>
      </c>
      <c r="H4107" t="s">
        <v>318</v>
      </c>
      <c r="I4107" t="s">
        <v>204</v>
      </c>
      <c r="J4107" s="1">
        <v>46214</v>
      </c>
      <c r="K4107" t="s">
        <v>711</v>
      </c>
      <c r="L4107">
        <v>352</v>
      </c>
      <c r="M4107">
        <v>352.31</v>
      </c>
      <c r="N4107" t="s">
        <v>710</v>
      </c>
      <c r="O4107" t="s">
        <v>1036</v>
      </c>
      <c r="P4107" t="s">
        <v>4784</v>
      </c>
      <c r="Q4107" t="s">
        <v>4901</v>
      </c>
      <c r="R4107" t="s">
        <v>4771</v>
      </c>
    </row>
    <row r="4108" spans="1:18" x14ac:dyDescent="0.3">
      <c r="A4108">
        <v>30002</v>
      </c>
      <c r="B4108" t="s">
        <v>4874</v>
      </c>
      <c r="C4108" t="s">
        <v>296</v>
      </c>
      <c r="D4108" t="s">
        <v>93</v>
      </c>
      <c r="E4108" s="1">
        <v>45748</v>
      </c>
      <c r="F4108" t="s">
        <v>4362</v>
      </c>
      <c r="G4108" t="s">
        <v>1681</v>
      </c>
      <c r="H4108" t="s">
        <v>295</v>
      </c>
      <c r="I4108" t="s">
        <v>209</v>
      </c>
      <c r="J4108" s="1">
        <v>54878</v>
      </c>
      <c r="K4108" t="s">
        <v>720</v>
      </c>
      <c r="L4108">
        <v>25</v>
      </c>
      <c r="M4108">
        <v>25</v>
      </c>
      <c r="N4108" t="s">
        <v>710</v>
      </c>
      <c r="Q4108" t="s">
        <v>4845</v>
      </c>
      <c r="R4108" t="s">
        <v>4772</v>
      </c>
    </row>
    <row r="4109" spans="1:18" x14ac:dyDescent="0.3">
      <c r="A4109">
        <v>6683</v>
      </c>
      <c r="B4109" t="s">
        <v>1034</v>
      </c>
      <c r="C4109" t="s">
        <v>230</v>
      </c>
      <c r="D4109" t="s">
        <v>85</v>
      </c>
      <c r="E4109" s="1">
        <v>45748</v>
      </c>
      <c r="F4109" t="s">
        <v>4348</v>
      </c>
      <c r="G4109" t="s">
        <v>1706</v>
      </c>
      <c r="H4109" t="s">
        <v>570</v>
      </c>
      <c r="I4109" t="s">
        <v>204</v>
      </c>
      <c r="J4109" s="1">
        <v>46418</v>
      </c>
      <c r="K4109" t="s">
        <v>717</v>
      </c>
      <c r="L4109">
        <v>1</v>
      </c>
      <c r="M4109">
        <v>508195.8</v>
      </c>
      <c r="N4109" t="s">
        <v>719</v>
      </c>
      <c r="O4109" t="s">
        <v>1033</v>
      </c>
      <c r="P4109" t="s">
        <v>4781</v>
      </c>
      <c r="Q4109" t="s">
        <v>4852</v>
      </c>
      <c r="R4109" t="s">
        <v>4771</v>
      </c>
    </row>
    <row r="4110" spans="1:18" x14ac:dyDescent="0.3">
      <c r="A4110">
        <v>6679</v>
      </c>
      <c r="B4110" t="s">
        <v>4874</v>
      </c>
      <c r="C4110" t="s">
        <v>230</v>
      </c>
      <c r="D4110" t="s">
        <v>85</v>
      </c>
      <c r="E4110" s="1">
        <v>45748</v>
      </c>
      <c r="F4110" t="s">
        <v>4348</v>
      </c>
      <c r="G4110" t="s">
        <v>1705</v>
      </c>
      <c r="H4110" t="s">
        <v>299</v>
      </c>
      <c r="I4110" t="s">
        <v>204</v>
      </c>
      <c r="J4110" s="1">
        <v>46536</v>
      </c>
      <c r="K4110" t="s">
        <v>762</v>
      </c>
      <c r="L4110">
        <v>198518.11</v>
      </c>
      <c r="M4110">
        <v>198518.11</v>
      </c>
      <c r="N4110" t="s">
        <v>710</v>
      </c>
      <c r="O4110" t="s">
        <v>1033</v>
      </c>
      <c r="P4110" t="s">
        <v>4781</v>
      </c>
      <c r="Q4110" t="s">
        <v>4852</v>
      </c>
      <c r="R4110" t="s">
        <v>4771</v>
      </c>
    </row>
    <row r="4111" spans="1:18" x14ac:dyDescent="0.3">
      <c r="A4111">
        <v>6700</v>
      </c>
      <c r="B4111" t="s">
        <v>4874</v>
      </c>
      <c r="C4111" t="s">
        <v>230</v>
      </c>
      <c r="D4111" t="s">
        <v>85</v>
      </c>
      <c r="E4111" s="1">
        <v>45748</v>
      </c>
      <c r="F4111" t="s">
        <v>4348</v>
      </c>
      <c r="G4111" t="s">
        <v>1704</v>
      </c>
      <c r="H4111" t="s">
        <v>299</v>
      </c>
      <c r="I4111" t="s">
        <v>204</v>
      </c>
      <c r="J4111" s="1">
        <v>46536</v>
      </c>
      <c r="K4111" t="s">
        <v>762</v>
      </c>
      <c r="L4111">
        <v>8994.73</v>
      </c>
      <c r="M4111">
        <v>8994.73</v>
      </c>
      <c r="N4111" t="s">
        <v>710</v>
      </c>
      <c r="O4111" t="s">
        <v>1033</v>
      </c>
      <c r="P4111" t="s">
        <v>4781</v>
      </c>
      <c r="Q4111" t="s">
        <v>4852</v>
      </c>
      <c r="R4111" t="s">
        <v>4771</v>
      </c>
    </row>
    <row r="4112" spans="1:18" x14ac:dyDescent="0.3">
      <c r="A4112">
        <v>30002</v>
      </c>
      <c r="B4112" t="s">
        <v>4874</v>
      </c>
      <c r="C4112" t="s">
        <v>296</v>
      </c>
      <c r="D4112" t="s">
        <v>93</v>
      </c>
      <c r="E4112" s="1">
        <v>45748</v>
      </c>
      <c r="F4112" t="s">
        <v>4362</v>
      </c>
      <c r="G4112" t="s">
        <v>1681</v>
      </c>
      <c r="H4112" t="s">
        <v>295</v>
      </c>
      <c r="I4112" t="s">
        <v>209</v>
      </c>
      <c r="J4112" s="1">
        <v>54878</v>
      </c>
      <c r="K4112" t="s">
        <v>720</v>
      </c>
      <c r="L4112">
        <v>25</v>
      </c>
      <c r="M4112">
        <v>25</v>
      </c>
      <c r="N4112" t="s">
        <v>710</v>
      </c>
      <c r="Q4112" t="s">
        <v>4845</v>
      </c>
      <c r="R4112" t="s">
        <v>4772</v>
      </c>
    </row>
    <row r="4113" spans="1:18" x14ac:dyDescent="0.3">
      <c r="A4113">
        <v>26572</v>
      </c>
      <c r="B4113" t="s">
        <v>4874</v>
      </c>
      <c r="C4113" t="s">
        <v>296</v>
      </c>
      <c r="D4113" t="s">
        <v>93</v>
      </c>
      <c r="E4113" s="1">
        <v>45748</v>
      </c>
      <c r="F4113" t="s">
        <v>4362</v>
      </c>
      <c r="G4113" t="s">
        <v>1172</v>
      </c>
      <c r="H4113" t="s">
        <v>295</v>
      </c>
      <c r="I4113" t="s">
        <v>209</v>
      </c>
      <c r="J4113" s="1">
        <v>54878</v>
      </c>
      <c r="K4113" t="s">
        <v>720</v>
      </c>
      <c r="L4113">
        <v>10318.32</v>
      </c>
      <c r="M4113">
        <v>-10318.32</v>
      </c>
      <c r="N4113" t="s">
        <v>710</v>
      </c>
      <c r="Q4113" t="s">
        <v>4845</v>
      </c>
      <c r="R4113" t="s">
        <v>4772</v>
      </c>
    </row>
    <row r="4114" spans="1:18" x14ac:dyDescent="0.3">
      <c r="A4114">
        <v>1725</v>
      </c>
      <c r="B4114" t="s">
        <v>4874</v>
      </c>
      <c r="C4114" t="s">
        <v>252</v>
      </c>
      <c r="D4114" t="s">
        <v>183</v>
      </c>
      <c r="E4114" s="1">
        <v>45748</v>
      </c>
      <c r="F4114" t="s">
        <v>4404</v>
      </c>
      <c r="G4114" t="s">
        <v>1270</v>
      </c>
      <c r="H4114" t="s">
        <v>251</v>
      </c>
      <c r="I4114" t="s">
        <v>204</v>
      </c>
      <c r="J4114" s="1">
        <v>46418</v>
      </c>
      <c r="K4114" t="s">
        <v>762</v>
      </c>
      <c r="L4114">
        <v>18900</v>
      </c>
      <c r="M4114">
        <v>18900</v>
      </c>
      <c r="N4114" t="s">
        <v>719</v>
      </c>
      <c r="O4114" t="s">
        <v>4904</v>
      </c>
      <c r="P4114" t="s">
        <v>4792</v>
      </c>
      <c r="Q4114" t="s">
        <v>4904</v>
      </c>
      <c r="R4114" t="s">
        <v>4773</v>
      </c>
    </row>
    <row r="4115" spans="1:18" x14ac:dyDescent="0.3">
      <c r="A4115">
        <v>4772686</v>
      </c>
      <c r="B4115" t="s">
        <v>1034</v>
      </c>
      <c r="C4115" t="s">
        <v>463</v>
      </c>
      <c r="D4115" t="s">
        <v>147</v>
      </c>
      <c r="E4115" s="1">
        <v>45747</v>
      </c>
      <c r="F4115" t="s">
        <v>4334</v>
      </c>
      <c r="G4115" t="s">
        <v>1686</v>
      </c>
      <c r="H4115" t="s">
        <v>462</v>
      </c>
      <c r="I4115" t="s">
        <v>204</v>
      </c>
      <c r="J4115" s="1">
        <v>46752</v>
      </c>
      <c r="K4115" t="s">
        <v>717</v>
      </c>
      <c r="L4115">
        <v>1082.6300000000001</v>
      </c>
      <c r="M4115">
        <v>1082.6300000000001</v>
      </c>
      <c r="N4115" t="s">
        <v>719</v>
      </c>
      <c r="O4115" t="s">
        <v>1033</v>
      </c>
      <c r="P4115" t="s">
        <v>4776</v>
      </c>
      <c r="Q4115" t="s">
        <v>4852</v>
      </c>
      <c r="R4115" t="s">
        <v>4771</v>
      </c>
    </row>
    <row r="4116" spans="1:18" x14ac:dyDescent="0.3">
      <c r="A4116">
        <v>13163</v>
      </c>
      <c r="B4116" t="s">
        <v>1034</v>
      </c>
      <c r="C4116" t="s">
        <v>319</v>
      </c>
      <c r="D4116" t="s">
        <v>36</v>
      </c>
      <c r="E4116" s="1">
        <v>45744</v>
      </c>
      <c r="F4116" t="s">
        <v>4298</v>
      </c>
      <c r="G4116" t="s">
        <v>1661</v>
      </c>
      <c r="H4116" t="s">
        <v>318</v>
      </c>
      <c r="I4116" t="s">
        <v>204</v>
      </c>
      <c r="J4116" s="1">
        <v>46214</v>
      </c>
      <c r="K4116" t="s">
        <v>711</v>
      </c>
      <c r="L4116">
        <v>2817</v>
      </c>
      <c r="M4116">
        <v>2816.5</v>
      </c>
      <c r="N4116" t="s">
        <v>710</v>
      </c>
      <c r="O4116" t="s">
        <v>1036</v>
      </c>
      <c r="P4116" t="s">
        <v>4784</v>
      </c>
      <c r="Q4116" t="s">
        <v>4901</v>
      </c>
      <c r="R4116" t="s">
        <v>4771</v>
      </c>
    </row>
    <row r="4117" spans="1:18" x14ac:dyDescent="0.3">
      <c r="A4117">
        <v>18347</v>
      </c>
      <c r="B4117" t="s">
        <v>4874</v>
      </c>
      <c r="C4117" t="s">
        <v>939</v>
      </c>
      <c r="D4117" t="s">
        <v>7</v>
      </c>
      <c r="E4117" s="1">
        <v>45743</v>
      </c>
      <c r="F4117" t="s">
        <v>4352</v>
      </c>
      <c r="G4117" t="s">
        <v>1572</v>
      </c>
      <c r="H4117" t="s">
        <v>591</v>
      </c>
      <c r="I4117" t="s">
        <v>209</v>
      </c>
      <c r="J4117" s="1">
        <v>45865</v>
      </c>
      <c r="K4117" t="s">
        <v>762</v>
      </c>
      <c r="L4117">
        <v>1052.8</v>
      </c>
      <c r="M4117">
        <v>1052.8</v>
      </c>
      <c r="N4117" t="s">
        <v>890</v>
      </c>
      <c r="Q4117" t="s">
        <v>807</v>
      </c>
    </row>
    <row r="4118" spans="1:18" x14ac:dyDescent="0.3">
      <c r="A4118">
        <v>202597</v>
      </c>
      <c r="B4118" t="s">
        <v>1034</v>
      </c>
      <c r="C4118" t="s">
        <v>552</v>
      </c>
      <c r="D4118" t="s">
        <v>190</v>
      </c>
      <c r="E4118" s="1">
        <v>45743</v>
      </c>
      <c r="F4118" t="s">
        <v>4339</v>
      </c>
      <c r="G4118" t="s">
        <v>1665</v>
      </c>
      <c r="H4118" t="s">
        <v>583</v>
      </c>
      <c r="I4118" t="s">
        <v>204</v>
      </c>
      <c r="J4118" s="1">
        <v>46441</v>
      </c>
      <c r="K4118" t="s">
        <v>717</v>
      </c>
      <c r="L4118">
        <v>3296.66</v>
      </c>
      <c r="M4118">
        <v>3296.66</v>
      </c>
      <c r="N4118" t="s">
        <v>710</v>
      </c>
      <c r="O4118" t="s">
        <v>4904</v>
      </c>
      <c r="P4118" t="s">
        <v>4792</v>
      </c>
      <c r="Q4118" t="s">
        <v>4904</v>
      </c>
      <c r="R4118" t="s">
        <v>4772</v>
      </c>
    </row>
    <row r="4119" spans="1:18" x14ac:dyDescent="0.3">
      <c r="A4119">
        <v>108739</v>
      </c>
      <c r="B4119" t="s">
        <v>1034</v>
      </c>
      <c r="C4119" t="s">
        <v>415</v>
      </c>
      <c r="D4119" t="s">
        <v>60</v>
      </c>
      <c r="E4119" s="1">
        <v>45743</v>
      </c>
      <c r="F4119" t="s">
        <v>4333</v>
      </c>
      <c r="G4119" t="s">
        <v>1641</v>
      </c>
      <c r="H4119" t="s">
        <v>431</v>
      </c>
      <c r="I4119" t="s">
        <v>204</v>
      </c>
      <c r="J4119" s="1">
        <v>46386</v>
      </c>
      <c r="K4119" t="s">
        <v>717</v>
      </c>
      <c r="L4119">
        <v>16574.36</v>
      </c>
      <c r="M4119">
        <v>16574.36</v>
      </c>
      <c r="N4119" t="s">
        <v>814</v>
      </c>
      <c r="O4119" t="s">
        <v>1037</v>
      </c>
      <c r="P4119" t="s">
        <v>4807</v>
      </c>
      <c r="Q4119" t="s">
        <v>4852</v>
      </c>
      <c r="R4119" t="s">
        <v>4771</v>
      </c>
    </row>
    <row r="4120" spans="1:18" x14ac:dyDescent="0.3">
      <c r="A4120">
        <v>108744</v>
      </c>
      <c r="B4120" t="s">
        <v>4874</v>
      </c>
      <c r="C4120" t="s">
        <v>415</v>
      </c>
      <c r="D4120" t="s">
        <v>60</v>
      </c>
      <c r="E4120" s="1">
        <v>45743</v>
      </c>
      <c r="F4120" t="s">
        <v>4333</v>
      </c>
      <c r="G4120" t="s">
        <v>1642</v>
      </c>
      <c r="H4120" t="s">
        <v>457</v>
      </c>
      <c r="I4120" t="s">
        <v>204</v>
      </c>
      <c r="J4120" s="1">
        <v>46387</v>
      </c>
      <c r="K4120" t="s">
        <v>762</v>
      </c>
      <c r="L4120">
        <v>4183.46</v>
      </c>
      <c r="M4120">
        <v>4183.46</v>
      </c>
      <c r="N4120" t="s">
        <v>814</v>
      </c>
      <c r="O4120" t="s">
        <v>1037</v>
      </c>
      <c r="P4120" t="s">
        <v>4807</v>
      </c>
      <c r="Q4120" t="s">
        <v>4852</v>
      </c>
      <c r="R4120" t="s">
        <v>4771</v>
      </c>
    </row>
    <row r="4121" spans="1:18" x14ac:dyDescent="0.3">
      <c r="A4121">
        <v>2025386</v>
      </c>
      <c r="B4121" t="s">
        <v>4875</v>
      </c>
      <c r="C4121" t="s">
        <v>550</v>
      </c>
      <c r="D4121" t="s">
        <v>189</v>
      </c>
      <c r="E4121" s="1">
        <v>45743</v>
      </c>
      <c r="F4121" t="s">
        <v>4338</v>
      </c>
      <c r="G4121" t="s">
        <v>1664</v>
      </c>
      <c r="H4121" t="s">
        <v>569</v>
      </c>
      <c r="I4121" t="s">
        <v>204</v>
      </c>
      <c r="J4121" s="1">
        <v>46599</v>
      </c>
      <c r="K4121" t="s">
        <v>768</v>
      </c>
      <c r="L4121">
        <v>2986.33</v>
      </c>
      <c r="M4121">
        <v>2986.33</v>
      </c>
      <c r="N4121" t="s">
        <v>710</v>
      </c>
      <c r="O4121" t="s">
        <v>4904</v>
      </c>
      <c r="P4121" t="s">
        <v>4792</v>
      </c>
      <c r="Q4121" t="s">
        <v>4904</v>
      </c>
      <c r="R4121" t="s">
        <v>4772</v>
      </c>
    </row>
    <row r="4122" spans="1:18" x14ac:dyDescent="0.3">
      <c r="A4122">
        <v>41205</v>
      </c>
      <c r="B4122" t="s">
        <v>4875</v>
      </c>
      <c r="C4122" t="s">
        <v>220</v>
      </c>
      <c r="D4122" t="s">
        <v>15</v>
      </c>
      <c r="E4122" s="1">
        <v>45743</v>
      </c>
      <c r="F4122" t="s">
        <v>4304</v>
      </c>
      <c r="G4122" t="s">
        <v>1603</v>
      </c>
      <c r="H4122" t="s">
        <v>273</v>
      </c>
      <c r="I4122" t="s">
        <v>204</v>
      </c>
      <c r="J4122" s="1">
        <v>54878</v>
      </c>
      <c r="K4122" t="s">
        <v>748</v>
      </c>
      <c r="L4122">
        <v>1261</v>
      </c>
      <c r="M4122">
        <v>1261</v>
      </c>
      <c r="N4122" t="s">
        <v>710</v>
      </c>
      <c r="O4122" t="s">
        <v>4834</v>
      </c>
      <c r="P4122" t="s">
        <v>4776</v>
      </c>
      <c r="Q4122" t="s">
        <v>4856</v>
      </c>
      <c r="R4122" t="s">
        <v>4773</v>
      </c>
    </row>
    <row r="4123" spans="1:18" x14ac:dyDescent="0.3">
      <c r="A4123">
        <v>14957</v>
      </c>
      <c r="B4123" t="s">
        <v>4874</v>
      </c>
      <c r="C4123" t="s">
        <v>439</v>
      </c>
      <c r="D4123" t="s">
        <v>156</v>
      </c>
      <c r="E4123" s="1">
        <v>45743</v>
      </c>
      <c r="F4123" t="s">
        <v>4396</v>
      </c>
      <c r="G4123" t="s">
        <v>1616</v>
      </c>
      <c r="H4123" t="s">
        <v>438</v>
      </c>
      <c r="I4123" t="s">
        <v>204</v>
      </c>
      <c r="J4123" s="1">
        <v>46265</v>
      </c>
      <c r="K4123" t="s">
        <v>762</v>
      </c>
      <c r="L4123">
        <v>21012.97</v>
      </c>
      <c r="M4123">
        <v>21012.97</v>
      </c>
      <c r="N4123" t="s">
        <v>710</v>
      </c>
      <c r="O4123" t="s">
        <v>1037</v>
      </c>
      <c r="P4123" t="s">
        <v>4789</v>
      </c>
      <c r="Q4123" t="s">
        <v>4852</v>
      </c>
      <c r="R4123" t="s">
        <v>4771</v>
      </c>
    </row>
    <row r="4124" spans="1:18" x14ac:dyDescent="0.3">
      <c r="A4124">
        <v>55319</v>
      </c>
      <c r="B4124" t="s">
        <v>4874</v>
      </c>
      <c r="C4124" t="s">
        <v>437</v>
      </c>
      <c r="D4124" t="s">
        <v>150</v>
      </c>
      <c r="E4124" s="1">
        <v>45743</v>
      </c>
      <c r="F4124" t="s">
        <v>4395</v>
      </c>
      <c r="G4124" t="s">
        <v>1675</v>
      </c>
      <c r="H4124" t="s">
        <v>436</v>
      </c>
      <c r="I4124" t="s">
        <v>204</v>
      </c>
      <c r="J4124" s="1">
        <v>54878</v>
      </c>
      <c r="K4124" t="s">
        <v>762</v>
      </c>
      <c r="L4124">
        <v>840</v>
      </c>
      <c r="M4124">
        <v>840</v>
      </c>
      <c r="N4124" t="s">
        <v>719</v>
      </c>
      <c r="O4124" t="s">
        <v>1037</v>
      </c>
      <c r="P4124" t="s">
        <v>4788</v>
      </c>
      <c r="Q4124" t="s">
        <v>4852</v>
      </c>
      <c r="R4124" t="s">
        <v>4771</v>
      </c>
    </row>
    <row r="4125" spans="1:18" x14ac:dyDescent="0.3">
      <c r="A4125">
        <v>596470</v>
      </c>
      <c r="B4125" t="s">
        <v>4874</v>
      </c>
      <c r="C4125" t="s">
        <v>433</v>
      </c>
      <c r="D4125" t="s">
        <v>168</v>
      </c>
      <c r="E4125" s="1">
        <v>45743</v>
      </c>
      <c r="F4125" t="s">
        <v>4319</v>
      </c>
      <c r="G4125" t="s">
        <v>1662</v>
      </c>
      <c r="H4125" t="s">
        <v>432</v>
      </c>
      <c r="I4125" t="s">
        <v>204</v>
      </c>
      <c r="J4125" s="1">
        <v>46473</v>
      </c>
      <c r="K4125" t="s">
        <v>762</v>
      </c>
      <c r="L4125">
        <v>1300</v>
      </c>
      <c r="M4125">
        <v>1299.69</v>
      </c>
      <c r="N4125" t="s">
        <v>710</v>
      </c>
      <c r="O4125" t="s">
        <v>4833</v>
      </c>
      <c r="P4125" t="s">
        <v>4802</v>
      </c>
      <c r="Q4125" t="s">
        <v>4852</v>
      </c>
      <c r="R4125" t="s">
        <v>4771</v>
      </c>
    </row>
    <row r="4126" spans="1:18" x14ac:dyDescent="0.3">
      <c r="A4126">
        <v>32143</v>
      </c>
      <c r="B4126" t="s">
        <v>1034</v>
      </c>
      <c r="C4126" t="s">
        <v>314</v>
      </c>
      <c r="D4126" t="s">
        <v>39</v>
      </c>
      <c r="E4126" s="1">
        <v>45743</v>
      </c>
      <c r="F4126" t="s">
        <v>4347</v>
      </c>
      <c r="G4126" t="s">
        <v>1669</v>
      </c>
      <c r="H4126" t="s">
        <v>313</v>
      </c>
      <c r="I4126" t="s">
        <v>204</v>
      </c>
      <c r="J4126" s="1">
        <v>46237</v>
      </c>
      <c r="K4126" t="s">
        <v>711</v>
      </c>
      <c r="L4126">
        <v>664.4</v>
      </c>
      <c r="M4126">
        <v>664.4</v>
      </c>
      <c r="N4126" t="s">
        <v>710</v>
      </c>
      <c r="O4126" t="s">
        <v>4834</v>
      </c>
      <c r="P4126" t="s">
        <v>4779</v>
      </c>
      <c r="Q4126" t="s">
        <v>4901</v>
      </c>
      <c r="R4126" t="s">
        <v>4773</v>
      </c>
    </row>
    <row r="4127" spans="1:18" x14ac:dyDescent="0.3">
      <c r="A4127">
        <v>108745</v>
      </c>
      <c r="B4127" t="s">
        <v>4875</v>
      </c>
      <c r="C4127" t="s">
        <v>415</v>
      </c>
      <c r="D4127" t="s">
        <v>60</v>
      </c>
      <c r="E4127" s="1">
        <v>45743</v>
      </c>
      <c r="F4127" t="s">
        <v>4333</v>
      </c>
      <c r="G4127" t="s">
        <v>1640</v>
      </c>
      <c r="H4127" t="s">
        <v>414</v>
      </c>
      <c r="I4127" t="s">
        <v>204</v>
      </c>
      <c r="J4127" s="1">
        <v>46386</v>
      </c>
      <c r="K4127" t="s">
        <v>768</v>
      </c>
      <c r="L4127">
        <v>3209.23</v>
      </c>
      <c r="M4127">
        <v>3209.23</v>
      </c>
      <c r="N4127" t="s">
        <v>814</v>
      </c>
      <c r="O4127" t="s">
        <v>1037</v>
      </c>
      <c r="P4127" t="s">
        <v>4807</v>
      </c>
      <c r="Q4127" t="s">
        <v>4852</v>
      </c>
      <c r="R4127" t="s">
        <v>4771</v>
      </c>
    </row>
    <row r="4128" spans="1:18" x14ac:dyDescent="0.3">
      <c r="A4128">
        <v>2025387</v>
      </c>
      <c r="B4128" t="s">
        <v>1034</v>
      </c>
      <c r="C4128" t="s">
        <v>550</v>
      </c>
      <c r="D4128" t="s">
        <v>189</v>
      </c>
      <c r="E4128" s="1">
        <v>45743</v>
      </c>
      <c r="F4128" t="s">
        <v>4338</v>
      </c>
      <c r="G4128" t="s">
        <v>1663</v>
      </c>
      <c r="H4128" t="s">
        <v>582</v>
      </c>
      <c r="I4128" t="s">
        <v>204</v>
      </c>
      <c r="J4128" s="1">
        <v>46599</v>
      </c>
      <c r="K4128" t="s">
        <v>717</v>
      </c>
      <c r="L4128">
        <v>3453.65</v>
      </c>
      <c r="M4128">
        <v>3453.65</v>
      </c>
      <c r="N4128" t="s">
        <v>710</v>
      </c>
      <c r="O4128" t="s">
        <v>4904</v>
      </c>
      <c r="P4128" t="s">
        <v>4792</v>
      </c>
      <c r="Q4128" t="s">
        <v>4904</v>
      </c>
      <c r="R4128" t="s">
        <v>4772</v>
      </c>
    </row>
    <row r="4129" spans="1:18" x14ac:dyDescent="0.3">
      <c r="A4129">
        <v>191551</v>
      </c>
      <c r="B4129" t="s">
        <v>4874</v>
      </c>
      <c r="C4129" t="s">
        <v>239</v>
      </c>
      <c r="D4129" t="s">
        <v>199</v>
      </c>
      <c r="E4129" s="1">
        <v>45742</v>
      </c>
      <c r="F4129" t="s">
        <v>4325</v>
      </c>
      <c r="G4129" t="s">
        <v>1658</v>
      </c>
      <c r="H4129" t="s">
        <v>268</v>
      </c>
      <c r="I4129" t="s">
        <v>204</v>
      </c>
      <c r="J4129" s="1">
        <v>46172</v>
      </c>
      <c r="K4129" t="s">
        <v>720</v>
      </c>
      <c r="L4129">
        <v>1</v>
      </c>
      <c r="M4129">
        <v>109.9</v>
      </c>
      <c r="N4129" t="s">
        <v>710</v>
      </c>
      <c r="O4129" t="s">
        <v>1038</v>
      </c>
      <c r="P4129" t="s">
        <v>4779</v>
      </c>
      <c r="Q4129" t="s">
        <v>4858</v>
      </c>
      <c r="R4129" t="s">
        <v>4771</v>
      </c>
    </row>
    <row r="4130" spans="1:18" x14ac:dyDescent="0.3">
      <c r="A4130">
        <v>13047</v>
      </c>
      <c r="B4130" t="s">
        <v>4874</v>
      </c>
      <c r="C4130" t="s">
        <v>598</v>
      </c>
      <c r="D4130" t="s">
        <v>128</v>
      </c>
      <c r="E4130" s="1">
        <v>45742</v>
      </c>
      <c r="F4130" t="s">
        <v>4336</v>
      </c>
      <c r="G4130" t="s">
        <v>1654</v>
      </c>
      <c r="H4130" t="s">
        <v>599</v>
      </c>
      <c r="I4130" t="s">
        <v>204</v>
      </c>
      <c r="J4130" s="1">
        <v>45869</v>
      </c>
      <c r="K4130" t="s">
        <v>762</v>
      </c>
      <c r="L4130">
        <v>3314.19</v>
      </c>
      <c r="M4130">
        <v>3314.19</v>
      </c>
      <c r="N4130" t="s">
        <v>710</v>
      </c>
      <c r="O4130" t="s">
        <v>1037</v>
      </c>
      <c r="P4130" t="s">
        <v>4794</v>
      </c>
      <c r="Q4130" t="s">
        <v>4852</v>
      </c>
      <c r="R4130" t="s">
        <v>4772</v>
      </c>
    </row>
    <row r="4131" spans="1:18" x14ac:dyDescent="0.3">
      <c r="A4131">
        <v>13055</v>
      </c>
      <c r="B4131" t="s">
        <v>1034</v>
      </c>
      <c r="C4131" t="s">
        <v>598</v>
      </c>
      <c r="D4131" t="s">
        <v>128</v>
      </c>
      <c r="E4131" s="1">
        <v>45742</v>
      </c>
      <c r="F4131" t="s">
        <v>4336</v>
      </c>
      <c r="G4131" t="s">
        <v>1653</v>
      </c>
      <c r="H4131" t="s">
        <v>597</v>
      </c>
      <c r="I4131" t="s">
        <v>204</v>
      </c>
      <c r="J4131" s="1">
        <v>45839</v>
      </c>
      <c r="K4131" t="s">
        <v>717</v>
      </c>
      <c r="L4131">
        <v>3989.83</v>
      </c>
      <c r="M4131">
        <v>3989.83</v>
      </c>
      <c r="N4131" t="s">
        <v>710</v>
      </c>
      <c r="O4131" t="s">
        <v>1037</v>
      </c>
      <c r="P4131" t="s">
        <v>4794</v>
      </c>
      <c r="Q4131" t="s">
        <v>4852</v>
      </c>
      <c r="R4131" t="s">
        <v>4772</v>
      </c>
    </row>
    <row r="4132" spans="1:18" x14ac:dyDescent="0.3">
      <c r="A4132">
        <v>13063</v>
      </c>
      <c r="B4132" t="s">
        <v>4875</v>
      </c>
      <c r="C4132" t="s">
        <v>598</v>
      </c>
      <c r="D4132" t="s">
        <v>128</v>
      </c>
      <c r="E4132" s="1">
        <v>45742</v>
      </c>
      <c r="F4132" t="s">
        <v>4336</v>
      </c>
      <c r="G4132" t="s">
        <v>1650</v>
      </c>
      <c r="H4132" t="s">
        <v>600</v>
      </c>
      <c r="I4132" t="s">
        <v>204</v>
      </c>
      <c r="J4132" s="1">
        <v>45869</v>
      </c>
      <c r="K4132" t="s">
        <v>768</v>
      </c>
      <c r="L4132">
        <v>920.49</v>
      </c>
      <c r="M4132">
        <v>920.49</v>
      </c>
      <c r="N4132" t="s">
        <v>710</v>
      </c>
      <c r="O4132" t="s">
        <v>1037</v>
      </c>
      <c r="P4132" t="s">
        <v>4794</v>
      </c>
      <c r="Q4132" t="s">
        <v>4852</v>
      </c>
      <c r="R4132" t="s">
        <v>4772</v>
      </c>
    </row>
    <row r="4133" spans="1:18" x14ac:dyDescent="0.3">
      <c r="A4133">
        <v>75726</v>
      </c>
      <c r="B4133" t="s">
        <v>4874</v>
      </c>
      <c r="C4133" t="s">
        <v>422</v>
      </c>
      <c r="D4133" t="s">
        <v>37</v>
      </c>
      <c r="E4133" s="1">
        <v>45741</v>
      </c>
      <c r="F4133" t="s">
        <v>4306</v>
      </c>
      <c r="G4133" t="s">
        <v>1602</v>
      </c>
      <c r="H4133" t="s">
        <v>421</v>
      </c>
      <c r="I4133" t="s">
        <v>204</v>
      </c>
      <c r="J4133" s="1">
        <v>46080</v>
      </c>
      <c r="K4133" t="s">
        <v>762</v>
      </c>
      <c r="L4133">
        <v>1230.8800000000001</v>
      </c>
      <c r="M4133">
        <v>1230.8800000000001</v>
      </c>
      <c r="N4133" t="s">
        <v>710</v>
      </c>
      <c r="O4133" t="s">
        <v>4833</v>
      </c>
      <c r="P4133" t="s">
        <v>4786</v>
      </c>
      <c r="Q4133" t="s">
        <v>4852</v>
      </c>
      <c r="R4133" t="s">
        <v>4773</v>
      </c>
    </row>
    <row r="4134" spans="1:18" x14ac:dyDescent="0.3">
      <c r="A4134">
        <v>12705</v>
      </c>
      <c r="B4134" t="s">
        <v>4875</v>
      </c>
      <c r="C4134" t="s">
        <v>319</v>
      </c>
      <c r="D4134" t="s">
        <v>36</v>
      </c>
      <c r="E4134" s="1">
        <v>45741</v>
      </c>
      <c r="F4134" t="s">
        <v>4434</v>
      </c>
      <c r="G4134" t="s">
        <v>1623</v>
      </c>
      <c r="H4134" t="s">
        <v>336</v>
      </c>
      <c r="I4134" t="s">
        <v>204</v>
      </c>
      <c r="J4134" s="1">
        <v>46075</v>
      </c>
      <c r="K4134" t="s">
        <v>748</v>
      </c>
      <c r="L4134">
        <v>17181.650000000001</v>
      </c>
      <c r="M4134">
        <v>17181.650000000001</v>
      </c>
      <c r="N4134" t="s">
        <v>710</v>
      </c>
      <c r="O4134" t="s">
        <v>1040</v>
      </c>
      <c r="P4134" t="s">
        <v>4784</v>
      </c>
      <c r="Q4134" t="s">
        <v>4856</v>
      </c>
      <c r="R4134" t="s">
        <v>4771</v>
      </c>
    </row>
    <row r="4135" spans="1:18" x14ac:dyDescent="0.3">
      <c r="A4135">
        <v>2025183</v>
      </c>
      <c r="B4135" t="s">
        <v>1034</v>
      </c>
      <c r="C4135" t="s">
        <v>364</v>
      </c>
      <c r="D4135" t="s">
        <v>72</v>
      </c>
      <c r="E4135" s="1">
        <v>45741</v>
      </c>
      <c r="F4135" t="s">
        <v>4295</v>
      </c>
      <c r="G4135" t="s">
        <v>1580</v>
      </c>
      <c r="H4135" t="s">
        <v>363</v>
      </c>
      <c r="I4135" t="s">
        <v>209</v>
      </c>
      <c r="J4135" s="1">
        <v>46092</v>
      </c>
      <c r="K4135" t="s">
        <v>711</v>
      </c>
      <c r="L4135">
        <v>4800</v>
      </c>
      <c r="M4135">
        <v>4800</v>
      </c>
      <c r="N4135" t="s">
        <v>710</v>
      </c>
      <c r="O4135" t="s">
        <v>4834</v>
      </c>
      <c r="P4135" t="s">
        <v>4776</v>
      </c>
      <c r="Q4135" t="s">
        <v>4901</v>
      </c>
      <c r="R4135" t="s">
        <v>4773</v>
      </c>
    </row>
    <row r="4136" spans="1:18" x14ac:dyDescent="0.3">
      <c r="A4136">
        <v>202547</v>
      </c>
      <c r="B4136" t="s">
        <v>4875</v>
      </c>
      <c r="C4136" t="s">
        <v>322</v>
      </c>
      <c r="D4136" t="s">
        <v>158</v>
      </c>
      <c r="E4136" s="1">
        <v>45741</v>
      </c>
      <c r="F4136" t="s">
        <v>4432</v>
      </c>
      <c r="G4136" t="s">
        <v>1562</v>
      </c>
      <c r="H4136" t="s">
        <v>352</v>
      </c>
      <c r="I4136" t="s">
        <v>204</v>
      </c>
      <c r="J4136" s="1">
        <v>46310</v>
      </c>
      <c r="K4136" t="s">
        <v>748</v>
      </c>
      <c r="L4136">
        <v>2318.84</v>
      </c>
      <c r="M4136">
        <v>2318.84</v>
      </c>
      <c r="N4136" t="s">
        <v>710</v>
      </c>
      <c r="O4136" t="s">
        <v>1040</v>
      </c>
      <c r="P4136" t="s">
        <v>4782</v>
      </c>
      <c r="Q4136" t="s">
        <v>4856</v>
      </c>
      <c r="R4136" t="s">
        <v>4773</v>
      </c>
    </row>
    <row r="4137" spans="1:18" x14ac:dyDescent="0.3">
      <c r="A4137">
        <v>41093</v>
      </c>
      <c r="B4137" t="s">
        <v>1034</v>
      </c>
      <c r="C4137" t="s">
        <v>327</v>
      </c>
      <c r="D4137" t="s">
        <v>159</v>
      </c>
      <c r="E4137" s="1">
        <v>45741</v>
      </c>
      <c r="F4137" t="s">
        <v>4295</v>
      </c>
      <c r="G4137" t="s">
        <v>1456</v>
      </c>
      <c r="H4137" t="s">
        <v>357</v>
      </c>
      <c r="I4137" t="s">
        <v>204</v>
      </c>
      <c r="J4137" s="1">
        <v>46476</v>
      </c>
      <c r="K4137" t="s">
        <v>711</v>
      </c>
      <c r="L4137">
        <v>2150</v>
      </c>
      <c r="M4137">
        <v>2150</v>
      </c>
      <c r="N4137" t="s">
        <v>890</v>
      </c>
      <c r="O4137" t="s">
        <v>4834</v>
      </c>
      <c r="P4137" t="s">
        <v>4776</v>
      </c>
      <c r="Q4137" t="s">
        <v>4901</v>
      </c>
      <c r="R4137" t="s">
        <v>4773</v>
      </c>
    </row>
    <row r="4138" spans="1:18" x14ac:dyDescent="0.3">
      <c r="A4138">
        <v>922620</v>
      </c>
      <c r="B4138" t="s">
        <v>1034</v>
      </c>
      <c r="C4138" t="s">
        <v>338</v>
      </c>
      <c r="D4138" t="s">
        <v>31</v>
      </c>
      <c r="E4138" s="1">
        <v>45741</v>
      </c>
      <c r="F4138" t="s">
        <v>4299</v>
      </c>
      <c r="G4138" t="s">
        <v>1591</v>
      </c>
      <c r="H4138" t="s">
        <v>337</v>
      </c>
      <c r="I4138" t="s">
        <v>204</v>
      </c>
      <c r="J4138" s="1">
        <v>54878</v>
      </c>
      <c r="K4138" t="s">
        <v>711</v>
      </c>
      <c r="L4138">
        <v>37488</v>
      </c>
      <c r="M4138">
        <v>37487.120000000003</v>
      </c>
      <c r="N4138" t="s">
        <v>710</v>
      </c>
      <c r="O4138" t="s">
        <v>1036</v>
      </c>
      <c r="P4138" t="s">
        <v>4785</v>
      </c>
      <c r="Q4138" t="s">
        <v>4901</v>
      </c>
      <c r="R4138" t="s">
        <v>4773</v>
      </c>
    </row>
    <row r="4139" spans="1:18" x14ac:dyDescent="0.3">
      <c r="A4139">
        <v>41094</v>
      </c>
      <c r="B4139" t="s">
        <v>1034</v>
      </c>
      <c r="C4139" t="s">
        <v>327</v>
      </c>
      <c r="D4139" t="s">
        <v>159</v>
      </c>
      <c r="E4139" s="1">
        <v>45741</v>
      </c>
      <c r="F4139" t="s">
        <v>4295</v>
      </c>
      <c r="G4139" t="s">
        <v>1457</v>
      </c>
      <c r="H4139" t="s">
        <v>357</v>
      </c>
      <c r="I4139" t="s">
        <v>204</v>
      </c>
      <c r="J4139" s="1">
        <v>46476</v>
      </c>
      <c r="K4139" t="s">
        <v>711</v>
      </c>
      <c r="L4139">
        <v>1502.55</v>
      </c>
      <c r="M4139">
        <v>1502.55</v>
      </c>
      <c r="N4139" t="s">
        <v>890</v>
      </c>
      <c r="O4139" t="s">
        <v>4834</v>
      </c>
      <c r="P4139" t="s">
        <v>4776</v>
      </c>
      <c r="Q4139" t="s">
        <v>4901</v>
      </c>
      <c r="R4139" t="s">
        <v>4773</v>
      </c>
    </row>
    <row r="4140" spans="1:18" x14ac:dyDescent="0.3">
      <c r="A4140">
        <v>41074</v>
      </c>
      <c r="B4140" t="s">
        <v>1034</v>
      </c>
      <c r="C4140" t="s">
        <v>327</v>
      </c>
      <c r="D4140" t="s">
        <v>159</v>
      </c>
      <c r="E4140" s="1">
        <v>45741</v>
      </c>
      <c r="F4140" t="s">
        <v>4295</v>
      </c>
      <c r="G4140" t="s">
        <v>1582</v>
      </c>
      <c r="H4140" t="s">
        <v>357</v>
      </c>
      <c r="I4140" t="s">
        <v>204</v>
      </c>
      <c r="J4140" s="1">
        <v>46476</v>
      </c>
      <c r="K4140" t="s">
        <v>711</v>
      </c>
      <c r="L4140">
        <v>2150</v>
      </c>
      <c r="M4140">
        <v>2150</v>
      </c>
      <c r="N4140" t="s">
        <v>890</v>
      </c>
      <c r="O4140" t="s">
        <v>4834</v>
      </c>
      <c r="P4140" t="s">
        <v>4776</v>
      </c>
      <c r="Q4140" t="s">
        <v>4901</v>
      </c>
      <c r="R4140" t="s">
        <v>4773</v>
      </c>
    </row>
    <row r="4141" spans="1:18" x14ac:dyDescent="0.3">
      <c r="A4141">
        <v>41075</v>
      </c>
      <c r="B4141" t="s">
        <v>1034</v>
      </c>
      <c r="C4141" t="s">
        <v>327</v>
      </c>
      <c r="D4141" t="s">
        <v>159</v>
      </c>
      <c r="E4141" s="1">
        <v>45741</v>
      </c>
      <c r="F4141" t="s">
        <v>4295</v>
      </c>
      <c r="G4141" t="s">
        <v>1582</v>
      </c>
      <c r="H4141" t="s">
        <v>357</v>
      </c>
      <c r="I4141" t="s">
        <v>204</v>
      </c>
      <c r="J4141" s="1">
        <v>46476</v>
      </c>
      <c r="K4141" t="s">
        <v>711</v>
      </c>
      <c r="L4141">
        <v>2541</v>
      </c>
      <c r="M4141">
        <v>2541</v>
      </c>
      <c r="N4141" t="s">
        <v>890</v>
      </c>
      <c r="O4141" t="s">
        <v>4834</v>
      </c>
      <c r="P4141" t="s">
        <v>4776</v>
      </c>
      <c r="Q4141" t="s">
        <v>4901</v>
      </c>
      <c r="R4141" t="s">
        <v>4773</v>
      </c>
    </row>
    <row r="4142" spans="1:18" x14ac:dyDescent="0.3">
      <c r="A4142">
        <v>195983</v>
      </c>
      <c r="B4142" t="s">
        <v>4874</v>
      </c>
      <c r="C4142" t="s">
        <v>441</v>
      </c>
      <c r="D4142" t="s">
        <v>38</v>
      </c>
      <c r="E4142" s="1">
        <v>45741</v>
      </c>
      <c r="F4142" t="s">
        <v>4393</v>
      </c>
      <c r="G4142" t="s">
        <v>1601</v>
      </c>
      <c r="H4142" t="s">
        <v>440</v>
      </c>
      <c r="I4142" t="s">
        <v>204</v>
      </c>
      <c r="J4142" s="1">
        <v>46191</v>
      </c>
      <c r="K4142" t="s">
        <v>762</v>
      </c>
      <c r="L4142">
        <v>10254.44</v>
      </c>
      <c r="M4142">
        <v>10254.44</v>
      </c>
      <c r="N4142" t="s">
        <v>710</v>
      </c>
      <c r="O4142" t="s">
        <v>4833</v>
      </c>
      <c r="P4142" t="s">
        <v>4786</v>
      </c>
      <c r="Q4142" t="s">
        <v>4852</v>
      </c>
      <c r="R4142" t="s">
        <v>4773</v>
      </c>
    </row>
    <row r="4143" spans="1:18" x14ac:dyDescent="0.3">
      <c r="A4143">
        <v>8640</v>
      </c>
      <c r="B4143" t="s">
        <v>1034</v>
      </c>
      <c r="C4143" t="s">
        <v>270</v>
      </c>
      <c r="D4143" t="s">
        <v>82</v>
      </c>
      <c r="E4143" s="1">
        <v>45741</v>
      </c>
      <c r="F4143" t="s">
        <v>4296</v>
      </c>
      <c r="G4143" t="s">
        <v>1648</v>
      </c>
      <c r="H4143" t="s">
        <v>362</v>
      </c>
      <c r="I4143" t="s">
        <v>209</v>
      </c>
      <c r="J4143" s="1">
        <v>54878</v>
      </c>
      <c r="K4143" t="s">
        <v>711</v>
      </c>
      <c r="L4143">
        <v>1882</v>
      </c>
      <c r="M4143">
        <v>1882</v>
      </c>
      <c r="N4143" t="s">
        <v>710</v>
      </c>
    </row>
    <row r="4144" spans="1:18" x14ac:dyDescent="0.3">
      <c r="A4144">
        <v>291</v>
      </c>
      <c r="B4144" t="s">
        <v>1034</v>
      </c>
      <c r="C4144" t="s">
        <v>479</v>
      </c>
      <c r="D4144" t="s">
        <v>99</v>
      </c>
      <c r="E4144" s="1">
        <v>45740</v>
      </c>
      <c r="F4144" t="s">
        <v>4312</v>
      </c>
      <c r="G4144" t="s">
        <v>1639</v>
      </c>
      <c r="H4144" t="s">
        <v>478</v>
      </c>
      <c r="I4144" t="s">
        <v>204</v>
      </c>
      <c r="J4144" s="1">
        <v>46239</v>
      </c>
      <c r="K4144" t="s">
        <v>717</v>
      </c>
      <c r="L4144">
        <v>95</v>
      </c>
      <c r="M4144">
        <v>418.95</v>
      </c>
      <c r="N4144" t="s">
        <v>710</v>
      </c>
      <c r="O4144" t="s">
        <v>1037</v>
      </c>
      <c r="P4144" t="s">
        <v>4790</v>
      </c>
      <c r="Q4144" t="s">
        <v>4852</v>
      </c>
      <c r="R4144" t="s">
        <v>4772</v>
      </c>
    </row>
    <row r="4145" spans="1:18" x14ac:dyDescent="0.3">
      <c r="A4145">
        <v>3686</v>
      </c>
      <c r="B4145" t="s">
        <v>1034</v>
      </c>
      <c r="C4145" t="s">
        <v>535</v>
      </c>
      <c r="D4145" t="s">
        <v>148</v>
      </c>
      <c r="E4145" s="1">
        <v>45740</v>
      </c>
      <c r="F4145" t="s">
        <v>4355</v>
      </c>
      <c r="G4145" t="s">
        <v>1606</v>
      </c>
      <c r="H4145" t="s">
        <v>534</v>
      </c>
      <c r="I4145" t="s">
        <v>209</v>
      </c>
      <c r="J4145" s="1">
        <v>46295</v>
      </c>
      <c r="K4145" t="s">
        <v>711</v>
      </c>
      <c r="L4145">
        <v>1</v>
      </c>
      <c r="M4145">
        <v>3200</v>
      </c>
      <c r="N4145" t="s">
        <v>890</v>
      </c>
      <c r="O4145" t="s">
        <v>1036</v>
      </c>
      <c r="P4145" t="s">
        <v>4779</v>
      </c>
      <c r="Q4145" t="s">
        <v>4856</v>
      </c>
      <c r="R4145" t="s">
        <v>807</v>
      </c>
    </row>
    <row r="4146" spans="1:18" x14ac:dyDescent="0.3">
      <c r="A4146">
        <v>41204</v>
      </c>
      <c r="B4146" t="s">
        <v>1034</v>
      </c>
      <c r="C4146" t="s">
        <v>220</v>
      </c>
      <c r="D4146" t="s">
        <v>15</v>
      </c>
      <c r="E4146" s="1">
        <v>45740</v>
      </c>
      <c r="F4146" t="s">
        <v>4304</v>
      </c>
      <c r="G4146" t="s">
        <v>1652</v>
      </c>
      <c r="H4146" t="s">
        <v>219</v>
      </c>
      <c r="I4146" t="s">
        <v>204</v>
      </c>
      <c r="J4146" s="1">
        <v>54878</v>
      </c>
      <c r="K4146" t="s">
        <v>711</v>
      </c>
      <c r="L4146">
        <v>1261</v>
      </c>
      <c r="M4146">
        <v>1261</v>
      </c>
      <c r="N4146" t="s">
        <v>710</v>
      </c>
      <c r="O4146" t="s">
        <v>4834</v>
      </c>
      <c r="P4146" t="s">
        <v>4776</v>
      </c>
      <c r="Q4146" t="s">
        <v>4901</v>
      </c>
      <c r="R4146" t="s">
        <v>4773</v>
      </c>
    </row>
    <row r="4147" spans="1:18" x14ac:dyDescent="0.3">
      <c r="A4147">
        <v>291</v>
      </c>
      <c r="B4147" t="s">
        <v>1034</v>
      </c>
      <c r="C4147" t="s">
        <v>479</v>
      </c>
      <c r="D4147" t="s">
        <v>99</v>
      </c>
      <c r="E4147" s="1">
        <v>45740</v>
      </c>
      <c r="F4147" t="s">
        <v>4307</v>
      </c>
      <c r="G4147" t="s">
        <v>1639</v>
      </c>
      <c r="H4147" t="s">
        <v>478</v>
      </c>
      <c r="I4147" t="s">
        <v>204</v>
      </c>
      <c r="J4147" s="1">
        <v>46239</v>
      </c>
      <c r="K4147" t="s">
        <v>717</v>
      </c>
      <c r="L4147">
        <v>3257</v>
      </c>
      <c r="M4147">
        <v>36966.949999999997</v>
      </c>
      <c r="N4147" t="s">
        <v>710</v>
      </c>
      <c r="O4147" t="s">
        <v>1037</v>
      </c>
      <c r="P4147" t="s">
        <v>4790</v>
      </c>
      <c r="Q4147" t="s">
        <v>4852</v>
      </c>
      <c r="R4147" t="s">
        <v>4772</v>
      </c>
    </row>
    <row r="4148" spans="1:18" x14ac:dyDescent="0.3">
      <c r="A4148">
        <v>291</v>
      </c>
      <c r="B4148" t="s">
        <v>1034</v>
      </c>
      <c r="C4148" t="s">
        <v>479</v>
      </c>
      <c r="D4148" t="s">
        <v>99</v>
      </c>
      <c r="E4148" s="1">
        <v>45740</v>
      </c>
      <c r="F4148" t="s">
        <v>4308</v>
      </c>
      <c r="G4148" t="s">
        <v>1639</v>
      </c>
      <c r="H4148" t="s">
        <v>478</v>
      </c>
      <c r="I4148" t="s">
        <v>204</v>
      </c>
      <c r="J4148" s="1">
        <v>46239</v>
      </c>
      <c r="K4148" t="s">
        <v>717</v>
      </c>
      <c r="L4148">
        <v>2339</v>
      </c>
      <c r="M4148">
        <v>8607.52</v>
      </c>
      <c r="N4148" t="s">
        <v>710</v>
      </c>
      <c r="O4148" t="s">
        <v>1037</v>
      </c>
      <c r="P4148" t="s">
        <v>4790</v>
      </c>
      <c r="Q4148" t="s">
        <v>4852</v>
      </c>
      <c r="R4148" t="s">
        <v>4772</v>
      </c>
    </row>
    <row r="4149" spans="1:18" x14ac:dyDescent="0.3">
      <c r="A4149">
        <v>393560474</v>
      </c>
      <c r="B4149" t="s">
        <v>1034</v>
      </c>
      <c r="C4149" t="s">
        <v>433</v>
      </c>
      <c r="D4149" t="s">
        <v>168</v>
      </c>
      <c r="E4149" s="1">
        <v>45740</v>
      </c>
      <c r="F4149" t="s">
        <v>4319</v>
      </c>
      <c r="G4149" t="s">
        <v>1613</v>
      </c>
      <c r="H4149" t="s">
        <v>432</v>
      </c>
      <c r="I4149" t="s">
        <v>204</v>
      </c>
      <c r="J4149" s="1">
        <v>46473</v>
      </c>
      <c r="K4149" t="s">
        <v>762</v>
      </c>
      <c r="L4149">
        <v>312</v>
      </c>
      <c r="M4149">
        <v>312.32</v>
      </c>
      <c r="N4149" t="s">
        <v>710</v>
      </c>
      <c r="O4149" t="s">
        <v>4833</v>
      </c>
      <c r="P4149" t="s">
        <v>4802</v>
      </c>
      <c r="Q4149" t="s">
        <v>4852</v>
      </c>
      <c r="R4149" t="s">
        <v>4771</v>
      </c>
    </row>
    <row r="4150" spans="1:18" x14ac:dyDescent="0.3">
      <c r="A4150">
        <v>88243</v>
      </c>
      <c r="B4150" t="s">
        <v>1034</v>
      </c>
      <c r="C4150" t="s">
        <v>452</v>
      </c>
      <c r="D4150" t="s">
        <v>171</v>
      </c>
      <c r="E4150" s="1">
        <v>45740</v>
      </c>
      <c r="F4150" t="s">
        <v>4319</v>
      </c>
      <c r="G4150" t="s">
        <v>1625</v>
      </c>
      <c r="H4150" t="s">
        <v>512</v>
      </c>
      <c r="I4150" t="s">
        <v>209</v>
      </c>
      <c r="J4150" s="1">
        <v>45138</v>
      </c>
      <c r="K4150" t="s">
        <v>762</v>
      </c>
      <c r="L4150">
        <v>233</v>
      </c>
      <c r="M4150">
        <v>233.3</v>
      </c>
      <c r="N4150" t="s">
        <v>710</v>
      </c>
      <c r="O4150" t="s">
        <v>4833</v>
      </c>
      <c r="P4150" t="s">
        <v>4802</v>
      </c>
      <c r="Q4150" t="s">
        <v>4852</v>
      </c>
      <c r="R4150" t="s">
        <v>4771</v>
      </c>
    </row>
    <row r="4151" spans="1:18" x14ac:dyDescent="0.3">
      <c r="A4151">
        <v>3252</v>
      </c>
      <c r="B4151" t="s">
        <v>1034</v>
      </c>
      <c r="C4151" t="s">
        <v>319</v>
      </c>
      <c r="D4151" t="s">
        <v>36</v>
      </c>
      <c r="E4151" s="1">
        <v>45740</v>
      </c>
      <c r="F4151" t="s">
        <v>4298</v>
      </c>
      <c r="G4151" t="s">
        <v>1647</v>
      </c>
      <c r="H4151" t="s">
        <v>318</v>
      </c>
      <c r="I4151" t="s">
        <v>204</v>
      </c>
      <c r="J4151" s="1">
        <v>46214</v>
      </c>
      <c r="K4151" t="s">
        <v>711</v>
      </c>
      <c r="L4151">
        <v>1656</v>
      </c>
      <c r="M4151">
        <v>1655.89</v>
      </c>
      <c r="N4151" t="s">
        <v>710</v>
      </c>
      <c r="O4151" t="s">
        <v>1036</v>
      </c>
      <c r="P4151" t="s">
        <v>4784</v>
      </c>
      <c r="Q4151" t="s">
        <v>4901</v>
      </c>
      <c r="R4151" t="s">
        <v>4771</v>
      </c>
    </row>
    <row r="4152" spans="1:18" x14ac:dyDescent="0.3">
      <c r="A4152">
        <v>291</v>
      </c>
      <c r="B4152" t="s">
        <v>1034</v>
      </c>
      <c r="C4152" t="s">
        <v>479</v>
      </c>
      <c r="D4152" t="s">
        <v>99</v>
      </c>
      <c r="E4152" s="1">
        <v>45740</v>
      </c>
      <c r="F4152" t="s">
        <v>4310</v>
      </c>
      <c r="G4152" t="s">
        <v>1639</v>
      </c>
      <c r="H4152" t="s">
        <v>478</v>
      </c>
      <c r="I4152" t="s">
        <v>204</v>
      </c>
      <c r="J4152" s="1">
        <v>46239</v>
      </c>
      <c r="K4152" t="s">
        <v>717</v>
      </c>
      <c r="L4152">
        <v>12</v>
      </c>
      <c r="M4152">
        <v>39.6</v>
      </c>
      <c r="N4152" t="s">
        <v>710</v>
      </c>
      <c r="O4152" t="s">
        <v>1037</v>
      </c>
      <c r="P4152" t="s">
        <v>4790</v>
      </c>
      <c r="Q4152" t="s">
        <v>4852</v>
      </c>
      <c r="R4152" t="s">
        <v>4772</v>
      </c>
    </row>
    <row r="4153" spans="1:18" x14ac:dyDescent="0.3">
      <c r="A4153">
        <v>393560007</v>
      </c>
      <c r="B4153" t="s">
        <v>4874</v>
      </c>
      <c r="C4153" t="s">
        <v>433</v>
      </c>
      <c r="D4153" t="s">
        <v>168</v>
      </c>
      <c r="E4153" s="1">
        <v>45740</v>
      </c>
      <c r="F4153" t="s">
        <v>4319</v>
      </c>
      <c r="G4153" t="s">
        <v>1612</v>
      </c>
      <c r="H4153" t="s">
        <v>432</v>
      </c>
      <c r="I4153" t="s">
        <v>204</v>
      </c>
      <c r="J4153" s="1">
        <v>46473</v>
      </c>
      <c r="K4153" t="s">
        <v>762</v>
      </c>
      <c r="L4153">
        <v>180</v>
      </c>
      <c r="M4153">
        <v>180</v>
      </c>
      <c r="N4153" t="s">
        <v>710</v>
      </c>
      <c r="O4153" t="s">
        <v>4833</v>
      </c>
      <c r="P4153" t="s">
        <v>4802</v>
      </c>
      <c r="Q4153" t="s">
        <v>4852</v>
      </c>
      <c r="R4153" t="s">
        <v>4771</v>
      </c>
    </row>
    <row r="4154" spans="1:18" x14ac:dyDescent="0.3">
      <c r="A4154">
        <v>811</v>
      </c>
      <c r="B4154" t="s">
        <v>4874</v>
      </c>
      <c r="C4154" t="s">
        <v>216</v>
      </c>
      <c r="D4154" t="s">
        <v>141</v>
      </c>
      <c r="E4154" s="1">
        <v>45740</v>
      </c>
      <c r="F4154" t="s">
        <v>4305</v>
      </c>
      <c r="G4154" t="s">
        <v>1646</v>
      </c>
      <c r="H4154" t="s">
        <v>215</v>
      </c>
      <c r="I4154" t="s">
        <v>204</v>
      </c>
      <c r="J4154" s="1">
        <v>54878</v>
      </c>
      <c r="K4154" t="s">
        <v>720</v>
      </c>
      <c r="L4154">
        <v>3420</v>
      </c>
      <c r="M4154">
        <v>3420</v>
      </c>
      <c r="N4154" t="s">
        <v>710</v>
      </c>
      <c r="O4154" t="s">
        <v>1038</v>
      </c>
      <c r="P4154" t="s">
        <v>4777</v>
      </c>
      <c r="Q4154" t="s">
        <v>4858</v>
      </c>
      <c r="R4154" t="s">
        <v>4771</v>
      </c>
    </row>
    <row r="4155" spans="1:18" x14ac:dyDescent="0.3">
      <c r="A4155">
        <v>393560941</v>
      </c>
      <c r="B4155" t="s">
        <v>4874</v>
      </c>
      <c r="C4155" t="s">
        <v>433</v>
      </c>
      <c r="D4155" t="s">
        <v>168</v>
      </c>
      <c r="E4155" s="1">
        <v>45740</v>
      </c>
      <c r="F4155" t="s">
        <v>4319</v>
      </c>
      <c r="G4155" t="s">
        <v>1614</v>
      </c>
      <c r="H4155" t="s">
        <v>432</v>
      </c>
      <c r="I4155" t="s">
        <v>204</v>
      </c>
      <c r="J4155" s="1">
        <v>46473</v>
      </c>
      <c r="K4155" t="s">
        <v>762</v>
      </c>
      <c r="L4155">
        <v>115</v>
      </c>
      <c r="M4155">
        <v>115.44</v>
      </c>
      <c r="N4155" t="s">
        <v>710</v>
      </c>
      <c r="O4155" t="s">
        <v>4833</v>
      </c>
      <c r="P4155" t="s">
        <v>4802</v>
      </c>
      <c r="Q4155" t="s">
        <v>4852</v>
      </c>
      <c r="R4155" t="s">
        <v>4771</v>
      </c>
    </row>
    <row r="4156" spans="1:18" x14ac:dyDescent="0.3">
      <c r="A4156">
        <v>291</v>
      </c>
      <c r="B4156" t="s">
        <v>1034</v>
      </c>
      <c r="C4156" t="s">
        <v>479</v>
      </c>
      <c r="D4156" t="s">
        <v>99</v>
      </c>
      <c r="E4156" s="1">
        <v>45740</v>
      </c>
      <c r="F4156" t="s">
        <v>4311</v>
      </c>
      <c r="G4156" t="s">
        <v>1639</v>
      </c>
      <c r="H4156" t="s">
        <v>478</v>
      </c>
      <c r="I4156" t="s">
        <v>204</v>
      </c>
      <c r="J4156" s="1">
        <v>46239</v>
      </c>
      <c r="K4156" t="s">
        <v>717</v>
      </c>
      <c r="L4156">
        <v>208</v>
      </c>
      <c r="M4156">
        <v>1647.36</v>
      </c>
      <c r="N4156" t="s">
        <v>710</v>
      </c>
      <c r="O4156" t="s">
        <v>1037</v>
      </c>
      <c r="P4156" t="s">
        <v>4790</v>
      </c>
      <c r="Q4156" t="s">
        <v>4852</v>
      </c>
      <c r="R4156" t="s">
        <v>4772</v>
      </c>
    </row>
    <row r="4157" spans="1:18" x14ac:dyDescent="0.3">
      <c r="A4157">
        <v>152893</v>
      </c>
      <c r="B4157" t="s">
        <v>4874</v>
      </c>
      <c r="C4157" t="s">
        <v>301</v>
      </c>
      <c r="D4157" t="s">
        <v>23</v>
      </c>
      <c r="E4157" s="1">
        <v>45737</v>
      </c>
      <c r="F4157" t="s">
        <v>4321</v>
      </c>
      <c r="G4157" t="s">
        <v>1611</v>
      </c>
      <c r="H4157" t="s">
        <v>300</v>
      </c>
      <c r="I4157" t="s">
        <v>204</v>
      </c>
      <c r="J4157" s="1">
        <v>46418</v>
      </c>
      <c r="K4157" t="s">
        <v>720</v>
      </c>
      <c r="L4157">
        <v>1</v>
      </c>
      <c r="M4157">
        <v>5435.28</v>
      </c>
      <c r="N4157" t="s">
        <v>710</v>
      </c>
      <c r="O4157" t="s">
        <v>1038</v>
      </c>
      <c r="P4157" t="s">
        <v>4782</v>
      </c>
      <c r="Q4157" t="s">
        <v>4858</v>
      </c>
      <c r="R4157" t="s">
        <v>4773</v>
      </c>
    </row>
    <row r="4158" spans="1:18" x14ac:dyDescent="0.3">
      <c r="A4158">
        <v>2663</v>
      </c>
      <c r="B4158" t="s">
        <v>4874</v>
      </c>
      <c r="C4158" t="s">
        <v>372</v>
      </c>
      <c r="D4158" t="s">
        <v>105</v>
      </c>
      <c r="E4158" s="1">
        <v>45737</v>
      </c>
      <c r="F4158" t="s">
        <v>4408</v>
      </c>
      <c r="G4158" t="s">
        <v>1645</v>
      </c>
      <c r="H4158" t="s">
        <v>371</v>
      </c>
      <c r="I4158" t="s">
        <v>209</v>
      </c>
      <c r="J4158" s="1">
        <v>45904</v>
      </c>
      <c r="K4158" t="s">
        <v>720</v>
      </c>
      <c r="L4158">
        <v>1</v>
      </c>
      <c r="M4158">
        <v>2699.4</v>
      </c>
      <c r="N4158" t="s">
        <v>719</v>
      </c>
      <c r="O4158" t="s">
        <v>1038</v>
      </c>
      <c r="P4158" t="s">
        <v>4777</v>
      </c>
      <c r="Q4158" t="s">
        <v>4858</v>
      </c>
      <c r="R4158" t="s">
        <v>4773</v>
      </c>
    </row>
    <row r="4159" spans="1:18" x14ac:dyDescent="0.3">
      <c r="A4159">
        <v>186</v>
      </c>
      <c r="B4159" t="s">
        <v>4874</v>
      </c>
      <c r="C4159" t="s">
        <v>568</v>
      </c>
      <c r="D4159" t="s">
        <v>64</v>
      </c>
      <c r="E4159" s="1">
        <v>45737</v>
      </c>
      <c r="F4159" t="s">
        <v>4321</v>
      </c>
      <c r="G4159" t="s">
        <v>1475</v>
      </c>
      <c r="H4159" t="s">
        <v>576</v>
      </c>
      <c r="I4159" t="s">
        <v>209</v>
      </c>
      <c r="J4159" s="1">
        <v>46262</v>
      </c>
      <c r="K4159" t="s">
        <v>762</v>
      </c>
      <c r="L4159">
        <v>1</v>
      </c>
      <c r="M4159">
        <v>3442</v>
      </c>
      <c r="N4159" t="s">
        <v>710</v>
      </c>
      <c r="O4159" t="s">
        <v>1038</v>
      </c>
      <c r="P4159" t="s">
        <v>4782</v>
      </c>
      <c r="Q4159" t="s">
        <v>4858</v>
      </c>
      <c r="R4159" t="s">
        <v>4771</v>
      </c>
    </row>
    <row r="4160" spans="1:18" x14ac:dyDescent="0.3">
      <c r="A4160">
        <v>187</v>
      </c>
      <c r="B4160" t="s">
        <v>4874</v>
      </c>
      <c r="C4160" t="s">
        <v>568</v>
      </c>
      <c r="D4160" t="s">
        <v>64</v>
      </c>
      <c r="E4160" s="1">
        <v>45737</v>
      </c>
      <c r="F4160" t="s">
        <v>4321</v>
      </c>
      <c r="G4160" t="s">
        <v>1475</v>
      </c>
      <c r="H4160" t="s">
        <v>576</v>
      </c>
      <c r="I4160" t="s">
        <v>209</v>
      </c>
      <c r="J4160" s="1">
        <v>46262</v>
      </c>
      <c r="K4160" t="s">
        <v>762</v>
      </c>
      <c r="L4160">
        <v>1</v>
      </c>
      <c r="M4160">
        <v>2800</v>
      </c>
      <c r="N4160" t="s">
        <v>710</v>
      </c>
      <c r="O4160" t="s">
        <v>1038</v>
      </c>
      <c r="P4160" t="s">
        <v>4782</v>
      </c>
      <c r="Q4160" t="s">
        <v>4858</v>
      </c>
      <c r="R4160" t="s">
        <v>4771</v>
      </c>
    </row>
    <row r="4161" spans="1:18" x14ac:dyDescent="0.3">
      <c r="A4161">
        <v>188</v>
      </c>
      <c r="B4161" t="s">
        <v>4874</v>
      </c>
      <c r="C4161" t="s">
        <v>568</v>
      </c>
      <c r="D4161" t="s">
        <v>64</v>
      </c>
      <c r="E4161" s="1">
        <v>45737</v>
      </c>
      <c r="F4161" t="s">
        <v>4321</v>
      </c>
      <c r="G4161" t="s">
        <v>1475</v>
      </c>
      <c r="H4161" t="s">
        <v>576</v>
      </c>
      <c r="I4161" t="s">
        <v>209</v>
      </c>
      <c r="J4161" s="1">
        <v>46262</v>
      </c>
      <c r="K4161" t="s">
        <v>762</v>
      </c>
      <c r="L4161">
        <v>1</v>
      </c>
      <c r="M4161">
        <v>4600</v>
      </c>
      <c r="N4161" t="s">
        <v>710</v>
      </c>
      <c r="O4161" t="s">
        <v>1038</v>
      </c>
      <c r="P4161" t="s">
        <v>4782</v>
      </c>
      <c r="Q4161" t="s">
        <v>4858</v>
      </c>
      <c r="R4161" t="s">
        <v>4771</v>
      </c>
    </row>
    <row r="4162" spans="1:18" x14ac:dyDescent="0.3">
      <c r="A4162">
        <v>1427</v>
      </c>
      <c r="B4162" t="s">
        <v>1034</v>
      </c>
      <c r="C4162" t="s">
        <v>449</v>
      </c>
      <c r="D4162" t="s">
        <v>20</v>
      </c>
      <c r="E4162" s="1">
        <v>45737</v>
      </c>
      <c r="F4162" t="s">
        <v>4331</v>
      </c>
      <c r="G4162" t="s">
        <v>1649</v>
      </c>
      <c r="H4162" t="s">
        <v>448</v>
      </c>
      <c r="I4162" t="s">
        <v>204</v>
      </c>
      <c r="J4162" s="1">
        <v>46219</v>
      </c>
      <c r="K4162" t="s">
        <v>717</v>
      </c>
      <c r="L4162">
        <v>8029.3</v>
      </c>
      <c r="M4162">
        <v>8029.3</v>
      </c>
      <c r="N4162" t="s">
        <v>710</v>
      </c>
      <c r="O4162" t="s">
        <v>4902</v>
      </c>
      <c r="P4162" t="s">
        <v>4776</v>
      </c>
      <c r="Q4162" t="s">
        <v>4852</v>
      </c>
      <c r="R4162" t="s">
        <v>4771</v>
      </c>
    </row>
    <row r="4163" spans="1:18" x14ac:dyDescent="0.3">
      <c r="A4163">
        <v>189</v>
      </c>
      <c r="B4163" t="s">
        <v>4874</v>
      </c>
      <c r="C4163" t="s">
        <v>568</v>
      </c>
      <c r="D4163" t="s">
        <v>64</v>
      </c>
      <c r="E4163" s="1">
        <v>45737</v>
      </c>
      <c r="F4163" t="s">
        <v>4321</v>
      </c>
      <c r="G4163" t="s">
        <v>1475</v>
      </c>
      <c r="H4163" t="s">
        <v>576</v>
      </c>
      <c r="I4163" t="s">
        <v>209</v>
      </c>
      <c r="J4163" s="1">
        <v>46262</v>
      </c>
      <c r="K4163" t="s">
        <v>762</v>
      </c>
      <c r="L4163">
        <v>1</v>
      </c>
      <c r="M4163">
        <v>1850</v>
      </c>
      <c r="N4163" t="s">
        <v>710</v>
      </c>
      <c r="O4163" t="s">
        <v>1038</v>
      </c>
      <c r="P4163" t="s">
        <v>4782</v>
      </c>
      <c r="Q4163" t="s">
        <v>4858</v>
      </c>
      <c r="R4163" t="s">
        <v>4771</v>
      </c>
    </row>
    <row r="4164" spans="1:18" x14ac:dyDescent="0.3">
      <c r="A4164">
        <v>83032</v>
      </c>
      <c r="B4164" t="s">
        <v>4874</v>
      </c>
      <c r="C4164" t="s">
        <v>389</v>
      </c>
      <c r="D4164" t="s">
        <v>32</v>
      </c>
      <c r="E4164" s="1">
        <v>45737</v>
      </c>
      <c r="F4164" t="s">
        <v>4299</v>
      </c>
      <c r="G4164" t="s">
        <v>1634</v>
      </c>
      <c r="H4164" t="s">
        <v>388</v>
      </c>
      <c r="I4164" t="s">
        <v>204</v>
      </c>
      <c r="J4164" s="1">
        <v>46752</v>
      </c>
      <c r="K4164" t="s">
        <v>785</v>
      </c>
      <c r="L4164">
        <v>1</v>
      </c>
      <c r="M4164">
        <v>42012.23</v>
      </c>
      <c r="N4164" t="s">
        <v>710</v>
      </c>
      <c r="O4164" t="s">
        <v>1038</v>
      </c>
      <c r="P4164" t="s">
        <v>4785</v>
      </c>
      <c r="Q4164" t="s">
        <v>4858</v>
      </c>
      <c r="R4164" t="s">
        <v>4771</v>
      </c>
    </row>
    <row r="4165" spans="1:18" x14ac:dyDescent="0.3">
      <c r="A4165">
        <v>7053</v>
      </c>
      <c r="B4165" t="s">
        <v>4874</v>
      </c>
      <c r="C4165" t="s">
        <v>474</v>
      </c>
      <c r="D4165" t="s">
        <v>100</v>
      </c>
      <c r="E4165" s="1">
        <v>45736</v>
      </c>
      <c r="F4165" t="s">
        <v>4400</v>
      </c>
      <c r="G4165" t="s">
        <v>1569</v>
      </c>
      <c r="H4165" t="s">
        <v>473</v>
      </c>
      <c r="I4165" t="s">
        <v>209</v>
      </c>
      <c r="J4165" s="1">
        <v>54878</v>
      </c>
      <c r="K4165" t="s">
        <v>762</v>
      </c>
      <c r="L4165">
        <v>81</v>
      </c>
      <c r="M4165">
        <v>439.02</v>
      </c>
      <c r="N4165" t="s">
        <v>719</v>
      </c>
      <c r="Q4165" t="s">
        <v>4852</v>
      </c>
      <c r="R4165" t="s">
        <v>4772</v>
      </c>
    </row>
    <row r="4166" spans="1:18" x14ac:dyDescent="0.3">
      <c r="A4166">
        <v>141278</v>
      </c>
      <c r="B4166" t="s">
        <v>4874</v>
      </c>
      <c r="C4166" t="s">
        <v>376</v>
      </c>
      <c r="D4166" t="s">
        <v>35</v>
      </c>
      <c r="E4166" s="1">
        <v>45736</v>
      </c>
      <c r="F4166" t="s">
        <v>4324</v>
      </c>
      <c r="G4166" t="s">
        <v>1620</v>
      </c>
      <c r="H4166" t="s">
        <v>442</v>
      </c>
      <c r="I4166" t="s">
        <v>209</v>
      </c>
      <c r="J4166" s="1">
        <v>54878</v>
      </c>
      <c r="K4166" t="s">
        <v>762</v>
      </c>
      <c r="L4166">
        <v>96953</v>
      </c>
      <c r="M4166">
        <v>96953</v>
      </c>
      <c r="N4166" t="s">
        <v>710</v>
      </c>
      <c r="Q4166" t="s">
        <v>4852</v>
      </c>
      <c r="R4166" t="s">
        <v>4771</v>
      </c>
    </row>
    <row r="4167" spans="1:18" x14ac:dyDescent="0.3">
      <c r="A4167">
        <v>439734</v>
      </c>
      <c r="B4167" t="s">
        <v>4874</v>
      </c>
      <c r="C4167" t="s">
        <v>333</v>
      </c>
      <c r="D4167" t="s">
        <v>29</v>
      </c>
      <c r="E4167" s="1">
        <v>45736</v>
      </c>
      <c r="F4167" t="s">
        <v>4317</v>
      </c>
      <c r="G4167" t="s">
        <v>1637</v>
      </c>
      <c r="H4167" t="s">
        <v>460</v>
      </c>
      <c r="I4167" t="s">
        <v>204</v>
      </c>
      <c r="J4167" s="1">
        <v>54878</v>
      </c>
      <c r="K4167" t="s">
        <v>785</v>
      </c>
      <c r="L4167">
        <v>1</v>
      </c>
      <c r="M4167">
        <v>138.93</v>
      </c>
      <c r="N4167" t="s">
        <v>710</v>
      </c>
      <c r="O4167" t="s">
        <v>1038</v>
      </c>
      <c r="P4167" t="s">
        <v>4776</v>
      </c>
      <c r="Q4167" t="s">
        <v>4858</v>
      </c>
      <c r="R4167" t="s">
        <v>4771</v>
      </c>
    </row>
    <row r="4168" spans="1:18" x14ac:dyDescent="0.3">
      <c r="A4168">
        <v>7053</v>
      </c>
      <c r="B4168" t="s">
        <v>4874</v>
      </c>
      <c r="C4168" t="s">
        <v>474</v>
      </c>
      <c r="D4168" t="s">
        <v>100</v>
      </c>
      <c r="E4168" s="1">
        <v>45736</v>
      </c>
      <c r="F4168" t="s">
        <v>4329</v>
      </c>
      <c r="G4168" t="s">
        <v>1569</v>
      </c>
      <c r="H4168" t="s">
        <v>473</v>
      </c>
      <c r="I4168" t="s">
        <v>209</v>
      </c>
      <c r="J4168" s="1">
        <v>54878</v>
      </c>
      <c r="K4168" t="s">
        <v>762</v>
      </c>
      <c r="L4168">
        <v>30</v>
      </c>
      <c r="M4168">
        <v>369</v>
      </c>
      <c r="N4168" t="s">
        <v>719</v>
      </c>
      <c r="Q4168" t="s">
        <v>4852</v>
      </c>
      <c r="R4168" t="s">
        <v>4772</v>
      </c>
    </row>
    <row r="4169" spans="1:18" x14ac:dyDescent="0.3">
      <c r="A4169">
        <v>14958</v>
      </c>
      <c r="B4169" t="s">
        <v>4876</v>
      </c>
      <c r="C4169" t="s">
        <v>439</v>
      </c>
      <c r="D4169" t="s">
        <v>156</v>
      </c>
      <c r="E4169" s="1">
        <v>45736</v>
      </c>
      <c r="F4169" t="s">
        <v>4396</v>
      </c>
      <c r="G4169" t="s">
        <v>1615</v>
      </c>
      <c r="H4169" t="s">
        <v>485</v>
      </c>
      <c r="I4169" t="s">
        <v>204</v>
      </c>
      <c r="J4169" s="1">
        <v>54878</v>
      </c>
      <c r="K4169" t="s">
        <v>839</v>
      </c>
      <c r="L4169">
        <v>5174.3599999999997</v>
      </c>
      <c r="M4169">
        <v>5174.3599999999997</v>
      </c>
      <c r="N4169" t="s">
        <v>710</v>
      </c>
      <c r="O4169" t="s">
        <v>1037</v>
      </c>
      <c r="P4169" t="s">
        <v>4776</v>
      </c>
      <c r="Q4169" t="s">
        <v>4852</v>
      </c>
      <c r="R4169" t="s">
        <v>4771</v>
      </c>
    </row>
    <row r="4170" spans="1:18" x14ac:dyDescent="0.3">
      <c r="A4170">
        <v>434043</v>
      </c>
      <c r="B4170" t="s">
        <v>4875</v>
      </c>
      <c r="C4170" t="s">
        <v>333</v>
      </c>
      <c r="D4170" t="s">
        <v>29</v>
      </c>
      <c r="E4170" s="1">
        <v>45736</v>
      </c>
      <c r="F4170" t="s">
        <v>4317</v>
      </c>
      <c r="G4170" t="s">
        <v>1638</v>
      </c>
      <c r="H4170" t="s">
        <v>335</v>
      </c>
      <c r="I4170" t="s">
        <v>204</v>
      </c>
      <c r="J4170" s="1">
        <v>54878</v>
      </c>
      <c r="K4170" t="s">
        <v>748</v>
      </c>
      <c r="L4170">
        <v>104</v>
      </c>
      <c r="M4170">
        <v>103.55</v>
      </c>
      <c r="N4170" t="s">
        <v>710</v>
      </c>
      <c r="O4170" t="s">
        <v>1040</v>
      </c>
      <c r="P4170" t="s">
        <v>4776</v>
      </c>
      <c r="Q4170" t="s">
        <v>4856</v>
      </c>
      <c r="R4170" t="s">
        <v>4771</v>
      </c>
    </row>
    <row r="4171" spans="1:18" x14ac:dyDescent="0.3">
      <c r="A4171">
        <v>7053</v>
      </c>
      <c r="B4171" t="s">
        <v>4874</v>
      </c>
      <c r="C4171" t="s">
        <v>474</v>
      </c>
      <c r="D4171" t="s">
        <v>100</v>
      </c>
      <c r="E4171" s="1">
        <v>45736</v>
      </c>
      <c r="F4171" t="s">
        <v>4310</v>
      </c>
      <c r="G4171" t="s">
        <v>1569</v>
      </c>
      <c r="H4171" t="s">
        <v>473</v>
      </c>
      <c r="I4171" t="s">
        <v>209</v>
      </c>
      <c r="J4171" s="1">
        <v>54878</v>
      </c>
      <c r="K4171" t="s">
        <v>762</v>
      </c>
      <c r="L4171">
        <v>119</v>
      </c>
      <c r="M4171">
        <v>403.41</v>
      </c>
      <c r="N4171" t="s">
        <v>719</v>
      </c>
      <c r="Q4171" t="s">
        <v>4852</v>
      </c>
      <c r="R4171" t="s">
        <v>4772</v>
      </c>
    </row>
    <row r="4172" spans="1:18" x14ac:dyDescent="0.3">
      <c r="A4172">
        <v>7053</v>
      </c>
      <c r="B4172" t="s">
        <v>4874</v>
      </c>
      <c r="C4172" t="s">
        <v>474</v>
      </c>
      <c r="D4172" t="s">
        <v>100</v>
      </c>
      <c r="E4172" s="1">
        <v>45736</v>
      </c>
      <c r="F4172" t="s">
        <v>4307</v>
      </c>
      <c r="G4172" t="s">
        <v>1569</v>
      </c>
      <c r="H4172" t="s">
        <v>473</v>
      </c>
      <c r="I4172" t="s">
        <v>209</v>
      </c>
      <c r="J4172" s="1">
        <v>54878</v>
      </c>
      <c r="K4172" t="s">
        <v>762</v>
      </c>
      <c r="L4172">
        <v>2327</v>
      </c>
      <c r="M4172">
        <v>33415.72</v>
      </c>
      <c r="N4172" t="s">
        <v>719</v>
      </c>
      <c r="Q4172" t="s">
        <v>4852</v>
      </c>
      <c r="R4172" t="s">
        <v>4772</v>
      </c>
    </row>
    <row r="4173" spans="1:18" x14ac:dyDescent="0.3">
      <c r="A4173">
        <v>7053</v>
      </c>
      <c r="B4173" t="s">
        <v>4874</v>
      </c>
      <c r="C4173" t="s">
        <v>474</v>
      </c>
      <c r="D4173" t="s">
        <v>100</v>
      </c>
      <c r="E4173" s="1">
        <v>45736</v>
      </c>
      <c r="F4173" t="s">
        <v>4308</v>
      </c>
      <c r="G4173" t="s">
        <v>1569</v>
      </c>
      <c r="H4173" t="s">
        <v>473</v>
      </c>
      <c r="I4173" t="s">
        <v>209</v>
      </c>
      <c r="J4173" s="1">
        <v>54878</v>
      </c>
      <c r="K4173" t="s">
        <v>762</v>
      </c>
      <c r="L4173">
        <v>78</v>
      </c>
      <c r="M4173">
        <v>351.78</v>
      </c>
      <c r="N4173" t="s">
        <v>719</v>
      </c>
      <c r="Q4173" t="s">
        <v>4852</v>
      </c>
      <c r="R4173" t="s">
        <v>4772</v>
      </c>
    </row>
    <row r="4174" spans="1:18" x14ac:dyDescent="0.3">
      <c r="A4174">
        <v>7053</v>
      </c>
      <c r="B4174" t="s">
        <v>4874</v>
      </c>
      <c r="C4174" t="s">
        <v>474</v>
      </c>
      <c r="D4174" t="s">
        <v>100</v>
      </c>
      <c r="E4174" s="1">
        <v>45736</v>
      </c>
      <c r="F4174" t="s">
        <v>4394</v>
      </c>
      <c r="G4174" t="s">
        <v>1569</v>
      </c>
      <c r="H4174" t="s">
        <v>473</v>
      </c>
      <c r="I4174" t="s">
        <v>209</v>
      </c>
      <c r="J4174" s="1">
        <v>54878</v>
      </c>
      <c r="K4174" t="s">
        <v>762</v>
      </c>
      <c r="L4174">
        <v>2327</v>
      </c>
      <c r="M4174">
        <v>2327</v>
      </c>
      <c r="N4174" t="s">
        <v>719</v>
      </c>
      <c r="Q4174" t="s">
        <v>4852</v>
      </c>
      <c r="R4174" t="s">
        <v>4772</v>
      </c>
    </row>
    <row r="4175" spans="1:18" x14ac:dyDescent="0.3">
      <c r="A4175">
        <v>159094</v>
      </c>
      <c r="B4175" t="s">
        <v>4874</v>
      </c>
      <c r="C4175" t="s">
        <v>459</v>
      </c>
      <c r="D4175" t="s">
        <v>160</v>
      </c>
      <c r="E4175" s="1">
        <v>45736</v>
      </c>
      <c r="F4175" t="s">
        <v>4399</v>
      </c>
      <c r="G4175" t="s">
        <v>1633</v>
      </c>
      <c r="H4175" t="s">
        <v>458</v>
      </c>
      <c r="I4175" t="s">
        <v>209</v>
      </c>
      <c r="J4175" s="1">
        <v>54878</v>
      </c>
      <c r="K4175" t="s">
        <v>762</v>
      </c>
      <c r="L4175">
        <v>34947.75</v>
      </c>
      <c r="M4175">
        <v>34947.75</v>
      </c>
      <c r="N4175" t="s">
        <v>710</v>
      </c>
      <c r="Q4175" t="s">
        <v>4852</v>
      </c>
      <c r="R4175" t="s">
        <v>4772</v>
      </c>
    </row>
    <row r="4176" spans="1:18" x14ac:dyDescent="0.3">
      <c r="A4176">
        <v>122</v>
      </c>
      <c r="B4176" t="s">
        <v>4874</v>
      </c>
      <c r="C4176" t="s">
        <v>565</v>
      </c>
      <c r="D4176" t="s">
        <v>113</v>
      </c>
      <c r="E4176" s="1">
        <v>45736</v>
      </c>
      <c r="F4176" t="s">
        <v>4390</v>
      </c>
      <c r="G4176" t="s">
        <v>1607</v>
      </c>
      <c r="H4176" t="s">
        <v>564</v>
      </c>
      <c r="I4176" t="s">
        <v>204</v>
      </c>
      <c r="J4176" s="1">
        <v>46386</v>
      </c>
      <c r="K4176" t="s">
        <v>720</v>
      </c>
      <c r="L4176">
        <v>1</v>
      </c>
      <c r="M4176">
        <v>5200</v>
      </c>
      <c r="N4176" t="s">
        <v>710</v>
      </c>
      <c r="O4176" t="s">
        <v>1038</v>
      </c>
      <c r="P4176" t="s">
        <v>4777</v>
      </c>
      <c r="Q4176" t="s">
        <v>4858</v>
      </c>
      <c r="R4176" t="s">
        <v>4771</v>
      </c>
    </row>
    <row r="4177" spans="1:18" x14ac:dyDescent="0.3">
      <c r="A4177">
        <v>6667</v>
      </c>
      <c r="B4177" t="s">
        <v>1035</v>
      </c>
      <c r="C4177" t="s">
        <v>230</v>
      </c>
      <c r="D4177" t="s">
        <v>85</v>
      </c>
      <c r="E4177" s="1">
        <v>45736</v>
      </c>
      <c r="F4177" t="s">
        <v>4436</v>
      </c>
      <c r="G4177" t="s">
        <v>1604</v>
      </c>
      <c r="H4177" t="s">
        <v>229</v>
      </c>
      <c r="I4177" t="s">
        <v>204</v>
      </c>
      <c r="J4177" s="1">
        <v>46203</v>
      </c>
      <c r="K4177" t="s">
        <v>744</v>
      </c>
      <c r="L4177">
        <v>5793.36</v>
      </c>
      <c r="M4177">
        <v>5793.36</v>
      </c>
      <c r="N4177" t="s">
        <v>710</v>
      </c>
      <c r="O4177" t="s">
        <v>1033</v>
      </c>
      <c r="P4177" t="s">
        <v>4781</v>
      </c>
      <c r="Q4177" t="s">
        <v>4852</v>
      </c>
      <c r="R4177" t="s">
        <v>4771</v>
      </c>
    </row>
    <row r="4178" spans="1:18" x14ac:dyDescent="0.3">
      <c r="A4178">
        <v>6704</v>
      </c>
      <c r="B4178" t="s">
        <v>1035</v>
      </c>
      <c r="C4178" t="s">
        <v>230</v>
      </c>
      <c r="D4178" t="s">
        <v>85</v>
      </c>
      <c r="E4178" s="1">
        <v>45736</v>
      </c>
      <c r="F4178" t="s">
        <v>4348</v>
      </c>
      <c r="G4178" t="s">
        <v>1604</v>
      </c>
      <c r="H4178" t="s">
        <v>229</v>
      </c>
      <c r="I4178" t="s">
        <v>204</v>
      </c>
      <c r="J4178" s="1">
        <v>46203</v>
      </c>
      <c r="K4178" t="s">
        <v>744</v>
      </c>
      <c r="L4178">
        <v>3013.19</v>
      </c>
      <c r="M4178">
        <v>3013.19</v>
      </c>
      <c r="N4178" t="s">
        <v>710</v>
      </c>
      <c r="O4178" t="s">
        <v>1033</v>
      </c>
      <c r="P4178" t="s">
        <v>4781</v>
      </c>
      <c r="Q4178" t="s">
        <v>4852</v>
      </c>
      <c r="R4178" t="s">
        <v>4771</v>
      </c>
    </row>
    <row r="4179" spans="1:18" x14ac:dyDescent="0.3">
      <c r="A4179">
        <v>438113</v>
      </c>
      <c r="B4179" t="s">
        <v>1034</v>
      </c>
      <c r="C4179" t="s">
        <v>333</v>
      </c>
      <c r="D4179" t="s">
        <v>29</v>
      </c>
      <c r="E4179" s="1">
        <v>45736</v>
      </c>
      <c r="F4179" t="s">
        <v>4317</v>
      </c>
      <c r="G4179" t="s">
        <v>1636</v>
      </c>
      <c r="H4179" t="s">
        <v>332</v>
      </c>
      <c r="I4179" t="s">
        <v>204</v>
      </c>
      <c r="J4179" s="1">
        <v>54878</v>
      </c>
      <c r="K4179" t="s">
        <v>711</v>
      </c>
      <c r="L4179">
        <v>138</v>
      </c>
      <c r="M4179">
        <v>137.99</v>
      </c>
      <c r="N4179" t="s">
        <v>710</v>
      </c>
      <c r="O4179" t="s">
        <v>1036</v>
      </c>
      <c r="P4179" t="s">
        <v>4776</v>
      </c>
      <c r="Q4179" t="s">
        <v>4901</v>
      </c>
      <c r="R4179" t="s">
        <v>4771</v>
      </c>
    </row>
    <row r="4180" spans="1:18" x14ac:dyDescent="0.3">
      <c r="A4180">
        <v>499317</v>
      </c>
      <c r="B4180" t="s">
        <v>1034</v>
      </c>
      <c r="C4180" t="s">
        <v>376</v>
      </c>
      <c r="D4180" t="s">
        <v>35</v>
      </c>
      <c r="E4180" s="1">
        <v>45736</v>
      </c>
      <c r="F4180" t="s">
        <v>4302</v>
      </c>
      <c r="G4180" t="s">
        <v>1618</v>
      </c>
      <c r="H4180" t="s">
        <v>377</v>
      </c>
      <c r="I4180" t="s">
        <v>209</v>
      </c>
      <c r="J4180" s="1">
        <v>54878</v>
      </c>
      <c r="K4180" t="s">
        <v>717</v>
      </c>
      <c r="L4180">
        <v>40928.800000000003</v>
      </c>
      <c r="M4180">
        <v>40928.800000000003</v>
      </c>
      <c r="N4180" t="s">
        <v>710</v>
      </c>
      <c r="Q4180" t="s">
        <v>4852</v>
      </c>
      <c r="R4180" t="s">
        <v>4771</v>
      </c>
    </row>
    <row r="4181" spans="1:18" x14ac:dyDescent="0.3">
      <c r="A4181">
        <v>571290</v>
      </c>
      <c r="B4181" t="s">
        <v>1034</v>
      </c>
      <c r="C4181" t="s">
        <v>376</v>
      </c>
      <c r="D4181" t="s">
        <v>35</v>
      </c>
      <c r="E4181" s="1">
        <v>45736</v>
      </c>
      <c r="F4181" t="s">
        <v>4302</v>
      </c>
      <c r="G4181" t="s">
        <v>1618</v>
      </c>
      <c r="H4181" t="s">
        <v>377</v>
      </c>
      <c r="I4181" t="s">
        <v>209</v>
      </c>
      <c r="J4181" s="1">
        <v>54878</v>
      </c>
      <c r="K4181" t="s">
        <v>717</v>
      </c>
      <c r="L4181">
        <v>1500</v>
      </c>
      <c r="M4181">
        <v>1500</v>
      </c>
      <c r="N4181" t="s">
        <v>710</v>
      </c>
      <c r="Q4181" t="s">
        <v>4852</v>
      </c>
      <c r="R4181" t="s">
        <v>4771</v>
      </c>
    </row>
    <row r="4182" spans="1:18" x14ac:dyDescent="0.3">
      <c r="A4182">
        <v>125737</v>
      </c>
      <c r="B4182" t="s">
        <v>1034</v>
      </c>
      <c r="C4182" t="s">
        <v>376</v>
      </c>
      <c r="D4182" t="s">
        <v>35</v>
      </c>
      <c r="E4182" s="1">
        <v>45736</v>
      </c>
      <c r="F4182" t="s">
        <v>4324</v>
      </c>
      <c r="G4182" t="s">
        <v>1621</v>
      </c>
      <c r="H4182" t="s">
        <v>375</v>
      </c>
      <c r="I4182" t="s">
        <v>209</v>
      </c>
      <c r="J4182" s="1">
        <v>54878</v>
      </c>
      <c r="K4182" t="s">
        <v>717</v>
      </c>
      <c r="L4182">
        <v>137263.5</v>
      </c>
      <c r="M4182">
        <v>137263.5</v>
      </c>
      <c r="N4182" t="s">
        <v>710</v>
      </c>
      <c r="O4182" t="s">
        <v>1037</v>
      </c>
      <c r="P4182" t="s">
        <v>4807</v>
      </c>
      <c r="Q4182" t="s">
        <v>4852</v>
      </c>
      <c r="R4182" t="s">
        <v>4771</v>
      </c>
    </row>
    <row r="4183" spans="1:18" x14ac:dyDescent="0.3">
      <c r="A4183">
        <v>141557</v>
      </c>
      <c r="B4183" t="s">
        <v>4875</v>
      </c>
      <c r="C4183" t="s">
        <v>376</v>
      </c>
      <c r="D4183" t="s">
        <v>35</v>
      </c>
      <c r="E4183" s="1">
        <v>45736</v>
      </c>
      <c r="F4183" t="s">
        <v>4324</v>
      </c>
      <c r="G4183" t="s">
        <v>1619</v>
      </c>
      <c r="H4183" t="s">
        <v>486</v>
      </c>
      <c r="I4183" t="s">
        <v>209</v>
      </c>
      <c r="J4183" s="1">
        <v>54878</v>
      </c>
      <c r="K4183" t="s">
        <v>768</v>
      </c>
      <c r="L4183">
        <v>40700</v>
      </c>
      <c r="M4183">
        <v>40700</v>
      </c>
      <c r="N4183" t="s">
        <v>710</v>
      </c>
      <c r="Q4183" t="s">
        <v>4852</v>
      </c>
      <c r="R4183" t="s">
        <v>4771</v>
      </c>
    </row>
    <row r="4184" spans="1:18" x14ac:dyDescent="0.3">
      <c r="A4184">
        <v>3080</v>
      </c>
      <c r="B4184" t="s">
        <v>4874</v>
      </c>
      <c r="C4184" t="s">
        <v>572</v>
      </c>
      <c r="D4184" t="s">
        <v>43</v>
      </c>
      <c r="E4184" s="1">
        <v>45736</v>
      </c>
      <c r="F4184" t="s">
        <v>4321</v>
      </c>
      <c r="G4184" t="s">
        <v>1596</v>
      </c>
      <c r="H4184" t="s">
        <v>571</v>
      </c>
      <c r="I4184" t="s">
        <v>204</v>
      </c>
      <c r="J4184" s="1">
        <v>46387</v>
      </c>
      <c r="K4184" t="s">
        <v>720</v>
      </c>
      <c r="L4184">
        <v>1</v>
      </c>
      <c r="M4184">
        <v>14164</v>
      </c>
      <c r="N4184" t="s">
        <v>814</v>
      </c>
      <c r="O4184" t="s">
        <v>1038</v>
      </c>
      <c r="P4184" t="s">
        <v>4782</v>
      </c>
      <c r="Q4184" t="s">
        <v>4858</v>
      </c>
      <c r="R4184" t="s">
        <v>4771</v>
      </c>
    </row>
    <row r="4185" spans="1:18" x14ac:dyDescent="0.3">
      <c r="A4185">
        <v>811149</v>
      </c>
      <c r="B4185" t="s">
        <v>1034</v>
      </c>
      <c r="C4185" t="s">
        <v>276</v>
      </c>
      <c r="D4185" t="s">
        <v>5</v>
      </c>
      <c r="E4185" s="1">
        <v>45735</v>
      </c>
      <c r="F4185" t="s">
        <v>4315</v>
      </c>
      <c r="G4185" t="s">
        <v>1617</v>
      </c>
      <c r="H4185" t="s">
        <v>275</v>
      </c>
      <c r="I4185" t="s">
        <v>204</v>
      </c>
      <c r="J4185" s="1">
        <v>46904</v>
      </c>
      <c r="K4185" t="s">
        <v>717</v>
      </c>
      <c r="L4185">
        <v>31231.73</v>
      </c>
      <c r="M4185">
        <v>31231.73</v>
      </c>
      <c r="N4185" t="s">
        <v>710</v>
      </c>
      <c r="O4185" t="s">
        <v>1037</v>
      </c>
      <c r="P4185" t="s">
        <v>4776</v>
      </c>
      <c r="Q4185" t="s">
        <v>4852</v>
      </c>
      <c r="R4185" t="s">
        <v>4773</v>
      </c>
    </row>
    <row r="4186" spans="1:18" x14ac:dyDescent="0.3">
      <c r="A4186">
        <v>6067</v>
      </c>
      <c r="B4186" t="s">
        <v>1034</v>
      </c>
      <c r="C4186" t="s">
        <v>208</v>
      </c>
      <c r="D4186" t="s">
        <v>164</v>
      </c>
      <c r="E4186" s="1">
        <v>45735</v>
      </c>
      <c r="F4186" t="s">
        <v>4297</v>
      </c>
      <c r="G4186" t="s">
        <v>1610</v>
      </c>
      <c r="H4186" t="s">
        <v>604</v>
      </c>
      <c r="I4186" t="s">
        <v>204</v>
      </c>
      <c r="J4186" s="1">
        <v>46256</v>
      </c>
      <c r="K4186" t="s">
        <v>711</v>
      </c>
      <c r="L4186">
        <v>2</v>
      </c>
      <c r="M4186">
        <v>120</v>
      </c>
      <c r="N4186" t="s">
        <v>710</v>
      </c>
      <c r="O4186" t="s">
        <v>1036</v>
      </c>
      <c r="P4186" t="s">
        <v>4784</v>
      </c>
      <c r="Q4186" t="s">
        <v>4901</v>
      </c>
    </row>
    <row r="4187" spans="1:18" x14ac:dyDescent="0.3">
      <c r="A4187">
        <v>6067</v>
      </c>
      <c r="B4187" t="s">
        <v>1034</v>
      </c>
      <c r="C4187" t="s">
        <v>208</v>
      </c>
      <c r="D4187" t="s">
        <v>164</v>
      </c>
      <c r="E4187" s="1">
        <v>45735</v>
      </c>
      <c r="F4187" t="s">
        <v>4297</v>
      </c>
      <c r="G4187" t="s">
        <v>1610</v>
      </c>
      <c r="H4187" t="s">
        <v>604</v>
      </c>
      <c r="I4187" t="s">
        <v>204</v>
      </c>
      <c r="J4187" s="1">
        <v>46256</v>
      </c>
      <c r="K4187" t="s">
        <v>711</v>
      </c>
      <c r="L4187">
        <v>3</v>
      </c>
      <c r="M4187">
        <v>180</v>
      </c>
      <c r="N4187" t="s">
        <v>710</v>
      </c>
      <c r="O4187" t="s">
        <v>1036</v>
      </c>
      <c r="P4187" t="s">
        <v>4784</v>
      </c>
      <c r="Q4187" t="s">
        <v>4901</v>
      </c>
    </row>
    <row r="4188" spans="1:18" x14ac:dyDescent="0.3">
      <c r="A4188">
        <v>6067</v>
      </c>
      <c r="B4188" t="s">
        <v>1034</v>
      </c>
      <c r="C4188" t="s">
        <v>208</v>
      </c>
      <c r="D4188" t="s">
        <v>164</v>
      </c>
      <c r="E4188" s="1">
        <v>45735</v>
      </c>
      <c r="F4188" t="s">
        <v>4297</v>
      </c>
      <c r="G4188" t="s">
        <v>1610</v>
      </c>
      <c r="H4188" t="s">
        <v>604</v>
      </c>
      <c r="I4188" t="s">
        <v>204</v>
      </c>
      <c r="J4188" s="1">
        <v>46256</v>
      </c>
      <c r="K4188" t="s">
        <v>711</v>
      </c>
      <c r="L4188">
        <v>1</v>
      </c>
      <c r="M4188">
        <v>60</v>
      </c>
      <c r="N4188" t="s">
        <v>710</v>
      </c>
      <c r="O4188" t="s">
        <v>1036</v>
      </c>
      <c r="P4188" t="s">
        <v>4784</v>
      </c>
      <c r="Q4188" t="s">
        <v>4901</v>
      </c>
    </row>
    <row r="4189" spans="1:18" x14ac:dyDescent="0.3">
      <c r="A4189">
        <v>6067</v>
      </c>
      <c r="B4189" t="s">
        <v>1034</v>
      </c>
      <c r="C4189" t="s">
        <v>208</v>
      </c>
      <c r="D4189" t="s">
        <v>164</v>
      </c>
      <c r="E4189" s="1">
        <v>45735</v>
      </c>
      <c r="F4189" t="s">
        <v>4297</v>
      </c>
      <c r="G4189" t="s">
        <v>1610</v>
      </c>
      <c r="H4189" t="s">
        <v>604</v>
      </c>
      <c r="I4189" t="s">
        <v>204</v>
      </c>
      <c r="J4189" s="1">
        <v>46256</v>
      </c>
      <c r="K4189" t="s">
        <v>711</v>
      </c>
      <c r="L4189">
        <v>2</v>
      </c>
      <c r="M4189">
        <v>120</v>
      </c>
      <c r="N4189" t="s">
        <v>710</v>
      </c>
      <c r="O4189" t="s">
        <v>1036</v>
      </c>
      <c r="P4189" t="s">
        <v>4784</v>
      </c>
      <c r="Q4189" t="s">
        <v>4901</v>
      </c>
    </row>
    <row r="4190" spans="1:18" x14ac:dyDescent="0.3">
      <c r="A4190">
        <v>6067</v>
      </c>
      <c r="B4190" t="s">
        <v>1034</v>
      </c>
      <c r="C4190" t="s">
        <v>208</v>
      </c>
      <c r="D4190" t="s">
        <v>164</v>
      </c>
      <c r="E4190" s="1">
        <v>45735</v>
      </c>
      <c r="F4190" t="s">
        <v>4297</v>
      </c>
      <c r="G4190" t="s">
        <v>1610</v>
      </c>
      <c r="H4190" t="s">
        <v>604</v>
      </c>
      <c r="I4190" t="s">
        <v>204</v>
      </c>
      <c r="J4190" s="1">
        <v>46256</v>
      </c>
      <c r="K4190" t="s">
        <v>711</v>
      </c>
      <c r="L4190">
        <v>4</v>
      </c>
      <c r="M4190">
        <v>240</v>
      </c>
      <c r="N4190" t="s">
        <v>710</v>
      </c>
      <c r="O4190" t="s">
        <v>1036</v>
      </c>
      <c r="P4190" t="s">
        <v>4784</v>
      </c>
      <c r="Q4190" t="s">
        <v>4901</v>
      </c>
    </row>
    <row r="4191" spans="1:18" x14ac:dyDescent="0.3">
      <c r="A4191">
        <v>3489</v>
      </c>
      <c r="B4191" t="s">
        <v>1034</v>
      </c>
      <c r="C4191" t="s">
        <v>267</v>
      </c>
      <c r="D4191" t="s">
        <v>186</v>
      </c>
      <c r="E4191" s="1">
        <v>45735</v>
      </c>
      <c r="F4191" t="s">
        <v>4349</v>
      </c>
      <c r="G4191" t="s">
        <v>1622</v>
      </c>
      <c r="H4191" t="s">
        <v>266</v>
      </c>
      <c r="I4191" t="s">
        <v>204</v>
      </c>
      <c r="J4191" s="1">
        <v>46259</v>
      </c>
      <c r="K4191" t="s">
        <v>717</v>
      </c>
      <c r="L4191">
        <v>38427.980000000003</v>
      </c>
      <c r="M4191">
        <v>38427.980000000003</v>
      </c>
      <c r="N4191" t="s">
        <v>710</v>
      </c>
      <c r="O4191" t="s">
        <v>1037</v>
      </c>
      <c r="P4191" t="s">
        <v>4780</v>
      </c>
      <c r="Q4191" t="s">
        <v>4852</v>
      </c>
      <c r="R4191" t="s">
        <v>4772</v>
      </c>
    </row>
    <row r="4192" spans="1:18" x14ac:dyDescent="0.3">
      <c r="A4192">
        <v>8163</v>
      </c>
      <c r="B4192" t="s">
        <v>1034</v>
      </c>
      <c r="C4192" t="s">
        <v>267</v>
      </c>
      <c r="D4192" t="s">
        <v>186</v>
      </c>
      <c r="E4192" s="1">
        <v>45735</v>
      </c>
      <c r="F4192" t="s">
        <v>4350</v>
      </c>
      <c r="G4192" t="s">
        <v>1622</v>
      </c>
      <c r="H4192" t="s">
        <v>266</v>
      </c>
      <c r="I4192" t="s">
        <v>204</v>
      </c>
      <c r="J4192" s="1">
        <v>46259</v>
      </c>
      <c r="K4192" t="s">
        <v>717</v>
      </c>
      <c r="L4192">
        <v>19294.080000000002</v>
      </c>
      <c r="M4192">
        <v>19294.080000000002</v>
      </c>
      <c r="N4192" t="s">
        <v>710</v>
      </c>
      <c r="O4192" t="s">
        <v>1037</v>
      </c>
      <c r="P4192" t="s">
        <v>4780</v>
      </c>
      <c r="Q4192" t="s">
        <v>4852</v>
      </c>
      <c r="R4192" t="s">
        <v>4772</v>
      </c>
    </row>
    <row r="4193" spans="1:18" x14ac:dyDescent="0.3">
      <c r="A4193">
        <v>8162</v>
      </c>
      <c r="B4193" t="s">
        <v>1034</v>
      </c>
      <c r="C4193" t="s">
        <v>267</v>
      </c>
      <c r="D4193" t="s">
        <v>186</v>
      </c>
      <c r="E4193" s="1">
        <v>45735</v>
      </c>
      <c r="F4193" t="s">
        <v>4350</v>
      </c>
      <c r="G4193" t="s">
        <v>1622</v>
      </c>
      <c r="H4193" t="s">
        <v>266</v>
      </c>
      <c r="I4193" t="s">
        <v>204</v>
      </c>
      <c r="J4193" s="1">
        <v>46259</v>
      </c>
      <c r="K4193" t="s">
        <v>717</v>
      </c>
      <c r="L4193">
        <v>24000</v>
      </c>
      <c r="M4193">
        <v>24000</v>
      </c>
      <c r="N4193" t="s">
        <v>710</v>
      </c>
      <c r="O4193" t="s">
        <v>1037</v>
      </c>
      <c r="P4193" t="s">
        <v>4780</v>
      </c>
      <c r="Q4193" t="s">
        <v>4852</v>
      </c>
      <c r="R4193" t="s">
        <v>4772</v>
      </c>
    </row>
    <row r="4194" spans="1:18" x14ac:dyDescent="0.3">
      <c r="A4194">
        <v>8161</v>
      </c>
      <c r="B4194" t="s">
        <v>1034</v>
      </c>
      <c r="C4194" t="s">
        <v>267</v>
      </c>
      <c r="D4194" t="s">
        <v>186</v>
      </c>
      <c r="E4194" s="1">
        <v>45735</v>
      </c>
      <c r="F4194" t="s">
        <v>4350</v>
      </c>
      <c r="G4194" t="s">
        <v>1622</v>
      </c>
      <c r="H4194" t="s">
        <v>266</v>
      </c>
      <c r="I4194" t="s">
        <v>204</v>
      </c>
      <c r="J4194" s="1">
        <v>46259</v>
      </c>
      <c r="K4194" t="s">
        <v>717</v>
      </c>
      <c r="L4194">
        <v>13763.2</v>
      </c>
      <c r="M4194">
        <v>13763.2</v>
      </c>
      <c r="N4194" t="s">
        <v>710</v>
      </c>
      <c r="O4194" t="s">
        <v>1037</v>
      </c>
      <c r="P4194" t="s">
        <v>4780</v>
      </c>
      <c r="Q4194" t="s">
        <v>4852</v>
      </c>
      <c r="R4194" t="s">
        <v>4772</v>
      </c>
    </row>
    <row r="4195" spans="1:18" x14ac:dyDescent="0.3">
      <c r="A4195">
        <v>8160</v>
      </c>
      <c r="B4195" t="s">
        <v>1034</v>
      </c>
      <c r="C4195" t="s">
        <v>267</v>
      </c>
      <c r="D4195" t="s">
        <v>186</v>
      </c>
      <c r="E4195" s="1">
        <v>45735</v>
      </c>
      <c r="F4195" t="s">
        <v>4350</v>
      </c>
      <c r="G4195" t="s">
        <v>1622</v>
      </c>
      <c r="H4195" t="s">
        <v>266</v>
      </c>
      <c r="I4195" t="s">
        <v>204</v>
      </c>
      <c r="J4195" s="1">
        <v>46259</v>
      </c>
      <c r="K4195" t="s">
        <v>717</v>
      </c>
      <c r="L4195">
        <v>49717.8</v>
      </c>
      <c r="M4195">
        <v>49717.8</v>
      </c>
      <c r="N4195" t="s">
        <v>710</v>
      </c>
      <c r="O4195" t="s">
        <v>1037</v>
      </c>
      <c r="P4195" t="s">
        <v>4780</v>
      </c>
      <c r="Q4195" t="s">
        <v>4852</v>
      </c>
      <c r="R4195" t="s">
        <v>4772</v>
      </c>
    </row>
    <row r="4196" spans="1:18" x14ac:dyDescent="0.3">
      <c r="A4196">
        <v>8159</v>
      </c>
      <c r="B4196" t="s">
        <v>1034</v>
      </c>
      <c r="C4196" t="s">
        <v>267</v>
      </c>
      <c r="D4196" t="s">
        <v>186</v>
      </c>
      <c r="E4196" s="1">
        <v>45735</v>
      </c>
      <c r="F4196" t="s">
        <v>4350</v>
      </c>
      <c r="G4196" t="s">
        <v>1622</v>
      </c>
      <c r="H4196" t="s">
        <v>266</v>
      </c>
      <c r="I4196" t="s">
        <v>204</v>
      </c>
      <c r="J4196" s="1">
        <v>46259</v>
      </c>
      <c r="K4196" t="s">
        <v>717</v>
      </c>
      <c r="L4196">
        <v>17015.18</v>
      </c>
      <c r="M4196">
        <v>17015.18</v>
      </c>
      <c r="N4196" t="s">
        <v>710</v>
      </c>
      <c r="O4196" t="s">
        <v>1037</v>
      </c>
      <c r="P4196" t="s">
        <v>4780</v>
      </c>
      <c r="Q4196" t="s">
        <v>4852</v>
      </c>
      <c r="R4196" t="s">
        <v>4772</v>
      </c>
    </row>
    <row r="4197" spans="1:18" x14ac:dyDescent="0.3">
      <c r="A4197">
        <v>8158</v>
      </c>
      <c r="B4197" t="s">
        <v>1034</v>
      </c>
      <c r="C4197" t="s">
        <v>267</v>
      </c>
      <c r="D4197" t="s">
        <v>186</v>
      </c>
      <c r="E4197" s="1">
        <v>45735</v>
      </c>
      <c r="F4197" t="s">
        <v>4350</v>
      </c>
      <c r="G4197" t="s">
        <v>1622</v>
      </c>
      <c r="H4197" t="s">
        <v>266</v>
      </c>
      <c r="I4197" t="s">
        <v>204</v>
      </c>
      <c r="J4197" s="1">
        <v>46259</v>
      </c>
      <c r="K4197" t="s">
        <v>717</v>
      </c>
      <c r="L4197">
        <v>7182.8</v>
      </c>
      <c r="M4197">
        <v>7182.8</v>
      </c>
      <c r="N4197" t="s">
        <v>710</v>
      </c>
      <c r="O4197" t="s">
        <v>1037</v>
      </c>
      <c r="P4197" t="s">
        <v>4780</v>
      </c>
      <c r="Q4197" t="s">
        <v>4852</v>
      </c>
      <c r="R4197" t="s">
        <v>4772</v>
      </c>
    </row>
    <row r="4198" spans="1:18" x14ac:dyDescent="0.3">
      <c r="A4198">
        <v>4475</v>
      </c>
      <c r="B4198" t="s">
        <v>1034</v>
      </c>
      <c r="C4198" t="s">
        <v>208</v>
      </c>
      <c r="D4198" t="s">
        <v>164</v>
      </c>
      <c r="E4198" s="1">
        <v>45735</v>
      </c>
      <c r="F4198" t="s">
        <v>4344</v>
      </c>
      <c r="G4198" t="s">
        <v>1608</v>
      </c>
      <c r="H4198" t="s">
        <v>604</v>
      </c>
      <c r="I4198" t="s">
        <v>204</v>
      </c>
      <c r="J4198" s="1">
        <v>46256</v>
      </c>
      <c r="K4198" t="s">
        <v>711</v>
      </c>
      <c r="L4198">
        <v>2</v>
      </c>
      <c r="M4198">
        <v>440</v>
      </c>
      <c r="N4198" t="s">
        <v>710</v>
      </c>
      <c r="O4198" t="s">
        <v>1036</v>
      </c>
      <c r="P4198" t="s">
        <v>4784</v>
      </c>
      <c r="Q4198" t="s">
        <v>4901</v>
      </c>
    </row>
    <row r="4199" spans="1:18" x14ac:dyDescent="0.3">
      <c r="A4199">
        <v>12573</v>
      </c>
      <c r="B4199" t="s">
        <v>1034</v>
      </c>
      <c r="C4199" t="s">
        <v>594</v>
      </c>
      <c r="D4199" t="s">
        <v>27</v>
      </c>
      <c r="E4199" s="1">
        <v>45735</v>
      </c>
      <c r="F4199" t="s">
        <v>4323</v>
      </c>
      <c r="G4199" t="s">
        <v>1631</v>
      </c>
      <c r="H4199" t="s">
        <v>595</v>
      </c>
      <c r="I4199" t="s">
        <v>204</v>
      </c>
      <c r="J4199" s="1">
        <v>46204</v>
      </c>
      <c r="K4199" t="s">
        <v>717</v>
      </c>
      <c r="L4199">
        <v>58476.66</v>
      </c>
      <c r="M4199">
        <v>58476.66</v>
      </c>
      <c r="N4199" t="s">
        <v>814</v>
      </c>
      <c r="O4199" t="s">
        <v>1037</v>
      </c>
      <c r="P4199" t="s">
        <v>4794</v>
      </c>
      <c r="Q4199" t="s">
        <v>4852</v>
      </c>
      <c r="R4199" t="s">
        <v>4772</v>
      </c>
    </row>
    <row r="4200" spans="1:18" x14ac:dyDescent="0.3">
      <c r="A4200">
        <v>109103</v>
      </c>
      <c r="B4200" t="s">
        <v>4874</v>
      </c>
      <c r="C4200" t="s">
        <v>227</v>
      </c>
      <c r="D4200" t="s">
        <v>191</v>
      </c>
      <c r="E4200" s="1">
        <v>45735</v>
      </c>
      <c r="F4200" t="s">
        <v>4387</v>
      </c>
      <c r="G4200" t="s">
        <v>1600</v>
      </c>
      <c r="H4200" t="s">
        <v>577</v>
      </c>
      <c r="I4200" t="s">
        <v>204</v>
      </c>
      <c r="J4200" s="1">
        <v>46493</v>
      </c>
      <c r="K4200" t="s">
        <v>762</v>
      </c>
      <c r="L4200">
        <v>46022.51</v>
      </c>
      <c r="M4200">
        <v>46022.51</v>
      </c>
      <c r="N4200" t="s">
        <v>809</v>
      </c>
      <c r="O4200" t="s">
        <v>4904</v>
      </c>
      <c r="P4200" t="s">
        <v>4792</v>
      </c>
      <c r="Q4200" t="s">
        <v>4904</v>
      </c>
      <c r="R4200" t="s">
        <v>4772</v>
      </c>
    </row>
    <row r="4201" spans="1:18" x14ac:dyDescent="0.3">
      <c r="A4201">
        <v>373610</v>
      </c>
      <c r="B4201" t="s">
        <v>4874</v>
      </c>
      <c r="C4201" t="s">
        <v>250</v>
      </c>
      <c r="D4201" t="s">
        <v>55</v>
      </c>
      <c r="E4201" s="1">
        <v>45735</v>
      </c>
      <c r="F4201" t="s">
        <v>4391</v>
      </c>
      <c r="G4201" t="s">
        <v>1605</v>
      </c>
      <c r="H4201" t="s">
        <v>249</v>
      </c>
      <c r="I4201" t="s">
        <v>204</v>
      </c>
      <c r="J4201" s="1">
        <v>54878</v>
      </c>
      <c r="K4201" t="s">
        <v>720</v>
      </c>
      <c r="L4201">
        <v>1</v>
      </c>
      <c r="M4201">
        <v>643.59</v>
      </c>
      <c r="N4201" t="s">
        <v>719</v>
      </c>
      <c r="O4201" t="s">
        <v>1038</v>
      </c>
      <c r="P4201" t="s">
        <v>4778</v>
      </c>
      <c r="Q4201" t="s">
        <v>4858</v>
      </c>
      <c r="R4201" t="s">
        <v>4771</v>
      </c>
    </row>
    <row r="4202" spans="1:18" x14ac:dyDescent="0.3">
      <c r="A4202">
        <v>6632</v>
      </c>
      <c r="B4202" t="s">
        <v>4874</v>
      </c>
      <c r="C4202" t="s">
        <v>628</v>
      </c>
      <c r="D4202" t="s">
        <v>25</v>
      </c>
      <c r="E4202" s="1">
        <v>45735</v>
      </c>
      <c r="F4202" t="s">
        <v>4415</v>
      </c>
      <c r="G4202" t="s">
        <v>1599</v>
      </c>
      <c r="H4202" t="s">
        <v>627</v>
      </c>
      <c r="I4202" t="s">
        <v>209</v>
      </c>
      <c r="J4202" s="1">
        <v>46476</v>
      </c>
      <c r="K4202" t="s">
        <v>720</v>
      </c>
      <c r="L4202">
        <v>1</v>
      </c>
      <c r="M4202">
        <v>370</v>
      </c>
      <c r="N4202" t="s">
        <v>710</v>
      </c>
      <c r="O4202" t="s">
        <v>1038</v>
      </c>
      <c r="P4202" t="s">
        <v>4776</v>
      </c>
      <c r="Q4202" t="s">
        <v>4858</v>
      </c>
      <c r="R4202" t="s">
        <v>4771</v>
      </c>
    </row>
    <row r="4203" spans="1:18" x14ac:dyDescent="0.3">
      <c r="A4203">
        <v>37014085</v>
      </c>
      <c r="B4203" t="s">
        <v>4874</v>
      </c>
      <c r="C4203" t="s">
        <v>428</v>
      </c>
      <c r="D4203" t="s">
        <v>127</v>
      </c>
      <c r="E4203" s="1">
        <v>45735</v>
      </c>
      <c r="F4203" t="s">
        <v>4336</v>
      </c>
      <c r="G4203" t="s">
        <v>1170</v>
      </c>
      <c r="H4203" t="s">
        <v>427</v>
      </c>
      <c r="I4203" t="s">
        <v>209</v>
      </c>
      <c r="J4203" s="1">
        <v>54878</v>
      </c>
      <c r="K4203" t="s">
        <v>762</v>
      </c>
      <c r="L4203">
        <v>65732.17</v>
      </c>
      <c r="M4203">
        <v>-65732.17</v>
      </c>
      <c r="N4203" t="s">
        <v>710</v>
      </c>
      <c r="Q4203" t="s">
        <v>4852</v>
      </c>
      <c r="R4203" t="s">
        <v>4772</v>
      </c>
    </row>
    <row r="4204" spans="1:18" x14ac:dyDescent="0.3">
      <c r="A4204">
        <v>173773</v>
      </c>
      <c r="B4204" t="s">
        <v>1035</v>
      </c>
      <c r="C4204" t="s">
        <v>239</v>
      </c>
      <c r="D4204" t="s">
        <v>199</v>
      </c>
      <c r="E4204" s="1">
        <v>45735</v>
      </c>
      <c r="F4204" t="s">
        <v>4325</v>
      </c>
      <c r="G4204" t="s">
        <v>1597</v>
      </c>
      <c r="H4204" t="s">
        <v>238</v>
      </c>
      <c r="I4204" t="s">
        <v>204</v>
      </c>
      <c r="J4204" s="1">
        <v>54878</v>
      </c>
      <c r="K4204" t="s">
        <v>754</v>
      </c>
      <c r="L4204">
        <v>1</v>
      </c>
      <c r="M4204">
        <v>75.08</v>
      </c>
      <c r="N4204" t="s">
        <v>710</v>
      </c>
      <c r="O4204" t="s">
        <v>4903</v>
      </c>
      <c r="P4204" t="s">
        <v>4779</v>
      </c>
      <c r="Q4204" t="s">
        <v>4858</v>
      </c>
      <c r="R4204" t="s">
        <v>4771</v>
      </c>
    </row>
    <row r="4205" spans="1:18" x14ac:dyDescent="0.3">
      <c r="A4205">
        <v>12564</v>
      </c>
      <c r="B4205" t="s">
        <v>4874</v>
      </c>
      <c r="C4205" t="s">
        <v>594</v>
      </c>
      <c r="D4205" t="s">
        <v>27</v>
      </c>
      <c r="E4205" s="1">
        <v>45735</v>
      </c>
      <c r="F4205" t="s">
        <v>4323</v>
      </c>
      <c r="G4205" t="s">
        <v>1630</v>
      </c>
      <c r="H4205" t="s">
        <v>593</v>
      </c>
      <c r="I4205" t="s">
        <v>204</v>
      </c>
      <c r="J4205" s="1">
        <v>46204</v>
      </c>
      <c r="K4205" t="s">
        <v>762</v>
      </c>
      <c r="L4205">
        <v>337375.92</v>
      </c>
      <c r="M4205">
        <v>337375.92</v>
      </c>
      <c r="N4205" t="s">
        <v>814</v>
      </c>
      <c r="O4205" t="s">
        <v>1037</v>
      </c>
      <c r="P4205" t="s">
        <v>4794</v>
      </c>
      <c r="Q4205" t="s">
        <v>4852</v>
      </c>
      <c r="R4205" t="s">
        <v>4772</v>
      </c>
    </row>
    <row r="4206" spans="1:18" x14ac:dyDescent="0.3">
      <c r="A4206">
        <v>12582</v>
      </c>
      <c r="B4206" t="s">
        <v>4875</v>
      </c>
      <c r="C4206" t="s">
        <v>594</v>
      </c>
      <c r="D4206" t="s">
        <v>27</v>
      </c>
      <c r="E4206" s="1">
        <v>45735</v>
      </c>
      <c r="F4206" t="s">
        <v>4323</v>
      </c>
      <c r="G4206" t="s">
        <v>1632</v>
      </c>
      <c r="H4206" t="s">
        <v>596</v>
      </c>
      <c r="I4206" t="s">
        <v>204</v>
      </c>
      <c r="J4206" s="1">
        <v>46204</v>
      </c>
      <c r="K4206" t="s">
        <v>768</v>
      </c>
      <c r="L4206">
        <v>11685.05</v>
      </c>
      <c r="M4206">
        <v>11685.05</v>
      </c>
      <c r="N4206" t="s">
        <v>814</v>
      </c>
      <c r="O4206" t="s">
        <v>1037</v>
      </c>
      <c r="P4206" t="s">
        <v>4794</v>
      </c>
      <c r="Q4206" t="s">
        <v>4852</v>
      </c>
      <c r="R4206" t="s">
        <v>4772</v>
      </c>
    </row>
    <row r="4207" spans="1:18" x14ac:dyDescent="0.3">
      <c r="A4207">
        <v>166564</v>
      </c>
      <c r="B4207" t="s">
        <v>4874</v>
      </c>
      <c r="C4207" t="s">
        <v>239</v>
      </c>
      <c r="D4207" t="s">
        <v>199</v>
      </c>
      <c r="E4207" s="1">
        <v>45735</v>
      </c>
      <c r="F4207" t="s">
        <v>4325</v>
      </c>
      <c r="G4207" t="s">
        <v>1598</v>
      </c>
      <c r="H4207" t="s">
        <v>268</v>
      </c>
      <c r="I4207" t="s">
        <v>204</v>
      </c>
      <c r="J4207" s="1">
        <v>46172</v>
      </c>
      <c r="K4207" t="s">
        <v>720</v>
      </c>
      <c r="L4207">
        <v>1</v>
      </c>
      <c r="M4207">
        <v>712.5</v>
      </c>
      <c r="N4207" t="s">
        <v>710</v>
      </c>
      <c r="O4207" t="s">
        <v>1038</v>
      </c>
      <c r="P4207" t="s">
        <v>4779</v>
      </c>
      <c r="Q4207" t="s">
        <v>4858</v>
      </c>
      <c r="R4207" t="s">
        <v>4771</v>
      </c>
    </row>
    <row r="4208" spans="1:18" x14ac:dyDescent="0.3">
      <c r="A4208">
        <v>36992323</v>
      </c>
      <c r="B4208" t="s">
        <v>4874</v>
      </c>
      <c r="C4208" t="s">
        <v>428</v>
      </c>
      <c r="D4208" t="s">
        <v>127</v>
      </c>
      <c r="E4208" s="1">
        <v>45735</v>
      </c>
      <c r="F4208" t="s">
        <v>4336</v>
      </c>
      <c r="G4208" t="s">
        <v>1171</v>
      </c>
      <c r="H4208" t="s">
        <v>427</v>
      </c>
      <c r="I4208" t="s">
        <v>209</v>
      </c>
      <c r="J4208" s="1">
        <v>54878</v>
      </c>
      <c r="K4208" t="s">
        <v>762</v>
      </c>
      <c r="L4208">
        <v>1194.56</v>
      </c>
      <c r="M4208">
        <v>-1194.56</v>
      </c>
      <c r="N4208" t="s">
        <v>710</v>
      </c>
      <c r="Q4208" t="s">
        <v>4852</v>
      </c>
      <c r="R4208" t="s">
        <v>4772</v>
      </c>
    </row>
    <row r="4209" spans="1:18" x14ac:dyDescent="0.3">
      <c r="A4209">
        <v>1205</v>
      </c>
      <c r="B4209" t="s">
        <v>4874</v>
      </c>
      <c r="C4209" t="s">
        <v>305</v>
      </c>
      <c r="D4209" t="s">
        <v>59</v>
      </c>
      <c r="E4209" s="1">
        <v>45734</v>
      </c>
      <c r="F4209" t="s">
        <v>4359</v>
      </c>
      <c r="G4209" t="s">
        <v>1587</v>
      </c>
      <c r="H4209" t="s">
        <v>304</v>
      </c>
      <c r="I4209" t="s">
        <v>204</v>
      </c>
      <c r="J4209" s="1">
        <v>46481</v>
      </c>
      <c r="K4209" t="s">
        <v>720</v>
      </c>
      <c r="L4209">
        <v>1</v>
      </c>
      <c r="M4209">
        <v>5270</v>
      </c>
      <c r="N4209" t="s">
        <v>809</v>
      </c>
      <c r="O4209" t="s">
        <v>1038</v>
      </c>
      <c r="P4209" t="s">
        <v>4783</v>
      </c>
      <c r="Q4209" t="s">
        <v>4858</v>
      </c>
      <c r="R4209" t="s">
        <v>4771</v>
      </c>
    </row>
    <row r="4210" spans="1:18" x14ac:dyDescent="0.3">
      <c r="A4210">
        <v>49281</v>
      </c>
      <c r="B4210" t="s">
        <v>4874</v>
      </c>
      <c r="C4210" t="s">
        <v>514</v>
      </c>
      <c r="D4210" t="s">
        <v>47</v>
      </c>
      <c r="E4210" s="1">
        <v>45734</v>
      </c>
      <c r="F4210" t="s">
        <v>4362</v>
      </c>
      <c r="G4210" t="s">
        <v>1609</v>
      </c>
      <c r="H4210" t="s">
        <v>513</v>
      </c>
      <c r="I4210" t="s">
        <v>204</v>
      </c>
      <c r="J4210" s="1">
        <v>46386</v>
      </c>
      <c r="K4210" t="s">
        <v>762</v>
      </c>
      <c r="L4210">
        <v>6221.72</v>
      </c>
      <c r="M4210">
        <v>6221.72</v>
      </c>
      <c r="N4210" t="s">
        <v>710</v>
      </c>
      <c r="O4210" t="s">
        <v>4833</v>
      </c>
      <c r="P4210" t="s">
        <v>4779</v>
      </c>
      <c r="Q4210" t="s">
        <v>4852</v>
      </c>
    </row>
    <row r="4211" spans="1:18" x14ac:dyDescent="0.3">
      <c r="A4211">
        <v>202548</v>
      </c>
      <c r="B4211" t="s">
        <v>4875</v>
      </c>
      <c r="C4211" t="s">
        <v>322</v>
      </c>
      <c r="D4211" t="s">
        <v>158</v>
      </c>
      <c r="E4211" s="1">
        <v>45734</v>
      </c>
      <c r="F4211" t="s">
        <v>4433</v>
      </c>
      <c r="G4211" t="s">
        <v>1560</v>
      </c>
      <c r="H4211" t="s">
        <v>346</v>
      </c>
      <c r="I4211" t="s">
        <v>204</v>
      </c>
      <c r="J4211" s="1">
        <v>46310</v>
      </c>
      <c r="K4211" t="s">
        <v>748</v>
      </c>
      <c r="L4211">
        <v>21660</v>
      </c>
      <c r="M4211">
        <v>21660</v>
      </c>
      <c r="N4211" t="s">
        <v>710</v>
      </c>
      <c r="O4211" t="s">
        <v>1040</v>
      </c>
      <c r="P4211" t="s">
        <v>4782</v>
      </c>
      <c r="Q4211" t="s">
        <v>4856</v>
      </c>
      <c r="R4211" t="s">
        <v>4773</v>
      </c>
    </row>
    <row r="4212" spans="1:18" x14ac:dyDescent="0.3">
      <c r="A4212">
        <v>202546</v>
      </c>
      <c r="B4212" t="s">
        <v>4875</v>
      </c>
      <c r="C4212" t="s">
        <v>322</v>
      </c>
      <c r="D4212" t="s">
        <v>158</v>
      </c>
      <c r="E4212" s="1">
        <v>45734</v>
      </c>
      <c r="F4212" t="s">
        <v>4431</v>
      </c>
      <c r="G4212" t="s">
        <v>1561</v>
      </c>
      <c r="H4212" t="s">
        <v>321</v>
      </c>
      <c r="I4212" t="s">
        <v>204</v>
      </c>
      <c r="J4212" s="1">
        <v>46310</v>
      </c>
      <c r="K4212" t="s">
        <v>748</v>
      </c>
      <c r="L4212">
        <v>10898.61</v>
      </c>
      <c r="M4212">
        <v>10898.61</v>
      </c>
      <c r="N4212" t="s">
        <v>710</v>
      </c>
      <c r="O4212" t="s">
        <v>1040</v>
      </c>
      <c r="P4212" t="s">
        <v>4782</v>
      </c>
      <c r="Q4212" t="s">
        <v>4856</v>
      </c>
      <c r="R4212" t="s">
        <v>4773</v>
      </c>
    </row>
    <row r="4213" spans="1:18" x14ac:dyDescent="0.3">
      <c r="A4213">
        <v>922549</v>
      </c>
      <c r="B4213" t="s">
        <v>4875</v>
      </c>
      <c r="C4213" t="s">
        <v>338</v>
      </c>
      <c r="D4213" t="s">
        <v>31</v>
      </c>
      <c r="E4213" s="1">
        <v>45734</v>
      </c>
      <c r="F4213" t="s">
        <v>4299</v>
      </c>
      <c r="G4213" t="s">
        <v>1500</v>
      </c>
      <c r="H4213" t="s">
        <v>353</v>
      </c>
      <c r="I4213" t="s">
        <v>204</v>
      </c>
      <c r="J4213" s="1">
        <v>54878</v>
      </c>
      <c r="K4213" t="s">
        <v>748</v>
      </c>
      <c r="L4213">
        <v>5388</v>
      </c>
      <c r="M4213">
        <v>5388.49</v>
      </c>
      <c r="N4213" t="s">
        <v>710</v>
      </c>
      <c r="O4213" t="s">
        <v>1040</v>
      </c>
      <c r="P4213" t="s">
        <v>4785</v>
      </c>
      <c r="Q4213" t="s">
        <v>4856</v>
      </c>
      <c r="R4213" t="s">
        <v>4773</v>
      </c>
    </row>
    <row r="4214" spans="1:18" x14ac:dyDescent="0.3">
      <c r="A4214">
        <v>20276</v>
      </c>
      <c r="B4214" t="s">
        <v>4875</v>
      </c>
      <c r="C4214" t="s">
        <v>243</v>
      </c>
      <c r="D4214" t="s">
        <v>61</v>
      </c>
      <c r="E4214" s="1">
        <v>45733</v>
      </c>
      <c r="F4214" t="s">
        <v>4304</v>
      </c>
      <c r="G4214" t="s">
        <v>1488</v>
      </c>
      <c r="H4214" t="s">
        <v>242</v>
      </c>
      <c r="I4214" t="s">
        <v>204</v>
      </c>
      <c r="J4214" s="1">
        <v>54878</v>
      </c>
      <c r="K4214" t="s">
        <v>748</v>
      </c>
      <c r="L4214">
        <v>874.4</v>
      </c>
      <c r="M4214">
        <v>874.4</v>
      </c>
      <c r="N4214" t="s">
        <v>710</v>
      </c>
      <c r="O4214" t="s">
        <v>4834</v>
      </c>
      <c r="P4214" t="s">
        <v>4776</v>
      </c>
      <c r="Q4214" t="s">
        <v>4856</v>
      </c>
      <c r="R4214" t="s">
        <v>4771</v>
      </c>
    </row>
    <row r="4215" spans="1:18" x14ac:dyDescent="0.3">
      <c r="A4215">
        <v>79853</v>
      </c>
      <c r="B4215" t="s">
        <v>4875</v>
      </c>
      <c r="C4215" t="s">
        <v>319</v>
      </c>
      <c r="D4215" t="s">
        <v>36</v>
      </c>
      <c r="E4215" s="1">
        <v>45733</v>
      </c>
      <c r="F4215" t="s">
        <v>4434</v>
      </c>
      <c r="G4215" t="s">
        <v>1586</v>
      </c>
      <c r="H4215" t="s">
        <v>336</v>
      </c>
      <c r="I4215" t="s">
        <v>204</v>
      </c>
      <c r="J4215" s="1">
        <v>46075</v>
      </c>
      <c r="K4215" t="s">
        <v>748</v>
      </c>
      <c r="L4215">
        <v>12760.62</v>
      </c>
      <c r="M4215">
        <v>12760.62</v>
      </c>
      <c r="N4215" t="s">
        <v>710</v>
      </c>
      <c r="O4215" t="s">
        <v>1040</v>
      </c>
      <c r="P4215" t="s">
        <v>4784</v>
      </c>
      <c r="Q4215" t="s">
        <v>4856</v>
      </c>
      <c r="R4215" t="s">
        <v>4771</v>
      </c>
    </row>
    <row r="4216" spans="1:18" x14ac:dyDescent="0.3">
      <c r="A4216">
        <v>84</v>
      </c>
      <c r="B4216" t="s">
        <v>1034</v>
      </c>
      <c r="C4216" t="s">
        <v>618</v>
      </c>
      <c r="D4216" t="s">
        <v>112</v>
      </c>
      <c r="E4216" s="1">
        <v>45733</v>
      </c>
      <c r="F4216" t="s">
        <v>4361</v>
      </c>
      <c r="G4216" t="s">
        <v>1511</v>
      </c>
      <c r="H4216" t="s">
        <v>617</v>
      </c>
      <c r="I4216" t="s">
        <v>204</v>
      </c>
      <c r="J4216" s="1">
        <v>46347</v>
      </c>
      <c r="K4216" t="s">
        <v>711</v>
      </c>
      <c r="L4216">
        <v>1</v>
      </c>
      <c r="M4216">
        <v>870.8</v>
      </c>
      <c r="N4216" t="s">
        <v>818</v>
      </c>
      <c r="O4216" t="s">
        <v>1036</v>
      </c>
      <c r="P4216" t="s">
        <v>4776</v>
      </c>
      <c r="Q4216" t="s">
        <v>4901</v>
      </c>
      <c r="R4216" t="s">
        <v>4771</v>
      </c>
    </row>
    <row r="4217" spans="1:18" x14ac:dyDescent="0.3">
      <c r="A4217">
        <v>158561</v>
      </c>
      <c r="B4217" t="s">
        <v>4874</v>
      </c>
      <c r="C4217" t="s">
        <v>214</v>
      </c>
      <c r="D4217" t="s">
        <v>94</v>
      </c>
      <c r="E4217" s="1">
        <v>45733</v>
      </c>
      <c r="F4217" t="s">
        <v>4295</v>
      </c>
      <c r="G4217" t="s">
        <v>1595</v>
      </c>
      <c r="H4217" t="s">
        <v>213</v>
      </c>
      <c r="I4217" t="s">
        <v>204</v>
      </c>
      <c r="J4217" s="1">
        <v>46309</v>
      </c>
      <c r="K4217" t="s">
        <v>720</v>
      </c>
      <c r="L4217">
        <v>1</v>
      </c>
      <c r="M4217">
        <v>20491.04</v>
      </c>
      <c r="N4217" t="s">
        <v>710</v>
      </c>
      <c r="O4217" t="s">
        <v>4834</v>
      </c>
      <c r="P4217" t="s">
        <v>4776</v>
      </c>
      <c r="Q4217" t="s">
        <v>4858</v>
      </c>
      <c r="R4217" t="s">
        <v>4772</v>
      </c>
    </row>
    <row r="4218" spans="1:18" x14ac:dyDescent="0.3">
      <c r="A4218">
        <v>158512</v>
      </c>
      <c r="B4218" t="s">
        <v>4874</v>
      </c>
      <c r="C4218" t="s">
        <v>214</v>
      </c>
      <c r="D4218" t="s">
        <v>94</v>
      </c>
      <c r="E4218" s="1">
        <v>45733</v>
      </c>
      <c r="F4218" t="s">
        <v>4295</v>
      </c>
      <c r="G4218" t="s">
        <v>1552</v>
      </c>
      <c r="H4218" t="s">
        <v>213</v>
      </c>
      <c r="I4218" t="s">
        <v>204</v>
      </c>
      <c r="J4218" s="1">
        <v>46309</v>
      </c>
      <c r="K4218" t="s">
        <v>720</v>
      </c>
      <c r="L4218">
        <v>1</v>
      </c>
      <c r="M4218">
        <v>29642.81</v>
      </c>
      <c r="N4218" t="s">
        <v>710</v>
      </c>
      <c r="O4218" t="s">
        <v>4834</v>
      </c>
      <c r="P4218" t="s">
        <v>4776</v>
      </c>
      <c r="Q4218" t="s">
        <v>4858</v>
      </c>
      <c r="R4218" t="s">
        <v>4772</v>
      </c>
    </row>
    <row r="4219" spans="1:18" x14ac:dyDescent="0.3">
      <c r="A4219">
        <v>41338</v>
      </c>
      <c r="B4219" t="s">
        <v>4874</v>
      </c>
      <c r="C4219" t="s">
        <v>537</v>
      </c>
      <c r="D4219" t="s">
        <v>194</v>
      </c>
      <c r="E4219" s="1">
        <v>45733</v>
      </c>
      <c r="F4219" t="s">
        <v>4362</v>
      </c>
      <c r="G4219" t="s">
        <v>1568</v>
      </c>
      <c r="H4219" t="s">
        <v>536</v>
      </c>
      <c r="I4219" t="s">
        <v>209</v>
      </c>
      <c r="J4219" s="1">
        <v>45412</v>
      </c>
      <c r="K4219" t="s">
        <v>720</v>
      </c>
      <c r="L4219">
        <v>1</v>
      </c>
      <c r="M4219">
        <v>958.06</v>
      </c>
      <c r="N4219" t="s">
        <v>710</v>
      </c>
      <c r="Q4219" t="s">
        <v>4858</v>
      </c>
      <c r="R4219" t="s">
        <v>4773</v>
      </c>
    </row>
    <row r="4220" spans="1:18" x14ac:dyDescent="0.3">
      <c r="A4220">
        <v>214163</v>
      </c>
      <c r="B4220" t="s">
        <v>4875</v>
      </c>
      <c r="C4220" t="s">
        <v>493</v>
      </c>
      <c r="D4220" t="s">
        <v>197</v>
      </c>
      <c r="E4220" s="1">
        <v>45730</v>
      </c>
      <c r="F4220" t="s">
        <v>4306</v>
      </c>
      <c r="G4220" t="s">
        <v>1589</v>
      </c>
      <c r="H4220" t="s">
        <v>492</v>
      </c>
      <c r="I4220" t="s">
        <v>204</v>
      </c>
      <c r="J4220" s="1">
        <v>54878</v>
      </c>
      <c r="K4220" t="s">
        <v>768</v>
      </c>
      <c r="L4220">
        <v>799</v>
      </c>
      <c r="M4220">
        <v>799</v>
      </c>
      <c r="N4220" t="s">
        <v>710</v>
      </c>
      <c r="O4220" t="s">
        <v>4833</v>
      </c>
      <c r="P4220" t="s">
        <v>4786</v>
      </c>
      <c r="Q4220" t="s">
        <v>4852</v>
      </c>
      <c r="R4220" t="s">
        <v>4773</v>
      </c>
    </row>
    <row r="4221" spans="1:18" x14ac:dyDescent="0.3">
      <c r="A4221">
        <v>214164</v>
      </c>
      <c r="B4221" t="s">
        <v>4875</v>
      </c>
      <c r="C4221" t="s">
        <v>493</v>
      </c>
      <c r="D4221" t="s">
        <v>197</v>
      </c>
      <c r="E4221" s="1">
        <v>45730</v>
      </c>
      <c r="F4221" t="s">
        <v>4306</v>
      </c>
      <c r="G4221" t="s">
        <v>1590</v>
      </c>
      <c r="H4221" t="s">
        <v>492</v>
      </c>
      <c r="I4221" t="s">
        <v>204</v>
      </c>
      <c r="J4221" s="1">
        <v>54878</v>
      </c>
      <c r="K4221" t="s">
        <v>768</v>
      </c>
      <c r="L4221">
        <v>650</v>
      </c>
      <c r="M4221">
        <v>650</v>
      </c>
      <c r="N4221" t="s">
        <v>710</v>
      </c>
      <c r="O4221" t="s">
        <v>4833</v>
      </c>
      <c r="P4221" t="s">
        <v>4786</v>
      </c>
      <c r="Q4221" t="s">
        <v>4852</v>
      </c>
      <c r="R4221" t="s">
        <v>4773</v>
      </c>
    </row>
    <row r="4222" spans="1:18" x14ac:dyDescent="0.3">
      <c r="A4222">
        <v>265039</v>
      </c>
      <c r="B4222" t="s">
        <v>4874</v>
      </c>
      <c r="C4222" t="s">
        <v>391</v>
      </c>
      <c r="D4222" t="s">
        <v>104</v>
      </c>
      <c r="E4222" s="1">
        <v>45730</v>
      </c>
      <c r="F4222" t="s">
        <v>4315</v>
      </c>
      <c r="G4222" t="s">
        <v>1588</v>
      </c>
      <c r="H4222" t="s">
        <v>390</v>
      </c>
      <c r="I4222" t="s">
        <v>204</v>
      </c>
      <c r="J4222" s="1">
        <v>54878</v>
      </c>
      <c r="K4222" t="s">
        <v>762</v>
      </c>
      <c r="L4222">
        <v>82.81</v>
      </c>
      <c r="M4222">
        <v>82.81</v>
      </c>
      <c r="N4222" t="s">
        <v>710</v>
      </c>
      <c r="O4222" t="s">
        <v>4833</v>
      </c>
      <c r="P4222" t="s">
        <v>4776</v>
      </c>
      <c r="Q4222" t="s">
        <v>4852</v>
      </c>
      <c r="R4222" t="s">
        <v>4773</v>
      </c>
    </row>
    <row r="4223" spans="1:18" x14ac:dyDescent="0.3">
      <c r="A4223">
        <v>2878</v>
      </c>
      <c r="B4223" t="s">
        <v>1034</v>
      </c>
      <c r="C4223" t="s">
        <v>590</v>
      </c>
      <c r="D4223" t="s">
        <v>79</v>
      </c>
      <c r="E4223" s="1">
        <v>45730</v>
      </c>
      <c r="F4223" t="s">
        <v>4365</v>
      </c>
      <c r="G4223" t="s">
        <v>1593</v>
      </c>
      <c r="H4223" t="s">
        <v>589</v>
      </c>
      <c r="I4223" t="s">
        <v>204</v>
      </c>
      <c r="J4223" s="1">
        <v>46387</v>
      </c>
      <c r="K4223" t="s">
        <v>717</v>
      </c>
      <c r="L4223">
        <v>180</v>
      </c>
      <c r="M4223">
        <v>180</v>
      </c>
      <c r="N4223" t="s">
        <v>814</v>
      </c>
      <c r="O4223" t="s">
        <v>4845</v>
      </c>
      <c r="P4223" t="s">
        <v>4793</v>
      </c>
      <c r="Q4223" t="s">
        <v>4845</v>
      </c>
      <c r="R4223" t="s">
        <v>4773</v>
      </c>
    </row>
    <row r="4224" spans="1:18" x14ac:dyDescent="0.3">
      <c r="A4224">
        <v>183774</v>
      </c>
      <c r="B4224" t="s">
        <v>4874</v>
      </c>
      <c r="C4224" t="s">
        <v>391</v>
      </c>
      <c r="D4224" t="s">
        <v>104</v>
      </c>
      <c r="E4224" s="1">
        <v>45730</v>
      </c>
      <c r="F4224" t="s">
        <v>4354</v>
      </c>
      <c r="G4224" t="s">
        <v>1588</v>
      </c>
      <c r="H4224" t="s">
        <v>390</v>
      </c>
      <c r="I4224" t="s">
        <v>204</v>
      </c>
      <c r="J4224" s="1">
        <v>54878</v>
      </c>
      <c r="K4224" t="s">
        <v>762</v>
      </c>
      <c r="L4224">
        <v>211.58</v>
      </c>
      <c r="M4224">
        <v>211.58</v>
      </c>
      <c r="N4224" t="s">
        <v>710</v>
      </c>
      <c r="O4224" t="s">
        <v>4833</v>
      </c>
      <c r="P4224" t="s">
        <v>4776</v>
      </c>
      <c r="Q4224" t="s">
        <v>4852</v>
      </c>
      <c r="R4224" t="s">
        <v>4773</v>
      </c>
    </row>
    <row r="4225" spans="1:18" x14ac:dyDescent="0.3">
      <c r="A4225">
        <v>198685</v>
      </c>
      <c r="B4225" t="s">
        <v>4874</v>
      </c>
      <c r="C4225" t="s">
        <v>391</v>
      </c>
      <c r="D4225" t="s">
        <v>104</v>
      </c>
      <c r="E4225" s="1">
        <v>45730</v>
      </c>
      <c r="F4225" t="s">
        <v>4306</v>
      </c>
      <c r="G4225" t="s">
        <v>1588</v>
      </c>
      <c r="H4225" t="s">
        <v>390</v>
      </c>
      <c r="I4225" t="s">
        <v>204</v>
      </c>
      <c r="J4225" s="1">
        <v>54878</v>
      </c>
      <c r="K4225" t="s">
        <v>762</v>
      </c>
      <c r="L4225">
        <v>838.58</v>
      </c>
      <c r="M4225">
        <v>838.58</v>
      </c>
      <c r="N4225" t="s">
        <v>710</v>
      </c>
      <c r="O4225" t="s">
        <v>4833</v>
      </c>
      <c r="P4225" t="s">
        <v>4776</v>
      </c>
      <c r="Q4225" t="s">
        <v>4852</v>
      </c>
      <c r="R4225" t="s">
        <v>4773</v>
      </c>
    </row>
    <row r="4226" spans="1:18" x14ac:dyDescent="0.3">
      <c r="A4226">
        <v>2792</v>
      </c>
      <c r="B4226" t="s">
        <v>4874</v>
      </c>
      <c r="C4226" t="s">
        <v>469</v>
      </c>
      <c r="D4226" t="s">
        <v>124</v>
      </c>
      <c r="E4226" s="1">
        <v>45730</v>
      </c>
      <c r="F4226" t="s">
        <v>4361</v>
      </c>
      <c r="G4226" t="s">
        <v>1594</v>
      </c>
      <c r="H4226" t="s">
        <v>468</v>
      </c>
      <c r="I4226" t="s">
        <v>204</v>
      </c>
      <c r="J4226" s="1">
        <v>54878</v>
      </c>
      <c r="K4226" t="s">
        <v>762</v>
      </c>
      <c r="L4226">
        <v>320</v>
      </c>
      <c r="M4226">
        <v>320</v>
      </c>
      <c r="N4226" t="s">
        <v>719</v>
      </c>
      <c r="O4226" t="s">
        <v>4845</v>
      </c>
      <c r="P4226" t="s">
        <v>4776</v>
      </c>
      <c r="Q4226" t="s">
        <v>4845</v>
      </c>
      <c r="R4226" t="s">
        <v>4771</v>
      </c>
    </row>
    <row r="4227" spans="1:18" x14ac:dyDescent="0.3">
      <c r="A4227">
        <v>8727</v>
      </c>
      <c r="B4227" t="s">
        <v>1034</v>
      </c>
      <c r="C4227" t="s">
        <v>624</v>
      </c>
      <c r="D4227" t="s">
        <v>68</v>
      </c>
      <c r="E4227" s="1">
        <v>45730</v>
      </c>
      <c r="F4227" t="s">
        <v>4367</v>
      </c>
      <c r="G4227" t="s">
        <v>1571</v>
      </c>
      <c r="H4227" t="s">
        <v>623</v>
      </c>
      <c r="I4227" t="s">
        <v>204</v>
      </c>
      <c r="J4227" s="1">
        <v>46017</v>
      </c>
      <c r="K4227" t="s">
        <v>839</v>
      </c>
      <c r="L4227">
        <v>1600</v>
      </c>
      <c r="M4227">
        <v>1600</v>
      </c>
      <c r="N4227" t="s">
        <v>710</v>
      </c>
      <c r="O4227" t="s">
        <v>1041</v>
      </c>
      <c r="P4227" t="s">
        <v>4776</v>
      </c>
      <c r="Q4227" t="s">
        <v>4852</v>
      </c>
      <c r="R4227" t="s">
        <v>4771</v>
      </c>
    </row>
    <row r="4228" spans="1:18" x14ac:dyDescent="0.3">
      <c r="A4228">
        <v>18259</v>
      </c>
      <c r="B4228" t="s">
        <v>4874</v>
      </c>
      <c r="C4228" t="s">
        <v>212</v>
      </c>
      <c r="D4228" t="s">
        <v>62</v>
      </c>
      <c r="E4228" s="1">
        <v>45730</v>
      </c>
      <c r="F4228" t="s">
        <v>4318</v>
      </c>
      <c r="G4228" t="s">
        <v>1592</v>
      </c>
      <c r="H4228" t="s">
        <v>211</v>
      </c>
      <c r="I4228" t="s">
        <v>204</v>
      </c>
      <c r="J4228" s="1">
        <v>54878</v>
      </c>
      <c r="K4228" t="s">
        <v>720</v>
      </c>
      <c r="L4228">
        <v>1</v>
      </c>
      <c r="M4228">
        <v>1000</v>
      </c>
      <c r="N4228" t="s">
        <v>719</v>
      </c>
      <c r="O4228" t="s">
        <v>4834</v>
      </c>
      <c r="P4228" t="s">
        <v>4776</v>
      </c>
      <c r="Q4228" t="s">
        <v>4858</v>
      </c>
      <c r="R4228" t="s">
        <v>4771</v>
      </c>
    </row>
    <row r="4229" spans="1:18" x14ac:dyDescent="0.3">
      <c r="A4229">
        <v>287</v>
      </c>
      <c r="B4229" t="s">
        <v>1034</v>
      </c>
      <c r="C4229" t="s">
        <v>479</v>
      </c>
      <c r="D4229" t="s">
        <v>99</v>
      </c>
      <c r="E4229" s="1">
        <v>45729</v>
      </c>
      <c r="F4229" t="s">
        <v>4310</v>
      </c>
      <c r="G4229" t="s">
        <v>1570</v>
      </c>
      <c r="H4229" t="s">
        <v>478</v>
      </c>
      <c r="I4229" t="s">
        <v>204</v>
      </c>
      <c r="J4229" s="1">
        <v>46239</v>
      </c>
      <c r="K4229" t="s">
        <v>717</v>
      </c>
      <c r="L4229">
        <v>67</v>
      </c>
      <c r="M4229">
        <v>221.1</v>
      </c>
      <c r="N4229" t="s">
        <v>710</v>
      </c>
      <c r="O4229" t="s">
        <v>1037</v>
      </c>
      <c r="P4229" t="s">
        <v>4790</v>
      </c>
      <c r="Q4229" t="s">
        <v>4852</v>
      </c>
      <c r="R4229" t="s">
        <v>4772</v>
      </c>
    </row>
    <row r="4230" spans="1:18" x14ac:dyDescent="0.3">
      <c r="A4230">
        <v>287</v>
      </c>
      <c r="B4230" t="s">
        <v>1034</v>
      </c>
      <c r="C4230" t="s">
        <v>479</v>
      </c>
      <c r="D4230" t="s">
        <v>99</v>
      </c>
      <c r="E4230" s="1">
        <v>45729</v>
      </c>
      <c r="F4230" t="s">
        <v>4356</v>
      </c>
      <c r="G4230" t="s">
        <v>1570</v>
      </c>
      <c r="H4230" t="s">
        <v>478</v>
      </c>
      <c r="I4230" t="s">
        <v>204</v>
      </c>
      <c r="J4230" s="1">
        <v>46239</v>
      </c>
      <c r="K4230" t="s">
        <v>717</v>
      </c>
      <c r="L4230">
        <v>7</v>
      </c>
      <c r="M4230">
        <v>33.46</v>
      </c>
      <c r="N4230" t="s">
        <v>710</v>
      </c>
      <c r="O4230" t="s">
        <v>1037</v>
      </c>
      <c r="P4230" t="s">
        <v>4790</v>
      </c>
      <c r="Q4230" t="s">
        <v>4852</v>
      </c>
      <c r="R4230" t="s">
        <v>4772</v>
      </c>
    </row>
    <row r="4231" spans="1:18" x14ac:dyDescent="0.3">
      <c r="A4231">
        <v>287</v>
      </c>
      <c r="B4231" t="s">
        <v>1034</v>
      </c>
      <c r="C4231" t="s">
        <v>479</v>
      </c>
      <c r="D4231" t="s">
        <v>99</v>
      </c>
      <c r="E4231" s="1">
        <v>45729</v>
      </c>
      <c r="F4231" t="s">
        <v>4312</v>
      </c>
      <c r="G4231" t="s">
        <v>1570</v>
      </c>
      <c r="H4231" t="s">
        <v>478</v>
      </c>
      <c r="I4231" t="s">
        <v>204</v>
      </c>
      <c r="J4231" s="1">
        <v>46239</v>
      </c>
      <c r="K4231" t="s">
        <v>717</v>
      </c>
      <c r="L4231">
        <v>40</v>
      </c>
      <c r="M4231">
        <v>419.6</v>
      </c>
      <c r="N4231" t="s">
        <v>710</v>
      </c>
      <c r="O4231" t="s">
        <v>1037</v>
      </c>
      <c r="P4231" t="s">
        <v>4790</v>
      </c>
      <c r="Q4231" t="s">
        <v>4852</v>
      </c>
      <c r="R4231" t="s">
        <v>4772</v>
      </c>
    </row>
    <row r="4232" spans="1:18" x14ac:dyDescent="0.3">
      <c r="A4232">
        <v>287</v>
      </c>
      <c r="B4232" t="s">
        <v>1034</v>
      </c>
      <c r="C4232" t="s">
        <v>479</v>
      </c>
      <c r="D4232" t="s">
        <v>99</v>
      </c>
      <c r="E4232" s="1">
        <v>45729</v>
      </c>
      <c r="F4232" t="s">
        <v>4311</v>
      </c>
      <c r="G4232" t="s">
        <v>1570</v>
      </c>
      <c r="H4232" t="s">
        <v>478</v>
      </c>
      <c r="I4232" t="s">
        <v>204</v>
      </c>
      <c r="J4232" s="1">
        <v>46239</v>
      </c>
      <c r="K4232" t="s">
        <v>717</v>
      </c>
      <c r="L4232">
        <v>198</v>
      </c>
      <c r="M4232">
        <v>1568.16</v>
      </c>
      <c r="N4232" t="s">
        <v>710</v>
      </c>
      <c r="O4232" t="s">
        <v>1037</v>
      </c>
      <c r="P4232" t="s">
        <v>4790</v>
      </c>
      <c r="Q4232" t="s">
        <v>4852</v>
      </c>
      <c r="R4232" t="s">
        <v>4772</v>
      </c>
    </row>
    <row r="4233" spans="1:18" x14ac:dyDescent="0.3">
      <c r="A4233">
        <v>287</v>
      </c>
      <c r="B4233" t="s">
        <v>1034</v>
      </c>
      <c r="C4233" t="s">
        <v>479</v>
      </c>
      <c r="D4233" t="s">
        <v>99</v>
      </c>
      <c r="E4233" s="1">
        <v>45729</v>
      </c>
      <c r="F4233" t="s">
        <v>4358</v>
      </c>
      <c r="G4233" t="s">
        <v>1570</v>
      </c>
      <c r="H4233" t="s">
        <v>478</v>
      </c>
      <c r="I4233" t="s">
        <v>204</v>
      </c>
      <c r="J4233" s="1">
        <v>46239</v>
      </c>
      <c r="K4233" t="s">
        <v>717</v>
      </c>
      <c r="L4233">
        <v>2</v>
      </c>
      <c r="M4233">
        <v>8.26</v>
      </c>
      <c r="N4233" t="s">
        <v>710</v>
      </c>
      <c r="O4233" t="s">
        <v>1037</v>
      </c>
      <c r="P4233" t="s">
        <v>4790</v>
      </c>
      <c r="Q4233" t="s">
        <v>4852</v>
      </c>
      <c r="R4233" t="s">
        <v>4772</v>
      </c>
    </row>
    <row r="4234" spans="1:18" x14ac:dyDescent="0.3">
      <c r="A4234">
        <v>287</v>
      </c>
      <c r="B4234" t="s">
        <v>1034</v>
      </c>
      <c r="C4234" t="s">
        <v>479</v>
      </c>
      <c r="D4234" t="s">
        <v>99</v>
      </c>
      <c r="E4234" s="1">
        <v>45729</v>
      </c>
      <c r="F4234" t="s">
        <v>4308</v>
      </c>
      <c r="G4234" t="s">
        <v>1570</v>
      </c>
      <c r="H4234" t="s">
        <v>478</v>
      </c>
      <c r="I4234" t="s">
        <v>204</v>
      </c>
      <c r="J4234" s="1">
        <v>46239</v>
      </c>
      <c r="K4234" t="s">
        <v>717</v>
      </c>
      <c r="L4234">
        <v>3213</v>
      </c>
      <c r="M4234">
        <v>11823.84</v>
      </c>
      <c r="N4234" t="s">
        <v>710</v>
      </c>
      <c r="O4234" t="s">
        <v>1037</v>
      </c>
      <c r="P4234" t="s">
        <v>4790</v>
      </c>
      <c r="Q4234" t="s">
        <v>4852</v>
      </c>
      <c r="R4234" t="s">
        <v>4772</v>
      </c>
    </row>
    <row r="4235" spans="1:18" x14ac:dyDescent="0.3">
      <c r="A4235">
        <v>288</v>
      </c>
      <c r="B4235" t="s">
        <v>1034</v>
      </c>
      <c r="C4235" t="s">
        <v>479</v>
      </c>
      <c r="D4235" t="s">
        <v>99</v>
      </c>
      <c r="E4235" s="1">
        <v>45729</v>
      </c>
      <c r="F4235" t="s">
        <v>4307</v>
      </c>
      <c r="G4235" t="s">
        <v>1573</v>
      </c>
      <c r="H4235" t="s">
        <v>478</v>
      </c>
      <c r="I4235" t="s">
        <v>204</v>
      </c>
      <c r="J4235" s="1">
        <v>46239</v>
      </c>
      <c r="K4235" t="s">
        <v>717</v>
      </c>
      <c r="L4235">
        <v>14</v>
      </c>
      <c r="M4235">
        <v>293.16000000000003</v>
      </c>
      <c r="N4235" t="s">
        <v>710</v>
      </c>
      <c r="O4235" t="s">
        <v>1037</v>
      </c>
      <c r="P4235" t="s">
        <v>4790</v>
      </c>
      <c r="Q4235" t="s">
        <v>4852</v>
      </c>
      <c r="R4235" t="s">
        <v>4772</v>
      </c>
    </row>
    <row r="4236" spans="1:18" x14ac:dyDescent="0.3">
      <c r="A4236">
        <v>176501</v>
      </c>
      <c r="B4236" t="s">
        <v>4874</v>
      </c>
      <c r="C4236" t="s">
        <v>411</v>
      </c>
      <c r="D4236" t="s">
        <v>154</v>
      </c>
      <c r="E4236" s="1">
        <v>45729</v>
      </c>
      <c r="F4236" t="s">
        <v>4345</v>
      </c>
      <c r="G4236" t="s">
        <v>1531</v>
      </c>
      <c r="H4236" t="s">
        <v>410</v>
      </c>
      <c r="I4236" t="s">
        <v>204</v>
      </c>
      <c r="J4236" s="1">
        <v>46344</v>
      </c>
      <c r="K4236" t="s">
        <v>762</v>
      </c>
      <c r="L4236">
        <v>15206.21</v>
      </c>
      <c r="M4236">
        <v>15206.21</v>
      </c>
      <c r="N4236" t="s">
        <v>710</v>
      </c>
      <c r="O4236" t="s">
        <v>4833</v>
      </c>
      <c r="P4236" t="s">
        <v>4776</v>
      </c>
      <c r="Q4236" t="s">
        <v>4852</v>
      </c>
      <c r="R4236" t="s">
        <v>4773</v>
      </c>
    </row>
    <row r="4237" spans="1:18" x14ac:dyDescent="0.3">
      <c r="A4237">
        <v>6</v>
      </c>
      <c r="B4237" t="s">
        <v>4874</v>
      </c>
      <c r="C4237" t="s">
        <v>626</v>
      </c>
      <c r="D4237" t="s">
        <v>184</v>
      </c>
      <c r="E4237" s="1">
        <v>45729</v>
      </c>
      <c r="F4237" t="s">
        <v>4414</v>
      </c>
      <c r="G4237" t="s">
        <v>1548</v>
      </c>
      <c r="H4237" t="s">
        <v>625</v>
      </c>
      <c r="I4237" t="s">
        <v>204</v>
      </c>
      <c r="J4237" s="1">
        <v>46440</v>
      </c>
      <c r="K4237" t="s">
        <v>720</v>
      </c>
      <c r="L4237">
        <v>1</v>
      </c>
      <c r="M4237">
        <v>7695</v>
      </c>
      <c r="N4237" t="s">
        <v>710</v>
      </c>
      <c r="O4237" t="s">
        <v>1039</v>
      </c>
      <c r="P4237" t="s">
        <v>4777</v>
      </c>
      <c r="Q4237" t="s">
        <v>4858</v>
      </c>
      <c r="R4237" t="s">
        <v>4773</v>
      </c>
    </row>
    <row r="4238" spans="1:18" x14ac:dyDescent="0.3">
      <c r="A4238">
        <v>287</v>
      </c>
      <c r="B4238" t="s">
        <v>1034</v>
      </c>
      <c r="C4238" t="s">
        <v>479</v>
      </c>
      <c r="D4238" t="s">
        <v>99</v>
      </c>
      <c r="E4238" s="1">
        <v>45729</v>
      </c>
      <c r="F4238" t="s">
        <v>4307</v>
      </c>
      <c r="G4238" t="s">
        <v>1570</v>
      </c>
      <c r="H4238" t="s">
        <v>478</v>
      </c>
      <c r="I4238" t="s">
        <v>204</v>
      </c>
      <c r="J4238" s="1">
        <v>46239</v>
      </c>
      <c r="K4238" t="s">
        <v>717</v>
      </c>
      <c r="L4238">
        <v>4719</v>
      </c>
      <c r="M4238">
        <v>53560.65</v>
      </c>
      <c r="N4238" t="s">
        <v>710</v>
      </c>
      <c r="O4238" t="s">
        <v>1037</v>
      </c>
      <c r="P4238" t="s">
        <v>4790</v>
      </c>
      <c r="Q4238" t="s">
        <v>4852</v>
      </c>
      <c r="R4238" t="s">
        <v>4772</v>
      </c>
    </row>
    <row r="4239" spans="1:18" x14ac:dyDescent="0.3">
      <c r="A4239">
        <v>550</v>
      </c>
      <c r="B4239" t="s">
        <v>4874</v>
      </c>
      <c r="C4239" t="s">
        <v>259</v>
      </c>
      <c r="D4239" t="s">
        <v>122</v>
      </c>
      <c r="E4239" s="1">
        <v>45729</v>
      </c>
      <c r="F4239" t="s">
        <v>4390</v>
      </c>
      <c r="G4239" t="s">
        <v>1546</v>
      </c>
      <c r="H4239" t="s">
        <v>258</v>
      </c>
      <c r="I4239" t="s">
        <v>204</v>
      </c>
      <c r="J4239" s="1">
        <v>46337</v>
      </c>
      <c r="K4239" t="s">
        <v>720</v>
      </c>
      <c r="L4239">
        <v>1</v>
      </c>
      <c r="M4239">
        <v>30394</v>
      </c>
      <c r="N4239" t="s">
        <v>710</v>
      </c>
      <c r="O4239" t="s">
        <v>1038</v>
      </c>
      <c r="P4239" t="s">
        <v>4777</v>
      </c>
      <c r="Q4239" t="s">
        <v>4858</v>
      </c>
      <c r="R4239" t="s">
        <v>4771</v>
      </c>
    </row>
    <row r="4240" spans="1:18" x14ac:dyDescent="0.3">
      <c r="A4240">
        <v>42699</v>
      </c>
      <c r="B4240" t="s">
        <v>1034</v>
      </c>
      <c r="C4240" t="s">
        <v>497</v>
      </c>
      <c r="D4240" t="s">
        <v>58</v>
      </c>
      <c r="E4240" s="1">
        <v>45729</v>
      </c>
      <c r="F4240" t="s">
        <v>4316</v>
      </c>
      <c r="G4240" t="s">
        <v>1554</v>
      </c>
      <c r="H4240" t="s">
        <v>498</v>
      </c>
      <c r="I4240" t="s">
        <v>204</v>
      </c>
      <c r="J4240" s="1">
        <v>46265</v>
      </c>
      <c r="K4240" t="s">
        <v>717</v>
      </c>
      <c r="L4240">
        <v>537.17999999999995</v>
      </c>
      <c r="M4240">
        <v>537.17999999999995</v>
      </c>
      <c r="N4240" t="s">
        <v>710</v>
      </c>
      <c r="O4240" t="s">
        <v>4833</v>
      </c>
      <c r="P4240" t="s">
        <v>4776</v>
      </c>
      <c r="Q4240" t="s">
        <v>4852</v>
      </c>
      <c r="R4240" t="s">
        <v>4773</v>
      </c>
    </row>
    <row r="4241" spans="1:18" x14ac:dyDescent="0.3">
      <c r="A4241">
        <v>287</v>
      </c>
      <c r="B4241" t="s">
        <v>1034</v>
      </c>
      <c r="C4241" t="s">
        <v>479</v>
      </c>
      <c r="D4241" t="s">
        <v>99</v>
      </c>
      <c r="E4241" s="1">
        <v>45729</v>
      </c>
      <c r="F4241" t="s">
        <v>4312</v>
      </c>
      <c r="G4241" t="s">
        <v>1570</v>
      </c>
      <c r="H4241" t="s">
        <v>478</v>
      </c>
      <c r="I4241" t="s">
        <v>204</v>
      </c>
      <c r="J4241" s="1">
        <v>46239</v>
      </c>
      <c r="K4241" t="s">
        <v>717</v>
      </c>
      <c r="L4241">
        <v>96</v>
      </c>
      <c r="M4241">
        <v>423.36</v>
      </c>
      <c r="N4241" t="s">
        <v>710</v>
      </c>
      <c r="O4241" t="s">
        <v>1037</v>
      </c>
      <c r="P4241" t="s">
        <v>4790</v>
      </c>
      <c r="Q4241" t="s">
        <v>4852</v>
      </c>
      <c r="R4241" t="s">
        <v>4772</v>
      </c>
    </row>
    <row r="4242" spans="1:18" x14ac:dyDescent="0.3">
      <c r="A4242">
        <v>288</v>
      </c>
      <c r="B4242" t="s">
        <v>1034</v>
      </c>
      <c r="C4242" t="s">
        <v>479</v>
      </c>
      <c r="D4242" t="s">
        <v>99</v>
      </c>
      <c r="E4242" s="1">
        <v>45729</v>
      </c>
      <c r="F4242" t="s">
        <v>4307</v>
      </c>
      <c r="G4242" t="s">
        <v>1573</v>
      </c>
      <c r="H4242" t="s">
        <v>478</v>
      </c>
      <c r="I4242" t="s">
        <v>204</v>
      </c>
      <c r="J4242" s="1">
        <v>46239</v>
      </c>
      <c r="K4242" t="s">
        <v>717</v>
      </c>
      <c r="L4242">
        <v>14</v>
      </c>
      <c r="M4242">
        <v>155.82</v>
      </c>
      <c r="N4242" t="s">
        <v>710</v>
      </c>
      <c r="O4242" t="s">
        <v>1037</v>
      </c>
      <c r="P4242" t="s">
        <v>4790</v>
      </c>
      <c r="Q4242" t="s">
        <v>4852</v>
      </c>
      <c r="R4242" t="s">
        <v>4772</v>
      </c>
    </row>
    <row r="4243" spans="1:18" x14ac:dyDescent="0.3">
      <c r="A4243">
        <v>288</v>
      </c>
      <c r="B4243" t="s">
        <v>1034</v>
      </c>
      <c r="C4243" t="s">
        <v>479</v>
      </c>
      <c r="D4243" t="s">
        <v>99</v>
      </c>
      <c r="E4243" s="1">
        <v>45729</v>
      </c>
      <c r="F4243" t="s">
        <v>4307</v>
      </c>
      <c r="G4243" t="s">
        <v>1573</v>
      </c>
      <c r="H4243" t="s">
        <v>478</v>
      </c>
      <c r="I4243" t="s">
        <v>204</v>
      </c>
      <c r="J4243" s="1">
        <v>46239</v>
      </c>
      <c r="K4243" t="s">
        <v>717</v>
      </c>
      <c r="L4243">
        <v>17</v>
      </c>
      <c r="M4243">
        <v>189.21</v>
      </c>
      <c r="N4243" t="s">
        <v>710</v>
      </c>
      <c r="O4243" t="s">
        <v>1037</v>
      </c>
      <c r="P4243" t="s">
        <v>4790</v>
      </c>
      <c r="Q4243" t="s">
        <v>4852</v>
      </c>
      <c r="R4243" t="s">
        <v>4772</v>
      </c>
    </row>
    <row r="4244" spans="1:18" x14ac:dyDescent="0.3">
      <c r="A4244">
        <v>288</v>
      </c>
      <c r="B4244" t="s">
        <v>1034</v>
      </c>
      <c r="C4244" t="s">
        <v>479</v>
      </c>
      <c r="D4244" t="s">
        <v>99</v>
      </c>
      <c r="E4244" s="1">
        <v>45729</v>
      </c>
      <c r="F4244" t="s">
        <v>4307</v>
      </c>
      <c r="G4244" t="s">
        <v>1573</v>
      </c>
      <c r="H4244" t="s">
        <v>478</v>
      </c>
      <c r="I4244" t="s">
        <v>204</v>
      </c>
      <c r="J4244" s="1">
        <v>46239</v>
      </c>
      <c r="K4244" t="s">
        <v>717</v>
      </c>
      <c r="L4244">
        <v>38</v>
      </c>
      <c r="M4244">
        <v>543.4</v>
      </c>
      <c r="N4244" t="s">
        <v>710</v>
      </c>
      <c r="O4244" t="s">
        <v>1037</v>
      </c>
      <c r="P4244" t="s">
        <v>4790</v>
      </c>
      <c r="Q4244" t="s">
        <v>4852</v>
      </c>
      <c r="R4244" t="s">
        <v>4772</v>
      </c>
    </row>
    <row r="4245" spans="1:18" x14ac:dyDescent="0.3">
      <c r="A4245">
        <v>287</v>
      </c>
      <c r="B4245" t="s">
        <v>1034</v>
      </c>
      <c r="C4245" t="s">
        <v>479</v>
      </c>
      <c r="D4245" t="s">
        <v>99</v>
      </c>
      <c r="E4245" s="1">
        <v>45729</v>
      </c>
      <c r="F4245" t="s">
        <v>4312</v>
      </c>
      <c r="G4245" t="s">
        <v>1570</v>
      </c>
      <c r="H4245" t="s">
        <v>478</v>
      </c>
      <c r="I4245" t="s">
        <v>204</v>
      </c>
      <c r="J4245" s="1">
        <v>46239</v>
      </c>
      <c r="K4245" t="s">
        <v>717</v>
      </c>
      <c r="L4245">
        <v>461</v>
      </c>
      <c r="M4245">
        <v>5024.8999999999996</v>
      </c>
      <c r="N4245" t="s">
        <v>710</v>
      </c>
      <c r="O4245" t="s">
        <v>1037</v>
      </c>
      <c r="P4245" t="s">
        <v>4790</v>
      </c>
      <c r="Q4245" t="s">
        <v>4852</v>
      </c>
      <c r="R4245" t="s">
        <v>4772</v>
      </c>
    </row>
    <row r="4246" spans="1:18" x14ac:dyDescent="0.3">
      <c r="A4246">
        <v>11179</v>
      </c>
      <c r="B4246" t="s">
        <v>4874</v>
      </c>
      <c r="C4246" t="s">
        <v>237</v>
      </c>
      <c r="D4246" t="s">
        <v>4</v>
      </c>
      <c r="E4246" s="1">
        <v>45728</v>
      </c>
      <c r="F4246" t="s">
        <v>4368</v>
      </c>
      <c r="G4246" t="s">
        <v>1545</v>
      </c>
      <c r="H4246" t="s">
        <v>236</v>
      </c>
      <c r="I4246" t="s">
        <v>204</v>
      </c>
      <c r="J4246" s="1">
        <v>54878</v>
      </c>
      <c r="K4246" t="s">
        <v>720</v>
      </c>
      <c r="L4246">
        <v>1</v>
      </c>
      <c r="M4246">
        <v>4926.1400000000003</v>
      </c>
      <c r="N4246" t="s">
        <v>710</v>
      </c>
      <c r="O4246" t="s">
        <v>1038</v>
      </c>
      <c r="P4246" t="s">
        <v>4776</v>
      </c>
      <c r="Q4246" t="s">
        <v>4858</v>
      </c>
      <c r="R4246" t="s">
        <v>4771</v>
      </c>
    </row>
    <row r="4247" spans="1:18" x14ac:dyDescent="0.3">
      <c r="A4247">
        <v>9024310</v>
      </c>
      <c r="B4247" t="s">
        <v>4874</v>
      </c>
      <c r="C4247" t="s">
        <v>433</v>
      </c>
      <c r="D4247" t="s">
        <v>168</v>
      </c>
      <c r="E4247" s="1">
        <v>45728</v>
      </c>
      <c r="F4247" t="s">
        <v>4319</v>
      </c>
      <c r="G4247" t="s">
        <v>1467</v>
      </c>
      <c r="H4247" t="s">
        <v>432</v>
      </c>
      <c r="I4247" t="s">
        <v>204</v>
      </c>
      <c r="J4247" s="1">
        <v>46473</v>
      </c>
      <c r="K4247" t="s">
        <v>762</v>
      </c>
      <c r="L4247">
        <v>1300</v>
      </c>
      <c r="M4247">
        <v>1299.69</v>
      </c>
      <c r="N4247" t="s">
        <v>710</v>
      </c>
      <c r="O4247" t="s">
        <v>4833</v>
      </c>
      <c r="P4247" t="s">
        <v>4802</v>
      </c>
      <c r="Q4247" t="s">
        <v>4852</v>
      </c>
      <c r="R4247" t="s">
        <v>4771</v>
      </c>
    </row>
    <row r="4248" spans="1:18" x14ac:dyDescent="0.3">
      <c r="A4248">
        <v>27899</v>
      </c>
      <c r="B4248" t="s">
        <v>4874</v>
      </c>
      <c r="C4248" t="s">
        <v>614</v>
      </c>
      <c r="D4248" t="s">
        <v>74</v>
      </c>
      <c r="E4248" s="1">
        <v>45728</v>
      </c>
      <c r="F4248" t="s">
        <v>4362</v>
      </c>
      <c r="G4248" t="s">
        <v>1574</v>
      </c>
      <c r="H4248" t="s">
        <v>613</v>
      </c>
      <c r="I4248" t="s">
        <v>204</v>
      </c>
      <c r="J4248" s="1">
        <v>46993</v>
      </c>
      <c r="K4248" t="s">
        <v>720</v>
      </c>
      <c r="L4248">
        <v>1</v>
      </c>
      <c r="M4248">
        <v>1515</v>
      </c>
      <c r="N4248" t="s">
        <v>710</v>
      </c>
      <c r="O4248" t="s">
        <v>1038</v>
      </c>
      <c r="P4248" t="s">
        <v>4779</v>
      </c>
      <c r="Q4248" t="s">
        <v>4858</v>
      </c>
      <c r="R4248" t="s">
        <v>4771</v>
      </c>
    </row>
    <row r="4249" spans="1:18" x14ac:dyDescent="0.3">
      <c r="A4249">
        <v>18718</v>
      </c>
      <c r="B4249" t="s">
        <v>4874</v>
      </c>
      <c r="C4249" t="s">
        <v>614</v>
      </c>
      <c r="D4249" t="s">
        <v>74</v>
      </c>
      <c r="E4249" s="1">
        <v>45728</v>
      </c>
      <c r="F4249" t="s">
        <v>4362</v>
      </c>
      <c r="G4249" t="s">
        <v>1194</v>
      </c>
      <c r="H4249" t="s">
        <v>613</v>
      </c>
      <c r="I4249" t="s">
        <v>204</v>
      </c>
      <c r="J4249" s="1">
        <v>46993</v>
      </c>
      <c r="K4249" t="s">
        <v>720</v>
      </c>
      <c r="L4249">
        <v>1</v>
      </c>
      <c r="M4249">
        <v>1515</v>
      </c>
      <c r="N4249" t="s">
        <v>710</v>
      </c>
      <c r="O4249" t="s">
        <v>1038</v>
      </c>
      <c r="P4249" t="s">
        <v>4779</v>
      </c>
      <c r="Q4249" t="s">
        <v>4858</v>
      </c>
      <c r="R4249" t="s">
        <v>4771</v>
      </c>
    </row>
    <row r="4250" spans="1:18" x14ac:dyDescent="0.3">
      <c r="A4250">
        <v>177129</v>
      </c>
      <c r="B4250" t="s">
        <v>4874</v>
      </c>
      <c r="C4250" t="s">
        <v>411</v>
      </c>
      <c r="D4250" t="s">
        <v>154</v>
      </c>
      <c r="E4250" s="1">
        <v>45728</v>
      </c>
      <c r="F4250" t="s">
        <v>4315</v>
      </c>
      <c r="G4250" t="s">
        <v>1534</v>
      </c>
      <c r="H4250" t="s">
        <v>410</v>
      </c>
      <c r="I4250" t="s">
        <v>204</v>
      </c>
      <c r="J4250" s="1">
        <v>46344</v>
      </c>
      <c r="K4250" t="s">
        <v>762</v>
      </c>
      <c r="L4250">
        <v>2622.32</v>
      </c>
      <c r="M4250">
        <v>2622.32</v>
      </c>
      <c r="N4250" t="s">
        <v>710</v>
      </c>
      <c r="O4250" t="s">
        <v>4833</v>
      </c>
      <c r="P4250" t="s">
        <v>4776</v>
      </c>
      <c r="Q4250" t="s">
        <v>4852</v>
      </c>
      <c r="R4250" t="s">
        <v>4773</v>
      </c>
    </row>
    <row r="4251" spans="1:18" x14ac:dyDescent="0.3">
      <c r="A4251">
        <v>7621230</v>
      </c>
      <c r="B4251" t="s">
        <v>4874</v>
      </c>
      <c r="C4251" t="s">
        <v>433</v>
      </c>
      <c r="D4251" t="s">
        <v>168</v>
      </c>
      <c r="E4251" s="1">
        <v>45728</v>
      </c>
      <c r="F4251" t="s">
        <v>4319</v>
      </c>
      <c r="G4251" t="s">
        <v>1559</v>
      </c>
      <c r="H4251" t="s">
        <v>432</v>
      </c>
      <c r="I4251" t="s">
        <v>204</v>
      </c>
      <c r="J4251" s="1">
        <v>46473</v>
      </c>
      <c r="K4251" t="s">
        <v>762</v>
      </c>
      <c r="L4251">
        <v>4155</v>
      </c>
      <c r="M4251">
        <v>4154.4799999999996</v>
      </c>
      <c r="N4251" t="s">
        <v>710</v>
      </c>
      <c r="O4251" t="s">
        <v>4833</v>
      </c>
      <c r="P4251" t="s">
        <v>4802</v>
      </c>
      <c r="Q4251" t="s">
        <v>4852</v>
      </c>
      <c r="R4251" t="s">
        <v>4771</v>
      </c>
    </row>
    <row r="4252" spans="1:18" x14ac:dyDescent="0.3">
      <c r="A4252">
        <v>30580</v>
      </c>
      <c r="B4252" t="s">
        <v>4874</v>
      </c>
      <c r="C4252" t="s">
        <v>262</v>
      </c>
      <c r="D4252" t="s">
        <v>155</v>
      </c>
      <c r="E4252" s="1">
        <v>45728</v>
      </c>
      <c r="F4252" t="s">
        <v>4402</v>
      </c>
      <c r="G4252" t="s">
        <v>1054</v>
      </c>
      <c r="H4252" t="s">
        <v>260</v>
      </c>
      <c r="I4252" t="s">
        <v>209</v>
      </c>
      <c r="J4252" s="1">
        <v>46255</v>
      </c>
      <c r="K4252" t="s">
        <v>720</v>
      </c>
      <c r="L4252">
        <v>10222.89</v>
      </c>
      <c r="M4252">
        <v>10222.89</v>
      </c>
      <c r="N4252" t="s">
        <v>710</v>
      </c>
      <c r="P4252" t="s">
        <v>4776</v>
      </c>
      <c r="Q4252" t="s">
        <v>4858</v>
      </c>
      <c r="R4252" t="s">
        <v>4773</v>
      </c>
    </row>
    <row r="4253" spans="1:18" x14ac:dyDescent="0.3">
      <c r="A4253">
        <v>583159</v>
      </c>
      <c r="B4253" t="s">
        <v>1034</v>
      </c>
      <c r="C4253" t="s">
        <v>248</v>
      </c>
      <c r="D4253" t="s">
        <v>13</v>
      </c>
      <c r="E4253" s="1">
        <v>45728</v>
      </c>
      <c r="F4253" t="s">
        <v>4297</v>
      </c>
      <c r="G4253" t="s">
        <v>1490</v>
      </c>
      <c r="H4253" t="s">
        <v>315</v>
      </c>
      <c r="I4253" t="s">
        <v>204</v>
      </c>
      <c r="J4253" s="1">
        <v>46073</v>
      </c>
      <c r="K4253" t="s">
        <v>711</v>
      </c>
      <c r="L4253">
        <v>4947.16</v>
      </c>
      <c r="M4253">
        <v>4947.16</v>
      </c>
      <c r="N4253" t="s">
        <v>710</v>
      </c>
      <c r="O4253" t="s">
        <v>1036</v>
      </c>
      <c r="P4253" t="s">
        <v>4779</v>
      </c>
      <c r="Q4253" t="s">
        <v>4901</v>
      </c>
      <c r="R4253" t="s">
        <v>4773</v>
      </c>
    </row>
    <row r="4254" spans="1:18" x14ac:dyDescent="0.3">
      <c r="A4254">
        <v>584405</v>
      </c>
      <c r="B4254" t="s">
        <v>4874</v>
      </c>
      <c r="C4254" t="s">
        <v>248</v>
      </c>
      <c r="D4254" t="s">
        <v>13</v>
      </c>
      <c r="E4254" s="1">
        <v>45728</v>
      </c>
      <c r="F4254" t="s">
        <v>4297</v>
      </c>
      <c r="G4254" t="s">
        <v>1540</v>
      </c>
      <c r="H4254" t="s">
        <v>247</v>
      </c>
      <c r="I4254" t="s">
        <v>204</v>
      </c>
      <c r="J4254" s="1">
        <v>54878</v>
      </c>
      <c r="K4254" t="s">
        <v>720</v>
      </c>
      <c r="L4254">
        <v>1</v>
      </c>
      <c r="M4254">
        <v>488.4</v>
      </c>
      <c r="N4254" t="s">
        <v>710</v>
      </c>
      <c r="O4254" t="s">
        <v>1038</v>
      </c>
      <c r="P4254" t="s">
        <v>4779</v>
      </c>
      <c r="Q4254" t="s">
        <v>4858</v>
      </c>
      <c r="R4254" t="s">
        <v>4773</v>
      </c>
    </row>
    <row r="4255" spans="1:18" x14ac:dyDescent="0.3">
      <c r="A4255">
        <v>3218</v>
      </c>
      <c r="B4255" t="s">
        <v>1034</v>
      </c>
      <c r="C4255" t="s">
        <v>319</v>
      </c>
      <c r="D4255" t="s">
        <v>36</v>
      </c>
      <c r="E4255" s="1">
        <v>45728</v>
      </c>
      <c r="F4255" t="s">
        <v>4298</v>
      </c>
      <c r="G4255" t="s">
        <v>1575</v>
      </c>
      <c r="H4255" t="s">
        <v>318</v>
      </c>
      <c r="I4255" t="s">
        <v>204</v>
      </c>
      <c r="J4255" s="1">
        <v>46214</v>
      </c>
      <c r="K4255" t="s">
        <v>711</v>
      </c>
      <c r="L4255">
        <v>1438</v>
      </c>
      <c r="M4255">
        <v>1437.7</v>
      </c>
      <c r="N4255" t="s">
        <v>710</v>
      </c>
      <c r="O4255" t="s">
        <v>1036</v>
      </c>
      <c r="P4255" t="s">
        <v>4784</v>
      </c>
      <c r="Q4255" t="s">
        <v>4901</v>
      </c>
      <c r="R4255" t="s">
        <v>4771</v>
      </c>
    </row>
    <row r="4256" spans="1:18" x14ac:dyDescent="0.3">
      <c r="A4256">
        <v>41076</v>
      </c>
      <c r="B4256" t="s">
        <v>1034</v>
      </c>
      <c r="C4256" t="s">
        <v>327</v>
      </c>
      <c r="D4256" t="s">
        <v>159</v>
      </c>
      <c r="E4256" s="1">
        <v>45728</v>
      </c>
      <c r="F4256" t="s">
        <v>4295</v>
      </c>
      <c r="G4256" t="s">
        <v>1583</v>
      </c>
      <c r="H4256" t="s">
        <v>357</v>
      </c>
      <c r="I4256" t="s">
        <v>204</v>
      </c>
      <c r="J4256" s="1">
        <v>46476</v>
      </c>
      <c r="K4256" t="s">
        <v>711</v>
      </c>
      <c r="L4256">
        <v>2150</v>
      </c>
      <c r="M4256">
        <v>2150</v>
      </c>
      <c r="N4256" t="s">
        <v>890</v>
      </c>
      <c r="O4256" t="s">
        <v>4834</v>
      </c>
      <c r="P4256" t="s">
        <v>4776</v>
      </c>
      <c r="Q4256" t="s">
        <v>4901</v>
      </c>
      <c r="R4256" t="s">
        <v>4773</v>
      </c>
    </row>
    <row r="4257" spans="1:18" x14ac:dyDescent="0.3">
      <c r="A4257">
        <v>152016</v>
      </c>
      <c r="B4257" t="s">
        <v>1034</v>
      </c>
      <c r="C4257" t="s">
        <v>301</v>
      </c>
      <c r="D4257" t="s">
        <v>23</v>
      </c>
      <c r="E4257" s="1">
        <v>45728</v>
      </c>
      <c r="F4257" t="s">
        <v>4321</v>
      </c>
      <c r="G4257" t="s">
        <v>1469</v>
      </c>
      <c r="H4257" t="s">
        <v>323</v>
      </c>
      <c r="I4257" t="s">
        <v>204</v>
      </c>
      <c r="J4257" s="1">
        <v>46538</v>
      </c>
      <c r="K4257" t="s">
        <v>711</v>
      </c>
      <c r="L4257">
        <v>5244.13</v>
      </c>
      <c r="M4257">
        <v>5244.13</v>
      </c>
      <c r="N4257" t="s">
        <v>710</v>
      </c>
      <c r="O4257" t="s">
        <v>1036</v>
      </c>
      <c r="P4257" t="s">
        <v>4782</v>
      </c>
      <c r="Q4257" t="s">
        <v>4901</v>
      </c>
      <c r="R4257" t="s">
        <v>4773</v>
      </c>
    </row>
    <row r="4258" spans="1:18" x14ac:dyDescent="0.3">
      <c r="A4258">
        <v>4225</v>
      </c>
      <c r="B4258" t="s">
        <v>1034</v>
      </c>
      <c r="C4258" t="s">
        <v>319</v>
      </c>
      <c r="D4258" t="s">
        <v>36</v>
      </c>
      <c r="E4258" s="1">
        <v>45728</v>
      </c>
      <c r="F4258" t="s">
        <v>4298</v>
      </c>
      <c r="G4258" t="s">
        <v>1576</v>
      </c>
      <c r="H4258" t="s">
        <v>318</v>
      </c>
      <c r="I4258" t="s">
        <v>204</v>
      </c>
      <c r="J4258" s="1">
        <v>46214</v>
      </c>
      <c r="K4258" t="s">
        <v>711</v>
      </c>
      <c r="L4258">
        <v>1757</v>
      </c>
      <c r="M4258">
        <v>1756.91</v>
      </c>
      <c r="N4258" t="s">
        <v>710</v>
      </c>
      <c r="O4258" t="s">
        <v>1036</v>
      </c>
      <c r="P4258" t="s">
        <v>4784</v>
      </c>
      <c r="Q4258" t="s">
        <v>4901</v>
      </c>
      <c r="R4258" t="s">
        <v>4771</v>
      </c>
    </row>
    <row r="4259" spans="1:18" x14ac:dyDescent="0.3">
      <c r="A4259">
        <v>41078</v>
      </c>
      <c r="B4259" t="s">
        <v>1034</v>
      </c>
      <c r="C4259" t="s">
        <v>327</v>
      </c>
      <c r="D4259" t="s">
        <v>159</v>
      </c>
      <c r="E4259" s="1">
        <v>45728</v>
      </c>
      <c r="F4259" t="s">
        <v>4295</v>
      </c>
      <c r="G4259" t="s">
        <v>1585</v>
      </c>
      <c r="H4259" t="s">
        <v>357</v>
      </c>
      <c r="I4259" t="s">
        <v>204</v>
      </c>
      <c r="J4259" s="1">
        <v>46476</v>
      </c>
      <c r="K4259" t="s">
        <v>711</v>
      </c>
      <c r="L4259">
        <v>2150</v>
      </c>
      <c r="M4259">
        <v>2150</v>
      </c>
      <c r="N4259" t="s">
        <v>890</v>
      </c>
      <c r="O4259" t="s">
        <v>4834</v>
      </c>
      <c r="P4259" t="s">
        <v>4776</v>
      </c>
      <c r="Q4259" t="s">
        <v>4901</v>
      </c>
      <c r="R4259" t="s">
        <v>4773</v>
      </c>
    </row>
    <row r="4260" spans="1:18" x14ac:dyDescent="0.3">
      <c r="A4260">
        <v>16121</v>
      </c>
      <c r="B4260" t="s">
        <v>1034</v>
      </c>
      <c r="C4260" t="s">
        <v>359</v>
      </c>
      <c r="D4260" t="s">
        <v>53</v>
      </c>
      <c r="E4260" s="1">
        <v>45728</v>
      </c>
      <c r="F4260" t="s">
        <v>4305</v>
      </c>
      <c r="G4260" t="s">
        <v>1579</v>
      </c>
      <c r="H4260" t="s">
        <v>358</v>
      </c>
      <c r="I4260" t="s">
        <v>204</v>
      </c>
      <c r="J4260" s="1">
        <v>54878</v>
      </c>
      <c r="K4260" t="s">
        <v>711</v>
      </c>
      <c r="L4260">
        <v>625.37</v>
      </c>
      <c r="M4260">
        <v>625.37</v>
      </c>
      <c r="N4260" t="s">
        <v>710</v>
      </c>
      <c r="O4260" t="s">
        <v>1036</v>
      </c>
      <c r="P4260" t="s">
        <v>4776</v>
      </c>
      <c r="Q4260" t="s">
        <v>4901</v>
      </c>
      <c r="R4260" t="s">
        <v>4773</v>
      </c>
    </row>
    <row r="4261" spans="1:18" x14ac:dyDescent="0.3">
      <c r="A4261">
        <v>41079</v>
      </c>
      <c r="B4261" t="s">
        <v>1034</v>
      </c>
      <c r="C4261" t="s">
        <v>327</v>
      </c>
      <c r="D4261" t="s">
        <v>159</v>
      </c>
      <c r="E4261" s="1">
        <v>45728</v>
      </c>
      <c r="F4261" t="s">
        <v>4296</v>
      </c>
      <c r="G4261" t="s">
        <v>1584</v>
      </c>
      <c r="H4261" t="s">
        <v>357</v>
      </c>
      <c r="I4261" t="s">
        <v>204</v>
      </c>
      <c r="J4261" s="1">
        <v>46476</v>
      </c>
      <c r="K4261" t="s">
        <v>711</v>
      </c>
      <c r="L4261">
        <v>502.08</v>
      </c>
      <c r="M4261">
        <v>502.08</v>
      </c>
      <c r="N4261" t="s">
        <v>890</v>
      </c>
      <c r="O4261" t="s">
        <v>4834</v>
      </c>
      <c r="P4261" t="s">
        <v>4776</v>
      </c>
      <c r="Q4261" t="s">
        <v>4901</v>
      </c>
      <c r="R4261" t="s">
        <v>4773</v>
      </c>
    </row>
    <row r="4262" spans="1:18" x14ac:dyDescent="0.3">
      <c r="A4262">
        <v>20251389</v>
      </c>
      <c r="B4262" t="s">
        <v>1034</v>
      </c>
      <c r="C4262" t="s">
        <v>203</v>
      </c>
      <c r="D4262" t="s">
        <v>118</v>
      </c>
      <c r="E4262" s="1">
        <v>45728</v>
      </c>
      <c r="F4262" t="s">
        <v>4353</v>
      </c>
      <c r="G4262" t="s">
        <v>1549</v>
      </c>
      <c r="H4262" t="s">
        <v>202</v>
      </c>
      <c r="I4262" t="s">
        <v>204</v>
      </c>
      <c r="J4262" s="1">
        <v>46387</v>
      </c>
      <c r="K4262" t="s">
        <v>717</v>
      </c>
      <c r="L4262">
        <v>122.56</v>
      </c>
      <c r="M4262">
        <v>122.56</v>
      </c>
      <c r="N4262" t="s">
        <v>710</v>
      </c>
      <c r="O4262" t="s">
        <v>1037</v>
      </c>
      <c r="P4262" t="s">
        <v>4776</v>
      </c>
      <c r="Q4262" t="s">
        <v>4852</v>
      </c>
      <c r="R4262" t="s">
        <v>4772</v>
      </c>
    </row>
    <row r="4263" spans="1:18" x14ac:dyDescent="0.3">
      <c r="A4263">
        <v>257</v>
      </c>
      <c r="B4263" t="s">
        <v>1034</v>
      </c>
      <c r="C4263" t="s">
        <v>325</v>
      </c>
      <c r="D4263" t="s">
        <v>193</v>
      </c>
      <c r="E4263" s="1">
        <v>45728</v>
      </c>
      <c r="F4263" t="s">
        <v>4297</v>
      </c>
      <c r="G4263" t="s">
        <v>1581</v>
      </c>
      <c r="H4263" t="s">
        <v>324</v>
      </c>
      <c r="I4263" t="s">
        <v>204</v>
      </c>
      <c r="J4263" s="1">
        <v>54878</v>
      </c>
      <c r="K4263" t="s">
        <v>711</v>
      </c>
      <c r="L4263">
        <v>3900</v>
      </c>
      <c r="M4263">
        <v>3900</v>
      </c>
      <c r="N4263" t="s">
        <v>710</v>
      </c>
      <c r="O4263" t="s">
        <v>4844</v>
      </c>
      <c r="P4263" t="s">
        <v>4779</v>
      </c>
      <c r="Q4263" t="s">
        <v>4901</v>
      </c>
      <c r="R4263" t="s">
        <v>4773</v>
      </c>
    </row>
    <row r="4264" spans="1:18" x14ac:dyDescent="0.3">
      <c r="A4264">
        <v>11087873</v>
      </c>
      <c r="B4264" t="s">
        <v>1034</v>
      </c>
      <c r="C4264" t="s">
        <v>452</v>
      </c>
      <c r="D4264" t="s">
        <v>171</v>
      </c>
      <c r="E4264" s="1">
        <v>45728</v>
      </c>
      <c r="F4264" t="s">
        <v>4319</v>
      </c>
      <c r="G4264" t="s">
        <v>1555</v>
      </c>
      <c r="H4264" t="s">
        <v>450</v>
      </c>
      <c r="I4264" t="s">
        <v>209</v>
      </c>
      <c r="J4264" s="1">
        <v>54878</v>
      </c>
      <c r="K4264" t="s">
        <v>717</v>
      </c>
      <c r="L4264">
        <v>1929</v>
      </c>
      <c r="M4264">
        <v>1928.39</v>
      </c>
      <c r="N4264" t="s">
        <v>710</v>
      </c>
      <c r="Q4264" t="s">
        <v>4852</v>
      </c>
      <c r="R4264" t="s">
        <v>4771</v>
      </c>
    </row>
    <row r="4265" spans="1:18" x14ac:dyDescent="0.3">
      <c r="A4265">
        <v>11087820</v>
      </c>
      <c r="B4265" t="s">
        <v>1034</v>
      </c>
      <c r="C4265" t="s">
        <v>452</v>
      </c>
      <c r="D4265" t="s">
        <v>171</v>
      </c>
      <c r="E4265" s="1">
        <v>45728</v>
      </c>
      <c r="F4265" t="s">
        <v>4319</v>
      </c>
      <c r="G4265" t="s">
        <v>1555</v>
      </c>
      <c r="H4265" t="s">
        <v>450</v>
      </c>
      <c r="I4265" t="s">
        <v>209</v>
      </c>
      <c r="J4265" s="1">
        <v>54878</v>
      </c>
      <c r="K4265" t="s">
        <v>717</v>
      </c>
      <c r="L4265">
        <v>1617</v>
      </c>
      <c r="M4265">
        <v>1616.14</v>
      </c>
      <c r="N4265" t="s">
        <v>710</v>
      </c>
      <c r="Q4265" t="s">
        <v>4852</v>
      </c>
      <c r="R4265" t="s">
        <v>4771</v>
      </c>
    </row>
    <row r="4266" spans="1:18" x14ac:dyDescent="0.3">
      <c r="A4266">
        <v>2185</v>
      </c>
      <c r="B4266" t="s">
        <v>1034</v>
      </c>
      <c r="C4266" t="s">
        <v>541</v>
      </c>
      <c r="D4266" t="s">
        <v>173</v>
      </c>
      <c r="E4266" s="1">
        <v>45728</v>
      </c>
      <c r="F4266" t="s">
        <v>4326</v>
      </c>
      <c r="G4266" t="s">
        <v>1578</v>
      </c>
      <c r="H4266" t="s">
        <v>540</v>
      </c>
      <c r="I4266" t="s">
        <v>204</v>
      </c>
      <c r="J4266" s="1">
        <v>46386</v>
      </c>
      <c r="K4266" t="s">
        <v>711</v>
      </c>
      <c r="L4266">
        <v>1</v>
      </c>
      <c r="M4266">
        <v>2337.9499999999998</v>
      </c>
      <c r="N4266" t="s">
        <v>890</v>
      </c>
      <c r="O4266" t="s">
        <v>1036</v>
      </c>
      <c r="P4266" t="s">
        <v>4791</v>
      </c>
      <c r="Q4266" t="s">
        <v>4901</v>
      </c>
      <c r="R4266" t="s">
        <v>4773</v>
      </c>
    </row>
    <row r="4267" spans="1:18" x14ac:dyDescent="0.3">
      <c r="A4267">
        <v>11087936</v>
      </c>
      <c r="B4267" t="s">
        <v>1034</v>
      </c>
      <c r="C4267" t="s">
        <v>452</v>
      </c>
      <c r="D4267" t="s">
        <v>171</v>
      </c>
      <c r="E4267" s="1">
        <v>45728</v>
      </c>
      <c r="F4267" t="s">
        <v>4319</v>
      </c>
      <c r="G4267" t="s">
        <v>1555</v>
      </c>
      <c r="H4267" t="s">
        <v>450</v>
      </c>
      <c r="I4267" t="s">
        <v>209</v>
      </c>
      <c r="J4267" s="1">
        <v>54878</v>
      </c>
      <c r="K4267" t="s">
        <v>717</v>
      </c>
      <c r="L4267">
        <v>1439</v>
      </c>
      <c r="M4267">
        <v>1438.46</v>
      </c>
      <c r="N4267" t="s">
        <v>710</v>
      </c>
      <c r="Q4267" t="s">
        <v>4852</v>
      </c>
      <c r="R4267" t="s">
        <v>4771</v>
      </c>
    </row>
    <row r="4268" spans="1:18" x14ac:dyDescent="0.3">
      <c r="A4268">
        <v>41077</v>
      </c>
      <c r="B4268" t="s">
        <v>1034</v>
      </c>
      <c r="C4268" t="s">
        <v>327</v>
      </c>
      <c r="D4268" t="s">
        <v>159</v>
      </c>
      <c r="E4268" s="1">
        <v>45728</v>
      </c>
      <c r="F4268" t="s">
        <v>4295</v>
      </c>
      <c r="G4268" t="s">
        <v>1583</v>
      </c>
      <c r="H4268" t="s">
        <v>357</v>
      </c>
      <c r="I4268" t="s">
        <v>204</v>
      </c>
      <c r="J4268" s="1">
        <v>46476</v>
      </c>
      <c r="K4268" t="s">
        <v>711</v>
      </c>
      <c r="L4268">
        <v>1148.18</v>
      </c>
      <c r="M4268">
        <v>1148.18</v>
      </c>
      <c r="N4268" t="s">
        <v>890</v>
      </c>
      <c r="O4268" t="s">
        <v>4834</v>
      </c>
      <c r="P4268" t="s">
        <v>4776</v>
      </c>
      <c r="Q4268" t="s">
        <v>4901</v>
      </c>
      <c r="R4268" t="s">
        <v>4773</v>
      </c>
    </row>
    <row r="4269" spans="1:18" x14ac:dyDescent="0.3">
      <c r="A4269">
        <v>16929</v>
      </c>
      <c r="B4269" t="s">
        <v>4875</v>
      </c>
      <c r="C4269" t="s">
        <v>355</v>
      </c>
      <c r="D4269" t="s">
        <v>143</v>
      </c>
      <c r="E4269" s="1">
        <v>45728</v>
      </c>
      <c r="F4269" t="s">
        <v>4318</v>
      </c>
      <c r="G4269" t="s">
        <v>1557</v>
      </c>
      <c r="H4269" t="s">
        <v>354</v>
      </c>
      <c r="I4269" t="s">
        <v>204</v>
      </c>
      <c r="J4269" s="1">
        <v>54878</v>
      </c>
      <c r="K4269" t="s">
        <v>748</v>
      </c>
      <c r="L4269">
        <v>2511.2800000000002</v>
      </c>
      <c r="M4269">
        <v>2511.2800000000002</v>
      </c>
      <c r="N4269" t="s">
        <v>710</v>
      </c>
      <c r="O4269" t="s">
        <v>4834</v>
      </c>
      <c r="P4269" t="s">
        <v>4776</v>
      </c>
      <c r="Q4269" t="s">
        <v>4856</v>
      </c>
      <c r="R4269" t="s">
        <v>4771</v>
      </c>
    </row>
    <row r="4270" spans="1:18" x14ac:dyDescent="0.3">
      <c r="A4270">
        <v>1435</v>
      </c>
      <c r="B4270" t="s">
        <v>1034</v>
      </c>
      <c r="C4270" t="s">
        <v>312</v>
      </c>
      <c r="D4270" t="s">
        <v>73</v>
      </c>
      <c r="E4270" s="1">
        <v>45728</v>
      </c>
      <c r="F4270" t="s">
        <v>4300</v>
      </c>
      <c r="G4270" t="s">
        <v>1577</v>
      </c>
      <c r="H4270" t="s">
        <v>311</v>
      </c>
      <c r="I4270" t="s">
        <v>204</v>
      </c>
      <c r="J4270" s="1">
        <v>54878</v>
      </c>
      <c r="K4270" t="s">
        <v>711</v>
      </c>
      <c r="L4270">
        <v>2255</v>
      </c>
      <c r="M4270">
        <v>2255</v>
      </c>
      <c r="N4270" t="s">
        <v>719</v>
      </c>
      <c r="O4270" t="s">
        <v>4834</v>
      </c>
      <c r="P4270" t="s">
        <v>1006</v>
      </c>
      <c r="Q4270" t="s">
        <v>4901</v>
      </c>
      <c r="R4270" t="s">
        <v>4773</v>
      </c>
    </row>
    <row r="4271" spans="1:18" x14ac:dyDescent="0.3">
      <c r="A4271">
        <v>45533</v>
      </c>
      <c r="B4271" t="s">
        <v>4875</v>
      </c>
      <c r="C4271" t="s">
        <v>210</v>
      </c>
      <c r="D4271" t="s">
        <v>163</v>
      </c>
      <c r="E4271" s="1">
        <v>45728</v>
      </c>
      <c r="F4271" t="s">
        <v>4297</v>
      </c>
      <c r="G4271" t="s">
        <v>1484</v>
      </c>
      <c r="H4271" t="s">
        <v>356</v>
      </c>
      <c r="I4271" t="s">
        <v>209</v>
      </c>
      <c r="J4271" s="1">
        <v>54878</v>
      </c>
      <c r="K4271" t="s">
        <v>748</v>
      </c>
      <c r="L4271">
        <v>120</v>
      </c>
      <c r="M4271">
        <v>120</v>
      </c>
      <c r="N4271" t="s">
        <v>710</v>
      </c>
      <c r="Q4271" t="s">
        <v>4901</v>
      </c>
      <c r="R4271" t="s">
        <v>4773</v>
      </c>
    </row>
    <row r="4272" spans="1:18" x14ac:dyDescent="0.3">
      <c r="A4272">
        <v>20230</v>
      </c>
      <c r="B4272" t="s">
        <v>1034</v>
      </c>
      <c r="C4272" t="s">
        <v>243</v>
      </c>
      <c r="D4272" t="s">
        <v>61</v>
      </c>
      <c r="E4272" s="1">
        <v>45728</v>
      </c>
      <c r="F4272" t="s">
        <v>4304</v>
      </c>
      <c r="G4272" t="s">
        <v>1489</v>
      </c>
      <c r="H4272" t="s">
        <v>246</v>
      </c>
      <c r="I4272" t="s">
        <v>204</v>
      </c>
      <c r="J4272" s="1">
        <v>46203</v>
      </c>
      <c r="K4272" t="s">
        <v>711</v>
      </c>
      <c r="L4272">
        <v>13847.93</v>
      </c>
      <c r="M4272">
        <v>13847.93</v>
      </c>
      <c r="N4272" t="s">
        <v>710</v>
      </c>
      <c r="O4272" t="s">
        <v>4834</v>
      </c>
      <c r="P4272" t="s">
        <v>4776</v>
      </c>
      <c r="Q4272" t="s">
        <v>4901</v>
      </c>
      <c r="R4272" t="s">
        <v>4771</v>
      </c>
    </row>
    <row r="4273" spans="1:18" x14ac:dyDescent="0.3">
      <c r="A4273">
        <v>2394431</v>
      </c>
      <c r="B4273" t="s">
        <v>4874</v>
      </c>
      <c r="C4273" t="s">
        <v>403</v>
      </c>
      <c r="D4273" t="s">
        <v>106</v>
      </c>
      <c r="E4273" s="1">
        <v>45727</v>
      </c>
      <c r="F4273" t="s">
        <v>4362</v>
      </c>
      <c r="G4273" t="s">
        <v>1567</v>
      </c>
      <c r="H4273" t="s">
        <v>402</v>
      </c>
      <c r="I4273" t="s">
        <v>204</v>
      </c>
      <c r="J4273" s="1">
        <v>46386</v>
      </c>
      <c r="K4273" t="s">
        <v>762</v>
      </c>
      <c r="L4273">
        <v>1667.5</v>
      </c>
      <c r="M4273">
        <v>1667.5</v>
      </c>
      <c r="N4273" t="s">
        <v>710</v>
      </c>
      <c r="O4273" t="s">
        <v>1037</v>
      </c>
      <c r="P4273" t="s">
        <v>4779</v>
      </c>
      <c r="Q4273" t="s">
        <v>4852</v>
      </c>
      <c r="R4273" t="s">
        <v>4772</v>
      </c>
    </row>
    <row r="4274" spans="1:18" x14ac:dyDescent="0.3">
      <c r="A4274">
        <v>6983</v>
      </c>
      <c r="B4274" t="s">
        <v>4874</v>
      </c>
      <c r="C4274" t="s">
        <v>484</v>
      </c>
      <c r="D4274" t="s">
        <v>140</v>
      </c>
      <c r="E4274" s="1">
        <v>45727</v>
      </c>
      <c r="F4274" t="s">
        <v>4345</v>
      </c>
      <c r="G4274" t="s">
        <v>1526</v>
      </c>
      <c r="H4274" t="s">
        <v>483</v>
      </c>
      <c r="I4274" t="s">
        <v>204</v>
      </c>
      <c r="J4274" s="1">
        <v>46508</v>
      </c>
      <c r="K4274" t="s">
        <v>762</v>
      </c>
      <c r="L4274">
        <v>7850</v>
      </c>
      <c r="M4274">
        <v>7850</v>
      </c>
      <c r="N4274" t="s">
        <v>710</v>
      </c>
      <c r="O4274" t="s">
        <v>4833</v>
      </c>
      <c r="P4274" t="s">
        <v>4776</v>
      </c>
      <c r="Q4274" t="s">
        <v>4852</v>
      </c>
      <c r="R4274" t="s">
        <v>4773</v>
      </c>
    </row>
    <row r="4275" spans="1:18" x14ac:dyDescent="0.3">
      <c r="A4275">
        <v>6981</v>
      </c>
      <c r="B4275" t="s">
        <v>4874</v>
      </c>
      <c r="C4275" t="s">
        <v>484</v>
      </c>
      <c r="D4275" t="s">
        <v>140</v>
      </c>
      <c r="E4275" s="1">
        <v>45727</v>
      </c>
      <c r="F4275" t="s">
        <v>4345</v>
      </c>
      <c r="G4275" t="s">
        <v>1524</v>
      </c>
      <c r="H4275" t="s">
        <v>483</v>
      </c>
      <c r="I4275" t="s">
        <v>204</v>
      </c>
      <c r="J4275" s="1">
        <v>46508</v>
      </c>
      <c r="K4275" t="s">
        <v>762</v>
      </c>
      <c r="L4275">
        <v>22560</v>
      </c>
      <c r="M4275">
        <v>22560</v>
      </c>
      <c r="N4275" t="s">
        <v>710</v>
      </c>
      <c r="O4275" t="s">
        <v>4833</v>
      </c>
      <c r="P4275" t="s">
        <v>4776</v>
      </c>
      <c r="Q4275" t="s">
        <v>4852</v>
      </c>
      <c r="R4275" t="s">
        <v>4773</v>
      </c>
    </row>
    <row r="4276" spans="1:18" x14ac:dyDescent="0.3">
      <c r="A4276">
        <v>36781</v>
      </c>
      <c r="B4276" t="s">
        <v>4874</v>
      </c>
      <c r="C4276" t="s">
        <v>447</v>
      </c>
      <c r="D4276" t="s">
        <v>57</v>
      </c>
      <c r="E4276" s="1">
        <v>45727</v>
      </c>
      <c r="F4276" t="s">
        <v>4383</v>
      </c>
      <c r="G4276" t="s">
        <v>1532</v>
      </c>
      <c r="H4276" t="s">
        <v>446</v>
      </c>
      <c r="I4276" t="s">
        <v>204</v>
      </c>
      <c r="J4276" s="1">
        <v>46203</v>
      </c>
      <c r="K4276" t="s">
        <v>762</v>
      </c>
      <c r="L4276">
        <v>753.16</v>
      </c>
      <c r="M4276">
        <v>753.16</v>
      </c>
      <c r="N4276" t="s">
        <v>710</v>
      </c>
      <c r="O4276" t="s">
        <v>1038</v>
      </c>
      <c r="P4276" t="s">
        <v>4776</v>
      </c>
      <c r="Q4276" t="s">
        <v>4858</v>
      </c>
      <c r="R4276" t="s">
        <v>4774</v>
      </c>
    </row>
    <row r="4277" spans="1:18" x14ac:dyDescent="0.3">
      <c r="A4277">
        <v>247560</v>
      </c>
      <c r="B4277" t="s">
        <v>4874</v>
      </c>
      <c r="C4277" t="s">
        <v>407</v>
      </c>
      <c r="D4277" t="s">
        <v>170</v>
      </c>
      <c r="E4277" s="1">
        <v>45727</v>
      </c>
      <c r="F4277" t="s">
        <v>4388</v>
      </c>
      <c r="G4277" t="s">
        <v>1509</v>
      </c>
      <c r="H4277" t="s">
        <v>406</v>
      </c>
      <c r="I4277" t="s">
        <v>204</v>
      </c>
      <c r="J4277" s="1">
        <v>46387</v>
      </c>
      <c r="K4277" t="s">
        <v>762</v>
      </c>
      <c r="L4277">
        <v>27960</v>
      </c>
      <c r="M4277">
        <v>27959.87</v>
      </c>
      <c r="N4277" t="s">
        <v>710</v>
      </c>
      <c r="O4277" t="s">
        <v>4833</v>
      </c>
      <c r="P4277" t="s">
        <v>4776</v>
      </c>
      <c r="Q4277" t="s">
        <v>4852</v>
      </c>
      <c r="R4277" t="s">
        <v>4771</v>
      </c>
    </row>
    <row r="4278" spans="1:18" x14ac:dyDescent="0.3">
      <c r="A4278">
        <v>684178</v>
      </c>
      <c r="B4278" t="s">
        <v>4874</v>
      </c>
      <c r="C4278" t="s">
        <v>409</v>
      </c>
      <c r="D4278" t="s">
        <v>28</v>
      </c>
      <c r="E4278" s="1">
        <v>45727</v>
      </c>
      <c r="F4278" t="s">
        <v>4388</v>
      </c>
      <c r="G4278" t="s">
        <v>1537</v>
      </c>
      <c r="H4278" t="s">
        <v>408</v>
      </c>
      <c r="I4278" t="s">
        <v>204</v>
      </c>
      <c r="J4278" s="1">
        <v>54878</v>
      </c>
      <c r="K4278" t="s">
        <v>762</v>
      </c>
      <c r="L4278">
        <v>25584</v>
      </c>
      <c r="M4278">
        <v>25583.69</v>
      </c>
      <c r="N4278" t="s">
        <v>710</v>
      </c>
      <c r="O4278" t="s">
        <v>4833</v>
      </c>
      <c r="P4278" t="s">
        <v>4776</v>
      </c>
      <c r="Q4278" t="s">
        <v>4852</v>
      </c>
      <c r="R4278" t="s">
        <v>4773</v>
      </c>
    </row>
    <row r="4279" spans="1:18" x14ac:dyDescent="0.3">
      <c r="A4279">
        <v>109454</v>
      </c>
      <c r="B4279" t="s">
        <v>4874</v>
      </c>
      <c r="C4279" t="s">
        <v>379</v>
      </c>
      <c r="D4279" t="s">
        <v>131</v>
      </c>
      <c r="E4279" s="1">
        <v>45727</v>
      </c>
      <c r="F4279" t="s">
        <v>4392</v>
      </c>
      <c r="G4279" t="s">
        <v>1522</v>
      </c>
      <c r="H4279" t="s">
        <v>378</v>
      </c>
      <c r="I4279" t="s">
        <v>204</v>
      </c>
      <c r="J4279" s="1">
        <v>54878</v>
      </c>
      <c r="K4279" t="s">
        <v>762</v>
      </c>
      <c r="L4279">
        <v>68.510000000000005</v>
      </c>
      <c r="M4279">
        <v>68.510000000000005</v>
      </c>
      <c r="N4279" t="s">
        <v>710</v>
      </c>
      <c r="O4279" t="s">
        <v>4833</v>
      </c>
      <c r="P4279" t="s">
        <v>4776</v>
      </c>
      <c r="Q4279" t="s">
        <v>4852</v>
      </c>
      <c r="R4279" t="s">
        <v>4773</v>
      </c>
    </row>
    <row r="4280" spans="1:18" x14ac:dyDescent="0.3">
      <c r="A4280">
        <v>186083</v>
      </c>
      <c r="B4280" t="s">
        <v>4874</v>
      </c>
      <c r="C4280" t="s">
        <v>467</v>
      </c>
      <c r="D4280" t="s">
        <v>175</v>
      </c>
      <c r="E4280" s="1">
        <v>45727</v>
      </c>
      <c r="F4280" t="s">
        <v>4315</v>
      </c>
      <c r="G4280" t="s">
        <v>1519</v>
      </c>
      <c r="H4280" t="s">
        <v>466</v>
      </c>
      <c r="I4280" t="s">
        <v>204</v>
      </c>
      <c r="J4280" s="1">
        <v>46266</v>
      </c>
      <c r="K4280" t="s">
        <v>762</v>
      </c>
      <c r="L4280">
        <v>10771.59</v>
      </c>
      <c r="M4280">
        <v>10771.59</v>
      </c>
      <c r="N4280" t="s">
        <v>710</v>
      </c>
      <c r="O4280" t="s">
        <v>4845</v>
      </c>
      <c r="P4280" t="s">
        <v>4776</v>
      </c>
      <c r="Q4280" t="s">
        <v>4845</v>
      </c>
      <c r="R4280" t="s">
        <v>4773</v>
      </c>
    </row>
    <row r="4281" spans="1:18" x14ac:dyDescent="0.3">
      <c r="A4281">
        <v>3608</v>
      </c>
      <c r="B4281" t="s">
        <v>4874</v>
      </c>
      <c r="C4281" t="s">
        <v>225</v>
      </c>
      <c r="D4281" t="s">
        <v>166</v>
      </c>
      <c r="E4281" s="1">
        <v>45727</v>
      </c>
      <c r="F4281" t="s">
        <v>4383</v>
      </c>
      <c r="G4281" t="s">
        <v>1448</v>
      </c>
      <c r="H4281" t="s">
        <v>224</v>
      </c>
      <c r="I4281" t="s">
        <v>204</v>
      </c>
      <c r="J4281" s="1">
        <v>54878</v>
      </c>
      <c r="K4281" t="s">
        <v>720</v>
      </c>
      <c r="L4281">
        <v>476.36</v>
      </c>
      <c r="M4281">
        <v>476.36</v>
      </c>
      <c r="N4281" t="s">
        <v>710</v>
      </c>
      <c r="O4281" t="s">
        <v>4849</v>
      </c>
      <c r="P4281" t="s">
        <v>4776</v>
      </c>
      <c r="Q4281" t="s">
        <v>4855</v>
      </c>
      <c r="R4281" t="s">
        <v>4773</v>
      </c>
    </row>
    <row r="4282" spans="1:18" x14ac:dyDescent="0.3">
      <c r="A4282">
        <v>38302348</v>
      </c>
      <c r="B4282" t="s">
        <v>4874</v>
      </c>
      <c r="C4282" t="s">
        <v>428</v>
      </c>
      <c r="D4282" t="s">
        <v>127</v>
      </c>
      <c r="E4282" s="1">
        <v>45727</v>
      </c>
      <c r="F4282" t="s">
        <v>4336</v>
      </c>
      <c r="G4282" t="s">
        <v>1551</v>
      </c>
      <c r="H4282" t="s">
        <v>427</v>
      </c>
      <c r="I4282" t="s">
        <v>209</v>
      </c>
      <c r="J4282" s="1">
        <v>54878</v>
      </c>
      <c r="K4282" t="s">
        <v>762</v>
      </c>
      <c r="L4282">
        <v>2093.0500000000002</v>
      </c>
      <c r="M4282">
        <v>2093.0500000000002</v>
      </c>
      <c r="N4282" t="s">
        <v>710</v>
      </c>
      <c r="Q4282" t="s">
        <v>4852</v>
      </c>
      <c r="R4282" t="s">
        <v>4772</v>
      </c>
    </row>
    <row r="4283" spans="1:18" x14ac:dyDescent="0.3">
      <c r="A4283">
        <v>5240</v>
      </c>
      <c r="B4283" t="s">
        <v>4874</v>
      </c>
      <c r="C4283" t="s">
        <v>401</v>
      </c>
      <c r="D4283" t="s">
        <v>187</v>
      </c>
      <c r="E4283" s="1">
        <v>45727</v>
      </c>
      <c r="F4283" t="s">
        <v>4345</v>
      </c>
      <c r="G4283" t="s">
        <v>1518</v>
      </c>
      <c r="H4283" t="s">
        <v>400</v>
      </c>
      <c r="I4283" t="s">
        <v>204</v>
      </c>
      <c r="J4283" s="1">
        <v>54878</v>
      </c>
      <c r="K4283" t="s">
        <v>762</v>
      </c>
      <c r="L4283">
        <v>390</v>
      </c>
      <c r="M4283">
        <v>390</v>
      </c>
      <c r="N4283" t="s">
        <v>710</v>
      </c>
      <c r="O4283" t="s">
        <v>4833</v>
      </c>
      <c r="P4283" t="s">
        <v>4776</v>
      </c>
      <c r="Q4283" t="s">
        <v>4852</v>
      </c>
      <c r="R4283" t="s">
        <v>4773</v>
      </c>
    </row>
    <row r="4284" spans="1:18" x14ac:dyDescent="0.3">
      <c r="A4284">
        <v>1163996</v>
      </c>
      <c r="B4284" t="s">
        <v>4874</v>
      </c>
      <c r="C4284" t="s">
        <v>472</v>
      </c>
      <c r="D4284" t="s">
        <v>48</v>
      </c>
      <c r="E4284" s="1">
        <v>45727</v>
      </c>
      <c r="F4284" t="s">
        <v>4315</v>
      </c>
      <c r="G4284" t="s">
        <v>1547</v>
      </c>
      <c r="H4284" t="s">
        <v>471</v>
      </c>
      <c r="I4284" t="s">
        <v>204</v>
      </c>
      <c r="J4284" s="1">
        <v>46270</v>
      </c>
      <c r="K4284" t="s">
        <v>762</v>
      </c>
      <c r="L4284">
        <v>521.97</v>
      </c>
      <c r="M4284">
        <v>521.97</v>
      </c>
      <c r="N4284" t="s">
        <v>710</v>
      </c>
      <c r="O4284" t="s">
        <v>4845</v>
      </c>
      <c r="P4284" t="s">
        <v>4776</v>
      </c>
      <c r="Q4284" t="s">
        <v>4845</v>
      </c>
      <c r="R4284" t="s">
        <v>4773</v>
      </c>
    </row>
    <row r="4285" spans="1:18" x14ac:dyDescent="0.3">
      <c r="A4285">
        <v>38307914</v>
      </c>
      <c r="B4285" t="s">
        <v>4874</v>
      </c>
      <c r="C4285" t="s">
        <v>428</v>
      </c>
      <c r="D4285" t="s">
        <v>127</v>
      </c>
      <c r="E4285" s="1">
        <v>45727</v>
      </c>
      <c r="F4285" t="s">
        <v>4336</v>
      </c>
      <c r="G4285" t="s">
        <v>1550</v>
      </c>
      <c r="H4285" t="s">
        <v>427</v>
      </c>
      <c r="I4285" t="s">
        <v>209</v>
      </c>
      <c r="J4285" s="1">
        <v>54878</v>
      </c>
      <c r="K4285" t="s">
        <v>762</v>
      </c>
      <c r="L4285">
        <v>62156.78</v>
      </c>
      <c r="M4285">
        <v>62156.78</v>
      </c>
      <c r="N4285" t="s">
        <v>710</v>
      </c>
      <c r="Q4285" t="s">
        <v>4852</v>
      </c>
      <c r="R4285" t="s">
        <v>4772</v>
      </c>
    </row>
    <row r="4286" spans="1:18" x14ac:dyDescent="0.3">
      <c r="A4286">
        <v>2397326</v>
      </c>
      <c r="B4286" t="s">
        <v>4874</v>
      </c>
      <c r="C4286" t="s">
        <v>403</v>
      </c>
      <c r="D4286" t="s">
        <v>106</v>
      </c>
      <c r="E4286" s="1">
        <v>45727</v>
      </c>
      <c r="F4286" t="s">
        <v>4362</v>
      </c>
      <c r="G4286" t="s">
        <v>1566</v>
      </c>
      <c r="H4286" t="s">
        <v>402</v>
      </c>
      <c r="I4286" t="s">
        <v>204</v>
      </c>
      <c r="J4286" s="1">
        <v>46386</v>
      </c>
      <c r="K4286" t="s">
        <v>762</v>
      </c>
      <c r="L4286">
        <v>1597.18</v>
      </c>
      <c r="M4286">
        <v>1597.18</v>
      </c>
      <c r="N4286" t="s">
        <v>710</v>
      </c>
      <c r="O4286" t="s">
        <v>1037</v>
      </c>
      <c r="P4286" t="s">
        <v>4779</v>
      </c>
      <c r="Q4286" t="s">
        <v>4852</v>
      </c>
      <c r="R4286" t="s">
        <v>4772</v>
      </c>
    </row>
    <row r="4287" spans="1:18" x14ac:dyDescent="0.3">
      <c r="A4287">
        <v>337596</v>
      </c>
      <c r="B4287" t="s">
        <v>4874</v>
      </c>
      <c r="C4287" t="s">
        <v>435</v>
      </c>
      <c r="D4287" t="s">
        <v>30</v>
      </c>
      <c r="E4287" s="1">
        <v>45727</v>
      </c>
      <c r="F4287" t="s">
        <v>4351</v>
      </c>
      <c r="G4287" t="s">
        <v>1542</v>
      </c>
      <c r="H4287" t="s">
        <v>434</v>
      </c>
      <c r="I4287" t="s">
        <v>204</v>
      </c>
      <c r="J4287" s="1">
        <v>46752</v>
      </c>
      <c r="K4287" t="s">
        <v>785</v>
      </c>
      <c r="L4287">
        <v>1</v>
      </c>
      <c r="M4287">
        <v>150696.66</v>
      </c>
      <c r="N4287" t="s">
        <v>998</v>
      </c>
      <c r="O4287" t="s">
        <v>1038</v>
      </c>
      <c r="P4287" t="s">
        <v>4787</v>
      </c>
      <c r="Q4287" t="s">
        <v>4858</v>
      </c>
      <c r="R4287" t="s">
        <v>4771</v>
      </c>
    </row>
    <row r="4288" spans="1:18" x14ac:dyDescent="0.3">
      <c r="A4288">
        <v>1163997</v>
      </c>
      <c r="B4288" t="s">
        <v>4874</v>
      </c>
      <c r="C4288" t="s">
        <v>472</v>
      </c>
      <c r="D4288" t="s">
        <v>48</v>
      </c>
      <c r="E4288" s="1">
        <v>45727</v>
      </c>
      <c r="F4288" t="s">
        <v>4345</v>
      </c>
      <c r="G4288" t="s">
        <v>1547</v>
      </c>
      <c r="H4288" t="s">
        <v>471</v>
      </c>
      <c r="I4288" t="s">
        <v>204</v>
      </c>
      <c r="J4288" s="1">
        <v>46270</v>
      </c>
      <c r="K4288" t="s">
        <v>762</v>
      </c>
      <c r="L4288">
        <v>52.2</v>
      </c>
      <c r="M4288">
        <v>52.2</v>
      </c>
      <c r="N4288" t="s">
        <v>710</v>
      </c>
      <c r="O4288" t="s">
        <v>4845</v>
      </c>
      <c r="P4288" t="s">
        <v>4776</v>
      </c>
      <c r="Q4288" t="s">
        <v>4845</v>
      </c>
      <c r="R4288" t="s">
        <v>4773</v>
      </c>
    </row>
    <row r="4289" spans="1:18" x14ac:dyDescent="0.3">
      <c r="A4289">
        <v>2397318</v>
      </c>
      <c r="B4289" t="s">
        <v>4874</v>
      </c>
      <c r="C4289" t="s">
        <v>403</v>
      </c>
      <c r="D4289" t="s">
        <v>106</v>
      </c>
      <c r="E4289" s="1">
        <v>45727</v>
      </c>
      <c r="F4289" t="s">
        <v>4362</v>
      </c>
      <c r="G4289" t="s">
        <v>1565</v>
      </c>
      <c r="H4289" t="s">
        <v>402</v>
      </c>
      <c r="I4289" t="s">
        <v>204</v>
      </c>
      <c r="J4289" s="1">
        <v>46386</v>
      </c>
      <c r="K4289" t="s">
        <v>762</v>
      </c>
      <c r="L4289">
        <v>672</v>
      </c>
      <c r="M4289">
        <v>672</v>
      </c>
      <c r="N4289" t="s">
        <v>710</v>
      </c>
      <c r="O4289" t="s">
        <v>1037</v>
      </c>
      <c r="P4289" t="s">
        <v>4779</v>
      </c>
      <c r="Q4289" t="s">
        <v>4852</v>
      </c>
      <c r="R4289" t="s">
        <v>4772</v>
      </c>
    </row>
    <row r="4290" spans="1:18" x14ac:dyDescent="0.3">
      <c r="A4290">
        <v>610414</v>
      </c>
      <c r="B4290" t="s">
        <v>4874</v>
      </c>
      <c r="C4290" t="s">
        <v>491</v>
      </c>
      <c r="D4290" t="s">
        <v>33</v>
      </c>
      <c r="E4290" s="1">
        <v>45727</v>
      </c>
      <c r="F4290" t="s">
        <v>4389</v>
      </c>
      <c r="G4290" t="s">
        <v>1533</v>
      </c>
      <c r="H4290" t="s">
        <v>490</v>
      </c>
      <c r="I4290" t="s">
        <v>204</v>
      </c>
      <c r="J4290" s="1">
        <v>54878</v>
      </c>
      <c r="K4290" t="s">
        <v>762</v>
      </c>
      <c r="L4290">
        <v>48.75</v>
      </c>
      <c r="M4290">
        <v>48.75</v>
      </c>
      <c r="N4290" t="s">
        <v>710</v>
      </c>
      <c r="O4290" t="s">
        <v>4845</v>
      </c>
      <c r="P4290" t="s">
        <v>4776</v>
      </c>
      <c r="Q4290" t="s">
        <v>4845</v>
      </c>
      <c r="R4290" t="s">
        <v>4771</v>
      </c>
    </row>
    <row r="4291" spans="1:18" x14ac:dyDescent="0.3">
      <c r="A4291">
        <v>278726</v>
      </c>
      <c r="B4291" t="s">
        <v>4874</v>
      </c>
      <c r="C4291" t="s">
        <v>491</v>
      </c>
      <c r="D4291" t="s">
        <v>33</v>
      </c>
      <c r="E4291" s="1">
        <v>45727</v>
      </c>
      <c r="F4291" t="s">
        <v>4407</v>
      </c>
      <c r="G4291" t="s">
        <v>1533</v>
      </c>
      <c r="H4291" t="s">
        <v>490</v>
      </c>
      <c r="I4291" t="s">
        <v>204</v>
      </c>
      <c r="J4291" s="1">
        <v>54878</v>
      </c>
      <c r="K4291" t="s">
        <v>762</v>
      </c>
      <c r="L4291">
        <v>106.26</v>
      </c>
      <c r="M4291">
        <v>106.26</v>
      </c>
      <c r="N4291" t="s">
        <v>710</v>
      </c>
      <c r="O4291" t="s">
        <v>4845</v>
      </c>
      <c r="P4291" t="s">
        <v>4776</v>
      </c>
      <c r="Q4291" t="s">
        <v>4845</v>
      </c>
      <c r="R4291" t="s">
        <v>4771</v>
      </c>
    </row>
    <row r="4292" spans="1:18" x14ac:dyDescent="0.3">
      <c r="A4292">
        <v>2207152</v>
      </c>
      <c r="B4292" t="s">
        <v>4874</v>
      </c>
      <c r="C4292" t="s">
        <v>403</v>
      </c>
      <c r="D4292" t="s">
        <v>106</v>
      </c>
      <c r="E4292" s="1">
        <v>45727</v>
      </c>
      <c r="F4292" t="s">
        <v>4362</v>
      </c>
      <c r="G4292" t="s">
        <v>1563</v>
      </c>
      <c r="H4292" t="s">
        <v>402</v>
      </c>
      <c r="I4292" t="s">
        <v>204</v>
      </c>
      <c r="J4292" s="1">
        <v>46386</v>
      </c>
      <c r="K4292" t="s">
        <v>762</v>
      </c>
      <c r="L4292">
        <v>20857.87</v>
      </c>
      <c r="M4292">
        <v>20857.87</v>
      </c>
      <c r="N4292" t="s">
        <v>710</v>
      </c>
      <c r="O4292" t="s">
        <v>1037</v>
      </c>
      <c r="P4292" t="s">
        <v>4779</v>
      </c>
      <c r="Q4292" t="s">
        <v>4852</v>
      </c>
      <c r="R4292" t="s">
        <v>4772</v>
      </c>
    </row>
    <row r="4293" spans="1:18" x14ac:dyDescent="0.3">
      <c r="A4293">
        <v>7009</v>
      </c>
      <c r="B4293" t="s">
        <v>4874</v>
      </c>
      <c r="C4293" t="s">
        <v>387</v>
      </c>
      <c r="D4293" t="s">
        <v>42</v>
      </c>
      <c r="E4293" s="1">
        <v>45727</v>
      </c>
      <c r="F4293" t="s">
        <v>4345</v>
      </c>
      <c r="G4293" t="s">
        <v>1514</v>
      </c>
      <c r="H4293" t="s">
        <v>386</v>
      </c>
      <c r="I4293" t="s">
        <v>204</v>
      </c>
      <c r="J4293" s="1">
        <v>54878</v>
      </c>
      <c r="K4293" t="s">
        <v>762</v>
      </c>
      <c r="L4293">
        <v>1870</v>
      </c>
      <c r="M4293">
        <v>1870</v>
      </c>
      <c r="N4293" t="s">
        <v>719</v>
      </c>
      <c r="O4293" t="s">
        <v>4833</v>
      </c>
      <c r="P4293" t="s">
        <v>4776</v>
      </c>
      <c r="Q4293" t="s">
        <v>4852</v>
      </c>
      <c r="R4293" t="s">
        <v>4773</v>
      </c>
    </row>
    <row r="4294" spans="1:18" x14ac:dyDescent="0.3">
      <c r="A4294">
        <v>294033</v>
      </c>
      <c r="B4294" t="s">
        <v>4874</v>
      </c>
      <c r="C4294" t="s">
        <v>426</v>
      </c>
      <c r="D4294" t="s">
        <v>54</v>
      </c>
      <c r="E4294" s="1">
        <v>45727</v>
      </c>
      <c r="F4294" t="s">
        <v>4409</v>
      </c>
      <c r="G4294" t="s">
        <v>1541</v>
      </c>
      <c r="H4294" t="s">
        <v>425</v>
      </c>
      <c r="I4294" t="s">
        <v>204</v>
      </c>
      <c r="J4294" s="1">
        <v>46752</v>
      </c>
      <c r="K4294" t="s">
        <v>785</v>
      </c>
      <c r="L4294">
        <v>1</v>
      </c>
      <c r="M4294">
        <v>96580.26</v>
      </c>
      <c r="N4294" t="s">
        <v>710</v>
      </c>
      <c r="O4294" t="s">
        <v>1038</v>
      </c>
      <c r="P4294" t="s">
        <v>4787</v>
      </c>
      <c r="Q4294" t="s">
        <v>4858</v>
      </c>
      <c r="R4294" t="s">
        <v>4771</v>
      </c>
    </row>
    <row r="4295" spans="1:18" x14ac:dyDescent="0.3">
      <c r="A4295">
        <v>102650</v>
      </c>
      <c r="B4295" t="s">
        <v>1034</v>
      </c>
      <c r="C4295" t="s">
        <v>495</v>
      </c>
      <c r="D4295" t="s">
        <v>44</v>
      </c>
      <c r="E4295" s="1">
        <v>45727</v>
      </c>
      <c r="F4295" t="s">
        <v>4303</v>
      </c>
      <c r="G4295" t="s">
        <v>1530</v>
      </c>
      <c r="H4295" t="s">
        <v>494</v>
      </c>
      <c r="I4295" t="s">
        <v>204</v>
      </c>
      <c r="J4295" s="1">
        <v>54878</v>
      </c>
      <c r="K4295" t="s">
        <v>717</v>
      </c>
      <c r="L4295">
        <v>1432.83</v>
      </c>
      <c r="M4295">
        <v>1432.83</v>
      </c>
      <c r="N4295" t="s">
        <v>710</v>
      </c>
      <c r="O4295" t="s">
        <v>4833</v>
      </c>
      <c r="P4295" t="s">
        <v>4776</v>
      </c>
      <c r="Q4295" t="s">
        <v>4852</v>
      </c>
      <c r="R4295" t="s">
        <v>4773</v>
      </c>
    </row>
    <row r="4296" spans="1:18" x14ac:dyDescent="0.3">
      <c r="A4296">
        <v>114</v>
      </c>
      <c r="B4296" t="s">
        <v>4874</v>
      </c>
      <c r="C4296" t="s">
        <v>607</v>
      </c>
      <c r="D4296" t="s">
        <v>81</v>
      </c>
      <c r="E4296" s="1">
        <v>45727</v>
      </c>
      <c r="F4296" t="s">
        <v>4357</v>
      </c>
      <c r="G4296" t="s">
        <v>1503</v>
      </c>
      <c r="H4296" t="s">
        <v>606</v>
      </c>
      <c r="I4296" t="s">
        <v>204</v>
      </c>
      <c r="J4296" s="1">
        <v>46387</v>
      </c>
      <c r="K4296" t="s">
        <v>720</v>
      </c>
      <c r="L4296">
        <v>1</v>
      </c>
      <c r="M4296">
        <v>32958.400000000001</v>
      </c>
      <c r="N4296" t="s">
        <v>710</v>
      </c>
      <c r="O4296" t="s">
        <v>1038</v>
      </c>
      <c r="P4296" t="s">
        <v>4777</v>
      </c>
      <c r="Q4296" t="s">
        <v>4858</v>
      </c>
      <c r="R4296" t="s">
        <v>4773</v>
      </c>
    </row>
    <row r="4297" spans="1:18" x14ac:dyDescent="0.3">
      <c r="A4297">
        <v>98258</v>
      </c>
      <c r="B4297" t="s">
        <v>1034</v>
      </c>
      <c r="C4297" t="s">
        <v>502</v>
      </c>
      <c r="D4297" t="s">
        <v>2</v>
      </c>
      <c r="E4297" s="1">
        <v>45727</v>
      </c>
      <c r="F4297" t="s">
        <v>4303</v>
      </c>
      <c r="G4297" t="s">
        <v>1528</v>
      </c>
      <c r="H4297" t="s">
        <v>501</v>
      </c>
      <c r="I4297" t="s">
        <v>204</v>
      </c>
      <c r="J4297" s="1">
        <v>54878</v>
      </c>
      <c r="K4297" t="s">
        <v>717</v>
      </c>
      <c r="L4297">
        <v>1884.23</v>
      </c>
      <c r="M4297">
        <v>1884.23</v>
      </c>
      <c r="N4297" t="s">
        <v>710</v>
      </c>
      <c r="O4297" t="s">
        <v>4833</v>
      </c>
      <c r="P4297" t="s">
        <v>4776</v>
      </c>
      <c r="Q4297" t="s">
        <v>4852</v>
      </c>
      <c r="R4297" t="s">
        <v>4774</v>
      </c>
    </row>
    <row r="4298" spans="1:18" x14ac:dyDescent="0.3">
      <c r="A4298">
        <v>109327</v>
      </c>
      <c r="B4298" t="s">
        <v>1034</v>
      </c>
      <c r="C4298" t="s">
        <v>497</v>
      </c>
      <c r="D4298" t="s">
        <v>58</v>
      </c>
      <c r="E4298" s="1">
        <v>45727</v>
      </c>
      <c r="F4298" t="s">
        <v>4354</v>
      </c>
      <c r="G4298" t="s">
        <v>1553</v>
      </c>
      <c r="H4298" t="s">
        <v>496</v>
      </c>
      <c r="I4298" t="s">
        <v>204</v>
      </c>
      <c r="J4298" s="1">
        <v>46265</v>
      </c>
      <c r="K4298" t="s">
        <v>717</v>
      </c>
      <c r="L4298">
        <v>4970.59</v>
      </c>
      <c r="M4298">
        <v>4970.59</v>
      </c>
      <c r="N4298" t="s">
        <v>710</v>
      </c>
      <c r="O4298" t="s">
        <v>4833</v>
      </c>
      <c r="P4298" t="s">
        <v>4776</v>
      </c>
      <c r="Q4298" t="s">
        <v>4852</v>
      </c>
      <c r="R4298" t="s">
        <v>4773</v>
      </c>
    </row>
    <row r="4299" spans="1:18" x14ac:dyDescent="0.3">
      <c r="A4299">
        <v>3229</v>
      </c>
      <c r="B4299" t="s">
        <v>4875</v>
      </c>
      <c r="C4299" t="s">
        <v>319</v>
      </c>
      <c r="D4299" t="s">
        <v>36</v>
      </c>
      <c r="E4299" s="1">
        <v>45727</v>
      </c>
      <c r="F4299" t="s">
        <v>4298</v>
      </c>
      <c r="G4299" t="s">
        <v>1564</v>
      </c>
      <c r="H4299" t="s">
        <v>336</v>
      </c>
      <c r="I4299" t="s">
        <v>204</v>
      </c>
      <c r="J4299" s="1">
        <v>46075</v>
      </c>
      <c r="K4299" t="s">
        <v>748</v>
      </c>
      <c r="L4299">
        <v>3</v>
      </c>
      <c r="M4299">
        <v>593.01</v>
      </c>
      <c r="N4299" t="s">
        <v>710</v>
      </c>
      <c r="O4299" t="s">
        <v>1040</v>
      </c>
      <c r="P4299" t="s">
        <v>4784</v>
      </c>
      <c r="Q4299" t="s">
        <v>4856</v>
      </c>
      <c r="R4299" t="s">
        <v>4771</v>
      </c>
    </row>
    <row r="4300" spans="1:18" x14ac:dyDescent="0.3">
      <c r="A4300">
        <v>337375</v>
      </c>
      <c r="B4300" t="s">
        <v>4875</v>
      </c>
      <c r="C4300" t="s">
        <v>435</v>
      </c>
      <c r="D4300" t="s">
        <v>30</v>
      </c>
      <c r="E4300" s="1">
        <v>45727</v>
      </c>
      <c r="F4300" t="s">
        <v>4351</v>
      </c>
      <c r="G4300" t="s">
        <v>1543</v>
      </c>
      <c r="H4300" t="s">
        <v>434</v>
      </c>
      <c r="I4300" t="s">
        <v>204</v>
      </c>
      <c r="J4300" s="1">
        <v>46752</v>
      </c>
      <c r="K4300" t="s">
        <v>785</v>
      </c>
      <c r="L4300">
        <v>1</v>
      </c>
      <c r="M4300">
        <v>62578.45</v>
      </c>
      <c r="N4300" t="s">
        <v>998</v>
      </c>
      <c r="O4300" t="s">
        <v>1038</v>
      </c>
      <c r="P4300" t="s">
        <v>4787</v>
      </c>
      <c r="Q4300" t="s">
        <v>4858</v>
      </c>
      <c r="R4300" t="s">
        <v>4771</v>
      </c>
    </row>
    <row r="4301" spans="1:18" x14ac:dyDescent="0.3">
      <c r="A4301">
        <v>2184</v>
      </c>
      <c r="B4301" t="s">
        <v>4875</v>
      </c>
      <c r="C4301" t="s">
        <v>541</v>
      </c>
      <c r="D4301" t="s">
        <v>173</v>
      </c>
      <c r="E4301" s="1">
        <v>45727</v>
      </c>
      <c r="F4301" t="s">
        <v>4326</v>
      </c>
      <c r="G4301" t="s">
        <v>1486</v>
      </c>
      <c r="H4301" t="s">
        <v>542</v>
      </c>
      <c r="I4301" t="s">
        <v>204</v>
      </c>
      <c r="J4301" s="1">
        <v>46537</v>
      </c>
      <c r="K4301" t="s">
        <v>748</v>
      </c>
      <c r="L4301">
        <v>1</v>
      </c>
      <c r="M4301">
        <v>2337.9499999999998</v>
      </c>
      <c r="N4301" t="s">
        <v>814</v>
      </c>
      <c r="O4301" t="s">
        <v>1040</v>
      </c>
      <c r="P4301" t="s">
        <v>4791</v>
      </c>
      <c r="Q4301" t="s">
        <v>4856</v>
      </c>
      <c r="R4301" t="s">
        <v>4773</v>
      </c>
    </row>
    <row r="4302" spans="1:18" x14ac:dyDescent="0.3">
      <c r="A4302">
        <v>188</v>
      </c>
      <c r="B4302" t="s">
        <v>4874</v>
      </c>
      <c r="C4302" t="s">
        <v>280</v>
      </c>
      <c r="D4302" t="s">
        <v>133</v>
      </c>
      <c r="E4302" s="1">
        <v>45727</v>
      </c>
      <c r="F4302" t="s">
        <v>4294</v>
      </c>
      <c r="G4302" t="s">
        <v>1538</v>
      </c>
      <c r="H4302" t="s">
        <v>279</v>
      </c>
      <c r="I4302" t="s">
        <v>209</v>
      </c>
      <c r="J4302" s="1">
        <v>54878</v>
      </c>
      <c r="K4302" t="s">
        <v>785</v>
      </c>
      <c r="L4302">
        <v>1</v>
      </c>
      <c r="M4302">
        <v>19194</v>
      </c>
      <c r="N4302" t="s">
        <v>710</v>
      </c>
      <c r="O4302" t="s">
        <v>1037</v>
      </c>
      <c r="P4302" t="s">
        <v>4776</v>
      </c>
      <c r="Q4302" t="s">
        <v>4852</v>
      </c>
    </row>
    <row r="4303" spans="1:18" x14ac:dyDescent="0.3">
      <c r="A4303">
        <v>277721</v>
      </c>
      <c r="B4303" t="s">
        <v>1034</v>
      </c>
      <c r="C4303" t="s">
        <v>500</v>
      </c>
      <c r="D4303" t="s">
        <v>16</v>
      </c>
      <c r="E4303" s="1">
        <v>45727</v>
      </c>
      <c r="F4303" t="s">
        <v>4306</v>
      </c>
      <c r="G4303" t="s">
        <v>1535</v>
      </c>
      <c r="H4303" t="s">
        <v>499</v>
      </c>
      <c r="I4303" t="s">
        <v>204</v>
      </c>
      <c r="J4303" s="1">
        <v>54878</v>
      </c>
      <c r="K4303" t="s">
        <v>717</v>
      </c>
      <c r="L4303">
        <v>1584.45</v>
      </c>
      <c r="M4303">
        <v>1584.45</v>
      </c>
      <c r="N4303" t="s">
        <v>710</v>
      </c>
      <c r="O4303" t="s">
        <v>4833</v>
      </c>
      <c r="P4303" t="s">
        <v>4786</v>
      </c>
      <c r="Q4303" t="s">
        <v>4852</v>
      </c>
      <c r="R4303" t="s">
        <v>4773</v>
      </c>
    </row>
    <row r="4304" spans="1:18" x14ac:dyDescent="0.3">
      <c r="A4304">
        <v>86376</v>
      </c>
      <c r="B4304" t="s">
        <v>1034</v>
      </c>
      <c r="C4304" t="s">
        <v>452</v>
      </c>
      <c r="D4304" t="s">
        <v>171</v>
      </c>
      <c r="E4304" s="1">
        <v>45727</v>
      </c>
      <c r="F4304" t="s">
        <v>4319</v>
      </c>
      <c r="G4304" t="s">
        <v>1507</v>
      </c>
      <c r="H4304" t="s">
        <v>512</v>
      </c>
      <c r="I4304" t="s">
        <v>209</v>
      </c>
      <c r="J4304" s="1">
        <v>45138</v>
      </c>
      <c r="K4304" t="s">
        <v>762</v>
      </c>
      <c r="L4304">
        <v>234</v>
      </c>
      <c r="M4304">
        <v>233.3</v>
      </c>
      <c r="N4304" t="s">
        <v>710</v>
      </c>
      <c r="O4304" t="s">
        <v>4833</v>
      </c>
      <c r="P4304" t="s">
        <v>4802</v>
      </c>
      <c r="Q4304" t="s">
        <v>4852</v>
      </c>
      <c r="R4304" t="s">
        <v>4771</v>
      </c>
    </row>
    <row r="4305" spans="1:18" x14ac:dyDescent="0.3">
      <c r="A4305">
        <v>277720</v>
      </c>
      <c r="B4305" t="s">
        <v>1034</v>
      </c>
      <c r="C4305" t="s">
        <v>500</v>
      </c>
      <c r="D4305" t="s">
        <v>16</v>
      </c>
      <c r="E4305" s="1">
        <v>45727</v>
      </c>
      <c r="F4305" t="s">
        <v>4306</v>
      </c>
      <c r="G4305" t="s">
        <v>1535</v>
      </c>
      <c r="H4305" t="s">
        <v>499</v>
      </c>
      <c r="I4305" t="s">
        <v>204</v>
      </c>
      <c r="J4305" s="1">
        <v>54878</v>
      </c>
      <c r="K4305" t="s">
        <v>717</v>
      </c>
      <c r="L4305">
        <v>1584.45</v>
      </c>
      <c r="M4305">
        <v>1584.45</v>
      </c>
      <c r="N4305" t="s">
        <v>710</v>
      </c>
      <c r="O4305" t="s">
        <v>4833</v>
      </c>
      <c r="P4305" t="s">
        <v>4786</v>
      </c>
      <c r="Q4305" t="s">
        <v>4852</v>
      </c>
      <c r="R4305" t="s">
        <v>4773</v>
      </c>
    </row>
    <row r="4306" spans="1:18" x14ac:dyDescent="0.3">
      <c r="A4306">
        <v>4533</v>
      </c>
      <c r="B4306" t="s">
        <v>1034</v>
      </c>
      <c r="C4306" t="s">
        <v>319</v>
      </c>
      <c r="D4306" t="s">
        <v>36</v>
      </c>
      <c r="E4306" s="1">
        <v>45727</v>
      </c>
      <c r="F4306" t="s">
        <v>4298</v>
      </c>
      <c r="G4306" t="s">
        <v>1558</v>
      </c>
      <c r="H4306" t="s">
        <v>318</v>
      </c>
      <c r="I4306" t="s">
        <v>204</v>
      </c>
      <c r="J4306" s="1">
        <v>46214</v>
      </c>
      <c r="K4306" t="s">
        <v>711</v>
      </c>
      <c r="L4306">
        <v>2054</v>
      </c>
      <c r="M4306">
        <v>2053.86</v>
      </c>
      <c r="N4306" t="s">
        <v>710</v>
      </c>
      <c r="O4306" t="s">
        <v>1036</v>
      </c>
      <c r="P4306" t="s">
        <v>4784</v>
      </c>
      <c r="Q4306" t="s">
        <v>4901</v>
      </c>
      <c r="R4306" t="s">
        <v>4771</v>
      </c>
    </row>
    <row r="4307" spans="1:18" x14ac:dyDescent="0.3">
      <c r="A4307">
        <v>337348</v>
      </c>
      <c r="B4307" t="s">
        <v>1034</v>
      </c>
      <c r="C4307" t="s">
        <v>435</v>
      </c>
      <c r="D4307" t="s">
        <v>30</v>
      </c>
      <c r="E4307" s="1">
        <v>45727</v>
      </c>
      <c r="F4307" t="s">
        <v>4351</v>
      </c>
      <c r="G4307" t="s">
        <v>1544</v>
      </c>
      <c r="H4307" t="s">
        <v>434</v>
      </c>
      <c r="I4307" t="s">
        <v>204</v>
      </c>
      <c r="J4307" s="1">
        <v>46752</v>
      </c>
      <c r="K4307" t="s">
        <v>785</v>
      </c>
      <c r="L4307">
        <v>1</v>
      </c>
      <c r="M4307">
        <v>164173.12</v>
      </c>
      <c r="N4307" t="s">
        <v>998</v>
      </c>
      <c r="O4307" t="s">
        <v>1038</v>
      </c>
      <c r="P4307" t="s">
        <v>4787</v>
      </c>
      <c r="Q4307" t="s">
        <v>4858</v>
      </c>
      <c r="R4307" t="s">
        <v>4771</v>
      </c>
    </row>
    <row r="4308" spans="1:18" x14ac:dyDescent="0.3">
      <c r="A4308">
        <v>3447</v>
      </c>
      <c r="B4308" t="s">
        <v>4874</v>
      </c>
      <c r="C4308" t="s">
        <v>444</v>
      </c>
      <c r="D4308" t="s">
        <v>21</v>
      </c>
      <c r="E4308" s="1">
        <v>45727</v>
      </c>
      <c r="F4308" t="s">
        <v>4380</v>
      </c>
      <c r="G4308" t="s">
        <v>1556</v>
      </c>
      <c r="H4308" t="s">
        <v>443</v>
      </c>
      <c r="I4308" t="s">
        <v>209</v>
      </c>
      <c r="J4308" s="1">
        <v>54878</v>
      </c>
      <c r="K4308" t="s">
        <v>762</v>
      </c>
      <c r="L4308">
        <v>1</v>
      </c>
      <c r="M4308">
        <v>320</v>
      </c>
      <c r="N4308" t="s">
        <v>710</v>
      </c>
      <c r="O4308" t="s">
        <v>1037</v>
      </c>
      <c r="P4308" t="s">
        <v>4808</v>
      </c>
      <c r="Q4308" t="s">
        <v>4852</v>
      </c>
      <c r="R4308" t="s">
        <v>4772</v>
      </c>
    </row>
    <row r="4309" spans="1:18" x14ac:dyDescent="0.3">
      <c r="A4309">
        <v>202526</v>
      </c>
      <c r="B4309" t="s">
        <v>1034</v>
      </c>
      <c r="C4309" t="s">
        <v>507</v>
      </c>
      <c r="D4309" t="s">
        <v>18</v>
      </c>
      <c r="E4309" s="1">
        <v>45726</v>
      </c>
      <c r="F4309" t="s">
        <v>4322</v>
      </c>
      <c r="G4309" t="s">
        <v>1521</v>
      </c>
      <c r="H4309" t="s">
        <v>506</v>
      </c>
      <c r="I4309" t="s">
        <v>204</v>
      </c>
      <c r="J4309" s="1">
        <v>46741</v>
      </c>
      <c r="K4309" t="s">
        <v>711</v>
      </c>
      <c r="L4309">
        <v>40</v>
      </c>
      <c r="M4309">
        <v>14000</v>
      </c>
      <c r="N4309" t="s">
        <v>710</v>
      </c>
      <c r="O4309" t="s">
        <v>1036</v>
      </c>
      <c r="P4309" t="s">
        <v>4777</v>
      </c>
      <c r="Q4309" t="s">
        <v>4901</v>
      </c>
      <c r="R4309" t="s">
        <v>4773</v>
      </c>
    </row>
    <row r="4310" spans="1:18" x14ac:dyDescent="0.3">
      <c r="A4310">
        <v>719856</v>
      </c>
      <c r="B4310" t="s">
        <v>1034</v>
      </c>
      <c r="C4310" t="s">
        <v>609</v>
      </c>
      <c r="D4310" t="s">
        <v>182</v>
      </c>
      <c r="E4310" s="1">
        <v>45726</v>
      </c>
      <c r="F4310" t="s">
        <v>4336</v>
      </c>
      <c r="G4310" t="s">
        <v>1516</v>
      </c>
      <c r="H4310" t="s">
        <v>608</v>
      </c>
      <c r="I4310" t="s">
        <v>204</v>
      </c>
      <c r="J4310" s="1">
        <v>46281</v>
      </c>
      <c r="K4310" t="s">
        <v>717</v>
      </c>
      <c r="L4310">
        <v>27907.95</v>
      </c>
      <c r="M4310">
        <v>27907.95</v>
      </c>
      <c r="N4310" t="s">
        <v>719</v>
      </c>
      <c r="O4310" t="s">
        <v>1037</v>
      </c>
      <c r="P4310" t="s">
        <v>4794</v>
      </c>
      <c r="Q4310" t="s">
        <v>4852</v>
      </c>
      <c r="R4310" t="s">
        <v>4772</v>
      </c>
    </row>
    <row r="4311" spans="1:18" x14ac:dyDescent="0.3">
      <c r="A4311">
        <v>719855</v>
      </c>
      <c r="B4311" t="s">
        <v>4875</v>
      </c>
      <c r="C4311" t="s">
        <v>609</v>
      </c>
      <c r="D4311" t="s">
        <v>182</v>
      </c>
      <c r="E4311" s="1">
        <v>45726</v>
      </c>
      <c r="F4311" t="s">
        <v>4336</v>
      </c>
      <c r="G4311" t="s">
        <v>1515</v>
      </c>
      <c r="H4311" t="s">
        <v>610</v>
      </c>
      <c r="I4311" t="s">
        <v>204</v>
      </c>
      <c r="J4311" s="1">
        <v>46282</v>
      </c>
      <c r="K4311" t="s">
        <v>768</v>
      </c>
      <c r="L4311">
        <v>4543.45</v>
      </c>
      <c r="M4311">
        <v>4543.45</v>
      </c>
      <c r="N4311" t="s">
        <v>710</v>
      </c>
      <c r="O4311" t="s">
        <v>1037</v>
      </c>
      <c r="P4311" t="s">
        <v>4794</v>
      </c>
      <c r="Q4311" t="s">
        <v>4852</v>
      </c>
      <c r="R4311" t="s">
        <v>4772</v>
      </c>
    </row>
    <row r="4312" spans="1:18" x14ac:dyDescent="0.3">
      <c r="A4312">
        <v>1933</v>
      </c>
      <c r="B4312" t="s">
        <v>4875</v>
      </c>
      <c r="C4312" t="s">
        <v>616</v>
      </c>
      <c r="D4312" t="s">
        <v>152</v>
      </c>
      <c r="E4312" s="1">
        <v>45726</v>
      </c>
      <c r="F4312" t="s">
        <v>4338</v>
      </c>
      <c r="G4312" t="s">
        <v>1459</v>
      </c>
      <c r="H4312" t="s">
        <v>622</v>
      </c>
      <c r="I4312" t="s">
        <v>204</v>
      </c>
      <c r="J4312" s="1">
        <v>46351</v>
      </c>
      <c r="K4312" t="s">
        <v>748</v>
      </c>
      <c r="L4312">
        <v>1</v>
      </c>
      <c r="M4312">
        <v>28600.99</v>
      </c>
      <c r="N4312" t="s">
        <v>710</v>
      </c>
      <c r="O4312" t="s">
        <v>4904</v>
      </c>
      <c r="P4312" t="s">
        <v>4796</v>
      </c>
      <c r="Q4312" t="s">
        <v>4856</v>
      </c>
      <c r="R4312" t="s">
        <v>4772</v>
      </c>
    </row>
    <row r="4313" spans="1:18" x14ac:dyDescent="0.3">
      <c r="A4313">
        <v>35</v>
      </c>
      <c r="B4313" t="s">
        <v>4875</v>
      </c>
      <c r="C4313" t="s">
        <v>561</v>
      </c>
      <c r="D4313" t="s">
        <v>121</v>
      </c>
      <c r="E4313" s="1">
        <v>45726</v>
      </c>
      <c r="F4313" t="s">
        <v>4390</v>
      </c>
      <c r="G4313" t="s">
        <v>1463</v>
      </c>
      <c r="H4313" t="s">
        <v>560</v>
      </c>
      <c r="I4313" t="s">
        <v>204</v>
      </c>
      <c r="J4313" s="1">
        <v>46732</v>
      </c>
      <c r="K4313" t="s">
        <v>748</v>
      </c>
      <c r="L4313">
        <v>6700</v>
      </c>
      <c r="M4313">
        <v>6700</v>
      </c>
      <c r="N4313" t="s">
        <v>818</v>
      </c>
      <c r="O4313" t="s">
        <v>1040</v>
      </c>
      <c r="P4313" t="s">
        <v>4777</v>
      </c>
      <c r="Q4313" t="s">
        <v>4856</v>
      </c>
      <c r="R4313" t="s">
        <v>4771</v>
      </c>
    </row>
    <row r="4314" spans="1:18" x14ac:dyDescent="0.3">
      <c r="A4314">
        <v>1202</v>
      </c>
      <c r="B4314" t="s">
        <v>4874</v>
      </c>
      <c r="C4314" t="s">
        <v>305</v>
      </c>
      <c r="D4314" t="s">
        <v>59</v>
      </c>
      <c r="E4314" s="1">
        <v>45726</v>
      </c>
      <c r="F4314" t="s">
        <v>4359</v>
      </c>
      <c r="G4314" t="s">
        <v>1525</v>
      </c>
      <c r="H4314" t="s">
        <v>304</v>
      </c>
      <c r="I4314" t="s">
        <v>204</v>
      </c>
      <c r="J4314" s="1">
        <v>46481</v>
      </c>
      <c r="K4314" t="s">
        <v>720</v>
      </c>
      <c r="L4314">
        <v>1</v>
      </c>
      <c r="M4314">
        <v>410</v>
      </c>
      <c r="N4314" t="s">
        <v>809</v>
      </c>
      <c r="O4314" t="s">
        <v>1038</v>
      </c>
      <c r="P4314" t="s">
        <v>4783</v>
      </c>
      <c r="Q4314" t="s">
        <v>4858</v>
      </c>
      <c r="R4314" t="s">
        <v>4771</v>
      </c>
    </row>
    <row r="4315" spans="1:18" x14ac:dyDescent="0.3">
      <c r="A4315">
        <v>735</v>
      </c>
      <c r="B4315" t="s">
        <v>1034</v>
      </c>
      <c r="C4315" t="s">
        <v>603</v>
      </c>
      <c r="D4315" t="s">
        <v>69</v>
      </c>
      <c r="E4315" s="1">
        <v>45726</v>
      </c>
      <c r="F4315" t="s">
        <v>4345</v>
      </c>
      <c r="G4315" t="s">
        <v>1049</v>
      </c>
      <c r="H4315" t="s">
        <v>602</v>
      </c>
      <c r="I4315" t="s">
        <v>209</v>
      </c>
      <c r="J4315" s="1">
        <v>46276</v>
      </c>
      <c r="K4315" t="s">
        <v>720</v>
      </c>
      <c r="L4315">
        <v>1</v>
      </c>
      <c r="M4315">
        <v>2918.6</v>
      </c>
      <c r="N4315" t="s">
        <v>954</v>
      </c>
      <c r="O4315" t="s">
        <v>4834</v>
      </c>
      <c r="P4315" t="s">
        <v>952</v>
      </c>
      <c r="Q4315" t="s">
        <v>4901</v>
      </c>
      <c r="R4315" t="s">
        <v>4771</v>
      </c>
    </row>
    <row r="4316" spans="1:18" x14ac:dyDescent="0.3">
      <c r="A4316">
        <v>28512</v>
      </c>
      <c r="B4316" t="s">
        <v>4874</v>
      </c>
      <c r="C4316" t="s">
        <v>296</v>
      </c>
      <c r="D4316" t="s">
        <v>93</v>
      </c>
      <c r="E4316" s="1">
        <v>45726</v>
      </c>
      <c r="F4316" t="s">
        <v>4362</v>
      </c>
      <c r="G4316" t="s">
        <v>1536</v>
      </c>
      <c r="H4316" t="s">
        <v>295</v>
      </c>
      <c r="I4316" t="s">
        <v>209</v>
      </c>
      <c r="J4316" s="1">
        <v>54878</v>
      </c>
      <c r="K4316" t="s">
        <v>720</v>
      </c>
      <c r="L4316">
        <v>25</v>
      </c>
      <c r="M4316">
        <v>25</v>
      </c>
      <c r="N4316" t="s">
        <v>710</v>
      </c>
      <c r="Q4316" t="s">
        <v>4845</v>
      </c>
      <c r="R4316" t="s">
        <v>4772</v>
      </c>
    </row>
    <row r="4317" spans="1:18" x14ac:dyDescent="0.3">
      <c r="A4317">
        <v>5069</v>
      </c>
      <c r="B4317" t="s">
        <v>1034</v>
      </c>
      <c r="C4317" t="s">
        <v>399</v>
      </c>
      <c r="D4317" t="s">
        <v>97</v>
      </c>
      <c r="E4317" s="1">
        <v>45726</v>
      </c>
      <c r="F4317" t="s">
        <v>4301</v>
      </c>
      <c r="G4317" t="s">
        <v>1050</v>
      </c>
      <c r="H4317" t="s">
        <v>398</v>
      </c>
      <c r="I4317" t="s">
        <v>204</v>
      </c>
      <c r="J4317" s="1">
        <v>46274</v>
      </c>
      <c r="K4317" t="s">
        <v>717</v>
      </c>
      <c r="L4317">
        <v>22921.53</v>
      </c>
      <c r="M4317">
        <v>22921.51</v>
      </c>
      <c r="N4317" t="s">
        <v>710</v>
      </c>
      <c r="O4317" t="s">
        <v>4902</v>
      </c>
      <c r="P4317" t="s">
        <v>4776</v>
      </c>
      <c r="Q4317" t="s">
        <v>4852</v>
      </c>
      <c r="R4317" t="s">
        <v>4773</v>
      </c>
    </row>
    <row r="4318" spans="1:18" x14ac:dyDescent="0.3">
      <c r="A4318">
        <v>36</v>
      </c>
      <c r="B4318" t="s">
        <v>4876</v>
      </c>
      <c r="C4318" t="s">
        <v>476</v>
      </c>
      <c r="D4318" t="s">
        <v>195</v>
      </c>
      <c r="E4318" s="1">
        <v>45723</v>
      </c>
      <c r="F4318" t="s">
        <v>4401</v>
      </c>
      <c r="G4318" t="s">
        <v>1523</v>
      </c>
      <c r="H4318" t="s">
        <v>475</v>
      </c>
      <c r="I4318" t="s">
        <v>204</v>
      </c>
      <c r="J4318" s="1">
        <v>54878</v>
      </c>
      <c r="K4318" t="s">
        <v>839</v>
      </c>
      <c r="L4318">
        <v>39330</v>
      </c>
      <c r="M4318">
        <v>39330</v>
      </c>
      <c r="N4318" t="s">
        <v>710</v>
      </c>
      <c r="O4318" t="s">
        <v>1042</v>
      </c>
      <c r="P4318" t="s">
        <v>1006</v>
      </c>
      <c r="Q4318" t="s">
        <v>4852</v>
      </c>
      <c r="R4318" t="s">
        <v>4771</v>
      </c>
    </row>
    <row r="4319" spans="1:18" x14ac:dyDescent="0.3">
      <c r="A4319">
        <v>717371</v>
      </c>
      <c r="B4319" t="s">
        <v>4875</v>
      </c>
      <c r="C4319" t="s">
        <v>609</v>
      </c>
      <c r="D4319" t="s">
        <v>182</v>
      </c>
      <c r="E4319" s="1">
        <v>45723</v>
      </c>
      <c r="F4319" t="s">
        <v>4336</v>
      </c>
      <c r="G4319" t="s">
        <v>1515</v>
      </c>
      <c r="H4319" t="s">
        <v>610</v>
      </c>
      <c r="I4319" t="s">
        <v>204</v>
      </c>
      <c r="J4319" s="1">
        <v>46282</v>
      </c>
      <c r="K4319" t="s">
        <v>768</v>
      </c>
      <c r="L4319">
        <v>43256</v>
      </c>
      <c r="M4319">
        <v>43256</v>
      </c>
      <c r="N4319" t="s">
        <v>710</v>
      </c>
      <c r="O4319" t="s">
        <v>1037</v>
      </c>
      <c r="P4319" t="s">
        <v>4794</v>
      </c>
      <c r="Q4319" t="s">
        <v>4852</v>
      </c>
      <c r="R4319" t="s">
        <v>4772</v>
      </c>
    </row>
    <row r="4320" spans="1:18" x14ac:dyDescent="0.3">
      <c r="A4320">
        <v>717372</v>
      </c>
      <c r="B4320" t="s">
        <v>1034</v>
      </c>
      <c r="C4320" t="s">
        <v>609</v>
      </c>
      <c r="D4320" t="s">
        <v>182</v>
      </c>
      <c r="E4320" s="1">
        <v>45723</v>
      </c>
      <c r="F4320" t="s">
        <v>4336</v>
      </c>
      <c r="G4320" t="s">
        <v>1516</v>
      </c>
      <c r="H4320" t="s">
        <v>608</v>
      </c>
      <c r="I4320" t="s">
        <v>204</v>
      </c>
      <c r="J4320" s="1">
        <v>46281</v>
      </c>
      <c r="K4320" t="s">
        <v>717</v>
      </c>
      <c r="L4320">
        <v>178133.77</v>
      </c>
      <c r="M4320">
        <v>178133.77</v>
      </c>
      <c r="N4320" t="s">
        <v>719</v>
      </c>
      <c r="O4320" t="s">
        <v>1037</v>
      </c>
      <c r="P4320" t="s">
        <v>4794</v>
      </c>
      <c r="Q4320" t="s">
        <v>4852</v>
      </c>
      <c r="R4320" t="s">
        <v>4772</v>
      </c>
    </row>
    <row r="4321" spans="1:18" x14ac:dyDescent="0.3">
      <c r="A4321">
        <v>45794</v>
      </c>
      <c r="B4321" t="s">
        <v>1034</v>
      </c>
      <c r="C4321" t="s">
        <v>790</v>
      </c>
      <c r="D4321" t="s">
        <v>19</v>
      </c>
      <c r="E4321" s="1">
        <v>45723</v>
      </c>
      <c r="F4321" t="s">
        <v>4348</v>
      </c>
      <c r="G4321" t="s">
        <v>1520</v>
      </c>
      <c r="H4321" t="s">
        <v>287</v>
      </c>
      <c r="I4321" t="s">
        <v>209</v>
      </c>
      <c r="J4321" s="1">
        <v>54878</v>
      </c>
      <c r="K4321" t="s">
        <v>711</v>
      </c>
      <c r="L4321">
        <v>1</v>
      </c>
      <c r="M4321">
        <v>2950</v>
      </c>
      <c r="N4321" t="s">
        <v>710</v>
      </c>
      <c r="O4321" t="s">
        <v>1037</v>
      </c>
      <c r="P4321" t="s">
        <v>4781</v>
      </c>
      <c r="Q4321" t="s">
        <v>4852</v>
      </c>
      <c r="R4321" t="s">
        <v>4771</v>
      </c>
    </row>
    <row r="4322" spans="1:18" x14ac:dyDescent="0.3">
      <c r="A4322">
        <v>7026</v>
      </c>
      <c r="B4322" t="s">
        <v>4874</v>
      </c>
      <c r="C4322" t="s">
        <v>474</v>
      </c>
      <c r="D4322" t="s">
        <v>100</v>
      </c>
      <c r="E4322" s="1">
        <v>45723</v>
      </c>
      <c r="F4322" t="s">
        <v>4308</v>
      </c>
      <c r="G4322" t="s">
        <v>1470</v>
      </c>
      <c r="H4322" t="s">
        <v>473</v>
      </c>
      <c r="I4322" t="s">
        <v>209</v>
      </c>
      <c r="J4322" s="1">
        <v>54878</v>
      </c>
      <c r="K4322" t="s">
        <v>762</v>
      </c>
      <c r="L4322">
        <v>94</v>
      </c>
      <c r="M4322">
        <v>423.94</v>
      </c>
      <c r="N4322" t="s">
        <v>719</v>
      </c>
      <c r="Q4322" t="s">
        <v>4852</v>
      </c>
      <c r="R4322" t="s">
        <v>4772</v>
      </c>
    </row>
    <row r="4323" spans="1:18" x14ac:dyDescent="0.3">
      <c r="A4323">
        <v>7026</v>
      </c>
      <c r="B4323" t="s">
        <v>4874</v>
      </c>
      <c r="C4323" t="s">
        <v>474</v>
      </c>
      <c r="D4323" t="s">
        <v>100</v>
      </c>
      <c r="E4323" s="1">
        <v>45723</v>
      </c>
      <c r="F4323" t="s">
        <v>4307</v>
      </c>
      <c r="G4323" t="s">
        <v>1470</v>
      </c>
      <c r="H4323" t="s">
        <v>473</v>
      </c>
      <c r="I4323" t="s">
        <v>209</v>
      </c>
      <c r="J4323" s="1">
        <v>54878</v>
      </c>
      <c r="K4323" t="s">
        <v>762</v>
      </c>
      <c r="L4323">
        <v>2428</v>
      </c>
      <c r="M4323">
        <v>34866.080000000002</v>
      </c>
      <c r="N4323" t="s">
        <v>719</v>
      </c>
      <c r="Q4323" t="s">
        <v>4852</v>
      </c>
      <c r="R4323" t="s">
        <v>4772</v>
      </c>
    </row>
    <row r="4324" spans="1:18" x14ac:dyDescent="0.3">
      <c r="A4324">
        <v>2647</v>
      </c>
      <c r="B4324" t="s">
        <v>4874</v>
      </c>
      <c r="C4324" t="s">
        <v>372</v>
      </c>
      <c r="D4324" t="s">
        <v>105</v>
      </c>
      <c r="E4324" s="1">
        <v>45723</v>
      </c>
      <c r="F4324" t="s">
        <v>4408</v>
      </c>
      <c r="G4324" t="s">
        <v>1508</v>
      </c>
      <c r="H4324" t="s">
        <v>371</v>
      </c>
      <c r="I4324" t="s">
        <v>209</v>
      </c>
      <c r="J4324" s="1">
        <v>45904</v>
      </c>
      <c r="K4324" t="s">
        <v>720</v>
      </c>
      <c r="L4324">
        <v>1</v>
      </c>
      <c r="M4324">
        <v>3267</v>
      </c>
      <c r="N4324" t="s">
        <v>719</v>
      </c>
      <c r="O4324" t="s">
        <v>1038</v>
      </c>
      <c r="P4324" t="s">
        <v>4777</v>
      </c>
      <c r="Q4324" t="s">
        <v>4858</v>
      </c>
      <c r="R4324" t="s">
        <v>4773</v>
      </c>
    </row>
    <row r="4325" spans="1:18" x14ac:dyDescent="0.3">
      <c r="A4325">
        <v>7026</v>
      </c>
      <c r="B4325" t="s">
        <v>4874</v>
      </c>
      <c r="C4325" t="s">
        <v>474</v>
      </c>
      <c r="D4325" t="s">
        <v>100</v>
      </c>
      <c r="E4325" s="1">
        <v>45723</v>
      </c>
      <c r="F4325" t="s">
        <v>4310</v>
      </c>
      <c r="G4325" t="s">
        <v>1470</v>
      </c>
      <c r="H4325" t="s">
        <v>473</v>
      </c>
      <c r="I4325" t="s">
        <v>209</v>
      </c>
      <c r="J4325" s="1">
        <v>54878</v>
      </c>
      <c r="K4325" t="s">
        <v>762</v>
      </c>
      <c r="L4325">
        <v>115</v>
      </c>
      <c r="M4325">
        <v>389.85</v>
      </c>
      <c r="N4325" t="s">
        <v>719</v>
      </c>
      <c r="Q4325" t="s">
        <v>4852</v>
      </c>
      <c r="R4325" t="s">
        <v>4772</v>
      </c>
    </row>
    <row r="4326" spans="1:18" x14ac:dyDescent="0.3">
      <c r="A4326">
        <v>63260</v>
      </c>
      <c r="B4326" t="s">
        <v>4874</v>
      </c>
      <c r="C4326" t="s">
        <v>296</v>
      </c>
      <c r="D4326" t="s">
        <v>93</v>
      </c>
      <c r="E4326" s="1">
        <v>45723</v>
      </c>
      <c r="F4326" t="s">
        <v>4362</v>
      </c>
      <c r="G4326" t="s">
        <v>1517</v>
      </c>
      <c r="H4326" t="s">
        <v>295</v>
      </c>
      <c r="I4326" t="s">
        <v>209</v>
      </c>
      <c r="J4326" s="1">
        <v>54878</v>
      </c>
      <c r="K4326" t="s">
        <v>720</v>
      </c>
      <c r="L4326">
        <v>10318.32</v>
      </c>
      <c r="M4326">
        <v>10318.32</v>
      </c>
      <c r="N4326" t="s">
        <v>710</v>
      </c>
      <c r="Q4326" t="s">
        <v>4845</v>
      </c>
      <c r="R4326" t="s">
        <v>4772</v>
      </c>
    </row>
    <row r="4327" spans="1:18" x14ac:dyDescent="0.3">
      <c r="A4327">
        <v>18781</v>
      </c>
      <c r="B4327" t="s">
        <v>4874</v>
      </c>
      <c r="C4327" t="s">
        <v>539</v>
      </c>
      <c r="D4327" t="s">
        <v>189</v>
      </c>
      <c r="E4327" s="1">
        <v>45723</v>
      </c>
      <c r="F4327" t="s">
        <v>4327</v>
      </c>
      <c r="G4327" t="s">
        <v>1468</v>
      </c>
      <c r="H4327" t="s">
        <v>573</v>
      </c>
      <c r="I4327" t="s">
        <v>209</v>
      </c>
      <c r="J4327" s="1">
        <v>45808</v>
      </c>
      <c r="K4327" t="s">
        <v>762</v>
      </c>
      <c r="L4327">
        <v>5004.6400000000003</v>
      </c>
      <c r="M4327">
        <v>5004.6400000000003</v>
      </c>
      <c r="N4327" t="s">
        <v>890</v>
      </c>
      <c r="Q4327" t="s">
        <v>807</v>
      </c>
    </row>
    <row r="4328" spans="1:18" x14ac:dyDescent="0.3">
      <c r="A4328">
        <v>2186</v>
      </c>
      <c r="B4328" t="s">
        <v>4874</v>
      </c>
      <c r="C4328" t="s">
        <v>541</v>
      </c>
      <c r="D4328" t="s">
        <v>173</v>
      </c>
      <c r="E4328" s="1">
        <v>45723</v>
      </c>
      <c r="F4328" t="s">
        <v>4326</v>
      </c>
      <c r="G4328" t="s">
        <v>1527</v>
      </c>
      <c r="H4328" t="s">
        <v>548</v>
      </c>
      <c r="I4328" t="s">
        <v>204</v>
      </c>
      <c r="J4328" s="1">
        <v>46387</v>
      </c>
      <c r="K4328" t="s">
        <v>720</v>
      </c>
      <c r="L4328">
        <v>1</v>
      </c>
      <c r="M4328">
        <v>2300</v>
      </c>
      <c r="N4328" t="s">
        <v>710</v>
      </c>
      <c r="O4328" t="s">
        <v>1038</v>
      </c>
      <c r="P4328" t="s">
        <v>4791</v>
      </c>
      <c r="Q4328" t="s">
        <v>4858</v>
      </c>
      <c r="R4328" t="s">
        <v>4773</v>
      </c>
    </row>
    <row r="4329" spans="1:18" x14ac:dyDescent="0.3">
      <c r="A4329">
        <v>851272</v>
      </c>
      <c r="B4329" t="s">
        <v>4874</v>
      </c>
      <c r="C4329" t="s">
        <v>298</v>
      </c>
      <c r="D4329" t="s">
        <v>11</v>
      </c>
      <c r="E4329" s="1">
        <v>45723</v>
      </c>
      <c r="F4329" t="s">
        <v>4297</v>
      </c>
      <c r="G4329" t="s">
        <v>1513</v>
      </c>
      <c r="H4329" t="s">
        <v>297</v>
      </c>
      <c r="I4329" t="s">
        <v>204</v>
      </c>
      <c r="J4329" s="1">
        <v>54878</v>
      </c>
      <c r="K4329" t="s">
        <v>720</v>
      </c>
      <c r="L4329">
        <v>1</v>
      </c>
      <c r="M4329">
        <v>1106.74</v>
      </c>
      <c r="N4329" t="s">
        <v>710</v>
      </c>
      <c r="O4329" t="s">
        <v>1038</v>
      </c>
      <c r="P4329" t="s">
        <v>4779</v>
      </c>
      <c r="Q4329" t="s">
        <v>4858</v>
      </c>
      <c r="R4329" t="s">
        <v>4771</v>
      </c>
    </row>
    <row r="4330" spans="1:18" x14ac:dyDescent="0.3">
      <c r="A4330">
        <v>3061</v>
      </c>
      <c r="B4330" t="s">
        <v>4874</v>
      </c>
      <c r="C4330" t="s">
        <v>572</v>
      </c>
      <c r="D4330" t="s">
        <v>43</v>
      </c>
      <c r="E4330" s="1">
        <v>45723</v>
      </c>
      <c r="F4330" t="s">
        <v>4321</v>
      </c>
      <c r="G4330" t="s">
        <v>1462</v>
      </c>
      <c r="H4330" t="s">
        <v>571</v>
      </c>
      <c r="I4330" t="s">
        <v>204</v>
      </c>
      <c r="J4330" s="1">
        <v>46387</v>
      </c>
      <c r="K4330" t="s">
        <v>720</v>
      </c>
      <c r="L4330">
        <v>1</v>
      </c>
      <c r="M4330">
        <v>3956</v>
      </c>
      <c r="N4330" t="s">
        <v>814</v>
      </c>
      <c r="O4330" t="s">
        <v>1038</v>
      </c>
      <c r="P4330" t="s">
        <v>4782</v>
      </c>
      <c r="Q4330" t="s">
        <v>4858</v>
      </c>
      <c r="R4330" t="s">
        <v>4771</v>
      </c>
    </row>
    <row r="4331" spans="1:18" x14ac:dyDescent="0.3">
      <c r="A4331">
        <v>7026</v>
      </c>
      <c r="B4331" t="s">
        <v>4874</v>
      </c>
      <c r="C4331" t="s">
        <v>474</v>
      </c>
      <c r="D4331" t="s">
        <v>100</v>
      </c>
      <c r="E4331" s="1">
        <v>45723</v>
      </c>
      <c r="F4331" t="s">
        <v>4400</v>
      </c>
      <c r="G4331" t="s">
        <v>1470</v>
      </c>
      <c r="H4331" t="s">
        <v>473</v>
      </c>
      <c r="I4331" t="s">
        <v>209</v>
      </c>
      <c r="J4331" s="1">
        <v>54878</v>
      </c>
      <c r="K4331" t="s">
        <v>762</v>
      </c>
      <c r="L4331">
        <v>19</v>
      </c>
      <c r="M4331">
        <v>102.98</v>
      </c>
      <c r="N4331" t="s">
        <v>719</v>
      </c>
      <c r="Q4331" t="s">
        <v>4852</v>
      </c>
      <c r="R4331" t="s">
        <v>4772</v>
      </c>
    </row>
    <row r="4332" spans="1:18" x14ac:dyDescent="0.3">
      <c r="A4332">
        <v>3062</v>
      </c>
      <c r="B4332" t="s">
        <v>4874</v>
      </c>
      <c r="C4332" t="s">
        <v>572</v>
      </c>
      <c r="D4332" t="s">
        <v>43</v>
      </c>
      <c r="E4332" s="1">
        <v>45723</v>
      </c>
      <c r="F4332" t="s">
        <v>4321</v>
      </c>
      <c r="G4332" t="s">
        <v>1461</v>
      </c>
      <c r="H4332" t="s">
        <v>571</v>
      </c>
      <c r="I4332" t="s">
        <v>204</v>
      </c>
      <c r="J4332" s="1">
        <v>46387</v>
      </c>
      <c r="K4332" t="s">
        <v>720</v>
      </c>
      <c r="L4332">
        <v>1</v>
      </c>
      <c r="M4332">
        <v>23490</v>
      </c>
      <c r="N4332" t="s">
        <v>814</v>
      </c>
      <c r="O4332" t="s">
        <v>1038</v>
      </c>
      <c r="P4332" t="s">
        <v>4782</v>
      </c>
      <c r="Q4332" t="s">
        <v>4858</v>
      </c>
      <c r="R4332" t="s">
        <v>4771</v>
      </c>
    </row>
    <row r="4333" spans="1:18" x14ac:dyDescent="0.3">
      <c r="A4333">
        <v>3063</v>
      </c>
      <c r="B4333" t="s">
        <v>4874</v>
      </c>
      <c r="C4333" t="s">
        <v>572</v>
      </c>
      <c r="D4333" t="s">
        <v>43</v>
      </c>
      <c r="E4333" s="1">
        <v>45723</v>
      </c>
      <c r="F4333" t="s">
        <v>4321</v>
      </c>
      <c r="G4333" t="s">
        <v>1502</v>
      </c>
      <c r="H4333" t="s">
        <v>571</v>
      </c>
      <c r="I4333" t="s">
        <v>204</v>
      </c>
      <c r="J4333" s="1">
        <v>46387</v>
      </c>
      <c r="K4333" t="s">
        <v>720</v>
      </c>
      <c r="L4333">
        <v>1</v>
      </c>
      <c r="M4333">
        <v>19572</v>
      </c>
      <c r="N4333" t="s">
        <v>814</v>
      </c>
      <c r="O4333" t="s">
        <v>1038</v>
      </c>
      <c r="P4333" t="s">
        <v>4782</v>
      </c>
      <c r="Q4333" t="s">
        <v>4858</v>
      </c>
      <c r="R4333" t="s">
        <v>4771</v>
      </c>
    </row>
    <row r="4334" spans="1:18" x14ac:dyDescent="0.3">
      <c r="A4334">
        <v>1931</v>
      </c>
      <c r="B4334" t="s">
        <v>4874</v>
      </c>
      <c r="C4334" t="s">
        <v>616</v>
      </c>
      <c r="D4334" t="s">
        <v>152</v>
      </c>
      <c r="E4334" s="1">
        <v>45723</v>
      </c>
      <c r="F4334" t="s">
        <v>4338</v>
      </c>
      <c r="G4334" t="s">
        <v>1466</v>
      </c>
      <c r="H4334" t="s">
        <v>615</v>
      </c>
      <c r="I4334" t="s">
        <v>204</v>
      </c>
      <c r="J4334" s="1">
        <v>46327</v>
      </c>
      <c r="K4334" t="s">
        <v>720</v>
      </c>
      <c r="L4334">
        <v>1</v>
      </c>
      <c r="M4334">
        <v>75497</v>
      </c>
      <c r="N4334" t="s">
        <v>710</v>
      </c>
      <c r="O4334" t="s">
        <v>4834</v>
      </c>
      <c r="P4334" t="s">
        <v>4776</v>
      </c>
      <c r="Q4334" t="s">
        <v>4858</v>
      </c>
      <c r="R4334" t="s">
        <v>4772</v>
      </c>
    </row>
    <row r="4335" spans="1:18" x14ac:dyDescent="0.3">
      <c r="A4335">
        <v>7026</v>
      </c>
      <c r="B4335" t="s">
        <v>4874</v>
      </c>
      <c r="C4335" t="s">
        <v>474</v>
      </c>
      <c r="D4335" t="s">
        <v>100</v>
      </c>
      <c r="E4335" s="1">
        <v>45723</v>
      </c>
      <c r="F4335" t="s">
        <v>4394</v>
      </c>
      <c r="G4335" t="s">
        <v>1470</v>
      </c>
      <c r="H4335" t="s">
        <v>473</v>
      </c>
      <c r="I4335" t="s">
        <v>209</v>
      </c>
      <c r="J4335" s="1">
        <v>54878</v>
      </c>
      <c r="K4335" t="s">
        <v>762</v>
      </c>
      <c r="L4335">
        <v>2428</v>
      </c>
      <c r="M4335">
        <v>2428</v>
      </c>
      <c r="N4335" t="s">
        <v>719</v>
      </c>
      <c r="Q4335" t="s">
        <v>4852</v>
      </c>
      <c r="R4335" t="s">
        <v>4772</v>
      </c>
    </row>
    <row r="4336" spans="1:18" x14ac:dyDescent="0.3">
      <c r="A4336">
        <v>2753</v>
      </c>
      <c r="B4336" t="s">
        <v>4874</v>
      </c>
      <c r="C4336" t="s">
        <v>533</v>
      </c>
      <c r="D4336" t="s">
        <v>103</v>
      </c>
      <c r="E4336" s="1">
        <v>45723</v>
      </c>
      <c r="F4336" t="s">
        <v>4410</v>
      </c>
      <c r="G4336" t="s">
        <v>1529</v>
      </c>
      <c r="H4336" t="s">
        <v>532</v>
      </c>
      <c r="I4336" t="s">
        <v>204</v>
      </c>
      <c r="J4336" s="1">
        <v>46568</v>
      </c>
      <c r="K4336" t="s">
        <v>892</v>
      </c>
      <c r="L4336">
        <v>1</v>
      </c>
      <c r="M4336">
        <v>10378.5</v>
      </c>
      <c r="N4336" t="s">
        <v>710</v>
      </c>
      <c r="O4336" t="s">
        <v>4811</v>
      </c>
      <c r="P4336" t="s">
        <v>4776</v>
      </c>
      <c r="Q4336" t="s">
        <v>4859</v>
      </c>
      <c r="R4336" t="s">
        <v>4771</v>
      </c>
    </row>
    <row r="4337" spans="1:18" x14ac:dyDescent="0.3">
      <c r="A4337">
        <v>7026</v>
      </c>
      <c r="B4337" t="s">
        <v>4874</v>
      </c>
      <c r="C4337" t="s">
        <v>474</v>
      </c>
      <c r="D4337" t="s">
        <v>100</v>
      </c>
      <c r="E4337" s="1">
        <v>45723</v>
      </c>
      <c r="F4337" t="s">
        <v>4329</v>
      </c>
      <c r="G4337" t="s">
        <v>1470</v>
      </c>
      <c r="H4337" t="s">
        <v>473</v>
      </c>
      <c r="I4337" t="s">
        <v>209</v>
      </c>
      <c r="J4337" s="1">
        <v>54878</v>
      </c>
      <c r="K4337" t="s">
        <v>762</v>
      </c>
      <c r="L4337">
        <v>38</v>
      </c>
      <c r="M4337">
        <v>467.4</v>
      </c>
      <c r="N4337" t="s">
        <v>719</v>
      </c>
      <c r="Q4337" t="s">
        <v>4852</v>
      </c>
      <c r="R4337" t="s">
        <v>4772</v>
      </c>
    </row>
    <row r="4338" spans="1:18" x14ac:dyDescent="0.3">
      <c r="A4338">
        <v>253</v>
      </c>
      <c r="B4338" t="s">
        <v>4874</v>
      </c>
      <c r="C4338" t="s">
        <v>575</v>
      </c>
      <c r="D4338" t="s">
        <v>174</v>
      </c>
      <c r="E4338" s="1">
        <v>45723</v>
      </c>
      <c r="F4338" t="s">
        <v>4412</v>
      </c>
      <c r="G4338" t="s">
        <v>1512</v>
      </c>
      <c r="H4338" t="s">
        <v>574</v>
      </c>
      <c r="I4338" t="s">
        <v>204</v>
      </c>
      <c r="J4338" s="1">
        <v>46203</v>
      </c>
      <c r="K4338" t="s">
        <v>720</v>
      </c>
      <c r="L4338">
        <v>1</v>
      </c>
      <c r="M4338">
        <v>120</v>
      </c>
      <c r="N4338" t="s">
        <v>890</v>
      </c>
      <c r="O4338" t="s">
        <v>1039</v>
      </c>
      <c r="P4338" t="s">
        <v>4776</v>
      </c>
      <c r="Q4338" t="s">
        <v>4858</v>
      </c>
      <c r="R4338" t="s">
        <v>4771</v>
      </c>
    </row>
    <row r="4339" spans="1:18" x14ac:dyDescent="0.3">
      <c r="A4339">
        <v>184</v>
      </c>
      <c r="B4339" t="s">
        <v>4874</v>
      </c>
      <c r="C4339" t="s">
        <v>568</v>
      </c>
      <c r="D4339" t="s">
        <v>64</v>
      </c>
      <c r="E4339" s="1">
        <v>45722</v>
      </c>
      <c r="F4339" t="s">
        <v>4321</v>
      </c>
      <c r="G4339" t="s">
        <v>1440</v>
      </c>
      <c r="H4339" t="s">
        <v>576</v>
      </c>
      <c r="I4339" t="s">
        <v>209</v>
      </c>
      <c r="J4339" s="1">
        <v>46262</v>
      </c>
      <c r="K4339" t="s">
        <v>762</v>
      </c>
      <c r="L4339">
        <v>1</v>
      </c>
      <c r="M4339">
        <v>5762.53</v>
      </c>
      <c r="N4339" t="s">
        <v>710</v>
      </c>
      <c r="O4339" t="s">
        <v>1038</v>
      </c>
      <c r="P4339" t="s">
        <v>4782</v>
      </c>
      <c r="Q4339" t="s">
        <v>4858</v>
      </c>
      <c r="R4339" t="s">
        <v>4771</v>
      </c>
    </row>
    <row r="4340" spans="1:18" x14ac:dyDescent="0.3">
      <c r="A4340">
        <v>6553</v>
      </c>
      <c r="B4340" t="s">
        <v>4874</v>
      </c>
      <c r="C4340" t="s">
        <v>628</v>
      </c>
      <c r="D4340" t="s">
        <v>25</v>
      </c>
      <c r="E4340" s="1">
        <v>45722</v>
      </c>
      <c r="F4340" t="s">
        <v>4415</v>
      </c>
      <c r="G4340" t="s">
        <v>1479</v>
      </c>
      <c r="H4340" t="s">
        <v>627</v>
      </c>
      <c r="I4340" t="s">
        <v>209</v>
      </c>
      <c r="J4340" s="1">
        <v>46476</v>
      </c>
      <c r="K4340" t="s">
        <v>720</v>
      </c>
      <c r="L4340">
        <v>1</v>
      </c>
      <c r="M4340">
        <v>740</v>
      </c>
      <c r="N4340" t="s">
        <v>710</v>
      </c>
      <c r="O4340" t="s">
        <v>1038</v>
      </c>
      <c r="P4340" t="s">
        <v>4776</v>
      </c>
      <c r="Q4340" t="s">
        <v>4858</v>
      </c>
      <c r="R4340" t="s">
        <v>4771</v>
      </c>
    </row>
    <row r="4341" spans="1:18" x14ac:dyDescent="0.3">
      <c r="A4341">
        <v>1713</v>
      </c>
      <c r="B4341" t="s">
        <v>4874</v>
      </c>
      <c r="C4341" t="s">
        <v>252</v>
      </c>
      <c r="D4341" t="s">
        <v>183</v>
      </c>
      <c r="E4341" s="1">
        <v>45722</v>
      </c>
      <c r="F4341" t="s">
        <v>4404</v>
      </c>
      <c r="G4341" t="s">
        <v>1270</v>
      </c>
      <c r="H4341" t="s">
        <v>251</v>
      </c>
      <c r="I4341" t="s">
        <v>204</v>
      </c>
      <c r="J4341" s="1">
        <v>46418</v>
      </c>
      <c r="K4341" t="s">
        <v>762</v>
      </c>
      <c r="L4341">
        <v>18900</v>
      </c>
      <c r="M4341">
        <v>18900</v>
      </c>
      <c r="N4341" t="s">
        <v>719</v>
      </c>
      <c r="O4341" t="s">
        <v>4904</v>
      </c>
      <c r="P4341" t="s">
        <v>4792</v>
      </c>
      <c r="Q4341" t="s">
        <v>4904</v>
      </c>
      <c r="R4341" t="s">
        <v>4773</v>
      </c>
    </row>
    <row r="4342" spans="1:18" x14ac:dyDescent="0.3">
      <c r="A4342">
        <v>45431</v>
      </c>
      <c r="B4342" t="s">
        <v>4874</v>
      </c>
      <c r="C4342" t="s">
        <v>614</v>
      </c>
      <c r="D4342" t="s">
        <v>74</v>
      </c>
      <c r="E4342" s="1">
        <v>45722</v>
      </c>
      <c r="F4342" t="s">
        <v>4362</v>
      </c>
      <c r="G4342" t="s">
        <v>1474</v>
      </c>
      <c r="H4342" t="s">
        <v>613</v>
      </c>
      <c r="I4342" t="s">
        <v>204</v>
      </c>
      <c r="J4342" s="1">
        <v>46993</v>
      </c>
      <c r="K4342" t="s">
        <v>720</v>
      </c>
      <c r="L4342">
        <v>1</v>
      </c>
      <c r="M4342">
        <v>1677.11</v>
      </c>
      <c r="N4342" t="s">
        <v>710</v>
      </c>
      <c r="O4342" t="s">
        <v>1038</v>
      </c>
      <c r="P4342" t="s">
        <v>4779</v>
      </c>
      <c r="Q4342" t="s">
        <v>4858</v>
      </c>
      <c r="R4342" t="s">
        <v>4771</v>
      </c>
    </row>
    <row r="4343" spans="1:18" x14ac:dyDescent="0.3">
      <c r="A4343">
        <v>152345</v>
      </c>
      <c r="B4343" t="s">
        <v>4875</v>
      </c>
      <c r="C4343" t="s">
        <v>301</v>
      </c>
      <c r="D4343" t="s">
        <v>23</v>
      </c>
      <c r="E4343" s="1">
        <v>45722</v>
      </c>
      <c r="F4343" t="s">
        <v>4321</v>
      </c>
      <c r="G4343" t="s">
        <v>1460</v>
      </c>
      <c r="H4343" t="s">
        <v>342</v>
      </c>
      <c r="I4343" t="s">
        <v>204</v>
      </c>
      <c r="J4343" s="1">
        <v>46285</v>
      </c>
      <c r="K4343" t="s">
        <v>748</v>
      </c>
      <c r="L4343">
        <v>4912.05</v>
      </c>
      <c r="M4343">
        <v>4912.03</v>
      </c>
      <c r="N4343" t="s">
        <v>710</v>
      </c>
      <c r="O4343" t="s">
        <v>1040</v>
      </c>
      <c r="P4343" t="s">
        <v>4782</v>
      </c>
      <c r="Q4343" t="s">
        <v>4856</v>
      </c>
      <c r="R4343" t="s">
        <v>4773</v>
      </c>
    </row>
    <row r="4344" spans="1:18" x14ac:dyDescent="0.3">
      <c r="A4344">
        <v>441002</v>
      </c>
      <c r="B4344" t="s">
        <v>1034</v>
      </c>
      <c r="C4344" t="s">
        <v>563</v>
      </c>
      <c r="D4344" t="s">
        <v>63</v>
      </c>
      <c r="E4344" s="1">
        <v>45722</v>
      </c>
      <c r="F4344" t="s">
        <v>4362</v>
      </c>
      <c r="G4344" t="s">
        <v>1501</v>
      </c>
      <c r="H4344" t="s">
        <v>562</v>
      </c>
      <c r="I4344" t="s">
        <v>209</v>
      </c>
      <c r="J4344" s="1">
        <v>45596</v>
      </c>
      <c r="K4344" t="s">
        <v>762</v>
      </c>
      <c r="L4344">
        <v>76.23</v>
      </c>
      <c r="M4344">
        <v>76.23</v>
      </c>
      <c r="N4344" t="s">
        <v>710</v>
      </c>
      <c r="Q4344" t="s">
        <v>4845</v>
      </c>
      <c r="R4344" t="s">
        <v>4772</v>
      </c>
    </row>
    <row r="4345" spans="1:18" x14ac:dyDescent="0.3">
      <c r="A4345">
        <v>584172</v>
      </c>
      <c r="B4345" t="s">
        <v>4875</v>
      </c>
      <c r="C4345" t="s">
        <v>248</v>
      </c>
      <c r="D4345" t="s">
        <v>13</v>
      </c>
      <c r="E4345" s="1">
        <v>45722</v>
      </c>
      <c r="F4345" t="s">
        <v>4430</v>
      </c>
      <c r="G4345" t="s">
        <v>1487</v>
      </c>
      <c r="H4345" t="s">
        <v>351</v>
      </c>
      <c r="I4345" t="s">
        <v>204</v>
      </c>
      <c r="J4345" s="1">
        <v>54878</v>
      </c>
      <c r="K4345" t="s">
        <v>748</v>
      </c>
      <c r="L4345">
        <v>1450.04</v>
      </c>
      <c r="M4345">
        <v>1450.04</v>
      </c>
      <c r="N4345" t="s">
        <v>710</v>
      </c>
      <c r="O4345" t="s">
        <v>1040</v>
      </c>
      <c r="P4345" t="s">
        <v>4779</v>
      </c>
      <c r="Q4345" t="s">
        <v>4856</v>
      </c>
      <c r="R4345" t="s">
        <v>4773</v>
      </c>
    </row>
    <row r="4346" spans="1:18" x14ac:dyDescent="0.3">
      <c r="A4346">
        <v>202541</v>
      </c>
      <c r="B4346" t="s">
        <v>4875</v>
      </c>
      <c r="C4346" t="s">
        <v>322</v>
      </c>
      <c r="D4346" t="s">
        <v>158</v>
      </c>
      <c r="E4346" s="1">
        <v>45722</v>
      </c>
      <c r="F4346" t="s">
        <v>4431</v>
      </c>
      <c r="G4346" t="s">
        <v>1424</v>
      </c>
      <c r="H4346" t="s">
        <v>321</v>
      </c>
      <c r="I4346" t="s">
        <v>204</v>
      </c>
      <c r="J4346" s="1">
        <v>46310</v>
      </c>
      <c r="K4346" t="s">
        <v>748</v>
      </c>
      <c r="L4346">
        <v>13860.33</v>
      </c>
      <c r="M4346">
        <v>13860.33</v>
      </c>
      <c r="N4346" t="s">
        <v>710</v>
      </c>
      <c r="O4346" t="s">
        <v>1040</v>
      </c>
      <c r="P4346" t="s">
        <v>4782</v>
      </c>
      <c r="Q4346" t="s">
        <v>4856</v>
      </c>
      <c r="R4346" t="s">
        <v>4773</v>
      </c>
    </row>
    <row r="4347" spans="1:18" x14ac:dyDescent="0.3">
      <c r="A4347">
        <v>31947</v>
      </c>
      <c r="B4347" t="s">
        <v>4875</v>
      </c>
      <c r="C4347" t="s">
        <v>314</v>
      </c>
      <c r="D4347" t="s">
        <v>39</v>
      </c>
      <c r="E4347" s="1">
        <v>45722</v>
      </c>
      <c r="F4347" t="s">
        <v>4347</v>
      </c>
      <c r="G4347" t="s">
        <v>1347</v>
      </c>
      <c r="H4347" t="s">
        <v>341</v>
      </c>
      <c r="I4347" t="s">
        <v>204</v>
      </c>
      <c r="J4347" s="1">
        <v>46266</v>
      </c>
      <c r="K4347" t="s">
        <v>748</v>
      </c>
      <c r="L4347">
        <v>664.4</v>
      </c>
      <c r="M4347">
        <v>664.4</v>
      </c>
      <c r="N4347" t="s">
        <v>710</v>
      </c>
      <c r="O4347" t="s">
        <v>4834</v>
      </c>
      <c r="P4347" t="s">
        <v>4776</v>
      </c>
      <c r="Q4347" t="s">
        <v>4856</v>
      </c>
      <c r="R4347" t="s">
        <v>4773</v>
      </c>
    </row>
    <row r="4348" spans="1:18" x14ac:dyDescent="0.3">
      <c r="A4348">
        <v>102002</v>
      </c>
      <c r="B4348" t="s">
        <v>4875</v>
      </c>
      <c r="C4348" t="s">
        <v>415</v>
      </c>
      <c r="D4348" t="s">
        <v>60</v>
      </c>
      <c r="E4348" s="1">
        <v>45722</v>
      </c>
      <c r="F4348" t="s">
        <v>4333</v>
      </c>
      <c r="G4348" t="s">
        <v>1494</v>
      </c>
      <c r="H4348" t="s">
        <v>414</v>
      </c>
      <c r="I4348" t="s">
        <v>204</v>
      </c>
      <c r="J4348" s="1">
        <v>46386</v>
      </c>
      <c r="K4348" t="s">
        <v>768</v>
      </c>
      <c r="L4348">
        <v>2725.29</v>
      </c>
      <c r="M4348">
        <v>2725.29</v>
      </c>
      <c r="N4348" t="s">
        <v>814</v>
      </c>
      <c r="O4348" t="s">
        <v>1037</v>
      </c>
      <c r="P4348" t="s">
        <v>4807</v>
      </c>
      <c r="Q4348" t="s">
        <v>4852</v>
      </c>
      <c r="R4348" t="s">
        <v>4771</v>
      </c>
    </row>
    <row r="4349" spans="1:18" x14ac:dyDescent="0.3">
      <c r="A4349">
        <v>101996</v>
      </c>
      <c r="B4349" t="s">
        <v>1034</v>
      </c>
      <c r="C4349" t="s">
        <v>415</v>
      </c>
      <c r="D4349" t="s">
        <v>60</v>
      </c>
      <c r="E4349" s="1">
        <v>45722</v>
      </c>
      <c r="F4349" t="s">
        <v>4333</v>
      </c>
      <c r="G4349" t="s">
        <v>1496</v>
      </c>
      <c r="H4349" t="s">
        <v>431</v>
      </c>
      <c r="I4349" t="s">
        <v>204</v>
      </c>
      <c r="J4349" s="1">
        <v>46386</v>
      </c>
      <c r="K4349" t="s">
        <v>717</v>
      </c>
      <c r="L4349">
        <v>16159.2</v>
      </c>
      <c r="M4349">
        <v>16159.2</v>
      </c>
      <c r="N4349" t="s">
        <v>814</v>
      </c>
      <c r="O4349" t="s">
        <v>1037</v>
      </c>
      <c r="P4349" t="s">
        <v>4807</v>
      </c>
      <c r="Q4349" t="s">
        <v>4852</v>
      </c>
      <c r="R4349" t="s">
        <v>4771</v>
      </c>
    </row>
    <row r="4350" spans="1:18" x14ac:dyDescent="0.3">
      <c r="A4350">
        <v>6658</v>
      </c>
      <c r="B4350" t="s">
        <v>1035</v>
      </c>
      <c r="C4350" t="s">
        <v>230</v>
      </c>
      <c r="D4350" t="s">
        <v>85</v>
      </c>
      <c r="E4350" s="1">
        <v>45722</v>
      </c>
      <c r="F4350" t="s">
        <v>4348</v>
      </c>
      <c r="G4350" t="s">
        <v>1510</v>
      </c>
      <c r="H4350" t="s">
        <v>229</v>
      </c>
      <c r="I4350" t="s">
        <v>204</v>
      </c>
      <c r="J4350" s="1">
        <v>46203</v>
      </c>
      <c r="K4350" t="s">
        <v>744</v>
      </c>
      <c r="L4350">
        <v>3563.52</v>
      </c>
      <c r="M4350">
        <v>3563.52</v>
      </c>
      <c r="N4350" t="s">
        <v>710</v>
      </c>
      <c r="O4350" t="s">
        <v>1033</v>
      </c>
      <c r="P4350" t="s">
        <v>4781</v>
      </c>
      <c r="Q4350" t="s">
        <v>4852</v>
      </c>
      <c r="R4350" t="s">
        <v>4771</v>
      </c>
    </row>
    <row r="4351" spans="1:18" x14ac:dyDescent="0.3">
      <c r="A4351">
        <v>102001</v>
      </c>
      <c r="B4351" t="s">
        <v>4874</v>
      </c>
      <c r="C4351" t="s">
        <v>415</v>
      </c>
      <c r="D4351" t="s">
        <v>60</v>
      </c>
      <c r="E4351" s="1">
        <v>45722</v>
      </c>
      <c r="F4351" t="s">
        <v>4333</v>
      </c>
      <c r="G4351" t="s">
        <v>1495</v>
      </c>
      <c r="H4351" t="s">
        <v>457</v>
      </c>
      <c r="I4351" t="s">
        <v>204</v>
      </c>
      <c r="J4351" s="1">
        <v>46387</v>
      </c>
      <c r="K4351" t="s">
        <v>762</v>
      </c>
      <c r="L4351">
        <v>3743.4</v>
      </c>
      <c r="M4351">
        <v>3743.4</v>
      </c>
      <c r="N4351" t="s">
        <v>814</v>
      </c>
      <c r="O4351" t="s">
        <v>1037</v>
      </c>
      <c r="P4351" t="s">
        <v>4807</v>
      </c>
      <c r="Q4351" t="s">
        <v>4852</v>
      </c>
      <c r="R4351" t="s">
        <v>4771</v>
      </c>
    </row>
    <row r="4352" spans="1:18" x14ac:dyDescent="0.3">
      <c r="A4352">
        <v>6607</v>
      </c>
      <c r="B4352" t="s">
        <v>1035</v>
      </c>
      <c r="C4352" t="s">
        <v>230</v>
      </c>
      <c r="D4352" t="s">
        <v>85</v>
      </c>
      <c r="E4352" s="1">
        <v>45722</v>
      </c>
      <c r="F4352" t="s">
        <v>4348</v>
      </c>
      <c r="G4352" t="s">
        <v>1510</v>
      </c>
      <c r="H4352" t="s">
        <v>229</v>
      </c>
      <c r="I4352" t="s">
        <v>204</v>
      </c>
      <c r="J4352" s="1">
        <v>46203</v>
      </c>
      <c r="K4352" t="s">
        <v>744</v>
      </c>
      <c r="L4352">
        <v>18802.560000000001</v>
      </c>
      <c r="M4352">
        <v>18802.560000000001</v>
      </c>
      <c r="N4352" t="s">
        <v>710</v>
      </c>
      <c r="O4352" t="s">
        <v>1033</v>
      </c>
      <c r="P4352" t="s">
        <v>4781</v>
      </c>
      <c r="Q4352" t="s">
        <v>4852</v>
      </c>
      <c r="R4352" t="s">
        <v>4771</v>
      </c>
    </row>
    <row r="4353" spans="1:18" x14ac:dyDescent="0.3">
      <c r="A4353">
        <v>6606</v>
      </c>
      <c r="B4353" t="s">
        <v>1035</v>
      </c>
      <c r="C4353" t="s">
        <v>230</v>
      </c>
      <c r="D4353" t="s">
        <v>85</v>
      </c>
      <c r="E4353" s="1">
        <v>45722</v>
      </c>
      <c r="F4353" t="s">
        <v>4348</v>
      </c>
      <c r="G4353" t="s">
        <v>1510</v>
      </c>
      <c r="H4353" t="s">
        <v>229</v>
      </c>
      <c r="I4353" t="s">
        <v>204</v>
      </c>
      <c r="J4353" s="1">
        <v>46203</v>
      </c>
      <c r="K4353" t="s">
        <v>744</v>
      </c>
      <c r="L4353">
        <v>48517.85</v>
      </c>
      <c r="M4353">
        <v>48517.85</v>
      </c>
      <c r="N4353" t="s">
        <v>710</v>
      </c>
      <c r="O4353" t="s">
        <v>1033</v>
      </c>
      <c r="P4353" t="s">
        <v>4781</v>
      </c>
      <c r="Q4353" t="s">
        <v>4852</v>
      </c>
      <c r="R4353" t="s">
        <v>4771</v>
      </c>
    </row>
    <row r="4354" spans="1:18" x14ac:dyDescent="0.3">
      <c r="A4354">
        <v>6616</v>
      </c>
      <c r="B4354" t="s">
        <v>1034</v>
      </c>
      <c r="C4354" t="s">
        <v>230</v>
      </c>
      <c r="D4354" t="s">
        <v>85</v>
      </c>
      <c r="E4354" s="1">
        <v>45721</v>
      </c>
      <c r="F4354" t="s">
        <v>4348</v>
      </c>
      <c r="G4354" t="s">
        <v>1506</v>
      </c>
      <c r="H4354" t="s">
        <v>570</v>
      </c>
      <c r="I4354" t="s">
        <v>204</v>
      </c>
      <c r="J4354" s="1">
        <v>46418</v>
      </c>
      <c r="K4354" t="s">
        <v>717</v>
      </c>
      <c r="L4354">
        <v>1</v>
      </c>
      <c r="M4354">
        <v>508195.8</v>
      </c>
      <c r="N4354" t="s">
        <v>719</v>
      </c>
      <c r="O4354" t="s">
        <v>1033</v>
      </c>
      <c r="P4354" t="s">
        <v>4781</v>
      </c>
      <c r="Q4354" t="s">
        <v>4852</v>
      </c>
      <c r="R4354" t="s">
        <v>4771</v>
      </c>
    </row>
    <row r="4355" spans="1:18" x14ac:dyDescent="0.3">
      <c r="A4355">
        <v>1436</v>
      </c>
      <c r="B4355" t="s">
        <v>4875</v>
      </c>
      <c r="C4355" t="s">
        <v>312</v>
      </c>
      <c r="D4355" t="s">
        <v>73</v>
      </c>
      <c r="E4355" s="1">
        <v>45721</v>
      </c>
      <c r="F4355" t="s">
        <v>4300</v>
      </c>
      <c r="G4355" t="s">
        <v>1485</v>
      </c>
      <c r="H4355" t="s">
        <v>365</v>
      </c>
      <c r="I4355" t="s">
        <v>204</v>
      </c>
      <c r="J4355" s="1">
        <v>46418</v>
      </c>
      <c r="K4355" t="s">
        <v>748</v>
      </c>
      <c r="L4355">
        <v>2255</v>
      </c>
      <c r="M4355">
        <v>2255</v>
      </c>
      <c r="N4355" t="s">
        <v>710</v>
      </c>
      <c r="O4355" t="s">
        <v>4834</v>
      </c>
      <c r="P4355" t="s">
        <v>1006</v>
      </c>
      <c r="Q4355" t="s">
        <v>4856</v>
      </c>
      <c r="R4355" t="s">
        <v>4773</v>
      </c>
    </row>
    <row r="4356" spans="1:18" x14ac:dyDescent="0.3">
      <c r="A4356">
        <v>6633</v>
      </c>
      <c r="B4356" t="s">
        <v>4874</v>
      </c>
      <c r="C4356" t="s">
        <v>230</v>
      </c>
      <c r="D4356" t="s">
        <v>85</v>
      </c>
      <c r="E4356" s="1">
        <v>45721</v>
      </c>
      <c r="F4356" t="s">
        <v>4348</v>
      </c>
      <c r="G4356" t="s">
        <v>1505</v>
      </c>
      <c r="H4356" t="s">
        <v>299</v>
      </c>
      <c r="I4356" t="s">
        <v>204</v>
      </c>
      <c r="J4356" s="1">
        <v>46536</v>
      </c>
      <c r="K4356" t="s">
        <v>762</v>
      </c>
      <c r="L4356">
        <v>8994.73</v>
      </c>
      <c r="M4356">
        <v>8994.73</v>
      </c>
      <c r="N4356" t="s">
        <v>710</v>
      </c>
      <c r="O4356" t="s">
        <v>1033</v>
      </c>
      <c r="P4356" t="s">
        <v>4781</v>
      </c>
      <c r="Q4356" t="s">
        <v>4852</v>
      </c>
      <c r="R4356" t="s">
        <v>4771</v>
      </c>
    </row>
    <row r="4357" spans="1:18" x14ac:dyDescent="0.3">
      <c r="A4357">
        <v>6612</v>
      </c>
      <c r="B4357" t="s">
        <v>4874</v>
      </c>
      <c r="C4357" t="s">
        <v>230</v>
      </c>
      <c r="D4357" t="s">
        <v>85</v>
      </c>
      <c r="E4357" s="1">
        <v>45721</v>
      </c>
      <c r="F4357" t="s">
        <v>4348</v>
      </c>
      <c r="G4357" t="s">
        <v>1504</v>
      </c>
      <c r="H4357" t="s">
        <v>299</v>
      </c>
      <c r="I4357" t="s">
        <v>204</v>
      </c>
      <c r="J4357" s="1">
        <v>46536</v>
      </c>
      <c r="K4357" t="s">
        <v>762</v>
      </c>
      <c r="L4357">
        <v>198518.11</v>
      </c>
      <c r="M4357">
        <v>198518.11</v>
      </c>
      <c r="N4357" t="s">
        <v>710</v>
      </c>
      <c r="O4357" t="s">
        <v>1033</v>
      </c>
      <c r="P4357" t="s">
        <v>4781</v>
      </c>
      <c r="Q4357" t="s">
        <v>4852</v>
      </c>
      <c r="R4357" t="s">
        <v>4771</v>
      </c>
    </row>
    <row r="4358" spans="1:18" x14ac:dyDescent="0.3">
      <c r="A4358">
        <v>1761888</v>
      </c>
      <c r="B4358" t="s">
        <v>1034</v>
      </c>
      <c r="C4358" t="s">
        <v>417</v>
      </c>
      <c r="D4358" t="s">
        <v>185</v>
      </c>
      <c r="E4358" s="1">
        <v>45721</v>
      </c>
      <c r="F4358" t="s">
        <v>4346</v>
      </c>
      <c r="G4358" t="s">
        <v>1499</v>
      </c>
      <c r="H4358" t="s">
        <v>416</v>
      </c>
      <c r="I4358" t="s">
        <v>204</v>
      </c>
      <c r="J4358" s="1">
        <v>54878</v>
      </c>
      <c r="K4358" t="s">
        <v>717</v>
      </c>
      <c r="L4358">
        <v>3398.64</v>
      </c>
      <c r="M4358">
        <v>3398.64</v>
      </c>
      <c r="N4358" t="s">
        <v>710</v>
      </c>
      <c r="O4358" t="s">
        <v>1037</v>
      </c>
      <c r="P4358" t="s">
        <v>4780</v>
      </c>
      <c r="Q4358" t="s">
        <v>4852</v>
      </c>
      <c r="R4358" t="s">
        <v>4771</v>
      </c>
    </row>
    <row r="4359" spans="1:18" x14ac:dyDescent="0.3">
      <c r="A4359">
        <v>3152</v>
      </c>
      <c r="B4359" t="s">
        <v>4874</v>
      </c>
      <c r="C4359" t="s">
        <v>612</v>
      </c>
      <c r="D4359" t="s">
        <v>102</v>
      </c>
      <c r="E4359" s="1">
        <v>45721</v>
      </c>
      <c r="F4359" t="s">
        <v>4300</v>
      </c>
      <c r="G4359" t="s">
        <v>1453</v>
      </c>
      <c r="H4359" t="s">
        <v>611</v>
      </c>
      <c r="I4359" t="s">
        <v>209</v>
      </c>
      <c r="J4359" s="1">
        <v>45961</v>
      </c>
      <c r="K4359" t="s">
        <v>720</v>
      </c>
      <c r="L4359">
        <v>20748</v>
      </c>
      <c r="M4359">
        <v>20748</v>
      </c>
      <c r="N4359" t="s">
        <v>710</v>
      </c>
      <c r="O4359" t="s">
        <v>1037</v>
      </c>
      <c r="P4359" t="s">
        <v>4777</v>
      </c>
      <c r="Q4359" t="s">
        <v>4852</v>
      </c>
      <c r="R4359" t="s">
        <v>4773</v>
      </c>
    </row>
    <row r="4360" spans="1:18" x14ac:dyDescent="0.3">
      <c r="A4360">
        <v>495698</v>
      </c>
      <c r="B4360" t="s">
        <v>4874</v>
      </c>
      <c r="C4360" t="s">
        <v>376</v>
      </c>
      <c r="D4360" t="s">
        <v>35</v>
      </c>
      <c r="E4360" s="1">
        <v>45721</v>
      </c>
      <c r="F4360" t="s">
        <v>4324</v>
      </c>
      <c r="G4360" t="s">
        <v>1497</v>
      </c>
      <c r="H4360" t="s">
        <v>442</v>
      </c>
      <c r="I4360" t="s">
        <v>209</v>
      </c>
      <c r="J4360" s="1">
        <v>54878</v>
      </c>
      <c r="K4360" t="s">
        <v>762</v>
      </c>
      <c r="L4360">
        <v>945</v>
      </c>
      <c r="M4360">
        <v>945</v>
      </c>
      <c r="N4360" t="s">
        <v>710</v>
      </c>
      <c r="Q4360" t="s">
        <v>4852</v>
      </c>
      <c r="R4360" t="s">
        <v>4771</v>
      </c>
    </row>
    <row r="4361" spans="1:18" x14ac:dyDescent="0.3">
      <c r="A4361">
        <v>247423</v>
      </c>
      <c r="B4361" t="s">
        <v>4874</v>
      </c>
      <c r="C4361" t="s">
        <v>376</v>
      </c>
      <c r="D4361" t="s">
        <v>35</v>
      </c>
      <c r="E4361" s="1">
        <v>45721</v>
      </c>
      <c r="F4361" t="s">
        <v>4324</v>
      </c>
      <c r="G4361" t="s">
        <v>1497</v>
      </c>
      <c r="H4361" t="s">
        <v>442</v>
      </c>
      <c r="I4361" t="s">
        <v>209</v>
      </c>
      <c r="J4361" s="1">
        <v>54878</v>
      </c>
      <c r="K4361" t="s">
        <v>762</v>
      </c>
      <c r="L4361">
        <v>236.5</v>
      </c>
      <c r="M4361">
        <v>236.5</v>
      </c>
      <c r="N4361" t="s">
        <v>710</v>
      </c>
      <c r="Q4361" t="s">
        <v>4852</v>
      </c>
      <c r="R4361" t="s">
        <v>4771</v>
      </c>
    </row>
    <row r="4362" spans="1:18" x14ac:dyDescent="0.3">
      <c r="A4362">
        <v>475564</v>
      </c>
      <c r="B4362" t="s">
        <v>4874</v>
      </c>
      <c r="C4362" t="s">
        <v>376</v>
      </c>
      <c r="D4362" t="s">
        <v>35</v>
      </c>
      <c r="E4362" s="1">
        <v>45721</v>
      </c>
      <c r="F4362" t="s">
        <v>4324</v>
      </c>
      <c r="G4362" t="s">
        <v>1497</v>
      </c>
      <c r="H4362" t="s">
        <v>442</v>
      </c>
      <c r="I4362" t="s">
        <v>209</v>
      </c>
      <c r="J4362" s="1">
        <v>54878</v>
      </c>
      <c r="K4362" t="s">
        <v>762</v>
      </c>
      <c r="L4362">
        <v>3980</v>
      </c>
      <c r="M4362">
        <v>3980</v>
      </c>
      <c r="N4362" t="s">
        <v>710</v>
      </c>
      <c r="Q4362" t="s">
        <v>4852</v>
      </c>
      <c r="R4362" t="s">
        <v>4771</v>
      </c>
    </row>
    <row r="4363" spans="1:18" x14ac:dyDescent="0.3">
      <c r="A4363">
        <v>391252271</v>
      </c>
      <c r="B4363" t="s">
        <v>4874</v>
      </c>
      <c r="C4363" t="s">
        <v>433</v>
      </c>
      <c r="D4363" t="s">
        <v>168</v>
      </c>
      <c r="E4363" s="1">
        <v>45721</v>
      </c>
      <c r="F4363" t="s">
        <v>4319</v>
      </c>
      <c r="G4363" t="s">
        <v>1438</v>
      </c>
      <c r="H4363" t="s">
        <v>432</v>
      </c>
      <c r="I4363" t="s">
        <v>204</v>
      </c>
      <c r="J4363" s="1">
        <v>46473</v>
      </c>
      <c r="K4363" t="s">
        <v>762</v>
      </c>
      <c r="L4363">
        <v>184</v>
      </c>
      <c r="M4363">
        <v>183.71</v>
      </c>
      <c r="N4363" t="s">
        <v>710</v>
      </c>
      <c r="O4363" t="s">
        <v>4833</v>
      </c>
      <c r="P4363" t="s">
        <v>4802</v>
      </c>
      <c r="Q4363" t="s">
        <v>4852</v>
      </c>
      <c r="R4363" t="s">
        <v>4771</v>
      </c>
    </row>
    <row r="4364" spans="1:18" x14ac:dyDescent="0.3">
      <c r="A4364">
        <v>3755334</v>
      </c>
      <c r="B4364" t="s">
        <v>4874</v>
      </c>
      <c r="C4364" t="s">
        <v>417</v>
      </c>
      <c r="D4364" t="s">
        <v>185</v>
      </c>
      <c r="E4364" s="1">
        <v>45721</v>
      </c>
      <c r="F4364" t="s">
        <v>4335</v>
      </c>
      <c r="G4364" t="s">
        <v>1498</v>
      </c>
      <c r="H4364" t="s">
        <v>461</v>
      </c>
      <c r="I4364" t="s">
        <v>204</v>
      </c>
      <c r="J4364" s="1">
        <v>54878</v>
      </c>
      <c r="K4364" t="s">
        <v>762</v>
      </c>
      <c r="L4364">
        <v>2314.9299999999998</v>
      </c>
      <c r="M4364">
        <v>2314.9299999999998</v>
      </c>
      <c r="N4364" t="s">
        <v>710</v>
      </c>
      <c r="O4364" t="s">
        <v>1037</v>
      </c>
      <c r="P4364" t="s">
        <v>4780</v>
      </c>
      <c r="Q4364" t="s">
        <v>4852</v>
      </c>
      <c r="R4364" t="s">
        <v>4771</v>
      </c>
    </row>
    <row r="4365" spans="1:18" x14ac:dyDescent="0.3">
      <c r="A4365">
        <v>1761812</v>
      </c>
      <c r="B4365" t="s">
        <v>4874</v>
      </c>
      <c r="C4365" t="s">
        <v>417</v>
      </c>
      <c r="D4365" t="s">
        <v>185</v>
      </c>
      <c r="E4365" s="1">
        <v>45721</v>
      </c>
      <c r="F4365" t="s">
        <v>4346</v>
      </c>
      <c r="G4365" t="s">
        <v>1498</v>
      </c>
      <c r="H4365" t="s">
        <v>461</v>
      </c>
      <c r="I4365" t="s">
        <v>204</v>
      </c>
      <c r="J4365" s="1">
        <v>54878</v>
      </c>
      <c r="K4365" t="s">
        <v>762</v>
      </c>
      <c r="L4365">
        <v>19208</v>
      </c>
      <c r="M4365">
        <v>19208</v>
      </c>
      <c r="N4365" t="s">
        <v>710</v>
      </c>
      <c r="O4365" t="s">
        <v>1037</v>
      </c>
      <c r="P4365" t="s">
        <v>4780</v>
      </c>
      <c r="Q4365" t="s">
        <v>4852</v>
      </c>
      <c r="R4365" t="s">
        <v>4771</v>
      </c>
    </row>
    <row r="4366" spans="1:18" x14ac:dyDescent="0.3">
      <c r="A4366">
        <v>31950</v>
      </c>
      <c r="B4366" t="s">
        <v>1034</v>
      </c>
      <c r="C4366" t="s">
        <v>314</v>
      </c>
      <c r="D4366" t="s">
        <v>39</v>
      </c>
      <c r="E4366" s="1">
        <v>45721</v>
      </c>
      <c r="F4366" t="s">
        <v>4347</v>
      </c>
      <c r="G4366" t="s">
        <v>1434</v>
      </c>
      <c r="H4366" t="s">
        <v>313</v>
      </c>
      <c r="I4366" t="s">
        <v>204</v>
      </c>
      <c r="J4366" s="1">
        <v>46237</v>
      </c>
      <c r="K4366" t="s">
        <v>711</v>
      </c>
      <c r="L4366">
        <v>2300</v>
      </c>
      <c r="M4366">
        <v>2300</v>
      </c>
      <c r="N4366" t="s">
        <v>710</v>
      </c>
      <c r="O4366" t="s">
        <v>4834</v>
      </c>
      <c r="P4366" t="s">
        <v>4779</v>
      </c>
      <c r="Q4366" t="s">
        <v>4901</v>
      </c>
      <c r="R4366" t="s">
        <v>4773</v>
      </c>
    </row>
    <row r="4367" spans="1:18" x14ac:dyDescent="0.3">
      <c r="A4367">
        <v>202532092</v>
      </c>
      <c r="B4367" t="s">
        <v>1034</v>
      </c>
      <c r="C4367" t="s">
        <v>522</v>
      </c>
      <c r="D4367" t="s">
        <v>50</v>
      </c>
      <c r="E4367" s="1">
        <v>45721</v>
      </c>
      <c r="F4367" t="s">
        <v>4352</v>
      </c>
      <c r="G4367" t="s">
        <v>1491</v>
      </c>
      <c r="H4367" t="s">
        <v>521</v>
      </c>
      <c r="I4367" t="s">
        <v>204</v>
      </c>
      <c r="J4367" s="1">
        <v>46387</v>
      </c>
      <c r="K4367" t="s">
        <v>717</v>
      </c>
      <c r="L4367">
        <v>547.27</v>
      </c>
      <c r="M4367">
        <v>547.27</v>
      </c>
      <c r="N4367" t="s">
        <v>884</v>
      </c>
      <c r="O4367" t="s">
        <v>1037</v>
      </c>
      <c r="P4367" t="s">
        <v>4776</v>
      </c>
      <c r="Q4367" t="s">
        <v>4852</v>
      </c>
      <c r="R4367" t="s">
        <v>4773</v>
      </c>
    </row>
    <row r="4368" spans="1:18" x14ac:dyDescent="0.3">
      <c r="A4368">
        <v>3755411</v>
      </c>
      <c r="B4368" t="s">
        <v>1034</v>
      </c>
      <c r="C4368" t="s">
        <v>417</v>
      </c>
      <c r="D4368" t="s">
        <v>185</v>
      </c>
      <c r="E4368" s="1">
        <v>45721</v>
      </c>
      <c r="F4368" t="s">
        <v>4335</v>
      </c>
      <c r="G4368" t="s">
        <v>1499</v>
      </c>
      <c r="H4368" t="s">
        <v>416</v>
      </c>
      <c r="I4368" t="s">
        <v>204</v>
      </c>
      <c r="J4368" s="1">
        <v>54878</v>
      </c>
      <c r="K4368" t="s">
        <v>717</v>
      </c>
      <c r="L4368">
        <v>663.19</v>
      </c>
      <c r="M4368">
        <v>663.19</v>
      </c>
      <c r="N4368" t="s">
        <v>710</v>
      </c>
      <c r="O4368" t="s">
        <v>1037</v>
      </c>
      <c r="P4368" t="s">
        <v>4780</v>
      </c>
      <c r="Q4368" t="s">
        <v>4852</v>
      </c>
      <c r="R4368" t="s">
        <v>4771</v>
      </c>
    </row>
    <row r="4369" spans="1:18" x14ac:dyDescent="0.3">
      <c r="A4369">
        <v>286</v>
      </c>
      <c r="B4369" t="s">
        <v>1034</v>
      </c>
      <c r="C4369" t="s">
        <v>479</v>
      </c>
      <c r="D4369" t="s">
        <v>99</v>
      </c>
      <c r="E4369" s="1">
        <v>45720</v>
      </c>
      <c r="F4369" t="s">
        <v>4312</v>
      </c>
      <c r="G4369" t="s">
        <v>1493</v>
      </c>
      <c r="H4369" t="s">
        <v>478</v>
      </c>
      <c r="I4369" t="s">
        <v>204</v>
      </c>
      <c r="J4369" s="1">
        <v>46239</v>
      </c>
      <c r="K4369" t="s">
        <v>717</v>
      </c>
      <c r="L4369">
        <v>124</v>
      </c>
      <c r="M4369">
        <v>546.84</v>
      </c>
      <c r="N4369" t="s">
        <v>710</v>
      </c>
      <c r="O4369" t="s">
        <v>1037</v>
      </c>
      <c r="P4369" t="s">
        <v>4790</v>
      </c>
      <c r="Q4369" t="s">
        <v>4852</v>
      </c>
      <c r="R4369" t="s">
        <v>4772</v>
      </c>
    </row>
    <row r="4370" spans="1:18" x14ac:dyDescent="0.3">
      <c r="A4370">
        <v>286</v>
      </c>
      <c r="B4370" t="s">
        <v>1034</v>
      </c>
      <c r="C4370" t="s">
        <v>479</v>
      </c>
      <c r="D4370" t="s">
        <v>99</v>
      </c>
      <c r="E4370" s="1">
        <v>45720</v>
      </c>
      <c r="F4370" t="s">
        <v>4307</v>
      </c>
      <c r="G4370" t="s">
        <v>1493</v>
      </c>
      <c r="H4370" t="s">
        <v>478</v>
      </c>
      <c r="I4370" t="s">
        <v>204</v>
      </c>
      <c r="J4370" s="1">
        <v>46239</v>
      </c>
      <c r="K4370" t="s">
        <v>717</v>
      </c>
      <c r="L4370">
        <v>4777</v>
      </c>
      <c r="M4370">
        <v>54218.95</v>
      </c>
      <c r="N4370" t="s">
        <v>710</v>
      </c>
      <c r="O4370" t="s">
        <v>1037</v>
      </c>
      <c r="P4370" t="s">
        <v>4790</v>
      </c>
      <c r="Q4370" t="s">
        <v>4852</v>
      </c>
      <c r="R4370" t="s">
        <v>4772</v>
      </c>
    </row>
    <row r="4371" spans="1:18" x14ac:dyDescent="0.3">
      <c r="A4371">
        <v>286</v>
      </c>
      <c r="B4371" t="s">
        <v>1034</v>
      </c>
      <c r="C4371" t="s">
        <v>479</v>
      </c>
      <c r="D4371" t="s">
        <v>99</v>
      </c>
      <c r="E4371" s="1">
        <v>45720</v>
      </c>
      <c r="F4371" t="s">
        <v>4311</v>
      </c>
      <c r="G4371" t="s">
        <v>1493</v>
      </c>
      <c r="H4371" t="s">
        <v>478</v>
      </c>
      <c r="I4371" t="s">
        <v>204</v>
      </c>
      <c r="J4371" s="1">
        <v>46239</v>
      </c>
      <c r="K4371" t="s">
        <v>717</v>
      </c>
      <c r="L4371">
        <v>343</v>
      </c>
      <c r="M4371">
        <v>2716.56</v>
      </c>
      <c r="N4371" t="s">
        <v>710</v>
      </c>
      <c r="O4371" t="s">
        <v>1037</v>
      </c>
      <c r="P4371" t="s">
        <v>4790</v>
      </c>
      <c r="Q4371" t="s">
        <v>4852</v>
      </c>
      <c r="R4371" t="s">
        <v>4772</v>
      </c>
    </row>
    <row r="4372" spans="1:18" x14ac:dyDescent="0.3">
      <c r="A4372">
        <v>286</v>
      </c>
      <c r="B4372" t="s">
        <v>1034</v>
      </c>
      <c r="C4372" t="s">
        <v>479</v>
      </c>
      <c r="D4372" t="s">
        <v>99</v>
      </c>
      <c r="E4372" s="1">
        <v>45720</v>
      </c>
      <c r="F4372" t="s">
        <v>4308</v>
      </c>
      <c r="G4372" t="s">
        <v>1493</v>
      </c>
      <c r="H4372" t="s">
        <v>478</v>
      </c>
      <c r="I4372" t="s">
        <v>204</v>
      </c>
      <c r="J4372" s="1">
        <v>46239</v>
      </c>
      <c r="K4372" t="s">
        <v>717</v>
      </c>
      <c r="L4372">
        <v>2978</v>
      </c>
      <c r="M4372">
        <v>10959.04</v>
      </c>
      <c r="N4372" t="s">
        <v>710</v>
      </c>
      <c r="O4372" t="s">
        <v>1037</v>
      </c>
      <c r="P4372" t="s">
        <v>4790</v>
      </c>
      <c r="Q4372" t="s">
        <v>4852</v>
      </c>
      <c r="R4372" t="s">
        <v>4772</v>
      </c>
    </row>
    <row r="4373" spans="1:18" x14ac:dyDescent="0.3">
      <c r="A4373">
        <v>286</v>
      </c>
      <c r="B4373" t="s">
        <v>1034</v>
      </c>
      <c r="C4373" t="s">
        <v>479</v>
      </c>
      <c r="D4373" t="s">
        <v>99</v>
      </c>
      <c r="E4373" s="1">
        <v>45720</v>
      </c>
      <c r="F4373" t="s">
        <v>4312</v>
      </c>
      <c r="G4373" t="s">
        <v>1493</v>
      </c>
      <c r="H4373" t="s">
        <v>478</v>
      </c>
      <c r="I4373" t="s">
        <v>204</v>
      </c>
      <c r="J4373" s="1">
        <v>46239</v>
      </c>
      <c r="K4373" t="s">
        <v>717</v>
      </c>
      <c r="L4373">
        <v>40</v>
      </c>
      <c r="M4373">
        <v>419.6</v>
      </c>
      <c r="N4373" t="s">
        <v>710</v>
      </c>
      <c r="O4373" t="s">
        <v>1037</v>
      </c>
      <c r="P4373" t="s">
        <v>4790</v>
      </c>
      <c r="Q4373" t="s">
        <v>4852</v>
      </c>
      <c r="R4373" t="s">
        <v>4772</v>
      </c>
    </row>
    <row r="4374" spans="1:18" x14ac:dyDescent="0.3">
      <c r="A4374">
        <v>286</v>
      </c>
      <c r="B4374" t="s">
        <v>1034</v>
      </c>
      <c r="C4374" t="s">
        <v>479</v>
      </c>
      <c r="D4374" t="s">
        <v>99</v>
      </c>
      <c r="E4374" s="1">
        <v>45720</v>
      </c>
      <c r="F4374" t="s">
        <v>4310</v>
      </c>
      <c r="G4374" t="s">
        <v>1493</v>
      </c>
      <c r="H4374" t="s">
        <v>478</v>
      </c>
      <c r="I4374" t="s">
        <v>204</v>
      </c>
      <c r="J4374" s="1">
        <v>46239</v>
      </c>
      <c r="K4374" t="s">
        <v>717</v>
      </c>
      <c r="L4374">
        <v>79</v>
      </c>
      <c r="M4374">
        <v>260.7</v>
      </c>
      <c r="N4374" t="s">
        <v>710</v>
      </c>
      <c r="O4374" t="s">
        <v>1037</v>
      </c>
      <c r="P4374" t="s">
        <v>4790</v>
      </c>
      <c r="Q4374" t="s">
        <v>4852</v>
      </c>
      <c r="R4374" t="s">
        <v>4772</v>
      </c>
    </row>
    <row r="4375" spans="1:18" x14ac:dyDescent="0.3">
      <c r="A4375">
        <v>33887</v>
      </c>
      <c r="B4375" t="s">
        <v>4875</v>
      </c>
      <c r="C4375" t="s">
        <v>530</v>
      </c>
      <c r="D4375" t="s">
        <v>24</v>
      </c>
      <c r="E4375" s="1">
        <v>45716</v>
      </c>
      <c r="F4375" t="s">
        <v>4297</v>
      </c>
      <c r="G4375" t="s">
        <v>1477</v>
      </c>
      <c r="H4375" t="s">
        <v>529</v>
      </c>
      <c r="I4375" t="s">
        <v>204</v>
      </c>
      <c r="J4375" s="1">
        <v>46477</v>
      </c>
      <c r="K4375" t="s">
        <v>748</v>
      </c>
      <c r="L4375">
        <v>1</v>
      </c>
      <c r="M4375">
        <v>6498</v>
      </c>
      <c r="N4375" t="s">
        <v>710</v>
      </c>
      <c r="O4375" t="s">
        <v>1040</v>
      </c>
      <c r="P4375" t="s">
        <v>4779</v>
      </c>
      <c r="Q4375" t="s">
        <v>4856</v>
      </c>
      <c r="R4375" t="s">
        <v>4773</v>
      </c>
    </row>
    <row r="4376" spans="1:18" x14ac:dyDescent="0.3">
      <c r="A4376">
        <v>4167</v>
      </c>
      <c r="B4376" t="s">
        <v>4875</v>
      </c>
      <c r="C4376" t="s">
        <v>319</v>
      </c>
      <c r="D4376" t="s">
        <v>36</v>
      </c>
      <c r="E4376" s="1">
        <v>45716</v>
      </c>
      <c r="F4376" t="s">
        <v>4434</v>
      </c>
      <c r="G4376" t="s">
        <v>1476</v>
      </c>
      <c r="H4376" t="s">
        <v>336</v>
      </c>
      <c r="I4376" t="s">
        <v>204</v>
      </c>
      <c r="J4376" s="1">
        <v>46075</v>
      </c>
      <c r="K4376" t="s">
        <v>748</v>
      </c>
      <c r="L4376">
        <v>12958.34</v>
      </c>
      <c r="M4376">
        <v>12958.34</v>
      </c>
      <c r="N4376" t="s">
        <v>710</v>
      </c>
      <c r="O4376" t="s">
        <v>1040</v>
      </c>
      <c r="P4376" t="s">
        <v>4784</v>
      </c>
      <c r="Q4376" t="s">
        <v>4856</v>
      </c>
      <c r="R4376" t="s">
        <v>4771</v>
      </c>
    </row>
    <row r="4377" spans="1:18" x14ac:dyDescent="0.3">
      <c r="A4377">
        <v>115470</v>
      </c>
      <c r="B4377" t="s">
        <v>4874</v>
      </c>
      <c r="C4377" t="s">
        <v>239</v>
      </c>
      <c r="D4377" t="s">
        <v>199</v>
      </c>
      <c r="E4377" s="1">
        <v>45716</v>
      </c>
      <c r="F4377" t="s">
        <v>4325</v>
      </c>
      <c r="G4377" t="s">
        <v>1480</v>
      </c>
      <c r="H4377" t="s">
        <v>268</v>
      </c>
      <c r="I4377" t="s">
        <v>204</v>
      </c>
      <c r="J4377" s="1">
        <v>46172</v>
      </c>
      <c r="K4377" t="s">
        <v>720</v>
      </c>
      <c r="L4377">
        <v>1</v>
      </c>
      <c r="M4377">
        <v>109.9</v>
      </c>
      <c r="N4377" t="s">
        <v>710</v>
      </c>
      <c r="O4377" t="s">
        <v>1038</v>
      </c>
      <c r="P4377" t="s">
        <v>4779</v>
      </c>
      <c r="Q4377" t="s">
        <v>4858</v>
      </c>
      <c r="R4377" t="s">
        <v>4771</v>
      </c>
    </row>
    <row r="4378" spans="1:18" x14ac:dyDescent="0.3">
      <c r="A4378">
        <v>692000</v>
      </c>
      <c r="B4378" t="s">
        <v>4874</v>
      </c>
      <c r="C4378" t="s">
        <v>397</v>
      </c>
      <c r="D4378" t="s">
        <v>161</v>
      </c>
      <c r="E4378" s="1">
        <v>45716</v>
      </c>
      <c r="F4378" t="s">
        <v>4323</v>
      </c>
      <c r="G4378" t="s">
        <v>1472</v>
      </c>
      <c r="H4378" t="s">
        <v>482</v>
      </c>
      <c r="I4378" t="s">
        <v>209</v>
      </c>
      <c r="J4378" s="1">
        <v>54878</v>
      </c>
      <c r="K4378" t="s">
        <v>762</v>
      </c>
      <c r="L4378">
        <v>3753.94</v>
      </c>
      <c r="M4378">
        <v>3753.94</v>
      </c>
      <c r="N4378" t="s">
        <v>710</v>
      </c>
      <c r="Q4378" t="s">
        <v>4852</v>
      </c>
      <c r="R4378" t="s">
        <v>4772</v>
      </c>
    </row>
    <row r="4379" spans="1:18" x14ac:dyDescent="0.3">
      <c r="A4379">
        <v>45908</v>
      </c>
      <c r="B4379" t="s">
        <v>4874</v>
      </c>
      <c r="C4379" t="s">
        <v>514</v>
      </c>
      <c r="D4379" t="s">
        <v>47</v>
      </c>
      <c r="E4379" s="1">
        <v>45716</v>
      </c>
      <c r="F4379" t="s">
        <v>4362</v>
      </c>
      <c r="G4379" t="s">
        <v>1267</v>
      </c>
      <c r="H4379" t="s">
        <v>513</v>
      </c>
      <c r="I4379" t="s">
        <v>204</v>
      </c>
      <c r="J4379" s="1">
        <v>46386</v>
      </c>
      <c r="K4379" t="s">
        <v>762</v>
      </c>
      <c r="L4379">
        <v>6294</v>
      </c>
      <c r="M4379">
        <v>6293.37</v>
      </c>
      <c r="N4379" t="s">
        <v>710</v>
      </c>
      <c r="O4379" t="s">
        <v>4833</v>
      </c>
      <c r="P4379" t="s">
        <v>4779</v>
      </c>
      <c r="Q4379" t="s">
        <v>4852</v>
      </c>
    </row>
    <row r="4380" spans="1:18" x14ac:dyDescent="0.3">
      <c r="A4380">
        <v>693006</v>
      </c>
      <c r="B4380" t="s">
        <v>1034</v>
      </c>
      <c r="C4380" t="s">
        <v>397</v>
      </c>
      <c r="D4380" t="s">
        <v>161</v>
      </c>
      <c r="E4380" s="1">
        <v>45716</v>
      </c>
      <c r="F4380" t="s">
        <v>4323</v>
      </c>
      <c r="G4380" t="s">
        <v>1471</v>
      </c>
      <c r="H4380" t="s">
        <v>489</v>
      </c>
      <c r="I4380" t="s">
        <v>209</v>
      </c>
      <c r="J4380" s="1">
        <v>54878</v>
      </c>
      <c r="K4380" t="s">
        <v>717</v>
      </c>
      <c r="L4380">
        <v>204.98</v>
      </c>
      <c r="M4380">
        <v>204.98</v>
      </c>
      <c r="N4380" t="s">
        <v>710</v>
      </c>
      <c r="Q4380" t="s">
        <v>4852</v>
      </c>
      <c r="R4380" t="s">
        <v>4772</v>
      </c>
    </row>
    <row r="4381" spans="1:18" x14ac:dyDescent="0.3">
      <c r="A4381">
        <v>4646336</v>
      </c>
      <c r="B4381" t="s">
        <v>1034</v>
      </c>
      <c r="C4381" t="s">
        <v>463</v>
      </c>
      <c r="D4381" t="s">
        <v>147</v>
      </c>
      <c r="E4381" s="1">
        <v>45716</v>
      </c>
      <c r="F4381" t="s">
        <v>4334</v>
      </c>
      <c r="G4381" t="s">
        <v>1492</v>
      </c>
      <c r="H4381" t="s">
        <v>462</v>
      </c>
      <c r="I4381" t="s">
        <v>204</v>
      </c>
      <c r="J4381" s="1">
        <v>46752</v>
      </c>
      <c r="K4381" t="s">
        <v>717</v>
      </c>
      <c r="L4381">
        <v>955.97</v>
      </c>
      <c r="M4381">
        <v>955.97</v>
      </c>
      <c r="N4381" t="s">
        <v>719</v>
      </c>
      <c r="O4381" t="s">
        <v>1033</v>
      </c>
      <c r="P4381" t="s">
        <v>4776</v>
      </c>
      <c r="Q4381" t="s">
        <v>4852</v>
      </c>
      <c r="R4381" t="s">
        <v>4771</v>
      </c>
    </row>
    <row r="4382" spans="1:18" x14ac:dyDescent="0.3">
      <c r="A4382">
        <v>4561</v>
      </c>
      <c r="B4382" t="s">
        <v>1034</v>
      </c>
      <c r="C4382" t="s">
        <v>319</v>
      </c>
      <c r="D4382" t="s">
        <v>36</v>
      </c>
      <c r="E4382" s="1">
        <v>45716</v>
      </c>
      <c r="F4382" t="s">
        <v>4298</v>
      </c>
      <c r="G4382" t="s">
        <v>1478</v>
      </c>
      <c r="H4382" t="s">
        <v>318</v>
      </c>
      <c r="I4382" t="s">
        <v>204</v>
      </c>
      <c r="J4382" s="1">
        <v>46214</v>
      </c>
      <c r="K4382" t="s">
        <v>711</v>
      </c>
      <c r="L4382">
        <v>1848</v>
      </c>
      <c r="M4382">
        <v>1848.47</v>
      </c>
      <c r="N4382" t="s">
        <v>710</v>
      </c>
      <c r="O4382" t="s">
        <v>1036</v>
      </c>
      <c r="P4382" t="s">
        <v>4784</v>
      </c>
      <c r="Q4382" t="s">
        <v>4901</v>
      </c>
      <c r="R4382" t="s">
        <v>4771</v>
      </c>
    </row>
    <row r="4383" spans="1:18" x14ac:dyDescent="0.3">
      <c r="A4383">
        <v>4170</v>
      </c>
      <c r="B4383" t="s">
        <v>1034</v>
      </c>
      <c r="C4383" t="s">
        <v>319</v>
      </c>
      <c r="D4383" t="s">
        <v>36</v>
      </c>
      <c r="E4383" s="1">
        <v>45716</v>
      </c>
      <c r="F4383" t="s">
        <v>4298</v>
      </c>
      <c r="G4383" t="s">
        <v>1465</v>
      </c>
      <c r="H4383" t="s">
        <v>318</v>
      </c>
      <c r="I4383" t="s">
        <v>204</v>
      </c>
      <c r="J4383" s="1">
        <v>46214</v>
      </c>
      <c r="K4383" t="s">
        <v>711</v>
      </c>
      <c r="L4383">
        <v>1561</v>
      </c>
      <c r="M4383">
        <v>1561.27</v>
      </c>
      <c r="N4383" t="s">
        <v>710</v>
      </c>
      <c r="O4383" t="s">
        <v>1036</v>
      </c>
      <c r="P4383" t="s">
        <v>4784</v>
      </c>
      <c r="Q4383" t="s">
        <v>4901</v>
      </c>
      <c r="R4383" t="s">
        <v>4771</v>
      </c>
    </row>
    <row r="4384" spans="1:18" x14ac:dyDescent="0.3">
      <c r="A4384">
        <v>40998</v>
      </c>
      <c r="B4384" t="s">
        <v>4875</v>
      </c>
      <c r="C4384" t="s">
        <v>327</v>
      </c>
      <c r="D4384" t="s">
        <v>159</v>
      </c>
      <c r="E4384" s="1">
        <v>45715</v>
      </c>
      <c r="F4384" t="s">
        <v>4295</v>
      </c>
      <c r="G4384" t="s">
        <v>1447</v>
      </c>
      <c r="H4384" t="s">
        <v>326</v>
      </c>
      <c r="I4384" t="s">
        <v>204</v>
      </c>
      <c r="J4384" s="1">
        <v>54878</v>
      </c>
      <c r="K4384" t="s">
        <v>748</v>
      </c>
      <c r="L4384">
        <v>2150</v>
      </c>
      <c r="M4384">
        <v>2150</v>
      </c>
      <c r="N4384" t="s">
        <v>719</v>
      </c>
      <c r="O4384" t="s">
        <v>4834</v>
      </c>
      <c r="P4384" t="s">
        <v>4776</v>
      </c>
      <c r="Q4384" t="s">
        <v>4856</v>
      </c>
      <c r="R4384" t="s">
        <v>4773</v>
      </c>
    </row>
    <row r="4385" spans="1:18" x14ac:dyDescent="0.3">
      <c r="A4385">
        <v>2284</v>
      </c>
      <c r="B4385" t="s">
        <v>4875</v>
      </c>
      <c r="C4385" t="s">
        <v>278</v>
      </c>
      <c r="D4385" t="s">
        <v>17</v>
      </c>
      <c r="E4385" s="1">
        <v>45715</v>
      </c>
      <c r="F4385" t="s">
        <v>4340</v>
      </c>
      <c r="G4385" t="s">
        <v>1449</v>
      </c>
      <c r="H4385" t="s">
        <v>277</v>
      </c>
      <c r="I4385" t="s">
        <v>204</v>
      </c>
      <c r="J4385" s="1">
        <v>54878</v>
      </c>
      <c r="K4385" t="s">
        <v>748</v>
      </c>
      <c r="L4385">
        <v>600</v>
      </c>
      <c r="M4385">
        <v>600</v>
      </c>
      <c r="N4385" t="s">
        <v>710</v>
      </c>
      <c r="O4385" t="s">
        <v>1040</v>
      </c>
      <c r="P4385" t="s">
        <v>4776</v>
      </c>
      <c r="Q4385" t="s">
        <v>4856</v>
      </c>
      <c r="R4385" t="s">
        <v>4771</v>
      </c>
    </row>
    <row r="4386" spans="1:18" x14ac:dyDescent="0.3">
      <c r="A4386">
        <v>392795</v>
      </c>
      <c r="B4386" t="s">
        <v>4874</v>
      </c>
      <c r="C4386" t="s">
        <v>598</v>
      </c>
      <c r="D4386" t="s">
        <v>128</v>
      </c>
      <c r="E4386" s="1">
        <v>45715</v>
      </c>
      <c r="F4386" t="s">
        <v>4336</v>
      </c>
      <c r="G4386" t="s">
        <v>1483</v>
      </c>
      <c r="H4386" t="s">
        <v>599</v>
      </c>
      <c r="I4386" t="s">
        <v>204</v>
      </c>
      <c r="J4386" s="1">
        <v>45869</v>
      </c>
      <c r="K4386" t="s">
        <v>762</v>
      </c>
      <c r="L4386">
        <v>3649.05</v>
      </c>
      <c r="M4386">
        <v>3649.05</v>
      </c>
      <c r="N4386" t="s">
        <v>710</v>
      </c>
      <c r="O4386" t="s">
        <v>1037</v>
      </c>
      <c r="P4386" t="s">
        <v>4794</v>
      </c>
      <c r="Q4386" t="s">
        <v>4852</v>
      </c>
      <c r="R4386" t="s">
        <v>4772</v>
      </c>
    </row>
    <row r="4387" spans="1:18" x14ac:dyDescent="0.3">
      <c r="A4387">
        <v>392803</v>
      </c>
      <c r="B4387" t="s">
        <v>1034</v>
      </c>
      <c r="C4387" t="s">
        <v>598</v>
      </c>
      <c r="D4387" t="s">
        <v>128</v>
      </c>
      <c r="E4387" s="1">
        <v>45715</v>
      </c>
      <c r="F4387" t="s">
        <v>4336</v>
      </c>
      <c r="G4387" t="s">
        <v>1482</v>
      </c>
      <c r="H4387" t="s">
        <v>597</v>
      </c>
      <c r="I4387" t="s">
        <v>204</v>
      </c>
      <c r="J4387" s="1">
        <v>45839</v>
      </c>
      <c r="K4387" t="s">
        <v>717</v>
      </c>
      <c r="L4387">
        <v>5092.16</v>
      </c>
      <c r="M4387">
        <v>5092.16</v>
      </c>
      <c r="N4387" t="s">
        <v>710</v>
      </c>
      <c r="O4387" t="s">
        <v>1037</v>
      </c>
      <c r="P4387" t="s">
        <v>4794</v>
      </c>
      <c r="Q4387" t="s">
        <v>4852</v>
      </c>
      <c r="R4387" t="s">
        <v>4772</v>
      </c>
    </row>
    <row r="4388" spans="1:18" x14ac:dyDescent="0.3">
      <c r="A4388">
        <v>392240</v>
      </c>
      <c r="B4388" t="s">
        <v>1034</v>
      </c>
      <c r="C4388" t="s">
        <v>594</v>
      </c>
      <c r="D4388" t="s">
        <v>27</v>
      </c>
      <c r="E4388" s="1">
        <v>45715</v>
      </c>
      <c r="F4388" t="s">
        <v>4323</v>
      </c>
      <c r="G4388" t="s">
        <v>1455</v>
      </c>
      <c r="H4388" t="s">
        <v>595</v>
      </c>
      <c r="I4388" t="s">
        <v>204</v>
      </c>
      <c r="J4388" s="1">
        <v>46204</v>
      </c>
      <c r="K4388" t="s">
        <v>717</v>
      </c>
      <c r="L4388">
        <v>59001.74</v>
      </c>
      <c r="M4388">
        <v>59001.74</v>
      </c>
      <c r="N4388" t="s">
        <v>814</v>
      </c>
      <c r="O4388" t="s">
        <v>1037</v>
      </c>
      <c r="P4388" t="s">
        <v>4794</v>
      </c>
      <c r="Q4388" t="s">
        <v>4852</v>
      </c>
      <c r="R4388" t="s">
        <v>4772</v>
      </c>
    </row>
    <row r="4389" spans="1:18" x14ac:dyDescent="0.3">
      <c r="A4389">
        <v>2025186</v>
      </c>
      <c r="B4389" t="s">
        <v>1034</v>
      </c>
      <c r="C4389" t="s">
        <v>550</v>
      </c>
      <c r="D4389" t="s">
        <v>189</v>
      </c>
      <c r="E4389" s="1">
        <v>45715</v>
      </c>
      <c r="F4389" t="s">
        <v>4338</v>
      </c>
      <c r="G4389" t="s">
        <v>1415</v>
      </c>
      <c r="H4389" t="s">
        <v>582</v>
      </c>
      <c r="I4389" t="s">
        <v>204</v>
      </c>
      <c r="J4389" s="1">
        <v>46599</v>
      </c>
      <c r="K4389" t="s">
        <v>717</v>
      </c>
      <c r="L4389">
        <v>25574.29</v>
      </c>
      <c r="M4389">
        <v>25574.29</v>
      </c>
      <c r="N4389" t="s">
        <v>710</v>
      </c>
      <c r="O4389" t="s">
        <v>4904</v>
      </c>
      <c r="P4389" t="s">
        <v>4792</v>
      </c>
      <c r="Q4389" t="s">
        <v>4904</v>
      </c>
      <c r="R4389" t="s">
        <v>4772</v>
      </c>
    </row>
    <row r="4390" spans="1:18" x14ac:dyDescent="0.3">
      <c r="A4390">
        <v>66809</v>
      </c>
      <c r="B4390" t="s">
        <v>4875</v>
      </c>
      <c r="C4390" t="s">
        <v>338</v>
      </c>
      <c r="D4390" t="s">
        <v>31</v>
      </c>
      <c r="E4390" s="1">
        <v>45715</v>
      </c>
      <c r="F4390" t="s">
        <v>4299</v>
      </c>
      <c r="G4390" t="s">
        <v>1301</v>
      </c>
      <c r="H4390" t="s">
        <v>353</v>
      </c>
      <c r="I4390" t="s">
        <v>204</v>
      </c>
      <c r="J4390" s="1">
        <v>54878</v>
      </c>
      <c r="K4390" t="s">
        <v>748</v>
      </c>
      <c r="L4390">
        <v>5671</v>
      </c>
      <c r="M4390">
        <v>5671.09</v>
      </c>
      <c r="N4390" t="s">
        <v>710</v>
      </c>
      <c r="O4390" t="s">
        <v>1040</v>
      </c>
      <c r="P4390" t="s">
        <v>4785</v>
      </c>
      <c r="Q4390" t="s">
        <v>4856</v>
      </c>
      <c r="R4390" t="s">
        <v>4773</v>
      </c>
    </row>
    <row r="4391" spans="1:18" x14ac:dyDescent="0.3">
      <c r="A4391">
        <v>392811</v>
      </c>
      <c r="B4391" t="s">
        <v>4875</v>
      </c>
      <c r="C4391" t="s">
        <v>598</v>
      </c>
      <c r="D4391" t="s">
        <v>128</v>
      </c>
      <c r="E4391" s="1">
        <v>45715</v>
      </c>
      <c r="F4391" t="s">
        <v>4336</v>
      </c>
      <c r="G4391" t="s">
        <v>1481</v>
      </c>
      <c r="H4391" t="s">
        <v>600</v>
      </c>
      <c r="I4391" t="s">
        <v>204</v>
      </c>
      <c r="J4391" s="1">
        <v>45869</v>
      </c>
      <c r="K4391" t="s">
        <v>768</v>
      </c>
      <c r="L4391">
        <v>1001.34</v>
      </c>
      <c r="M4391">
        <v>1001.34</v>
      </c>
      <c r="N4391" t="s">
        <v>710</v>
      </c>
      <c r="O4391" t="s">
        <v>1037</v>
      </c>
      <c r="P4391" t="s">
        <v>4794</v>
      </c>
      <c r="Q4391" t="s">
        <v>4852</v>
      </c>
      <c r="R4391" t="s">
        <v>4772</v>
      </c>
    </row>
    <row r="4392" spans="1:18" x14ac:dyDescent="0.3">
      <c r="A4392">
        <v>40997</v>
      </c>
      <c r="B4392" t="s">
        <v>4875</v>
      </c>
      <c r="C4392" t="s">
        <v>327</v>
      </c>
      <c r="D4392" t="s">
        <v>159</v>
      </c>
      <c r="E4392" s="1">
        <v>45714</v>
      </c>
      <c r="F4392" t="s">
        <v>4295</v>
      </c>
      <c r="G4392" t="s">
        <v>1446</v>
      </c>
      <c r="H4392" t="s">
        <v>326</v>
      </c>
      <c r="I4392" t="s">
        <v>204</v>
      </c>
      <c r="J4392" s="1">
        <v>54878</v>
      </c>
      <c r="K4392" t="s">
        <v>748</v>
      </c>
      <c r="L4392">
        <v>2960.18</v>
      </c>
      <c r="M4392">
        <v>2960.18</v>
      </c>
      <c r="N4392" t="s">
        <v>719</v>
      </c>
      <c r="O4392" t="s">
        <v>4834</v>
      </c>
      <c r="P4392" t="s">
        <v>4776</v>
      </c>
      <c r="Q4392" t="s">
        <v>4856</v>
      </c>
      <c r="R4392" t="s">
        <v>4773</v>
      </c>
    </row>
    <row r="4393" spans="1:18" x14ac:dyDescent="0.3">
      <c r="A4393">
        <v>180440140</v>
      </c>
      <c r="B4393" t="s">
        <v>4875</v>
      </c>
      <c r="C4393" t="s">
        <v>585</v>
      </c>
      <c r="D4393" t="s">
        <v>179</v>
      </c>
      <c r="E4393" s="1">
        <v>45714</v>
      </c>
      <c r="F4393" t="s">
        <v>4306</v>
      </c>
      <c r="G4393" t="s">
        <v>1433</v>
      </c>
      <c r="H4393" t="s">
        <v>586</v>
      </c>
      <c r="I4393" t="s">
        <v>204</v>
      </c>
      <c r="J4393" s="1">
        <v>46477</v>
      </c>
      <c r="K4393" t="s">
        <v>768</v>
      </c>
      <c r="L4393">
        <v>1140</v>
      </c>
      <c r="M4393">
        <v>1139.9000000000001</v>
      </c>
      <c r="N4393" t="s">
        <v>719</v>
      </c>
      <c r="O4393" t="s">
        <v>4833</v>
      </c>
      <c r="P4393" t="s">
        <v>4786</v>
      </c>
      <c r="Q4393" t="s">
        <v>4852</v>
      </c>
      <c r="R4393" t="s">
        <v>4771</v>
      </c>
    </row>
    <row r="4394" spans="1:18" x14ac:dyDescent="0.3">
      <c r="A4394">
        <v>8058</v>
      </c>
      <c r="B4394" t="s">
        <v>1034</v>
      </c>
      <c r="C4394" t="s">
        <v>267</v>
      </c>
      <c r="D4394" t="s">
        <v>186</v>
      </c>
      <c r="E4394" s="1">
        <v>45714</v>
      </c>
      <c r="F4394" t="s">
        <v>4350</v>
      </c>
      <c r="G4394" t="s">
        <v>1441</v>
      </c>
      <c r="H4394" t="s">
        <v>266</v>
      </c>
      <c r="I4394" t="s">
        <v>204</v>
      </c>
      <c r="J4394" s="1">
        <v>46259</v>
      </c>
      <c r="K4394" t="s">
        <v>717</v>
      </c>
      <c r="L4394">
        <v>20400</v>
      </c>
      <c r="M4394">
        <v>20400</v>
      </c>
      <c r="N4394" t="s">
        <v>710</v>
      </c>
      <c r="O4394" t="s">
        <v>1037</v>
      </c>
      <c r="P4394" t="s">
        <v>4780</v>
      </c>
      <c r="Q4394" t="s">
        <v>4852</v>
      </c>
      <c r="R4394" t="s">
        <v>4772</v>
      </c>
    </row>
    <row r="4395" spans="1:18" x14ac:dyDescent="0.3">
      <c r="A4395">
        <v>180440139</v>
      </c>
      <c r="B4395" t="s">
        <v>1034</v>
      </c>
      <c r="C4395" t="s">
        <v>585</v>
      </c>
      <c r="D4395" t="s">
        <v>179</v>
      </c>
      <c r="E4395" s="1">
        <v>45714</v>
      </c>
      <c r="F4395" t="s">
        <v>4306</v>
      </c>
      <c r="G4395" t="s">
        <v>1432</v>
      </c>
      <c r="H4395" t="s">
        <v>584</v>
      </c>
      <c r="I4395" t="s">
        <v>204</v>
      </c>
      <c r="J4395" s="1">
        <v>46477</v>
      </c>
      <c r="K4395" t="s">
        <v>717</v>
      </c>
      <c r="L4395">
        <v>1140</v>
      </c>
      <c r="M4395">
        <v>1139.9000000000001</v>
      </c>
      <c r="N4395" t="s">
        <v>719</v>
      </c>
      <c r="O4395" t="s">
        <v>4833</v>
      </c>
      <c r="P4395" t="s">
        <v>4786</v>
      </c>
      <c r="Q4395" t="s">
        <v>4852</v>
      </c>
      <c r="R4395" t="s">
        <v>4771</v>
      </c>
    </row>
    <row r="4396" spans="1:18" x14ac:dyDescent="0.3">
      <c r="A4396">
        <v>1416</v>
      </c>
      <c r="B4396" t="s">
        <v>1034</v>
      </c>
      <c r="C4396" t="s">
        <v>449</v>
      </c>
      <c r="D4396" t="s">
        <v>20</v>
      </c>
      <c r="E4396" s="1">
        <v>45714</v>
      </c>
      <c r="F4396" t="s">
        <v>4331</v>
      </c>
      <c r="G4396" t="s">
        <v>1473</v>
      </c>
      <c r="H4396" t="s">
        <v>448</v>
      </c>
      <c r="I4396" t="s">
        <v>204</v>
      </c>
      <c r="J4396" s="1">
        <v>46219</v>
      </c>
      <c r="K4396" t="s">
        <v>717</v>
      </c>
      <c r="L4396">
        <v>7686.86</v>
      </c>
      <c r="M4396">
        <v>7686.86</v>
      </c>
      <c r="N4396" t="s">
        <v>710</v>
      </c>
      <c r="O4396" t="s">
        <v>4902</v>
      </c>
      <c r="P4396" t="s">
        <v>4776</v>
      </c>
      <c r="Q4396" t="s">
        <v>4852</v>
      </c>
      <c r="R4396" t="s">
        <v>4771</v>
      </c>
    </row>
    <row r="4397" spans="1:18" x14ac:dyDescent="0.3">
      <c r="A4397">
        <v>8057</v>
      </c>
      <c r="B4397" t="s">
        <v>1034</v>
      </c>
      <c r="C4397" t="s">
        <v>267</v>
      </c>
      <c r="D4397" t="s">
        <v>186</v>
      </c>
      <c r="E4397" s="1">
        <v>45714</v>
      </c>
      <c r="F4397" t="s">
        <v>4350</v>
      </c>
      <c r="G4397" t="s">
        <v>1441</v>
      </c>
      <c r="H4397" t="s">
        <v>266</v>
      </c>
      <c r="I4397" t="s">
        <v>204</v>
      </c>
      <c r="J4397" s="1">
        <v>46259</v>
      </c>
      <c r="K4397" t="s">
        <v>717</v>
      </c>
      <c r="L4397">
        <v>14451.36</v>
      </c>
      <c r="M4397">
        <v>14451.36</v>
      </c>
      <c r="N4397" t="s">
        <v>710</v>
      </c>
      <c r="O4397" t="s">
        <v>1037</v>
      </c>
      <c r="P4397" t="s">
        <v>4780</v>
      </c>
      <c r="Q4397" t="s">
        <v>4852</v>
      </c>
      <c r="R4397" t="s">
        <v>4772</v>
      </c>
    </row>
    <row r="4398" spans="1:18" x14ac:dyDescent="0.3">
      <c r="A4398">
        <v>8056</v>
      </c>
      <c r="B4398" t="s">
        <v>1034</v>
      </c>
      <c r="C4398" t="s">
        <v>267</v>
      </c>
      <c r="D4398" t="s">
        <v>186</v>
      </c>
      <c r="E4398" s="1">
        <v>45714</v>
      </c>
      <c r="F4398" t="s">
        <v>4350</v>
      </c>
      <c r="G4398" t="s">
        <v>1441</v>
      </c>
      <c r="H4398" t="s">
        <v>266</v>
      </c>
      <c r="I4398" t="s">
        <v>204</v>
      </c>
      <c r="J4398" s="1">
        <v>46259</v>
      </c>
      <c r="K4398" t="s">
        <v>717</v>
      </c>
      <c r="L4398">
        <v>20215.939999999999</v>
      </c>
      <c r="M4398">
        <v>20215.939999999999</v>
      </c>
      <c r="N4398" t="s">
        <v>710</v>
      </c>
      <c r="O4398" t="s">
        <v>1037</v>
      </c>
      <c r="P4398" t="s">
        <v>4780</v>
      </c>
      <c r="Q4398" t="s">
        <v>4852</v>
      </c>
      <c r="R4398" t="s">
        <v>4772</v>
      </c>
    </row>
    <row r="4399" spans="1:18" x14ac:dyDescent="0.3">
      <c r="A4399">
        <v>8055</v>
      </c>
      <c r="B4399" t="s">
        <v>1034</v>
      </c>
      <c r="C4399" t="s">
        <v>267</v>
      </c>
      <c r="D4399" t="s">
        <v>186</v>
      </c>
      <c r="E4399" s="1">
        <v>45714</v>
      </c>
      <c r="F4399" t="s">
        <v>4350</v>
      </c>
      <c r="G4399" t="s">
        <v>1441</v>
      </c>
      <c r="H4399" t="s">
        <v>266</v>
      </c>
      <c r="I4399" t="s">
        <v>204</v>
      </c>
      <c r="J4399" s="1">
        <v>46259</v>
      </c>
      <c r="K4399" t="s">
        <v>717</v>
      </c>
      <c r="L4399">
        <v>47139.839999999997</v>
      </c>
      <c r="M4399">
        <v>47139.839999999997</v>
      </c>
      <c r="N4399" t="s">
        <v>710</v>
      </c>
      <c r="O4399" t="s">
        <v>1037</v>
      </c>
      <c r="P4399" t="s">
        <v>4780</v>
      </c>
      <c r="Q4399" t="s">
        <v>4852</v>
      </c>
      <c r="R4399" t="s">
        <v>4772</v>
      </c>
    </row>
    <row r="4400" spans="1:18" x14ac:dyDescent="0.3">
      <c r="A4400">
        <v>3441</v>
      </c>
      <c r="B4400" t="s">
        <v>1034</v>
      </c>
      <c r="C4400" t="s">
        <v>267</v>
      </c>
      <c r="D4400" t="s">
        <v>186</v>
      </c>
      <c r="E4400" s="1">
        <v>45714</v>
      </c>
      <c r="F4400" t="s">
        <v>4349</v>
      </c>
      <c r="G4400" t="s">
        <v>1441</v>
      </c>
      <c r="H4400" t="s">
        <v>266</v>
      </c>
      <c r="I4400" t="s">
        <v>204</v>
      </c>
      <c r="J4400" s="1">
        <v>46259</v>
      </c>
      <c r="K4400" t="s">
        <v>717</v>
      </c>
      <c r="L4400">
        <v>43276.37</v>
      </c>
      <c r="M4400">
        <v>43276.37</v>
      </c>
      <c r="N4400" t="s">
        <v>710</v>
      </c>
      <c r="O4400" t="s">
        <v>1037</v>
      </c>
      <c r="P4400" t="s">
        <v>4780</v>
      </c>
      <c r="Q4400" t="s">
        <v>4852</v>
      </c>
      <c r="R4400" t="s">
        <v>4772</v>
      </c>
    </row>
    <row r="4401" spans="1:18" x14ac:dyDescent="0.3">
      <c r="A4401">
        <v>8054</v>
      </c>
      <c r="B4401" t="s">
        <v>1034</v>
      </c>
      <c r="C4401" t="s">
        <v>267</v>
      </c>
      <c r="D4401" t="s">
        <v>186</v>
      </c>
      <c r="E4401" s="1">
        <v>45714</v>
      </c>
      <c r="F4401" t="s">
        <v>4350</v>
      </c>
      <c r="G4401" t="s">
        <v>1441</v>
      </c>
      <c r="H4401" t="s">
        <v>266</v>
      </c>
      <c r="I4401" t="s">
        <v>204</v>
      </c>
      <c r="J4401" s="1">
        <v>46259</v>
      </c>
      <c r="K4401" t="s">
        <v>717</v>
      </c>
      <c r="L4401">
        <v>16828.2</v>
      </c>
      <c r="M4401">
        <v>16828.2</v>
      </c>
      <c r="N4401" t="s">
        <v>710</v>
      </c>
      <c r="O4401" t="s">
        <v>1037</v>
      </c>
      <c r="P4401" t="s">
        <v>4780</v>
      </c>
      <c r="Q4401" t="s">
        <v>4852</v>
      </c>
      <c r="R4401" t="s">
        <v>4772</v>
      </c>
    </row>
    <row r="4402" spans="1:18" x14ac:dyDescent="0.3">
      <c r="A4402">
        <v>8053</v>
      </c>
      <c r="B4402" t="s">
        <v>1034</v>
      </c>
      <c r="C4402" t="s">
        <v>267</v>
      </c>
      <c r="D4402" t="s">
        <v>186</v>
      </c>
      <c r="E4402" s="1">
        <v>45714</v>
      </c>
      <c r="F4402" t="s">
        <v>4350</v>
      </c>
      <c r="G4402" t="s">
        <v>1441</v>
      </c>
      <c r="H4402" t="s">
        <v>266</v>
      </c>
      <c r="I4402" t="s">
        <v>204</v>
      </c>
      <c r="J4402" s="1">
        <v>46259</v>
      </c>
      <c r="K4402" t="s">
        <v>717</v>
      </c>
      <c r="L4402">
        <v>6823.66</v>
      </c>
      <c r="M4402">
        <v>6823.66</v>
      </c>
      <c r="N4402" t="s">
        <v>710</v>
      </c>
      <c r="O4402" t="s">
        <v>1037</v>
      </c>
      <c r="P4402" t="s">
        <v>4780</v>
      </c>
      <c r="Q4402" t="s">
        <v>4852</v>
      </c>
      <c r="R4402" t="s">
        <v>4772</v>
      </c>
    </row>
    <row r="4403" spans="1:18" x14ac:dyDescent="0.3">
      <c r="A4403">
        <v>392249</v>
      </c>
      <c r="B4403" t="s">
        <v>4875</v>
      </c>
      <c r="C4403" t="s">
        <v>594</v>
      </c>
      <c r="D4403" t="s">
        <v>27</v>
      </c>
      <c r="E4403" s="1">
        <v>45713</v>
      </c>
      <c r="F4403" t="s">
        <v>4323</v>
      </c>
      <c r="G4403" t="s">
        <v>1458</v>
      </c>
      <c r="H4403" t="s">
        <v>596</v>
      </c>
      <c r="I4403" t="s">
        <v>204</v>
      </c>
      <c r="J4403" s="1">
        <v>46204</v>
      </c>
      <c r="K4403" t="s">
        <v>768</v>
      </c>
      <c r="L4403">
        <v>11977.37</v>
      </c>
      <c r="M4403">
        <v>11977.37</v>
      </c>
      <c r="N4403" t="s">
        <v>814</v>
      </c>
      <c r="O4403" t="s">
        <v>1037</v>
      </c>
      <c r="P4403" t="s">
        <v>4794</v>
      </c>
      <c r="Q4403" t="s">
        <v>4852</v>
      </c>
      <c r="R4403" t="s">
        <v>4772</v>
      </c>
    </row>
    <row r="4404" spans="1:18" x14ac:dyDescent="0.3">
      <c r="A4404">
        <v>392231</v>
      </c>
      <c r="B4404" t="s">
        <v>4874</v>
      </c>
      <c r="C4404" t="s">
        <v>594</v>
      </c>
      <c r="D4404" t="s">
        <v>27</v>
      </c>
      <c r="E4404" s="1">
        <v>45713</v>
      </c>
      <c r="F4404" t="s">
        <v>4323</v>
      </c>
      <c r="G4404" t="s">
        <v>1454</v>
      </c>
      <c r="H4404" t="s">
        <v>593</v>
      </c>
      <c r="I4404" t="s">
        <v>204</v>
      </c>
      <c r="J4404" s="1">
        <v>46204</v>
      </c>
      <c r="K4404" t="s">
        <v>762</v>
      </c>
      <c r="L4404">
        <v>346581.72</v>
      </c>
      <c r="M4404">
        <v>346581.72</v>
      </c>
      <c r="N4404" t="s">
        <v>814</v>
      </c>
      <c r="O4404" t="s">
        <v>1037</v>
      </c>
      <c r="P4404" t="s">
        <v>4794</v>
      </c>
      <c r="Q4404" t="s">
        <v>4852</v>
      </c>
      <c r="R4404" t="s">
        <v>4772</v>
      </c>
    </row>
    <row r="4405" spans="1:18" x14ac:dyDescent="0.3">
      <c r="A4405">
        <v>136695</v>
      </c>
      <c r="B4405" t="s">
        <v>4874</v>
      </c>
      <c r="C4405" t="s">
        <v>459</v>
      </c>
      <c r="D4405" t="s">
        <v>160</v>
      </c>
      <c r="E4405" s="1">
        <v>45713</v>
      </c>
      <c r="F4405" t="s">
        <v>4399</v>
      </c>
      <c r="G4405" t="s">
        <v>1442</v>
      </c>
      <c r="H4405" t="s">
        <v>458</v>
      </c>
      <c r="I4405" t="s">
        <v>209</v>
      </c>
      <c r="J4405" s="1">
        <v>54878</v>
      </c>
      <c r="K4405" t="s">
        <v>762</v>
      </c>
      <c r="L4405">
        <v>35016.080000000002</v>
      </c>
      <c r="M4405">
        <v>35016.080000000002</v>
      </c>
      <c r="N4405" t="s">
        <v>710</v>
      </c>
      <c r="Q4405" t="s">
        <v>4852</v>
      </c>
      <c r="R4405" t="s">
        <v>4772</v>
      </c>
    </row>
    <row r="4406" spans="1:18" x14ac:dyDescent="0.3">
      <c r="A4406">
        <v>66914</v>
      </c>
      <c r="B4406" t="s">
        <v>1034</v>
      </c>
      <c r="C4406" t="s">
        <v>338</v>
      </c>
      <c r="D4406" t="s">
        <v>31</v>
      </c>
      <c r="E4406" s="1">
        <v>45713</v>
      </c>
      <c r="F4406" t="s">
        <v>4299</v>
      </c>
      <c r="G4406" t="s">
        <v>1349</v>
      </c>
      <c r="H4406" t="s">
        <v>337</v>
      </c>
      <c r="I4406" t="s">
        <v>204</v>
      </c>
      <c r="J4406" s="1">
        <v>54878</v>
      </c>
      <c r="K4406" t="s">
        <v>711</v>
      </c>
      <c r="L4406">
        <v>64288</v>
      </c>
      <c r="M4406">
        <v>64287.98</v>
      </c>
      <c r="N4406" t="s">
        <v>710</v>
      </c>
      <c r="O4406" t="s">
        <v>1036</v>
      </c>
      <c r="P4406" t="s">
        <v>4785</v>
      </c>
      <c r="Q4406" t="s">
        <v>4901</v>
      </c>
      <c r="R4406" t="s">
        <v>4773</v>
      </c>
    </row>
    <row r="4407" spans="1:18" x14ac:dyDescent="0.3">
      <c r="A4407">
        <v>54345</v>
      </c>
      <c r="B4407" t="s">
        <v>4874</v>
      </c>
      <c r="C4407" t="s">
        <v>437</v>
      </c>
      <c r="D4407" t="s">
        <v>150</v>
      </c>
      <c r="E4407" s="1">
        <v>45713</v>
      </c>
      <c r="F4407" t="s">
        <v>4395</v>
      </c>
      <c r="G4407" t="s">
        <v>1439</v>
      </c>
      <c r="H4407" t="s">
        <v>436</v>
      </c>
      <c r="I4407" t="s">
        <v>204</v>
      </c>
      <c r="J4407" s="1">
        <v>54878</v>
      </c>
      <c r="K4407" t="s">
        <v>762</v>
      </c>
      <c r="L4407">
        <v>1004</v>
      </c>
      <c r="M4407">
        <v>1004</v>
      </c>
      <c r="N4407" t="s">
        <v>719</v>
      </c>
      <c r="O4407" t="s">
        <v>1037</v>
      </c>
      <c r="P4407" t="s">
        <v>4788</v>
      </c>
      <c r="Q4407" t="s">
        <v>4852</v>
      </c>
      <c r="R4407" t="s">
        <v>4771</v>
      </c>
    </row>
    <row r="4408" spans="1:18" x14ac:dyDescent="0.3">
      <c r="A4408">
        <v>8578</v>
      </c>
      <c r="B4408" t="s">
        <v>1034</v>
      </c>
      <c r="C4408" t="s">
        <v>270</v>
      </c>
      <c r="D4408" t="s">
        <v>82</v>
      </c>
      <c r="E4408" s="1">
        <v>45713</v>
      </c>
      <c r="F4408" t="s">
        <v>4296</v>
      </c>
      <c r="G4408" t="s">
        <v>1464</v>
      </c>
      <c r="H4408" t="s">
        <v>362</v>
      </c>
      <c r="I4408" t="s">
        <v>209</v>
      </c>
      <c r="J4408" s="1">
        <v>54878</v>
      </c>
      <c r="K4408" t="s">
        <v>711</v>
      </c>
      <c r="L4408">
        <v>1882</v>
      </c>
      <c r="M4408">
        <v>1882</v>
      </c>
      <c r="N4408" t="s">
        <v>710</v>
      </c>
    </row>
    <row r="4409" spans="1:18" x14ac:dyDescent="0.3">
      <c r="A4409">
        <v>3206</v>
      </c>
      <c r="B4409" t="s">
        <v>1034</v>
      </c>
      <c r="C4409" t="s">
        <v>319</v>
      </c>
      <c r="D4409" t="s">
        <v>36</v>
      </c>
      <c r="E4409" s="1">
        <v>45712</v>
      </c>
      <c r="F4409" t="s">
        <v>4298</v>
      </c>
      <c r="G4409" t="s">
        <v>1437</v>
      </c>
      <c r="H4409" t="s">
        <v>318</v>
      </c>
      <c r="I4409" t="s">
        <v>204</v>
      </c>
      <c r="J4409" s="1">
        <v>46214</v>
      </c>
      <c r="K4409" t="s">
        <v>711</v>
      </c>
      <c r="L4409">
        <v>1848</v>
      </c>
      <c r="M4409">
        <v>1848.47</v>
      </c>
      <c r="N4409" t="s">
        <v>710</v>
      </c>
      <c r="O4409" t="s">
        <v>1036</v>
      </c>
      <c r="P4409" t="s">
        <v>4784</v>
      </c>
      <c r="Q4409" t="s">
        <v>4901</v>
      </c>
      <c r="R4409" t="s">
        <v>4771</v>
      </c>
    </row>
    <row r="4410" spans="1:18" x14ac:dyDescent="0.3">
      <c r="A4410">
        <v>1884</v>
      </c>
      <c r="B4410" t="s">
        <v>1034</v>
      </c>
      <c r="C4410" t="s">
        <v>616</v>
      </c>
      <c r="D4410" t="s">
        <v>152</v>
      </c>
      <c r="E4410" s="1">
        <v>45712</v>
      </c>
      <c r="F4410" t="s">
        <v>4338</v>
      </c>
      <c r="G4410" t="s">
        <v>1355</v>
      </c>
      <c r="H4410" t="s">
        <v>621</v>
      </c>
      <c r="I4410" t="s">
        <v>204</v>
      </c>
      <c r="J4410" s="1">
        <v>46349</v>
      </c>
      <c r="K4410" t="s">
        <v>711</v>
      </c>
      <c r="L4410">
        <v>67259.570000000007</v>
      </c>
      <c r="M4410">
        <v>67259.570000000007</v>
      </c>
      <c r="N4410" t="s">
        <v>710</v>
      </c>
      <c r="O4410" t="s">
        <v>4904</v>
      </c>
      <c r="P4410" t="s">
        <v>4796</v>
      </c>
      <c r="Q4410" t="s">
        <v>4901</v>
      </c>
      <c r="R4410" t="s">
        <v>4772</v>
      </c>
    </row>
    <row r="4411" spans="1:18" x14ac:dyDescent="0.3">
      <c r="A4411">
        <v>6641</v>
      </c>
      <c r="B4411" t="s">
        <v>1035</v>
      </c>
      <c r="C4411" t="s">
        <v>230</v>
      </c>
      <c r="D4411" t="s">
        <v>85</v>
      </c>
      <c r="E4411" s="1">
        <v>45712</v>
      </c>
      <c r="F4411" t="s">
        <v>4348</v>
      </c>
      <c r="G4411" t="s">
        <v>1445</v>
      </c>
      <c r="H4411" t="s">
        <v>229</v>
      </c>
      <c r="I4411" t="s">
        <v>204</v>
      </c>
      <c r="J4411" s="1">
        <v>46203</v>
      </c>
      <c r="K4411" t="s">
        <v>744</v>
      </c>
      <c r="L4411">
        <v>3137.73</v>
      </c>
      <c r="M4411">
        <v>3137.73</v>
      </c>
      <c r="N4411" t="s">
        <v>710</v>
      </c>
      <c r="O4411" t="s">
        <v>1033</v>
      </c>
      <c r="P4411" t="s">
        <v>4781</v>
      </c>
      <c r="Q4411" t="s">
        <v>4852</v>
      </c>
      <c r="R4411" t="s">
        <v>4771</v>
      </c>
    </row>
    <row r="4412" spans="1:18" x14ac:dyDescent="0.3">
      <c r="A4412">
        <v>6600</v>
      </c>
      <c r="B4412" t="s">
        <v>1035</v>
      </c>
      <c r="C4412" t="s">
        <v>230</v>
      </c>
      <c r="D4412" t="s">
        <v>85</v>
      </c>
      <c r="E4412" s="1">
        <v>45712</v>
      </c>
      <c r="F4412" t="s">
        <v>4436</v>
      </c>
      <c r="G4412" t="s">
        <v>1444</v>
      </c>
      <c r="H4412" t="s">
        <v>229</v>
      </c>
      <c r="I4412" t="s">
        <v>204</v>
      </c>
      <c r="J4412" s="1">
        <v>46203</v>
      </c>
      <c r="K4412" t="s">
        <v>744</v>
      </c>
      <c r="L4412">
        <v>5793.36</v>
      </c>
      <c r="M4412">
        <v>5793.36</v>
      </c>
      <c r="N4412" t="s">
        <v>710</v>
      </c>
      <c r="O4412" t="s">
        <v>1033</v>
      </c>
      <c r="P4412" t="s">
        <v>4781</v>
      </c>
      <c r="Q4412" t="s">
        <v>4852</v>
      </c>
      <c r="R4412" t="s">
        <v>4771</v>
      </c>
    </row>
    <row r="4413" spans="1:18" x14ac:dyDescent="0.3">
      <c r="A4413">
        <v>4474</v>
      </c>
      <c r="B4413" t="s">
        <v>4874</v>
      </c>
      <c r="C4413" t="s">
        <v>456</v>
      </c>
      <c r="D4413" t="s">
        <v>71</v>
      </c>
      <c r="E4413" s="1">
        <v>45712</v>
      </c>
      <c r="F4413" t="s">
        <v>4401</v>
      </c>
      <c r="G4413" t="s">
        <v>1383</v>
      </c>
      <c r="H4413" t="s">
        <v>455</v>
      </c>
      <c r="I4413" t="s">
        <v>204</v>
      </c>
      <c r="J4413" s="1">
        <v>54878</v>
      </c>
      <c r="K4413" t="s">
        <v>762</v>
      </c>
      <c r="L4413">
        <v>6885.9</v>
      </c>
      <c r="M4413">
        <v>6885.9</v>
      </c>
      <c r="N4413" t="s">
        <v>710</v>
      </c>
      <c r="O4413" t="s">
        <v>1042</v>
      </c>
      <c r="P4413" t="s">
        <v>1006</v>
      </c>
      <c r="Q4413" t="s">
        <v>4852</v>
      </c>
      <c r="R4413" t="s">
        <v>4771</v>
      </c>
    </row>
    <row r="4414" spans="1:18" x14ac:dyDescent="0.3">
      <c r="A4414">
        <v>6650</v>
      </c>
      <c r="B4414" t="s">
        <v>1035</v>
      </c>
      <c r="C4414" t="s">
        <v>230</v>
      </c>
      <c r="D4414" t="s">
        <v>85</v>
      </c>
      <c r="E4414" s="1">
        <v>45712</v>
      </c>
      <c r="F4414" t="s">
        <v>4348</v>
      </c>
      <c r="G4414" t="s">
        <v>1445</v>
      </c>
      <c r="H4414" t="s">
        <v>229</v>
      </c>
      <c r="I4414" t="s">
        <v>204</v>
      </c>
      <c r="J4414" s="1">
        <v>46203</v>
      </c>
      <c r="K4414" t="s">
        <v>744</v>
      </c>
      <c r="L4414">
        <v>5534.84</v>
      </c>
      <c r="M4414">
        <v>5534.84</v>
      </c>
      <c r="N4414" t="s">
        <v>710</v>
      </c>
      <c r="O4414" t="s">
        <v>1033</v>
      </c>
      <c r="P4414" t="s">
        <v>4781</v>
      </c>
      <c r="Q4414" t="s">
        <v>4852</v>
      </c>
      <c r="R4414" t="s">
        <v>4771</v>
      </c>
    </row>
    <row r="4415" spans="1:18" x14ac:dyDescent="0.3">
      <c r="A4415">
        <v>175892</v>
      </c>
      <c r="B4415" t="s">
        <v>4874</v>
      </c>
      <c r="C4415" t="s">
        <v>411</v>
      </c>
      <c r="D4415" t="s">
        <v>154</v>
      </c>
      <c r="E4415" s="1">
        <v>45709</v>
      </c>
      <c r="F4415" t="s">
        <v>4315</v>
      </c>
      <c r="G4415" t="s">
        <v>1431</v>
      </c>
      <c r="H4415" t="s">
        <v>410</v>
      </c>
      <c r="I4415" t="s">
        <v>204</v>
      </c>
      <c r="J4415" s="1">
        <v>46344</v>
      </c>
      <c r="K4415" t="s">
        <v>762</v>
      </c>
      <c r="L4415">
        <v>2548</v>
      </c>
      <c r="M4415">
        <v>2547.79</v>
      </c>
      <c r="N4415" t="s">
        <v>710</v>
      </c>
      <c r="O4415" t="s">
        <v>4833</v>
      </c>
      <c r="P4415" t="s">
        <v>4776</v>
      </c>
      <c r="Q4415" t="s">
        <v>4852</v>
      </c>
      <c r="R4415" t="s">
        <v>4773</v>
      </c>
    </row>
    <row r="4416" spans="1:18" x14ac:dyDescent="0.3">
      <c r="A4416">
        <v>416639</v>
      </c>
      <c r="B4416" t="s">
        <v>4874</v>
      </c>
      <c r="C4416" t="s">
        <v>333</v>
      </c>
      <c r="D4416" t="s">
        <v>29</v>
      </c>
      <c r="E4416" s="1">
        <v>45709</v>
      </c>
      <c r="F4416" t="s">
        <v>4317</v>
      </c>
      <c r="G4416" t="s">
        <v>1451</v>
      </c>
      <c r="H4416" t="s">
        <v>460</v>
      </c>
      <c r="I4416" t="s">
        <v>204</v>
      </c>
      <c r="J4416" s="1">
        <v>54878</v>
      </c>
      <c r="K4416" t="s">
        <v>785</v>
      </c>
      <c r="L4416">
        <v>1</v>
      </c>
      <c r="M4416">
        <v>138.44</v>
      </c>
      <c r="N4416" t="s">
        <v>710</v>
      </c>
      <c r="O4416" t="s">
        <v>1038</v>
      </c>
      <c r="P4416" t="s">
        <v>4776</v>
      </c>
      <c r="Q4416" t="s">
        <v>4858</v>
      </c>
      <c r="R4416" t="s">
        <v>4771</v>
      </c>
    </row>
    <row r="4417" spans="1:18" x14ac:dyDescent="0.3">
      <c r="A4417">
        <v>175168</v>
      </c>
      <c r="B4417" t="s">
        <v>4874</v>
      </c>
      <c r="C4417" t="s">
        <v>411</v>
      </c>
      <c r="D4417" t="s">
        <v>154</v>
      </c>
      <c r="E4417" s="1">
        <v>45709</v>
      </c>
      <c r="F4417" t="s">
        <v>4345</v>
      </c>
      <c r="G4417" t="s">
        <v>1430</v>
      </c>
      <c r="H4417" t="s">
        <v>410</v>
      </c>
      <c r="I4417" t="s">
        <v>204</v>
      </c>
      <c r="J4417" s="1">
        <v>46344</v>
      </c>
      <c r="K4417" t="s">
        <v>762</v>
      </c>
      <c r="L4417">
        <v>15207</v>
      </c>
      <c r="M4417">
        <v>15206.21</v>
      </c>
      <c r="N4417" t="s">
        <v>710</v>
      </c>
      <c r="O4417" t="s">
        <v>4833</v>
      </c>
      <c r="P4417" t="s">
        <v>4776</v>
      </c>
      <c r="Q4417" t="s">
        <v>4852</v>
      </c>
      <c r="R4417" t="s">
        <v>4773</v>
      </c>
    </row>
    <row r="4418" spans="1:18" x14ac:dyDescent="0.3">
      <c r="A4418">
        <v>421915</v>
      </c>
      <c r="B4418" t="s">
        <v>1034</v>
      </c>
      <c r="C4418" t="s">
        <v>333</v>
      </c>
      <c r="D4418" t="s">
        <v>29</v>
      </c>
      <c r="E4418" s="1">
        <v>45709</v>
      </c>
      <c r="F4418" t="s">
        <v>4317</v>
      </c>
      <c r="G4418" t="s">
        <v>1450</v>
      </c>
      <c r="H4418" t="s">
        <v>332</v>
      </c>
      <c r="I4418" t="s">
        <v>204</v>
      </c>
      <c r="J4418" s="1">
        <v>54878</v>
      </c>
      <c r="K4418" t="s">
        <v>711</v>
      </c>
      <c r="L4418">
        <v>139</v>
      </c>
      <c r="M4418">
        <v>138.53</v>
      </c>
      <c r="N4418" t="s">
        <v>710</v>
      </c>
      <c r="O4418" t="s">
        <v>1036</v>
      </c>
      <c r="P4418" t="s">
        <v>4776</v>
      </c>
      <c r="Q4418" t="s">
        <v>4901</v>
      </c>
      <c r="R4418" t="s">
        <v>4771</v>
      </c>
    </row>
    <row r="4419" spans="1:18" x14ac:dyDescent="0.3">
      <c r="A4419">
        <v>416311</v>
      </c>
      <c r="B4419" t="s">
        <v>4875</v>
      </c>
      <c r="C4419" t="s">
        <v>333</v>
      </c>
      <c r="D4419" t="s">
        <v>29</v>
      </c>
      <c r="E4419" s="1">
        <v>45709</v>
      </c>
      <c r="F4419" t="s">
        <v>4317</v>
      </c>
      <c r="G4419" t="s">
        <v>1452</v>
      </c>
      <c r="H4419" t="s">
        <v>335</v>
      </c>
      <c r="I4419" t="s">
        <v>204</v>
      </c>
      <c r="J4419" s="1">
        <v>54878</v>
      </c>
      <c r="K4419" t="s">
        <v>748</v>
      </c>
      <c r="L4419">
        <v>104</v>
      </c>
      <c r="M4419">
        <v>103.82</v>
      </c>
      <c r="N4419" t="s">
        <v>710</v>
      </c>
      <c r="O4419" t="s">
        <v>1040</v>
      </c>
      <c r="P4419" t="s">
        <v>4776</v>
      </c>
      <c r="Q4419" t="s">
        <v>4856</v>
      </c>
      <c r="R4419" t="s">
        <v>4771</v>
      </c>
    </row>
    <row r="4420" spans="1:18" x14ac:dyDescent="0.3">
      <c r="A4420">
        <v>40977</v>
      </c>
      <c r="B4420" t="s">
        <v>1034</v>
      </c>
      <c r="C4420" t="s">
        <v>327</v>
      </c>
      <c r="D4420" t="s">
        <v>159</v>
      </c>
      <c r="E4420" s="1">
        <v>45708</v>
      </c>
      <c r="F4420" t="s">
        <v>4296</v>
      </c>
      <c r="G4420" t="s">
        <v>1398</v>
      </c>
      <c r="H4420" t="s">
        <v>357</v>
      </c>
      <c r="I4420" t="s">
        <v>204</v>
      </c>
      <c r="J4420" s="1">
        <v>46476</v>
      </c>
      <c r="K4420" t="s">
        <v>711</v>
      </c>
      <c r="L4420">
        <v>2453.75</v>
      </c>
      <c r="M4420">
        <v>2453.75</v>
      </c>
      <c r="N4420" t="s">
        <v>890</v>
      </c>
      <c r="O4420" t="s">
        <v>4834</v>
      </c>
      <c r="P4420" t="s">
        <v>4776</v>
      </c>
      <c r="Q4420" t="s">
        <v>4901</v>
      </c>
      <c r="R4420" t="s">
        <v>4773</v>
      </c>
    </row>
    <row r="4421" spans="1:18" x14ac:dyDescent="0.3">
      <c r="A4421">
        <v>17497</v>
      </c>
      <c r="B4421" t="s">
        <v>4874</v>
      </c>
      <c r="C4421" t="s">
        <v>939</v>
      </c>
      <c r="D4421" t="s">
        <v>7</v>
      </c>
      <c r="E4421" s="1">
        <v>45708</v>
      </c>
      <c r="F4421" t="s">
        <v>4352</v>
      </c>
      <c r="G4421" t="s">
        <v>1376</v>
      </c>
      <c r="H4421" t="s">
        <v>591</v>
      </c>
      <c r="I4421" t="s">
        <v>209</v>
      </c>
      <c r="J4421" s="1">
        <v>45865</v>
      </c>
      <c r="K4421" t="s">
        <v>762</v>
      </c>
      <c r="L4421">
        <v>940</v>
      </c>
      <c r="M4421">
        <v>940</v>
      </c>
      <c r="N4421" t="s">
        <v>890</v>
      </c>
      <c r="Q4421" t="s">
        <v>807</v>
      </c>
    </row>
    <row r="4422" spans="1:18" x14ac:dyDescent="0.3">
      <c r="A4422">
        <v>193800</v>
      </c>
      <c r="B4422" t="s">
        <v>4874</v>
      </c>
      <c r="C4422" t="s">
        <v>441</v>
      </c>
      <c r="D4422" t="s">
        <v>38</v>
      </c>
      <c r="E4422" s="1">
        <v>45708</v>
      </c>
      <c r="F4422" t="s">
        <v>4393</v>
      </c>
      <c r="G4422" t="s">
        <v>1426</v>
      </c>
      <c r="H4422" t="s">
        <v>440</v>
      </c>
      <c r="I4422" t="s">
        <v>204</v>
      </c>
      <c r="J4422" s="1">
        <v>46191</v>
      </c>
      <c r="K4422" t="s">
        <v>762</v>
      </c>
      <c r="L4422">
        <v>7705.83</v>
      </c>
      <c r="M4422">
        <v>7705.83</v>
      </c>
      <c r="N4422" t="s">
        <v>710</v>
      </c>
      <c r="O4422" t="s">
        <v>4833</v>
      </c>
      <c r="P4422" t="s">
        <v>4786</v>
      </c>
      <c r="Q4422" t="s">
        <v>4852</v>
      </c>
      <c r="R4422" t="s">
        <v>4773</v>
      </c>
    </row>
    <row r="4423" spans="1:18" x14ac:dyDescent="0.3">
      <c r="A4423">
        <v>261442</v>
      </c>
      <c r="B4423" t="s">
        <v>4874</v>
      </c>
      <c r="C4423" t="s">
        <v>391</v>
      </c>
      <c r="D4423" t="s">
        <v>104</v>
      </c>
      <c r="E4423" s="1">
        <v>45708</v>
      </c>
      <c r="F4423" t="s">
        <v>4315</v>
      </c>
      <c r="G4423" t="s">
        <v>1429</v>
      </c>
      <c r="H4423" t="s">
        <v>390</v>
      </c>
      <c r="I4423" t="s">
        <v>204</v>
      </c>
      <c r="J4423" s="1">
        <v>54878</v>
      </c>
      <c r="K4423" t="s">
        <v>762</v>
      </c>
      <c r="L4423">
        <v>82.81</v>
      </c>
      <c r="M4423">
        <v>82.81</v>
      </c>
      <c r="N4423" t="s">
        <v>710</v>
      </c>
      <c r="O4423" t="s">
        <v>4833</v>
      </c>
      <c r="P4423" t="s">
        <v>4776</v>
      </c>
      <c r="Q4423" t="s">
        <v>4852</v>
      </c>
      <c r="R4423" t="s">
        <v>4773</v>
      </c>
    </row>
    <row r="4424" spans="1:18" x14ac:dyDescent="0.3">
      <c r="A4424">
        <v>182069</v>
      </c>
      <c r="B4424" t="s">
        <v>4874</v>
      </c>
      <c r="C4424" t="s">
        <v>391</v>
      </c>
      <c r="D4424" t="s">
        <v>104</v>
      </c>
      <c r="E4424" s="1">
        <v>45708</v>
      </c>
      <c r="F4424" t="s">
        <v>4354</v>
      </c>
      <c r="G4424" t="s">
        <v>1429</v>
      </c>
      <c r="H4424" t="s">
        <v>390</v>
      </c>
      <c r="I4424" t="s">
        <v>204</v>
      </c>
      <c r="J4424" s="1">
        <v>54878</v>
      </c>
      <c r="K4424" t="s">
        <v>762</v>
      </c>
      <c r="L4424">
        <v>211.58</v>
      </c>
      <c r="M4424">
        <v>211.58</v>
      </c>
      <c r="N4424" t="s">
        <v>710</v>
      </c>
      <c r="O4424" t="s">
        <v>4833</v>
      </c>
      <c r="P4424" t="s">
        <v>4776</v>
      </c>
      <c r="Q4424" t="s">
        <v>4852</v>
      </c>
      <c r="R4424" t="s">
        <v>4773</v>
      </c>
    </row>
    <row r="4425" spans="1:18" x14ac:dyDescent="0.3">
      <c r="A4425">
        <v>48031</v>
      </c>
      <c r="B4425" t="s">
        <v>4874</v>
      </c>
      <c r="C4425" t="s">
        <v>514</v>
      </c>
      <c r="D4425" t="s">
        <v>47</v>
      </c>
      <c r="E4425" s="1">
        <v>45708</v>
      </c>
      <c r="F4425" t="s">
        <v>4362</v>
      </c>
      <c r="G4425" t="s">
        <v>1443</v>
      </c>
      <c r="H4425" t="s">
        <v>513</v>
      </c>
      <c r="I4425" t="s">
        <v>204</v>
      </c>
      <c r="J4425" s="1">
        <v>46386</v>
      </c>
      <c r="K4425" t="s">
        <v>762</v>
      </c>
      <c r="L4425">
        <v>6348</v>
      </c>
      <c r="M4425">
        <v>6347.41</v>
      </c>
      <c r="N4425" t="s">
        <v>710</v>
      </c>
      <c r="O4425" t="s">
        <v>4833</v>
      </c>
      <c r="P4425" t="s">
        <v>4779</v>
      </c>
      <c r="Q4425" t="s">
        <v>4852</v>
      </c>
    </row>
    <row r="4426" spans="1:18" x14ac:dyDescent="0.3">
      <c r="A4426">
        <v>677625</v>
      </c>
      <c r="B4426" t="s">
        <v>4874</v>
      </c>
      <c r="C4426" t="s">
        <v>409</v>
      </c>
      <c r="D4426" t="s">
        <v>28</v>
      </c>
      <c r="E4426" s="1">
        <v>45708</v>
      </c>
      <c r="F4426" t="s">
        <v>4388</v>
      </c>
      <c r="G4426" t="s">
        <v>1337</v>
      </c>
      <c r="H4426" t="s">
        <v>408</v>
      </c>
      <c r="I4426" t="s">
        <v>204</v>
      </c>
      <c r="J4426" s="1">
        <v>54878</v>
      </c>
      <c r="K4426" t="s">
        <v>762</v>
      </c>
      <c r="L4426">
        <v>26802</v>
      </c>
      <c r="M4426">
        <v>26801.03</v>
      </c>
      <c r="N4426" t="s">
        <v>710</v>
      </c>
      <c r="O4426" t="s">
        <v>4833</v>
      </c>
      <c r="P4426" t="s">
        <v>4776</v>
      </c>
      <c r="Q4426" t="s">
        <v>4852</v>
      </c>
      <c r="R4426" t="s">
        <v>4773</v>
      </c>
    </row>
    <row r="4427" spans="1:18" x14ac:dyDescent="0.3">
      <c r="A4427">
        <v>41584</v>
      </c>
      <c r="B4427" t="s">
        <v>1034</v>
      </c>
      <c r="C4427" t="s">
        <v>497</v>
      </c>
      <c r="D4427" t="s">
        <v>58</v>
      </c>
      <c r="E4427" s="1">
        <v>45708</v>
      </c>
      <c r="F4427" t="s">
        <v>4316</v>
      </c>
      <c r="G4427" t="s">
        <v>1428</v>
      </c>
      <c r="H4427" t="s">
        <v>498</v>
      </c>
      <c r="I4427" t="s">
        <v>204</v>
      </c>
      <c r="J4427" s="1">
        <v>46265</v>
      </c>
      <c r="K4427" t="s">
        <v>717</v>
      </c>
      <c r="L4427">
        <v>537.17999999999995</v>
      </c>
      <c r="M4427">
        <v>537.17999999999995</v>
      </c>
      <c r="N4427" t="s">
        <v>710</v>
      </c>
      <c r="O4427" t="s">
        <v>4833</v>
      </c>
      <c r="P4427" t="s">
        <v>4776</v>
      </c>
      <c r="Q4427" t="s">
        <v>4852</v>
      </c>
      <c r="R4427" t="s">
        <v>4773</v>
      </c>
    </row>
    <row r="4428" spans="1:18" x14ac:dyDescent="0.3">
      <c r="A4428">
        <v>108673</v>
      </c>
      <c r="B4428" t="s">
        <v>1034</v>
      </c>
      <c r="C4428" t="s">
        <v>497</v>
      </c>
      <c r="D4428" t="s">
        <v>58</v>
      </c>
      <c r="E4428" s="1">
        <v>45708</v>
      </c>
      <c r="F4428" t="s">
        <v>4354</v>
      </c>
      <c r="G4428" t="s">
        <v>1427</v>
      </c>
      <c r="H4428" t="s">
        <v>496</v>
      </c>
      <c r="I4428" t="s">
        <v>204</v>
      </c>
      <c r="J4428" s="1">
        <v>46265</v>
      </c>
      <c r="K4428" t="s">
        <v>717</v>
      </c>
      <c r="L4428">
        <v>4947.54</v>
      </c>
      <c r="M4428">
        <v>4947.54</v>
      </c>
      <c r="N4428" t="s">
        <v>710</v>
      </c>
      <c r="O4428" t="s">
        <v>4833</v>
      </c>
      <c r="P4428" t="s">
        <v>4776</v>
      </c>
      <c r="Q4428" t="s">
        <v>4852</v>
      </c>
      <c r="R4428" t="s">
        <v>4773</v>
      </c>
    </row>
    <row r="4429" spans="1:18" x14ac:dyDescent="0.3">
      <c r="A4429">
        <v>195211</v>
      </c>
      <c r="B4429" t="s">
        <v>4874</v>
      </c>
      <c r="C4429" t="s">
        <v>391</v>
      </c>
      <c r="D4429" t="s">
        <v>104</v>
      </c>
      <c r="E4429" s="1">
        <v>45708</v>
      </c>
      <c r="F4429" t="s">
        <v>4306</v>
      </c>
      <c r="G4429" t="s">
        <v>1429</v>
      </c>
      <c r="H4429" t="s">
        <v>390</v>
      </c>
      <c r="I4429" t="s">
        <v>204</v>
      </c>
      <c r="J4429" s="1">
        <v>54878</v>
      </c>
      <c r="K4429" t="s">
        <v>762</v>
      </c>
      <c r="L4429">
        <v>838.58</v>
      </c>
      <c r="M4429">
        <v>838.58</v>
      </c>
      <c r="N4429" t="s">
        <v>710</v>
      </c>
      <c r="O4429" t="s">
        <v>4833</v>
      </c>
      <c r="P4429" t="s">
        <v>4776</v>
      </c>
      <c r="Q4429" t="s">
        <v>4852</v>
      </c>
      <c r="R4429" t="s">
        <v>4773</v>
      </c>
    </row>
    <row r="4430" spans="1:18" x14ac:dyDescent="0.3">
      <c r="A4430">
        <v>202557</v>
      </c>
      <c r="B4430" t="s">
        <v>1034</v>
      </c>
      <c r="C4430" t="s">
        <v>552</v>
      </c>
      <c r="D4430" t="s">
        <v>190</v>
      </c>
      <c r="E4430" s="1">
        <v>45707</v>
      </c>
      <c r="F4430" t="s">
        <v>4339</v>
      </c>
      <c r="G4430" t="s">
        <v>1411</v>
      </c>
      <c r="H4430" t="s">
        <v>583</v>
      </c>
      <c r="I4430" t="s">
        <v>204</v>
      </c>
      <c r="J4430" s="1">
        <v>46441</v>
      </c>
      <c r="K4430" t="s">
        <v>717</v>
      </c>
      <c r="L4430">
        <v>32705.040000000001</v>
      </c>
      <c r="M4430">
        <v>32705.040000000001</v>
      </c>
      <c r="N4430" t="s">
        <v>710</v>
      </c>
      <c r="O4430" t="s">
        <v>4904</v>
      </c>
      <c r="P4430" t="s">
        <v>4792</v>
      </c>
      <c r="Q4430" t="s">
        <v>4904</v>
      </c>
      <c r="R4430" t="s">
        <v>4772</v>
      </c>
    </row>
    <row r="4431" spans="1:18" x14ac:dyDescent="0.3">
      <c r="A4431">
        <v>202514</v>
      </c>
      <c r="B4431" t="s">
        <v>1034</v>
      </c>
      <c r="C4431" t="s">
        <v>507</v>
      </c>
      <c r="D4431" t="s">
        <v>18</v>
      </c>
      <c r="E4431" s="1">
        <v>45707</v>
      </c>
      <c r="F4431" t="s">
        <v>4322</v>
      </c>
      <c r="G4431" t="s">
        <v>1420</v>
      </c>
      <c r="H4431" t="s">
        <v>506</v>
      </c>
      <c r="I4431" t="s">
        <v>204</v>
      </c>
      <c r="J4431" s="1">
        <v>46741</v>
      </c>
      <c r="K4431" t="s">
        <v>711</v>
      </c>
      <c r="L4431">
        <v>22</v>
      </c>
      <c r="M4431">
        <v>7700</v>
      </c>
      <c r="N4431" t="s">
        <v>710</v>
      </c>
      <c r="O4431" t="s">
        <v>1036</v>
      </c>
      <c r="P4431" t="s">
        <v>4777</v>
      </c>
      <c r="Q4431" t="s">
        <v>4901</v>
      </c>
      <c r="R4431" t="s">
        <v>4773</v>
      </c>
    </row>
    <row r="4432" spans="1:18" x14ac:dyDescent="0.3">
      <c r="A4432">
        <v>40976</v>
      </c>
      <c r="B4432" t="s">
        <v>1034</v>
      </c>
      <c r="C4432" t="s">
        <v>327</v>
      </c>
      <c r="D4432" t="s">
        <v>159</v>
      </c>
      <c r="E4432" s="1">
        <v>45707</v>
      </c>
      <c r="F4432" t="s">
        <v>4295</v>
      </c>
      <c r="G4432" t="s">
        <v>1396</v>
      </c>
      <c r="H4432" t="s">
        <v>357</v>
      </c>
      <c r="I4432" t="s">
        <v>204</v>
      </c>
      <c r="J4432" s="1">
        <v>46476</v>
      </c>
      <c r="K4432" t="s">
        <v>711</v>
      </c>
      <c r="L4432">
        <v>2159.33</v>
      </c>
      <c r="M4432">
        <v>2159.33</v>
      </c>
      <c r="N4432" t="s">
        <v>890</v>
      </c>
      <c r="O4432" t="s">
        <v>4834</v>
      </c>
      <c r="P4432" t="s">
        <v>4776</v>
      </c>
      <c r="Q4432" t="s">
        <v>4901</v>
      </c>
      <c r="R4432" t="s">
        <v>4773</v>
      </c>
    </row>
    <row r="4433" spans="1:18" x14ac:dyDescent="0.3">
      <c r="A4433">
        <v>40975</v>
      </c>
      <c r="B4433" t="s">
        <v>1034</v>
      </c>
      <c r="C4433" t="s">
        <v>327</v>
      </c>
      <c r="D4433" t="s">
        <v>159</v>
      </c>
      <c r="E4433" s="1">
        <v>45707</v>
      </c>
      <c r="F4433" t="s">
        <v>4295</v>
      </c>
      <c r="G4433" t="s">
        <v>1397</v>
      </c>
      <c r="H4433" t="s">
        <v>357</v>
      </c>
      <c r="I4433" t="s">
        <v>204</v>
      </c>
      <c r="J4433" s="1">
        <v>46476</v>
      </c>
      <c r="K4433" t="s">
        <v>711</v>
      </c>
      <c r="L4433">
        <v>2150</v>
      </c>
      <c r="M4433">
        <v>2150</v>
      </c>
      <c r="N4433" t="s">
        <v>890</v>
      </c>
      <c r="O4433" t="s">
        <v>4834</v>
      </c>
      <c r="P4433" t="s">
        <v>4776</v>
      </c>
      <c r="Q4433" t="s">
        <v>4901</v>
      </c>
      <c r="R4433" t="s">
        <v>4773</v>
      </c>
    </row>
    <row r="4434" spans="1:18" x14ac:dyDescent="0.3">
      <c r="A4434">
        <v>40974</v>
      </c>
      <c r="B4434" t="s">
        <v>1034</v>
      </c>
      <c r="C4434" t="s">
        <v>327</v>
      </c>
      <c r="D4434" t="s">
        <v>159</v>
      </c>
      <c r="E4434" s="1">
        <v>45707</v>
      </c>
      <c r="F4434" t="s">
        <v>4295</v>
      </c>
      <c r="G4434" t="s">
        <v>1395</v>
      </c>
      <c r="H4434" t="s">
        <v>357</v>
      </c>
      <c r="I4434" t="s">
        <v>204</v>
      </c>
      <c r="J4434" s="1">
        <v>46476</v>
      </c>
      <c r="K4434" t="s">
        <v>711</v>
      </c>
      <c r="L4434">
        <v>2150</v>
      </c>
      <c r="M4434">
        <v>2150</v>
      </c>
      <c r="N4434" t="s">
        <v>890</v>
      </c>
      <c r="O4434" t="s">
        <v>4834</v>
      </c>
      <c r="P4434" t="s">
        <v>4776</v>
      </c>
      <c r="Q4434" t="s">
        <v>4901</v>
      </c>
      <c r="R4434" t="s">
        <v>4773</v>
      </c>
    </row>
    <row r="4435" spans="1:18" x14ac:dyDescent="0.3">
      <c r="A4435">
        <v>202514</v>
      </c>
      <c r="B4435" t="s">
        <v>1034</v>
      </c>
      <c r="C4435" t="s">
        <v>507</v>
      </c>
      <c r="D4435" t="s">
        <v>18</v>
      </c>
      <c r="E4435" s="1">
        <v>45707</v>
      </c>
      <c r="F4435" t="s">
        <v>4322</v>
      </c>
      <c r="G4435" t="s">
        <v>1420</v>
      </c>
      <c r="H4435" t="s">
        <v>506</v>
      </c>
      <c r="I4435" t="s">
        <v>204</v>
      </c>
      <c r="J4435" s="1">
        <v>46741</v>
      </c>
      <c r="K4435" t="s">
        <v>711</v>
      </c>
      <c r="L4435">
        <v>22</v>
      </c>
      <c r="M4435">
        <v>7700</v>
      </c>
      <c r="N4435" t="s">
        <v>710</v>
      </c>
      <c r="O4435" t="s">
        <v>1036</v>
      </c>
      <c r="P4435" t="s">
        <v>4777</v>
      </c>
      <c r="Q4435" t="s">
        <v>4901</v>
      </c>
      <c r="R4435" t="s">
        <v>4773</v>
      </c>
    </row>
    <row r="4436" spans="1:18" x14ac:dyDescent="0.3">
      <c r="A4436">
        <v>2058</v>
      </c>
      <c r="B4436" t="s">
        <v>4874</v>
      </c>
      <c r="C4436" t="s">
        <v>541</v>
      </c>
      <c r="D4436" t="s">
        <v>173</v>
      </c>
      <c r="E4436" s="1">
        <v>45707</v>
      </c>
      <c r="F4436" t="s">
        <v>4326</v>
      </c>
      <c r="G4436" t="s">
        <v>1392</v>
      </c>
      <c r="H4436" t="s">
        <v>548</v>
      </c>
      <c r="I4436" t="s">
        <v>204</v>
      </c>
      <c r="J4436" s="1">
        <v>46387</v>
      </c>
      <c r="K4436" t="s">
        <v>720</v>
      </c>
      <c r="L4436">
        <v>1</v>
      </c>
      <c r="M4436">
        <v>2300</v>
      </c>
      <c r="N4436" t="s">
        <v>710</v>
      </c>
      <c r="O4436" t="s">
        <v>1038</v>
      </c>
      <c r="P4436" t="s">
        <v>4791</v>
      </c>
      <c r="Q4436" t="s">
        <v>4858</v>
      </c>
      <c r="R4436" t="s">
        <v>4773</v>
      </c>
    </row>
    <row r="4437" spans="1:18" x14ac:dyDescent="0.3">
      <c r="A4437">
        <v>2631</v>
      </c>
      <c r="B4437" t="s">
        <v>4874</v>
      </c>
      <c r="C4437" t="s">
        <v>372</v>
      </c>
      <c r="D4437" t="s">
        <v>105</v>
      </c>
      <c r="E4437" s="1">
        <v>45707</v>
      </c>
      <c r="F4437" t="s">
        <v>4408</v>
      </c>
      <c r="G4437" t="s">
        <v>1435</v>
      </c>
      <c r="H4437" t="s">
        <v>371</v>
      </c>
      <c r="I4437" t="s">
        <v>209</v>
      </c>
      <c r="J4437" s="1">
        <v>45904</v>
      </c>
      <c r="K4437" t="s">
        <v>720</v>
      </c>
      <c r="L4437">
        <v>1</v>
      </c>
      <c r="M4437">
        <v>3267</v>
      </c>
      <c r="N4437" t="s">
        <v>719</v>
      </c>
      <c r="O4437" t="s">
        <v>1038</v>
      </c>
      <c r="P4437" t="s">
        <v>4777</v>
      </c>
      <c r="Q4437" t="s">
        <v>4858</v>
      </c>
      <c r="R4437" t="s">
        <v>4773</v>
      </c>
    </row>
    <row r="4438" spans="1:18" x14ac:dyDescent="0.3">
      <c r="A4438">
        <v>101074</v>
      </c>
      <c r="B4438" t="s">
        <v>4874</v>
      </c>
      <c r="C4438" t="s">
        <v>415</v>
      </c>
      <c r="D4438" t="s">
        <v>60</v>
      </c>
      <c r="E4438" s="1">
        <v>45707</v>
      </c>
      <c r="F4438" t="s">
        <v>4333</v>
      </c>
      <c r="G4438" t="s">
        <v>1436</v>
      </c>
      <c r="H4438" t="s">
        <v>457</v>
      </c>
      <c r="I4438" t="s">
        <v>204</v>
      </c>
      <c r="J4438" s="1">
        <v>46387</v>
      </c>
      <c r="K4438" t="s">
        <v>762</v>
      </c>
      <c r="L4438">
        <v>73.900000000000006</v>
      </c>
      <c r="M4438">
        <v>73.900000000000006</v>
      </c>
      <c r="N4438" t="s">
        <v>814</v>
      </c>
      <c r="O4438" t="s">
        <v>1037</v>
      </c>
      <c r="P4438" t="s">
        <v>4807</v>
      </c>
      <c r="Q4438" t="s">
        <v>4852</v>
      </c>
      <c r="R4438" t="s">
        <v>4771</v>
      </c>
    </row>
    <row r="4439" spans="1:18" x14ac:dyDescent="0.3">
      <c r="A4439">
        <v>138160</v>
      </c>
      <c r="B4439" t="s">
        <v>4874</v>
      </c>
      <c r="C4439" t="s">
        <v>376</v>
      </c>
      <c r="D4439" t="s">
        <v>35</v>
      </c>
      <c r="E4439" s="1">
        <v>45707</v>
      </c>
      <c r="F4439" t="s">
        <v>4324</v>
      </c>
      <c r="G4439" t="s">
        <v>1386</v>
      </c>
      <c r="H4439" t="s">
        <v>442</v>
      </c>
      <c r="I4439" t="s">
        <v>209</v>
      </c>
      <c r="J4439" s="1">
        <v>54878</v>
      </c>
      <c r="K4439" t="s">
        <v>762</v>
      </c>
      <c r="L4439">
        <v>95747.45</v>
      </c>
      <c r="M4439">
        <v>95747.45</v>
      </c>
      <c r="N4439" t="s">
        <v>710</v>
      </c>
      <c r="Q4439" t="s">
        <v>4852</v>
      </c>
      <c r="R4439" t="s">
        <v>4771</v>
      </c>
    </row>
    <row r="4440" spans="1:18" x14ac:dyDescent="0.3">
      <c r="A4440">
        <v>187</v>
      </c>
      <c r="B4440" t="s">
        <v>4874</v>
      </c>
      <c r="C4440" t="s">
        <v>280</v>
      </c>
      <c r="D4440" t="s">
        <v>133</v>
      </c>
      <c r="E4440" s="1">
        <v>45707</v>
      </c>
      <c r="F4440" t="s">
        <v>4294</v>
      </c>
      <c r="G4440" t="s">
        <v>1422</v>
      </c>
      <c r="H4440" t="s">
        <v>279</v>
      </c>
      <c r="I4440" t="s">
        <v>209</v>
      </c>
      <c r="J4440" s="1">
        <v>54878</v>
      </c>
      <c r="K4440" t="s">
        <v>785</v>
      </c>
      <c r="L4440">
        <v>1</v>
      </c>
      <c r="M4440">
        <v>18228</v>
      </c>
      <c r="N4440" t="s">
        <v>710</v>
      </c>
      <c r="O4440" t="s">
        <v>1037</v>
      </c>
      <c r="P4440" t="s">
        <v>4776</v>
      </c>
      <c r="Q4440" t="s">
        <v>4852</v>
      </c>
    </row>
    <row r="4441" spans="1:18" x14ac:dyDescent="0.3">
      <c r="A4441">
        <v>583823</v>
      </c>
      <c r="B4441" t="s">
        <v>4875</v>
      </c>
      <c r="C4441" t="s">
        <v>248</v>
      </c>
      <c r="D4441" t="s">
        <v>13</v>
      </c>
      <c r="E4441" s="1">
        <v>45707</v>
      </c>
      <c r="F4441" t="s">
        <v>4430</v>
      </c>
      <c r="G4441" t="s">
        <v>1263</v>
      </c>
      <c r="H4441" t="s">
        <v>351</v>
      </c>
      <c r="I4441" t="s">
        <v>204</v>
      </c>
      <c r="J4441" s="1">
        <v>54878</v>
      </c>
      <c r="K4441" t="s">
        <v>748</v>
      </c>
      <c r="L4441">
        <v>1330.44</v>
      </c>
      <c r="M4441">
        <v>1330.44</v>
      </c>
      <c r="N4441" t="s">
        <v>710</v>
      </c>
      <c r="O4441" t="s">
        <v>1040</v>
      </c>
      <c r="P4441" t="s">
        <v>4779</v>
      </c>
      <c r="Q4441" t="s">
        <v>4856</v>
      </c>
      <c r="R4441" t="s">
        <v>4773</v>
      </c>
    </row>
    <row r="4442" spans="1:18" x14ac:dyDescent="0.3">
      <c r="A4442">
        <v>2025187</v>
      </c>
      <c r="B4442" t="s">
        <v>4875</v>
      </c>
      <c r="C4442" t="s">
        <v>550</v>
      </c>
      <c r="D4442" t="s">
        <v>189</v>
      </c>
      <c r="E4442" s="1">
        <v>45707</v>
      </c>
      <c r="F4442" t="s">
        <v>4338</v>
      </c>
      <c r="G4442" t="s">
        <v>1414</v>
      </c>
      <c r="H4442" t="s">
        <v>569</v>
      </c>
      <c r="I4442" t="s">
        <v>204</v>
      </c>
      <c r="J4442" s="1">
        <v>46599</v>
      </c>
      <c r="K4442" t="s">
        <v>768</v>
      </c>
      <c r="L4442">
        <v>21944.240000000002</v>
      </c>
      <c r="M4442">
        <v>21944.240000000002</v>
      </c>
      <c r="N4442" t="s">
        <v>710</v>
      </c>
      <c r="O4442" t="s">
        <v>4904</v>
      </c>
      <c r="P4442" t="s">
        <v>4792</v>
      </c>
      <c r="Q4442" t="s">
        <v>4904</v>
      </c>
      <c r="R4442" t="s">
        <v>4772</v>
      </c>
    </row>
    <row r="4443" spans="1:18" x14ac:dyDescent="0.3">
      <c r="A4443">
        <v>537</v>
      </c>
      <c r="B4443" t="s">
        <v>4874</v>
      </c>
      <c r="C4443" t="s">
        <v>259</v>
      </c>
      <c r="D4443" t="s">
        <v>122</v>
      </c>
      <c r="E4443" s="1">
        <v>45706</v>
      </c>
      <c r="F4443" t="s">
        <v>4390</v>
      </c>
      <c r="G4443" t="s">
        <v>1391</v>
      </c>
      <c r="H4443" t="s">
        <v>258</v>
      </c>
      <c r="I4443" t="s">
        <v>204</v>
      </c>
      <c r="J4443" s="1">
        <v>46337</v>
      </c>
      <c r="K4443" t="s">
        <v>720</v>
      </c>
      <c r="L4443">
        <v>1</v>
      </c>
      <c r="M4443">
        <v>47094</v>
      </c>
      <c r="N4443" t="s">
        <v>710</v>
      </c>
      <c r="O4443" t="s">
        <v>1038</v>
      </c>
      <c r="P4443" t="s">
        <v>4777</v>
      </c>
      <c r="Q4443" t="s">
        <v>4858</v>
      </c>
      <c r="R4443" t="s">
        <v>4771</v>
      </c>
    </row>
    <row r="4444" spans="1:18" x14ac:dyDescent="0.3">
      <c r="A4444">
        <v>6996</v>
      </c>
      <c r="B4444" t="s">
        <v>4874</v>
      </c>
      <c r="C4444" t="s">
        <v>474</v>
      </c>
      <c r="D4444" t="s">
        <v>100</v>
      </c>
      <c r="E4444" s="1">
        <v>45706</v>
      </c>
      <c r="F4444" t="s">
        <v>4394</v>
      </c>
      <c r="G4444" t="s">
        <v>1388</v>
      </c>
      <c r="H4444" t="s">
        <v>473</v>
      </c>
      <c r="I4444" t="s">
        <v>209</v>
      </c>
      <c r="J4444" s="1">
        <v>54878</v>
      </c>
      <c r="K4444" t="s">
        <v>762</v>
      </c>
      <c r="L4444">
        <v>2238</v>
      </c>
      <c r="M4444">
        <v>2238</v>
      </c>
      <c r="N4444" t="s">
        <v>719</v>
      </c>
      <c r="Q4444" t="s">
        <v>4852</v>
      </c>
      <c r="R4444" t="s">
        <v>4772</v>
      </c>
    </row>
    <row r="4445" spans="1:18" x14ac:dyDescent="0.3">
      <c r="A4445">
        <v>6996</v>
      </c>
      <c r="B4445" t="s">
        <v>4874</v>
      </c>
      <c r="C4445" t="s">
        <v>474</v>
      </c>
      <c r="D4445" t="s">
        <v>100</v>
      </c>
      <c r="E4445" s="1">
        <v>45706</v>
      </c>
      <c r="F4445" t="s">
        <v>4308</v>
      </c>
      <c r="G4445" t="s">
        <v>1388</v>
      </c>
      <c r="H4445" t="s">
        <v>473</v>
      </c>
      <c r="I4445" t="s">
        <v>209</v>
      </c>
      <c r="J4445" s="1">
        <v>54878</v>
      </c>
      <c r="K4445" t="s">
        <v>762</v>
      </c>
      <c r="L4445">
        <v>90</v>
      </c>
      <c r="M4445">
        <v>405.9</v>
      </c>
      <c r="N4445" t="s">
        <v>719</v>
      </c>
      <c r="Q4445" t="s">
        <v>4852</v>
      </c>
      <c r="R4445" t="s">
        <v>4772</v>
      </c>
    </row>
    <row r="4446" spans="1:18" x14ac:dyDescent="0.3">
      <c r="A4446">
        <v>6996</v>
      </c>
      <c r="B4446" t="s">
        <v>4874</v>
      </c>
      <c r="C4446" t="s">
        <v>474</v>
      </c>
      <c r="D4446" t="s">
        <v>100</v>
      </c>
      <c r="E4446" s="1">
        <v>45706</v>
      </c>
      <c r="F4446" t="s">
        <v>4329</v>
      </c>
      <c r="G4446" t="s">
        <v>1388</v>
      </c>
      <c r="H4446" t="s">
        <v>473</v>
      </c>
      <c r="I4446" t="s">
        <v>209</v>
      </c>
      <c r="J4446" s="1">
        <v>54878</v>
      </c>
      <c r="K4446" t="s">
        <v>762</v>
      </c>
      <c r="L4446">
        <v>21</v>
      </c>
      <c r="M4446">
        <v>258.3</v>
      </c>
      <c r="N4446" t="s">
        <v>719</v>
      </c>
      <c r="Q4446" t="s">
        <v>4852</v>
      </c>
      <c r="R4446" t="s">
        <v>4772</v>
      </c>
    </row>
    <row r="4447" spans="1:18" x14ac:dyDescent="0.3">
      <c r="A4447">
        <v>151394</v>
      </c>
      <c r="B4447" t="s">
        <v>4874</v>
      </c>
      <c r="C4447" t="s">
        <v>301</v>
      </c>
      <c r="D4447" t="s">
        <v>23</v>
      </c>
      <c r="E4447" s="1">
        <v>45706</v>
      </c>
      <c r="F4447" t="s">
        <v>4321</v>
      </c>
      <c r="G4447" t="s">
        <v>1419</v>
      </c>
      <c r="H4447" t="s">
        <v>300</v>
      </c>
      <c r="I4447" t="s">
        <v>204</v>
      </c>
      <c r="J4447" s="1">
        <v>46418</v>
      </c>
      <c r="K4447" t="s">
        <v>720</v>
      </c>
      <c r="L4447">
        <v>1</v>
      </c>
      <c r="M4447">
        <v>4845.29</v>
      </c>
      <c r="N4447" t="s">
        <v>710</v>
      </c>
      <c r="O4447" t="s">
        <v>1038</v>
      </c>
      <c r="P4447" t="s">
        <v>4782</v>
      </c>
      <c r="Q4447" t="s">
        <v>4858</v>
      </c>
      <c r="R4447" t="s">
        <v>4773</v>
      </c>
    </row>
    <row r="4448" spans="1:18" x14ac:dyDescent="0.3">
      <c r="A4448">
        <v>6996</v>
      </c>
      <c r="B4448" t="s">
        <v>4874</v>
      </c>
      <c r="C4448" t="s">
        <v>474</v>
      </c>
      <c r="D4448" t="s">
        <v>100</v>
      </c>
      <c r="E4448" s="1">
        <v>45706</v>
      </c>
      <c r="F4448" t="s">
        <v>4310</v>
      </c>
      <c r="G4448" t="s">
        <v>1388</v>
      </c>
      <c r="H4448" t="s">
        <v>473</v>
      </c>
      <c r="I4448" t="s">
        <v>209</v>
      </c>
      <c r="J4448" s="1">
        <v>54878</v>
      </c>
      <c r="K4448" t="s">
        <v>762</v>
      </c>
      <c r="L4448">
        <v>72</v>
      </c>
      <c r="M4448">
        <v>244.08</v>
      </c>
      <c r="N4448" t="s">
        <v>719</v>
      </c>
      <c r="Q4448" t="s">
        <v>4852</v>
      </c>
      <c r="R4448" t="s">
        <v>4772</v>
      </c>
    </row>
    <row r="4449" spans="1:18" x14ac:dyDescent="0.3">
      <c r="A4449">
        <v>6996</v>
      </c>
      <c r="B4449" t="s">
        <v>4874</v>
      </c>
      <c r="C4449" t="s">
        <v>474</v>
      </c>
      <c r="D4449" t="s">
        <v>100</v>
      </c>
      <c r="E4449" s="1">
        <v>45706</v>
      </c>
      <c r="F4449" t="s">
        <v>4398</v>
      </c>
      <c r="G4449" t="s">
        <v>1388</v>
      </c>
      <c r="H4449" t="s">
        <v>473</v>
      </c>
      <c r="I4449" t="s">
        <v>209</v>
      </c>
      <c r="J4449" s="1">
        <v>54878</v>
      </c>
      <c r="K4449" t="s">
        <v>762</v>
      </c>
      <c r="L4449">
        <v>100</v>
      </c>
      <c r="M4449">
        <v>10</v>
      </c>
      <c r="N4449" t="s">
        <v>719</v>
      </c>
      <c r="Q4449" t="s">
        <v>4852</v>
      </c>
      <c r="R4449" t="s">
        <v>4772</v>
      </c>
    </row>
    <row r="4450" spans="1:18" x14ac:dyDescent="0.3">
      <c r="A4450">
        <v>115</v>
      </c>
      <c r="B4450" t="s">
        <v>4874</v>
      </c>
      <c r="C4450" t="s">
        <v>565</v>
      </c>
      <c r="D4450" t="s">
        <v>113</v>
      </c>
      <c r="E4450" s="1">
        <v>45706</v>
      </c>
      <c r="F4450" t="s">
        <v>4390</v>
      </c>
      <c r="G4450" t="s">
        <v>1425</v>
      </c>
      <c r="H4450" t="s">
        <v>564</v>
      </c>
      <c r="I4450" t="s">
        <v>204</v>
      </c>
      <c r="J4450" s="1">
        <v>46386</v>
      </c>
      <c r="K4450" t="s">
        <v>720</v>
      </c>
      <c r="L4450">
        <v>1</v>
      </c>
      <c r="M4450">
        <v>5200</v>
      </c>
      <c r="N4450" t="s">
        <v>710</v>
      </c>
      <c r="O4450" t="s">
        <v>1038</v>
      </c>
      <c r="P4450" t="s">
        <v>4777</v>
      </c>
      <c r="Q4450" t="s">
        <v>4858</v>
      </c>
      <c r="R4450" t="s">
        <v>4771</v>
      </c>
    </row>
    <row r="4451" spans="1:18" x14ac:dyDescent="0.3">
      <c r="A4451">
        <v>10546</v>
      </c>
      <c r="B4451" t="s">
        <v>4874</v>
      </c>
      <c r="C4451" t="s">
        <v>546</v>
      </c>
      <c r="D4451" t="s">
        <v>75</v>
      </c>
      <c r="E4451" s="1">
        <v>45706</v>
      </c>
      <c r="F4451" t="s">
        <v>4355</v>
      </c>
      <c r="G4451" t="s">
        <v>1423</v>
      </c>
      <c r="H4451" t="s">
        <v>581</v>
      </c>
      <c r="I4451" t="s">
        <v>204</v>
      </c>
      <c r="J4451" s="1">
        <v>46233</v>
      </c>
      <c r="K4451" t="s">
        <v>720</v>
      </c>
      <c r="L4451">
        <v>1</v>
      </c>
      <c r="M4451">
        <v>2850</v>
      </c>
      <c r="N4451" t="s">
        <v>814</v>
      </c>
      <c r="O4451" t="s">
        <v>1038</v>
      </c>
      <c r="P4451" t="s">
        <v>4779</v>
      </c>
      <c r="Q4451" t="s">
        <v>4858</v>
      </c>
      <c r="R4451" t="s">
        <v>4773</v>
      </c>
    </row>
    <row r="4452" spans="1:18" x14ac:dyDescent="0.3">
      <c r="A4452">
        <v>2140686</v>
      </c>
      <c r="B4452" t="s">
        <v>4874</v>
      </c>
      <c r="C4452" t="s">
        <v>403</v>
      </c>
      <c r="D4452" t="s">
        <v>106</v>
      </c>
      <c r="E4452" s="1">
        <v>45706</v>
      </c>
      <c r="F4452" t="s">
        <v>4362</v>
      </c>
      <c r="G4452" t="s">
        <v>1406</v>
      </c>
      <c r="H4452" t="s">
        <v>402</v>
      </c>
      <c r="I4452" t="s">
        <v>204</v>
      </c>
      <c r="J4452" s="1">
        <v>46386</v>
      </c>
      <c r="K4452" t="s">
        <v>762</v>
      </c>
      <c r="L4452">
        <v>17326.68</v>
      </c>
      <c r="M4452">
        <v>17326.68</v>
      </c>
      <c r="N4452" t="s">
        <v>710</v>
      </c>
      <c r="O4452" t="s">
        <v>1037</v>
      </c>
      <c r="P4452" t="s">
        <v>4779</v>
      </c>
      <c r="Q4452" t="s">
        <v>4852</v>
      </c>
      <c r="R4452" t="s">
        <v>4772</v>
      </c>
    </row>
    <row r="4453" spans="1:18" x14ac:dyDescent="0.3">
      <c r="A4453">
        <v>2353911</v>
      </c>
      <c r="B4453" t="s">
        <v>4874</v>
      </c>
      <c r="C4453" t="s">
        <v>403</v>
      </c>
      <c r="D4453" t="s">
        <v>106</v>
      </c>
      <c r="E4453" s="1">
        <v>45706</v>
      </c>
      <c r="F4453" t="s">
        <v>4362</v>
      </c>
      <c r="G4453" t="s">
        <v>1407</v>
      </c>
      <c r="H4453" t="s">
        <v>402</v>
      </c>
      <c r="I4453" t="s">
        <v>204</v>
      </c>
      <c r="J4453" s="1">
        <v>46386</v>
      </c>
      <c r="K4453" t="s">
        <v>762</v>
      </c>
      <c r="L4453">
        <v>794</v>
      </c>
      <c r="M4453">
        <v>794</v>
      </c>
      <c r="N4453" t="s">
        <v>710</v>
      </c>
      <c r="O4453" t="s">
        <v>1037</v>
      </c>
      <c r="P4453" t="s">
        <v>4779</v>
      </c>
      <c r="Q4453" t="s">
        <v>4852</v>
      </c>
      <c r="R4453" t="s">
        <v>4772</v>
      </c>
    </row>
    <row r="4454" spans="1:18" x14ac:dyDescent="0.3">
      <c r="A4454">
        <v>37410581</v>
      </c>
      <c r="B4454" t="s">
        <v>4874</v>
      </c>
      <c r="C4454" t="s">
        <v>428</v>
      </c>
      <c r="D4454" t="s">
        <v>127</v>
      </c>
      <c r="E4454" s="1">
        <v>45706</v>
      </c>
      <c r="F4454" t="s">
        <v>4336</v>
      </c>
      <c r="G4454" t="s">
        <v>1412</v>
      </c>
      <c r="H4454" t="s">
        <v>427</v>
      </c>
      <c r="I4454" t="s">
        <v>209</v>
      </c>
      <c r="J4454" s="1">
        <v>54878</v>
      </c>
      <c r="K4454" t="s">
        <v>762</v>
      </c>
      <c r="L4454">
        <v>65732.17</v>
      </c>
      <c r="M4454">
        <v>65732.17</v>
      </c>
      <c r="N4454" t="s">
        <v>710</v>
      </c>
      <c r="Q4454" t="s">
        <v>4852</v>
      </c>
      <c r="R4454" t="s">
        <v>4772</v>
      </c>
    </row>
    <row r="4455" spans="1:18" x14ac:dyDescent="0.3">
      <c r="A4455">
        <v>100641</v>
      </c>
      <c r="B4455" t="s">
        <v>4874</v>
      </c>
      <c r="C4455" t="s">
        <v>415</v>
      </c>
      <c r="D4455" t="s">
        <v>60</v>
      </c>
      <c r="E4455" s="1">
        <v>45706</v>
      </c>
      <c r="F4455" t="s">
        <v>4333</v>
      </c>
      <c r="G4455" t="s">
        <v>1421</v>
      </c>
      <c r="H4455" t="s">
        <v>457</v>
      </c>
      <c r="I4455" t="s">
        <v>204</v>
      </c>
      <c r="J4455" s="1">
        <v>46387</v>
      </c>
      <c r="K4455" t="s">
        <v>762</v>
      </c>
      <c r="L4455">
        <v>18576.7</v>
      </c>
      <c r="M4455">
        <v>18576.7</v>
      </c>
      <c r="N4455" t="s">
        <v>814</v>
      </c>
      <c r="O4455" t="s">
        <v>1037</v>
      </c>
      <c r="P4455" t="s">
        <v>4807</v>
      </c>
      <c r="Q4455" t="s">
        <v>4852</v>
      </c>
      <c r="R4455" t="s">
        <v>4771</v>
      </c>
    </row>
    <row r="4456" spans="1:18" x14ac:dyDescent="0.3">
      <c r="A4456">
        <v>6504</v>
      </c>
      <c r="B4456" t="s">
        <v>4874</v>
      </c>
      <c r="C4456" t="s">
        <v>628</v>
      </c>
      <c r="D4456" t="s">
        <v>25</v>
      </c>
      <c r="E4456" s="1">
        <v>45706</v>
      </c>
      <c r="F4456" t="s">
        <v>4415</v>
      </c>
      <c r="G4456" t="s">
        <v>1382</v>
      </c>
      <c r="H4456" t="s">
        <v>627</v>
      </c>
      <c r="I4456" t="s">
        <v>209</v>
      </c>
      <c r="J4456" s="1">
        <v>46476</v>
      </c>
      <c r="K4456" t="s">
        <v>720</v>
      </c>
      <c r="L4456">
        <v>1</v>
      </c>
      <c r="M4456">
        <v>370</v>
      </c>
      <c r="N4456" t="s">
        <v>710</v>
      </c>
      <c r="O4456" t="s">
        <v>1038</v>
      </c>
      <c r="P4456" t="s">
        <v>4776</v>
      </c>
      <c r="Q4456" t="s">
        <v>4858</v>
      </c>
      <c r="R4456" t="s">
        <v>4771</v>
      </c>
    </row>
    <row r="4457" spans="1:18" x14ac:dyDescent="0.3">
      <c r="A4457">
        <v>1200</v>
      </c>
      <c r="B4457" t="s">
        <v>4874</v>
      </c>
      <c r="C4457" t="s">
        <v>305</v>
      </c>
      <c r="D4457" t="s">
        <v>59</v>
      </c>
      <c r="E4457" s="1">
        <v>45706</v>
      </c>
      <c r="F4457" t="s">
        <v>4359</v>
      </c>
      <c r="G4457" t="s">
        <v>1410</v>
      </c>
      <c r="H4457" t="s">
        <v>304</v>
      </c>
      <c r="I4457" t="s">
        <v>204</v>
      </c>
      <c r="J4457" s="1">
        <v>46481</v>
      </c>
      <c r="K4457" t="s">
        <v>720</v>
      </c>
      <c r="L4457">
        <v>1</v>
      </c>
      <c r="M4457">
        <v>360</v>
      </c>
      <c r="N4457" t="s">
        <v>809</v>
      </c>
      <c r="O4457" t="s">
        <v>1038</v>
      </c>
      <c r="P4457" t="s">
        <v>4783</v>
      </c>
      <c r="Q4457" t="s">
        <v>4858</v>
      </c>
      <c r="R4457" t="s">
        <v>4771</v>
      </c>
    </row>
    <row r="4458" spans="1:18" x14ac:dyDescent="0.3">
      <c r="A4458">
        <v>6996</v>
      </c>
      <c r="B4458" t="s">
        <v>4874</v>
      </c>
      <c r="C4458" t="s">
        <v>474</v>
      </c>
      <c r="D4458" t="s">
        <v>100</v>
      </c>
      <c r="E4458" s="1">
        <v>45706</v>
      </c>
      <c r="F4458" t="s">
        <v>4400</v>
      </c>
      <c r="G4458" t="s">
        <v>1388</v>
      </c>
      <c r="H4458" t="s">
        <v>473</v>
      </c>
      <c r="I4458" t="s">
        <v>209</v>
      </c>
      <c r="J4458" s="1">
        <v>54878</v>
      </c>
      <c r="K4458" t="s">
        <v>762</v>
      </c>
      <c r="L4458">
        <v>3</v>
      </c>
      <c r="M4458">
        <v>16.260000000000002</v>
      </c>
      <c r="N4458" t="s">
        <v>719</v>
      </c>
      <c r="Q4458" t="s">
        <v>4852</v>
      </c>
      <c r="R4458" t="s">
        <v>4772</v>
      </c>
    </row>
    <row r="4459" spans="1:18" x14ac:dyDescent="0.3">
      <c r="A4459">
        <v>6996</v>
      </c>
      <c r="B4459" t="s">
        <v>4874</v>
      </c>
      <c r="C4459" t="s">
        <v>474</v>
      </c>
      <c r="D4459" t="s">
        <v>100</v>
      </c>
      <c r="E4459" s="1">
        <v>45706</v>
      </c>
      <c r="F4459" t="s">
        <v>4307</v>
      </c>
      <c r="G4459" t="s">
        <v>1388</v>
      </c>
      <c r="H4459" t="s">
        <v>473</v>
      </c>
      <c r="I4459" t="s">
        <v>209</v>
      </c>
      <c r="J4459" s="1">
        <v>54878</v>
      </c>
      <c r="K4459" t="s">
        <v>762</v>
      </c>
      <c r="L4459">
        <v>2238</v>
      </c>
      <c r="M4459">
        <v>32137.68</v>
      </c>
      <c r="N4459" t="s">
        <v>719</v>
      </c>
      <c r="Q4459" t="s">
        <v>4852</v>
      </c>
      <c r="R4459" t="s">
        <v>4772</v>
      </c>
    </row>
    <row r="4460" spans="1:18" x14ac:dyDescent="0.3">
      <c r="A4460">
        <v>283</v>
      </c>
      <c r="B4460" t="s">
        <v>1034</v>
      </c>
      <c r="C4460" t="s">
        <v>479</v>
      </c>
      <c r="D4460" t="s">
        <v>99</v>
      </c>
      <c r="E4460" s="1">
        <v>45706</v>
      </c>
      <c r="F4460" t="s">
        <v>4308</v>
      </c>
      <c r="G4460" t="s">
        <v>1408</v>
      </c>
      <c r="H4460" t="s">
        <v>478</v>
      </c>
      <c r="I4460" t="s">
        <v>204</v>
      </c>
      <c r="J4460" s="1">
        <v>46239</v>
      </c>
      <c r="K4460" t="s">
        <v>717</v>
      </c>
      <c r="L4460">
        <v>2799</v>
      </c>
      <c r="M4460">
        <v>10300.32</v>
      </c>
      <c r="N4460" t="s">
        <v>710</v>
      </c>
      <c r="O4460" t="s">
        <v>1037</v>
      </c>
      <c r="P4460" t="s">
        <v>4790</v>
      </c>
      <c r="Q4460" t="s">
        <v>4852</v>
      </c>
      <c r="R4460" t="s">
        <v>4772</v>
      </c>
    </row>
    <row r="4461" spans="1:18" x14ac:dyDescent="0.3">
      <c r="A4461">
        <v>283</v>
      </c>
      <c r="B4461" t="s">
        <v>1034</v>
      </c>
      <c r="C4461" t="s">
        <v>479</v>
      </c>
      <c r="D4461" t="s">
        <v>99</v>
      </c>
      <c r="E4461" s="1">
        <v>45706</v>
      </c>
      <c r="F4461" t="s">
        <v>4310</v>
      </c>
      <c r="G4461" t="s">
        <v>1408</v>
      </c>
      <c r="H4461" t="s">
        <v>478</v>
      </c>
      <c r="I4461" t="s">
        <v>204</v>
      </c>
      <c r="J4461" s="1">
        <v>46239</v>
      </c>
      <c r="K4461" t="s">
        <v>717</v>
      </c>
      <c r="L4461">
        <v>74</v>
      </c>
      <c r="M4461">
        <v>244.2</v>
      </c>
      <c r="N4461" t="s">
        <v>710</v>
      </c>
      <c r="O4461" t="s">
        <v>1037</v>
      </c>
      <c r="P4461" t="s">
        <v>4790</v>
      </c>
      <c r="Q4461" t="s">
        <v>4852</v>
      </c>
      <c r="R4461" t="s">
        <v>4772</v>
      </c>
    </row>
    <row r="4462" spans="1:18" x14ac:dyDescent="0.3">
      <c r="A4462">
        <v>283</v>
      </c>
      <c r="B4462" t="s">
        <v>1034</v>
      </c>
      <c r="C4462" t="s">
        <v>479</v>
      </c>
      <c r="D4462" t="s">
        <v>99</v>
      </c>
      <c r="E4462" s="1">
        <v>45706</v>
      </c>
      <c r="F4462" t="s">
        <v>4312</v>
      </c>
      <c r="G4462" t="s">
        <v>1408</v>
      </c>
      <c r="H4462" t="s">
        <v>478</v>
      </c>
      <c r="I4462" t="s">
        <v>204</v>
      </c>
      <c r="J4462" s="1">
        <v>46239</v>
      </c>
      <c r="K4462" t="s">
        <v>717</v>
      </c>
      <c r="L4462">
        <v>84</v>
      </c>
      <c r="M4462">
        <v>370.44</v>
      </c>
      <c r="N4462" t="s">
        <v>710</v>
      </c>
      <c r="O4462" t="s">
        <v>1037</v>
      </c>
      <c r="P4462" t="s">
        <v>4790</v>
      </c>
      <c r="Q4462" t="s">
        <v>4852</v>
      </c>
      <c r="R4462" t="s">
        <v>4772</v>
      </c>
    </row>
    <row r="4463" spans="1:18" x14ac:dyDescent="0.3">
      <c r="A4463">
        <v>90</v>
      </c>
      <c r="B4463" t="s">
        <v>4874</v>
      </c>
      <c r="C4463" t="s">
        <v>607</v>
      </c>
      <c r="D4463" t="s">
        <v>81</v>
      </c>
      <c r="E4463" s="1">
        <v>45706</v>
      </c>
      <c r="F4463" t="s">
        <v>4357</v>
      </c>
      <c r="G4463" t="s">
        <v>1312</v>
      </c>
      <c r="H4463" t="s">
        <v>606</v>
      </c>
      <c r="I4463" t="s">
        <v>204</v>
      </c>
      <c r="J4463" s="1">
        <v>46387</v>
      </c>
      <c r="K4463" t="s">
        <v>720</v>
      </c>
      <c r="L4463">
        <v>1</v>
      </c>
      <c r="M4463">
        <v>40762.699999999997</v>
      </c>
      <c r="N4463" t="s">
        <v>710</v>
      </c>
      <c r="O4463" t="s">
        <v>1038</v>
      </c>
      <c r="P4463" t="s">
        <v>4777</v>
      </c>
      <c r="Q4463" t="s">
        <v>4858</v>
      </c>
      <c r="R4463" t="s">
        <v>4773</v>
      </c>
    </row>
    <row r="4464" spans="1:18" x14ac:dyDescent="0.3">
      <c r="A4464">
        <v>283</v>
      </c>
      <c r="B4464" t="s">
        <v>1034</v>
      </c>
      <c r="C4464" t="s">
        <v>479</v>
      </c>
      <c r="D4464" t="s">
        <v>99</v>
      </c>
      <c r="E4464" s="1">
        <v>45706</v>
      </c>
      <c r="F4464" t="s">
        <v>4311</v>
      </c>
      <c r="G4464" t="s">
        <v>1408</v>
      </c>
      <c r="H4464" t="s">
        <v>478</v>
      </c>
      <c r="I4464" t="s">
        <v>204</v>
      </c>
      <c r="J4464" s="1">
        <v>46239</v>
      </c>
      <c r="K4464" t="s">
        <v>717</v>
      </c>
      <c r="L4464">
        <v>213</v>
      </c>
      <c r="M4464">
        <v>1686.96</v>
      </c>
      <c r="N4464" t="s">
        <v>710</v>
      </c>
      <c r="O4464" t="s">
        <v>1037</v>
      </c>
      <c r="P4464" t="s">
        <v>4790</v>
      </c>
      <c r="Q4464" t="s">
        <v>4852</v>
      </c>
      <c r="R4464" t="s">
        <v>4772</v>
      </c>
    </row>
    <row r="4465" spans="1:18" x14ac:dyDescent="0.3">
      <c r="A4465">
        <v>283</v>
      </c>
      <c r="B4465" t="s">
        <v>1034</v>
      </c>
      <c r="C4465" t="s">
        <v>479</v>
      </c>
      <c r="D4465" t="s">
        <v>99</v>
      </c>
      <c r="E4465" s="1">
        <v>45706</v>
      </c>
      <c r="F4465" t="s">
        <v>4307</v>
      </c>
      <c r="G4465" t="s">
        <v>1408</v>
      </c>
      <c r="H4465" t="s">
        <v>478</v>
      </c>
      <c r="I4465" t="s">
        <v>204</v>
      </c>
      <c r="J4465" s="1">
        <v>46239</v>
      </c>
      <c r="K4465" t="s">
        <v>717</v>
      </c>
      <c r="L4465">
        <v>4236</v>
      </c>
      <c r="M4465">
        <v>48078.6</v>
      </c>
      <c r="N4465" t="s">
        <v>710</v>
      </c>
      <c r="O4465" t="s">
        <v>1037</v>
      </c>
      <c r="P4465" t="s">
        <v>4790</v>
      </c>
      <c r="Q4465" t="s">
        <v>4852</v>
      </c>
      <c r="R4465" t="s">
        <v>4772</v>
      </c>
    </row>
    <row r="4466" spans="1:18" x14ac:dyDescent="0.3">
      <c r="A4466">
        <v>284</v>
      </c>
      <c r="B4466" t="s">
        <v>1034</v>
      </c>
      <c r="C4466" t="s">
        <v>479</v>
      </c>
      <c r="D4466" t="s">
        <v>99</v>
      </c>
      <c r="E4466" s="1">
        <v>45705</v>
      </c>
      <c r="F4466" t="s">
        <v>4307</v>
      </c>
      <c r="G4466" t="s">
        <v>1409</v>
      </c>
      <c r="H4466" t="s">
        <v>478</v>
      </c>
      <c r="I4466" t="s">
        <v>204</v>
      </c>
      <c r="J4466" s="1">
        <v>46239</v>
      </c>
      <c r="K4466" t="s">
        <v>717</v>
      </c>
      <c r="L4466">
        <v>8</v>
      </c>
      <c r="M4466">
        <v>109.59</v>
      </c>
      <c r="N4466" t="s">
        <v>710</v>
      </c>
      <c r="O4466" t="s">
        <v>1037</v>
      </c>
      <c r="P4466" t="s">
        <v>4790</v>
      </c>
      <c r="Q4466" t="s">
        <v>4852</v>
      </c>
      <c r="R4466" t="s">
        <v>4772</v>
      </c>
    </row>
    <row r="4467" spans="1:18" x14ac:dyDescent="0.3">
      <c r="A4467">
        <v>284</v>
      </c>
      <c r="B4467" t="s">
        <v>1034</v>
      </c>
      <c r="C4467" t="s">
        <v>479</v>
      </c>
      <c r="D4467" t="s">
        <v>99</v>
      </c>
      <c r="E4467" s="1">
        <v>45705</v>
      </c>
      <c r="F4467" t="s">
        <v>4307</v>
      </c>
      <c r="G4467" t="s">
        <v>1409</v>
      </c>
      <c r="H4467" t="s">
        <v>478</v>
      </c>
      <c r="I4467" t="s">
        <v>204</v>
      </c>
      <c r="J4467" s="1">
        <v>46239</v>
      </c>
      <c r="K4467" t="s">
        <v>717</v>
      </c>
      <c r="L4467">
        <v>7</v>
      </c>
      <c r="M4467">
        <v>65.489999999999995</v>
      </c>
      <c r="N4467" t="s">
        <v>710</v>
      </c>
      <c r="O4467" t="s">
        <v>1037</v>
      </c>
      <c r="P4467" t="s">
        <v>4790</v>
      </c>
      <c r="Q4467" t="s">
        <v>4852</v>
      </c>
      <c r="R4467" t="s">
        <v>4772</v>
      </c>
    </row>
    <row r="4468" spans="1:18" x14ac:dyDescent="0.3">
      <c r="A4468">
        <v>986411</v>
      </c>
      <c r="B4468" t="s">
        <v>4875</v>
      </c>
      <c r="C4468" t="s">
        <v>203</v>
      </c>
      <c r="D4468" t="s">
        <v>118</v>
      </c>
      <c r="E4468" s="1">
        <v>45705</v>
      </c>
      <c r="F4468" t="s">
        <v>4353</v>
      </c>
      <c r="G4468" t="s">
        <v>1403</v>
      </c>
      <c r="H4468" t="s">
        <v>202</v>
      </c>
      <c r="I4468" t="s">
        <v>204</v>
      </c>
      <c r="J4468" s="1">
        <v>46387</v>
      </c>
      <c r="K4468" t="s">
        <v>717</v>
      </c>
      <c r="L4468">
        <v>241.23</v>
      </c>
      <c r="M4468">
        <v>241.23</v>
      </c>
      <c r="N4468" t="s">
        <v>710</v>
      </c>
      <c r="O4468" t="s">
        <v>1037</v>
      </c>
      <c r="P4468" t="s">
        <v>4776</v>
      </c>
      <c r="Q4468" t="s">
        <v>4852</v>
      </c>
      <c r="R4468" t="s">
        <v>4772</v>
      </c>
    </row>
    <row r="4469" spans="1:18" x14ac:dyDescent="0.3">
      <c r="A4469">
        <v>37410321</v>
      </c>
      <c r="B4469" t="s">
        <v>4874</v>
      </c>
      <c r="C4469" t="s">
        <v>428</v>
      </c>
      <c r="D4469" t="s">
        <v>127</v>
      </c>
      <c r="E4469" s="1">
        <v>45705</v>
      </c>
      <c r="F4469" t="s">
        <v>4336</v>
      </c>
      <c r="G4469" t="s">
        <v>1413</v>
      </c>
      <c r="H4469" t="s">
        <v>427</v>
      </c>
      <c r="I4469" t="s">
        <v>209</v>
      </c>
      <c r="J4469" s="1">
        <v>54878</v>
      </c>
      <c r="K4469" t="s">
        <v>762</v>
      </c>
      <c r="L4469">
        <v>1194.56</v>
      </c>
      <c r="M4469">
        <v>1194.56</v>
      </c>
      <c r="N4469" t="s">
        <v>710</v>
      </c>
      <c r="Q4469" t="s">
        <v>4852</v>
      </c>
      <c r="R4469" t="s">
        <v>4772</v>
      </c>
    </row>
    <row r="4470" spans="1:18" x14ac:dyDescent="0.3">
      <c r="A4470">
        <v>2773</v>
      </c>
      <c r="B4470" t="s">
        <v>4874</v>
      </c>
      <c r="C4470" t="s">
        <v>469</v>
      </c>
      <c r="D4470" t="s">
        <v>124</v>
      </c>
      <c r="E4470" s="1">
        <v>45705</v>
      </c>
      <c r="F4470" t="s">
        <v>4361</v>
      </c>
      <c r="G4470" t="s">
        <v>1416</v>
      </c>
      <c r="H4470" t="s">
        <v>468</v>
      </c>
      <c r="I4470" t="s">
        <v>204</v>
      </c>
      <c r="J4470" s="1">
        <v>54878</v>
      </c>
      <c r="K4470" t="s">
        <v>762</v>
      </c>
      <c r="L4470">
        <v>388.5</v>
      </c>
      <c r="M4470">
        <v>388.5</v>
      </c>
      <c r="N4470" t="s">
        <v>719</v>
      </c>
      <c r="O4470" t="s">
        <v>4845</v>
      </c>
      <c r="P4470" t="s">
        <v>4776</v>
      </c>
      <c r="Q4470" t="s">
        <v>4845</v>
      </c>
      <c r="R4470" t="s">
        <v>4771</v>
      </c>
    </row>
    <row r="4471" spans="1:18" x14ac:dyDescent="0.3">
      <c r="A4471">
        <v>8593</v>
      </c>
      <c r="B4471" t="s">
        <v>1034</v>
      </c>
      <c r="C4471" t="s">
        <v>624</v>
      </c>
      <c r="D4471" t="s">
        <v>68</v>
      </c>
      <c r="E4471" s="1">
        <v>45705</v>
      </c>
      <c r="F4471" t="s">
        <v>4367</v>
      </c>
      <c r="G4471" t="s">
        <v>1418</v>
      </c>
      <c r="H4471" t="s">
        <v>623</v>
      </c>
      <c r="I4471" t="s">
        <v>204</v>
      </c>
      <c r="J4471" s="1">
        <v>46017</v>
      </c>
      <c r="K4471" t="s">
        <v>839</v>
      </c>
      <c r="L4471">
        <v>1600</v>
      </c>
      <c r="M4471">
        <v>1600</v>
      </c>
      <c r="N4471" t="s">
        <v>710</v>
      </c>
      <c r="O4471" t="s">
        <v>1041</v>
      </c>
      <c r="P4471" t="s">
        <v>4776</v>
      </c>
      <c r="Q4471" t="s">
        <v>4852</v>
      </c>
      <c r="R4471" t="s">
        <v>4771</v>
      </c>
    </row>
    <row r="4472" spans="1:18" x14ac:dyDescent="0.3">
      <c r="A4472">
        <v>807314</v>
      </c>
      <c r="B4472" t="s">
        <v>1034</v>
      </c>
      <c r="C4472" t="s">
        <v>276</v>
      </c>
      <c r="D4472" t="s">
        <v>5</v>
      </c>
      <c r="E4472" s="1">
        <v>45705</v>
      </c>
      <c r="F4472" t="s">
        <v>4315</v>
      </c>
      <c r="G4472" t="s">
        <v>1404</v>
      </c>
      <c r="H4472" t="s">
        <v>275</v>
      </c>
      <c r="I4472" t="s">
        <v>204</v>
      </c>
      <c r="J4472" s="1">
        <v>46904</v>
      </c>
      <c r="K4472" t="s">
        <v>717</v>
      </c>
      <c r="L4472">
        <v>31199.93</v>
      </c>
      <c r="M4472">
        <v>31199.93</v>
      </c>
      <c r="N4472" t="s">
        <v>710</v>
      </c>
      <c r="O4472" t="s">
        <v>1037</v>
      </c>
      <c r="P4472" t="s">
        <v>4776</v>
      </c>
      <c r="Q4472" t="s">
        <v>4852</v>
      </c>
      <c r="R4472" t="s">
        <v>4773</v>
      </c>
    </row>
    <row r="4473" spans="1:18" x14ac:dyDescent="0.3">
      <c r="A4473">
        <v>2057</v>
      </c>
      <c r="B4473" t="s">
        <v>1034</v>
      </c>
      <c r="C4473" t="s">
        <v>541</v>
      </c>
      <c r="D4473" t="s">
        <v>173</v>
      </c>
      <c r="E4473" s="1">
        <v>45705</v>
      </c>
      <c r="F4473" t="s">
        <v>4326</v>
      </c>
      <c r="G4473" t="s">
        <v>1394</v>
      </c>
      <c r="H4473" t="s">
        <v>540</v>
      </c>
      <c r="I4473" t="s">
        <v>204</v>
      </c>
      <c r="J4473" s="1">
        <v>46386</v>
      </c>
      <c r="K4473" t="s">
        <v>711</v>
      </c>
      <c r="L4473">
        <v>1</v>
      </c>
      <c r="M4473">
        <v>2337.9499999999998</v>
      </c>
      <c r="N4473" t="s">
        <v>890</v>
      </c>
      <c r="O4473" t="s">
        <v>1036</v>
      </c>
      <c r="P4473" t="s">
        <v>4791</v>
      </c>
      <c r="Q4473" t="s">
        <v>4901</v>
      </c>
      <c r="R4473" t="s">
        <v>4773</v>
      </c>
    </row>
    <row r="4474" spans="1:18" x14ac:dyDescent="0.3">
      <c r="A4474">
        <v>134485</v>
      </c>
      <c r="B4474" t="s">
        <v>1034</v>
      </c>
      <c r="C4474" t="s">
        <v>376</v>
      </c>
      <c r="D4474" t="s">
        <v>35</v>
      </c>
      <c r="E4474" s="1">
        <v>45705</v>
      </c>
      <c r="F4474" t="s">
        <v>4324</v>
      </c>
      <c r="G4474" t="s">
        <v>1387</v>
      </c>
      <c r="H4474" t="s">
        <v>375</v>
      </c>
      <c r="I4474" t="s">
        <v>209</v>
      </c>
      <c r="J4474" s="1">
        <v>54878</v>
      </c>
      <c r="K4474" t="s">
        <v>717</v>
      </c>
      <c r="L4474">
        <v>142240.15</v>
      </c>
      <c r="M4474">
        <v>142240.15</v>
      </c>
      <c r="N4474" t="s">
        <v>710</v>
      </c>
      <c r="O4474" t="s">
        <v>1037</v>
      </c>
      <c r="P4474" t="s">
        <v>4807</v>
      </c>
      <c r="Q4474" t="s">
        <v>4852</v>
      </c>
      <c r="R4474" t="s">
        <v>4771</v>
      </c>
    </row>
    <row r="4475" spans="1:18" x14ac:dyDescent="0.3">
      <c r="A4475">
        <v>2282</v>
      </c>
      <c r="B4475" t="s">
        <v>1034</v>
      </c>
      <c r="C4475" t="s">
        <v>278</v>
      </c>
      <c r="D4475" t="s">
        <v>17</v>
      </c>
      <c r="E4475" s="1">
        <v>45705</v>
      </c>
      <c r="F4475" t="s">
        <v>4340</v>
      </c>
      <c r="G4475" t="s">
        <v>1326</v>
      </c>
      <c r="H4475" t="s">
        <v>510</v>
      </c>
      <c r="I4475" t="s">
        <v>204</v>
      </c>
      <c r="J4475" s="1">
        <v>46599</v>
      </c>
      <c r="K4475" t="s">
        <v>711</v>
      </c>
      <c r="L4475">
        <v>1</v>
      </c>
      <c r="M4475">
        <v>600</v>
      </c>
      <c r="N4475" t="s">
        <v>710</v>
      </c>
      <c r="O4475" t="s">
        <v>1036</v>
      </c>
      <c r="P4475" t="s">
        <v>4776</v>
      </c>
      <c r="Q4475" t="s">
        <v>4901</v>
      </c>
      <c r="R4475" t="s">
        <v>4771</v>
      </c>
    </row>
    <row r="4476" spans="1:18" x14ac:dyDescent="0.3">
      <c r="A4476">
        <v>138742</v>
      </c>
      <c r="B4476" t="s">
        <v>4875</v>
      </c>
      <c r="C4476" t="s">
        <v>376</v>
      </c>
      <c r="D4476" t="s">
        <v>35</v>
      </c>
      <c r="E4476" s="1">
        <v>45705</v>
      </c>
      <c r="F4476" t="s">
        <v>4324</v>
      </c>
      <c r="G4476" t="s">
        <v>1385</v>
      </c>
      <c r="H4476" t="s">
        <v>486</v>
      </c>
      <c r="I4476" t="s">
        <v>209</v>
      </c>
      <c r="J4476" s="1">
        <v>54878</v>
      </c>
      <c r="K4476" t="s">
        <v>768</v>
      </c>
      <c r="L4476">
        <v>40227</v>
      </c>
      <c r="M4476">
        <v>40227</v>
      </c>
      <c r="N4476" t="s">
        <v>710</v>
      </c>
      <c r="Q4476" t="s">
        <v>4852</v>
      </c>
      <c r="R4476" t="s">
        <v>4771</v>
      </c>
    </row>
    <row r="4477" spans="1:18" x14ac:dyDescent="0.3">
      <c r="A4477">
        <v>20115</v>
      </c>
      <c r="B4477" t="s">
        <v>4875</v>
      </c>
      <c r="C4477" t="s">
        <v>243</v>
      </c>
      <c r="D4477" t="s">
        <v>61</v>
      </c>
      <c r="E4477" s="1">
        <v>45705</v>
      </c>
      <c r="F4477" t="s">
        <v>4304</v>
      </c>
      <c r="G4477" t="s">
        <v>1315</v>
      </c>
      <c r="H4477" t="s">
        <v>242</v>
      </c>
      <c r="I4477" t="s">
        <v>204</v>
      </c>
      <c r="J4477" s="1">
        <v>54878</v>
      </c>
      <c r="K4477" t="s">
        <v>748</v>
      </c>
      <c r="L4477">
        <v>9950.68</v>
      </c>
      <c r="M4477">
        <v>9950.3700000000008</v>
      </c>
      <c r="N4477" t="s">
        <v>710</v>
      </c>
      <c r="O4477" t="s">
        <v>4834</v>
      </c>
      <c r="P4477" t="s">
        <v>4776</v>
      </c>
      <c r="Q4477" t="s">
        <v>4856</v>
      </c>
      <c r="R4477" t="s">
        <v>4771</v>
      </c>
    </row>
    <row r="4478" spans="1:18" x14ac:dyDescent="0.3">
      <c r="A4478">
        <v>4542</v>
      </c>
      <c r="B4478" t="s">
        <v>4875</v>
      </c>
      <c r="C4478" t="s">
        <v>319</v>
      </c>
      <c r="D4478" t="s">
        <v>36</v>
      </c>
      <c r="E4478" s="1">
        <v>45705</v>
      </c>
      <c r="F4478" t="s">
        <v>4298</v>
      </c>
      <c r="G4478" t="s">
        <v>1379</v>
      </c>
      <c r="H4478" t="s">
        <v>336</v>
      </c>
      <c r="I4478" t="s">
        <v>204</v>
      </c>
      <c r="J4478" s="1">
        <v>46075</v>
      </c>
      <c r="K4478" t="s">
        <v>748</v>
      </c>
      <c r="L4478">
        <v>3</v>
      </c>
      <c r="M4478">
        <v>588.21</v>
      </c>
      <c r="N4478" t="s">
        <v>710</v>
      </c>
      <c r="O4478" t="s">
        <v>1040</v>
      </c>
      <c r="P4478" t="s">
        <v>4784</v>
      </c>
      <c r="Q4478" t="s">
        <v>4856</v>
      </c>
      <c r="R4478" t="s">
        <v>4771</v>
      </c>
    </row>
    <row r="4479" spans="1:18" x14ac:dyDescent="0.3">
      <c r="A4479">
        <v>14853</v>
      </c>
      <c r="B4479" t="s">
        <v>4874</v>
      </c>
      <c r="C4479" t="s">
        <v>439</v>
      </c>
      <c r="D4479" t="s">
        <v>156</v>
      </c>
      <c r="E4479" s="1">
        <v>45705</v>
      </c>
      <c r="F4479" t="s">
        <v>4396</v>
      </c>
      <c r="G4479" t="s">
        <v>1402</v>
      </c>
      <c r="H4479" t="s">
        <v>438</v>
      </c>
      <c r="I4479" t="s">
        <v>204</v>
      </c>
      <c r="J4479" s="1">
        <v>46265</v>
      </c>
      <c r="K4479" t="s">
        <v>762</v>
      </c>
      <c r="L4479">
        <v>28758.23</v>
      </c>
      <c r="M4479">
        <v>28758.23</v>
      </c>
      <c r="N4479" t="s">
        <v>710</v>
      </c>
      <c r="O4479" t="s">
        <v>1037</v>
      </c>
      <c r="P4479" t="s">
        <v>4789</v>
      </c>
      <c r="Q4479" t="s">
        <v>4852</v>
      </c>
      <c r="R4479" t="s">
        <v>4771</v>
      </c>
    </row>
    <row r="4480" spans="1:18" x14ac:dyDescent="0.3">
      <c r="A4480">
        <v>14854</v>
      </c>
      <c r="B4480" t="s">
        <v>4876</v>
      </c>
      <c r="C4480" t="s">
        <v>439</v>
      </c>
      <c r="D4480" t="s">
        <v>156</v>
      </c>
      <c r="E4480" s="1">
        <v>45705</v>
      </c>
      <c r="F4480" t="s">
        <v>4396</v>
      </c>
      <c r="G4480" t="s">
        <v>1401</v>
      </c>
      <c r="H4480" t="s">
        <v>485</v>
      </c>
      <c r="I4480" t="s">
        <v>204</v>
      </c>
      <c r="J4480" s="1">
        <v>54878</v>
      </c>
      <c r="K4480" t="s">
        <v>839</v>
      </c>
      <c r="L4480">
        <v>2545.7800000000002</v>
      </c>
      <c r="M4480">
        <v>2545.7800000000002</v>
      </c>
      <c r="N4480" t="s">
        <v>710</v>
      </c>
      <c r="O4480" t="s">
        <v>1037</v>
      </c>
      <c r="P4480" t="s">
        <v>4776</v>
      </c>
      <c r="Q4480" t="s">
        <v>4852</v>
      </c>
      <c r="R4480" t="s">
        <v>4771</v>
      </c>
    </row>
    <row r="4481" spans="1:18" x14ac:dyDescent="0.3">
      <c r="A4481">
        <v>5187</v>
      </c>
      <c r="B4481" t="s">
        <v>4874</v>
      </c>
      <c r="C4481" t="s">
        <v>401</v>
      </c>
      <c r="D4481" t="s">
        <v>187</v>
      </c>
      <c r="E4481" s="1">
        <v>45702</v>
      </c>
      <c r="F4481" t="s">
        <v>4345</v>
      </c>
      <c r="G4481" t="s">
        <v>1345</v>
      </c>
      <c r="H4481" t="s">
        <v>400</v>
      </c>
      <c r="I4481" t="s">
        <v>204</v>
      </c>
      <c r="J4481" s="1">
        <v>54878</v>
      </c>
      <c r="K4481" t="s">
        <v>762</v>
      </c>
      <c r="L4481">
        <v>390</v>
      </c>
      <c r="M4481">
        <v>390</v>
      </c>
      <c r="N4481" t="s">
        <v>710</v>
      </c>
      <c r="O4481" t="s">
        <v>4833</v>
      </c>
      <c r="P4481" t="s">
        <v>4776</v>
      </c>
      <c r="Q4481" t="s">
        <v>4852</v>
      </c>
      <c r="R4481" t="s">
        <v>4773</v>
      </c>
    </row>
    <row r="4482" spans="1:18" x14ac:dyDescent="0.3">
      <c r="A4482">
        <v>3113</v>
      </c>
      <c r="B4482" t="s">
        <v>4874</v>
      </c>
      <c r="C4482" t="s">
        <v>612</v>
      </c>
      <c r="D4482" t="s">
        <v>102</v>
      </c>
      <c r="E4482" s="1">
        <v>45702</v>
      </c>
      <c r="F4482" t="s">
        <v>4300</v>
      </c>
      <c r="G4482" t="s">
        <v>1343</v>
      </c>
      <c r="H4482" t="s">
        <v>611</v>
      </c>
      <c r="I4482" t="s">
        <v>209</v>
      </c>
      <c r="J4482" s="1">
        <v>45961</v>
      </c>
      <c r="K4482" t="s">
        <v>720</v>
      </c>
      <c r="L4482">
        <v>13832</v>
      </c>
      <c r="M4482">
        <v>13832</v>
      </c>
      <c r="N4482" t="s">
        <v>710</v>
      </c>
      <c r="O4482" t="s">
        <v>1037</v>
      </c>
      <c r="P4482" t="s">
        <v>4777</v>
      </c>
      <c r="Q4482" t="s">
        <v>4852</v>
      </c>
      <c r="R4482" t="s">
        <v>4773</v>
      </c>
    </row>
    <row r="4483" spans="1:18" x14ac:dyDescent="0.3">
      <c r="A4483">
        <v>268361</v>
      </c>
      <c r="B4483" t="s">
        <v>1034</v>
      </c>
      <c r="C4483" t="s">
        <v>500</v>
      </c>
      <c r="D4483" t="s">
        <v>16</v>
      </c>
      <c r="E4483" s="1">
        <v>45702</v>
      </c>
      <c r="F4483" t="s">
        <v>4306</v>
      </c>
      <c r="G4483" t="s">
        <v>1375</v>
      </c>
      <c r="H4483" t="s">
        <v>499</v>
      </c>
      <c r="I4483" t="s">
        <v>204</v>
      </c>
      <c r="J4483" s="1">
        <v>54878</v>
      </c>
      <c r="K4483" t="s">
        <v>717</v>
      </c>
      <c r="L4483">
        <v>1633.45</v>
      </c>
      <c r="M4483">
        <v>1633.45</v>
      </c>
      <c r="N4483" t="s">
        <v>710</v>
      </c>
      <c r="O4483" t="s">
        <v>4833</v>
      </c>
      <c r="P4483" t="s">
        <v>4786</v>
      </c>
      <c r="Q4483" t="s">
        <v>4852</v>
      </c>
      <c r="R4483" t="s">
        <v>4773</v>
      </c>
    </row>
    <row r="4484" spans="1:18" x14ac:dyDescent="0.3">
      <c r="A4484">
        <v>97844</v>
      </c>
      <c r="B4484" t="s">
        <v>1034</v>
      </c>
      <c r="C4484" t="s">
        <v>502</v>
      </c>
      <c r="D4484" t="s">
        <v>2</v>
      </c>
      <c r="E4484" s="1">
        <v>45702</v>
      </c>
      <c r="F4484" t="s">
        <v>4303</v>
      </c>
      <c r="G4484" t="s">
        <v>1372</v>
      </c>
      <c r="H4484" t="s">
        <v>501</v>
      </c>
      <c r="I4484" t="s">
        <v>204</v>
      </c>
      <c r="J4484" s="1">
        <v>54878</v>
      </c>
      <c r="K4484" t="s">
        <v>717</v>
      </c>
      <c r="L4484">
        <v>1884.23</v>
      </c>
      <c r="M4484">
        <v>1884.23</v>
      </c>
      <c r="N4484" t="s">
        <v>710</v>
      </c>
      <c r="O4484" t="s">
        <v>4833</v>
      </c>
      <c r="P4484" t="s">
        <v>4776</v>
      </c>
      <c r="Q4484" t="s">
        <v>4852</v>
      </c>
      <c r="R4484" t="s">
        <v>4774</v>
      </c>
    </row>
    <row r="4485" spans="1:18" x14ac:dyDescent="0.3">
      <c r="A4485">
        <v>91008</v>
      </c>
      <c r="B4485" t="s">
        <v>4874</v>
      </c>
      <c r="C4485" t="s">
        <v>239</v>
      </c>
      <c r="D4485" t="s">
        <v>199</v>
      </c>
      <c r="E4485" s="1">
        <v>45702</v>
      </c>
      <c r="F4485" t="s">
        <v>4325</v>
      </c>
      <c r="G4485" t="s">
        <v>1390</v>
      </c>
      <c r="H4485" t="s">
        <v>268</v>
      </c>
      <c r="I4485" t="s">
        <v>204</v>
      </c>
      <c r="J4485" s="1">
        <v>46172</v>
      </c>
      <c r="K4485" t="s">
        <v>720</v>
      </c>
      <c r="L4485">
        <v>1</v>
      </c>
      <c r="M4485">
        <v>720.12</v>
      </c>
      <c r="N4485" t="s">
        <v>710</v>
      </c>
      <c r="O4485" t="s">
        <v>1038</v>
      </c>
      <c r="P4485" t="s">
        <v>4779</v>
      </c>
      <c r="Q4485" t="s">
        <v>4858</v>
      </c>
      <c r="R4485" t="s">
        <v>4771</v>
      </c>
    </row>
    <row r="4486" spans="1:18" x14ac:dyDescent="0.3">
      <c r="A4486">
        <v>6479</v>
      </c>
      <c r="B4486" t="s">
        <v>4874</v>
      </c>
      <c r="C4486" t="s">
        <v>628</v>
      </c>
      <c r="D4486" t="s">
        <v>25</v>
      </c>
      <c r="E4486" s="1">
        <v>45702</v>
      </c>
      <c r="F4486" t="s">
        <v>4415</v>
      </c>
      <c r="G4486" t="s">
        <v>1378</v>
      </c>
      <c r="H4486" t="s">
        <v>627</v>
      </c>
      <c r="I4486" t="s">
        <v>209</v>
      </c>
      <c r="J4486" s="1">
        <v>46476</v>
      </c>
      <c r="K4486" t="s">
        <v>720</v>
      </c>
      <c r="L4486">
        <v>1</v>
      </c>
      <c r="M4486">
        <v>470</v>
      </c>
      <c r="N4486" t="s">
        <v>710</v>
      </c>
      <c r="O4486" t="s">
        <v>1038</v>
      </c>
      <c r="P4486" t="s">
        <v>4776</v>
      </c>
      <c r="Q4486" t="s">
        <v>4858</v>
      </c>
      <c r="R4486" t="s">
        <v>4771</v>
      </c>
    </row>
    <row r="4487" spans="1:18" x14ac:dyDescent="0.3">
      <c r="A4487">
        <v>476114</v>
      </c>
      <c r="B4487" t="s">
        <v>4874</v>
      </c>
      <c r="C4487" t="s">
        <v>376</v>
      </c>
      <c r="D4487" t="s">
        <v>35</v>
      </c>
      <c r="E4487" s="1">
        <v>45702</v>
      </c>
      <c r="F4487" t="s">
        <v>4324</v>
      </c>
      <c r="G4487" t="s">
        <v>1384</v>
      </c>
      <c r="H4487" t="s">
        <v>442</v>
      </c>
      <c r="I4487" t="s">
        <v>209</v>
      </c>
      <c r="J4487" s="1">
        <v>54878</v>
      </c>
      <c r="K4487" t="s">
        <v>762</v>
      </c>
      <c r="L4487">
        <v>910.15</v>
      </c>
      <c r="M4487">
        <v>910.15</v>
      </c>
      <c r="N4487" t="s">
        <v>710</v>
      </c>
      <c r="Q4487" t="s">
        <v>4852</v>
      </c>
      <c r="R4487" t="s">
        <v>4771</v>
      </c>
    </row>
    <row r="4488" spans="1:18" x14ac:dyDescent="0.3">
      <c r="A4488">
        <v>501632</v>
      </c>
      <c r="B4488" t="s">
        <v>4874</v>
      </c>
      <c r="C4488" t="s">
        <v>376</v>
      </c>
      <c r="D4488" t="s">
        <v>35</v>
      </c>
      <c r="E4488" s="1">
        <v>45702</v>
      </c>
      <c r="F4488" t="s">
        <v>4324</v>
      </c>
      <c r="G4488" t="s">
        <v>1384</v>
      </c>
      <c r="H4488" t="s">
        <v>442</v>
      </c>
      <c r="I4488" t="s">
        <v>209</v>
      </c>
      <c r="J4488" s="1">
        <v>54878</v>
      </c>
      <c r="K4488" t="s">
        <v>762</v>
      </c>
      <c r="L4488">
        <v>3800</v>
      </c>
      <c r="M4488">
        <v>3800</v>
      </c>
      <c r="N4488" t="s">
        <v>710</v>
      </c>
      <c r="Q4488" t="s">
        <v>4852</v>
      </c>
      <c r="R4488" t="s">
        <v>4771</v>
      </c>
    </row>
    <row r="4489" spans="1:18" x14ac:dyDescent="0.3">
      <c r="A4489">
        <v>34410023</v>
      </c>
      <c r="B4489" t="s">
        <v>1034</v>
      </c>
      <c r="C4489" t="s">
        <v>563</v>
      </c>
      <c r="D4489" t="s">
        <v>63</v>
      </c>
      <c r="E4489" s="1">
        <v>45702</v>
      </c>
      <c r="F4489" t="s">
        <v>4362</v>
      </c>
      <c r="G4489" t="s">
        <v>1405</v>
      </c>
      <c r="H4489" t="s">
        <v>562</v>
      </c>
      <c r="I4489" t="s">
        <v>209</v>
      </c>
      <c r="J4489" s="1">
        <v>45596</v>
      </c>
      <c r="K4489" t="s">
        <v>762</v>
      </c>
      <c r="L4489">
        <v>76.23</v>
      </c>
      <c r="M4489">
        <v>76.23</v>
      </c>
      <c r="N4489" t="s">
        <v>710</v>
      </c>
      <c r="Q4489" t="s">
        <v>4845</v>
      </c>
      <c r="R4489" t="s">
        <v>4772</v>
      </c>
    </row>
    <row r="4490" spans="1:18" x14ac:dyDescent="0.3">
      <c r="A4490">
        <v>1199</v>
      </c>
      <c r="B4490" t="s">
        <v>4874</v>
      </c>
      <c r="C4490" t="s">
        <v>305</v>
      </c>
      <c r="D4490" t="s">
        <v>59</v>
      </c>
      <c r="E4490" s="1">
        <v>45702</v>
      </c>
      <c r="F4490" t="s">
        <v>4359</v>
      </c>
      <c r="G4490" t="s">
        <v>1366</v>
      </c>
      <c r="H4490" t="s">
        <v>304</v>
      </c>
      <c r="I4490" t="s">
        <v>204</v>
      </c>
      <c r="J4490" s="1">
        <v>46481</v>
      </c>
      <c r="K4490" t="s">
        <v>720</v>
      </c>
      <c r="L4490">
        <v>1</v>
      </c>
      <c r="M4490">
        <v>1200</v>
      </c>
      <c r="N4490" t="s">
        <v>809</v>
      </c>
      <c r="O4490" t="s">
        <v>1038</v>
      </c>
      <c r="P4490" t="s">
        <v>4783</v>
      </c>
      <c r="Q4490" t="s">
        <v>4858</v>
      </c>
      <c r="R4490" t="s">
        <v>4771</v>
      </c>
    </row>
    <row r="4491" spans="1:18" x14ac:dyDescent="0.3">
      <c r="A4491">
        <v>72097</v>
      </c>
      <c r="B4491" t="s">
        <v>4874</v>
      </c>
      <c r="C4491" t="s">
        <v>459</v>
      </c>
      <c r="D4491" t="s">
        <v>160</v>
      </c>
      <c r="E4491" s="1">
        <v>45702</v>
      </c>
      <c r="F4491" t="s">
        <v>4399</v>
      </c>
      <c r="G4491" t="s">
        <v>1399</v>
      </c>
      <c r="H4491" t="s">
        <v>458</v>
      </c>
      <c r="I4491" t="s">
        <v>209</v>
      </c>
      <c r="J4491" s="1">
        <v>54878</v>
      </c>
      <c r="K4491" t="s">
        <v>762</v>
      </c>
      <c r="L4491">
        <v>33828.11</v>
      </c>
      <c r="M4491">
        <v>33828.11</v>
      </c>
      <c r="N4491" t="s">
        <v>710</v>
      </c>
      <c r="Q4491" t="s">
        <v>4852</v>
      </c>
      <c r="R4491" t="s">
        <v>4772</v>
      </c>
    </row>
    <row r="4492" spans="1:18" x14ac:dyDescent="0.3">
      <c r="A4492">
        <v>268362</v>
      </c>
      <c r="B4492" t="s">
        <v>1034</v>
      </c>
      <c r="C4492" t="s">
        <v>500</v>
      </c>
      <c r="D4492" t="s">
        <v>16</v>
      </c>
      <c r="E4492" s="1">
        <v>45702</v>
      </c>
      <c r="F4492" t="s">
        <v>4306</v>
      </c>
      <c r="G4492" t="s">
        <v>1375</v>
      </c>
      <c r="H4492" t="s">
        <v>499</v>
      </c>
      <c r="I4492" t="s">
        <v>204</v>
      </c>
      <c r="J4492" s="1">
        <v>54878</v>
      </c>
      <c r="K4492" t="s">
        <v>717</v>
      </c>
      <c r="L4492">
        <v>1633.45</v>
      </c>
      <c r="M4492">
        <v>1633.45</v>
      </c>
      <c r="N4492" t="s">
        <v>710</v>
      </c>
      <c r="O4492" t="s">
        <v>4833</v>
      </c>
      <c r="P4492" t="s">
        <v>4786</v>
      </c>
      <c r="Q4492" t="s">
        <v>4852</v>
      </c>
      <c r="R4492" t="s">
        <v>4773</v>
      </c>
    </row>
    <row r="4493" spans="1:18" x14ac:dyDescent="0.3">
      <c r="A4493">
        <v>11057</v>
      </c>
      <c r="B4493" t="s">
        <v>4874</v>
      </c>
      <c r="C4493" t="s">
        <v>237</v>
      </c>
      <c r="D4493" t="s">
        <v>4</v>
      </c>
      <c r="E4493" s="1">
        <v>45702</v>
      </c>
      <c r="F4493" t="s">
        <v>4368</v>
      </c>
      <c r="G4493" t="s">
        <v>1377</v>
      </c>
      <c r="H4493" t="s">
        <v>236</v>
      </c>
      <c r="I4493" t="s">
        <v>204</v>
      </c>
      <c r="J4493" s="1">
        <v>54878</v>
      </c>
      <c r="K4493" t="s">
        <v>720</v>
      </c>
      <c r="L4493">
        <v>1</v>
      </c>
      <c r="M4493">
        <v>4926.1400000000003</v>
      </c>
      <c r="N4493" t="s">
        <v>710</v>
      </c>
      <c r="O4493" t="s">
        <v>1038</v>
      </c>
      <c r="P4493" t="s">
        <v>4776</v>
      </c>
      <c r="Q4493" t="s">
        <v>4858</v>
      </c>
      <c r="R4493" t="s">
        <v>4771</v>
      </c>
    </row>
    <row r="4494" spans="1:18" x14ac:dyDescent="0.3">
      <c r="A4494">
        <v>6980</v>
      </c>
      <c r="B4494" t="s">
        <v>4874</v>
      </c>
      <c r="C4494" t="s">
        <v>387</v>
      </c>
      <c r="D4494" t="s">
        <v>42</v>
      </c>
      <c r="E4494" s="1">
        <v>45702</v>
      </c>
      <c r="F4494" t="s">
        <v>4345</v>
      </c>
      <c r="G4494" t="s">
        <v>1338</v>
      </c>
      <c r="H4494" t="s">
        <v>386</v>
      </c>
      <c r="I4494" t="s">
        <v>204</v>
      </c>
      <c r="J4494" s="1">
        <v>54878</v>
      </c>
      <c r="K4494" t="s">
        <v>762</v>
      </c>
      <c r="L4494">
        <v>1870</v>
      </c>
      <c r="M4494">
        <v>1870</v>
      </c>
      <c r="N4494" t="s">
        <v>719</v>
      </c>
      <c r="O4494" t="s">
        <v>4833</v>
      </c>
      <c r="P4494" t="s">
        <v>4776</v>
      </c>
      <c r="Q4494" t="s">
        <v>4852</v>
      </c>
      <c r="R4494" t="s">
        <v>4773</v>
      </c>
    </row>
    <row r="4495" spans="1:18" x14ac:dyDescent="0.3">
      <c r="A4495">
        <v>183914</v>
      </c>
      <c r="B4495" t="s">
        <v>4874</v>
      </c>
      <c r="C4495" t="s">
        <v>467</v>
      </c>
      <c r="D4495" t="s">
        <v>175</v>
      </c>
      <c r="E4495" s="1">
        <v>45702</v>
      </c>
      <c r="F4495" t="s">
        <v>4315</v>
      </c>
      <c r="G4495" t="s">
        <v>1344</v>
      </c>
      <c r="H4495" t="s">
        <v>466</v>
      </c>
      <c r="I4495" t="s">
        <v>204</v>
      </c>
      <c r="J4495" s="1">
        <v>46266</v>
      </c>
      <c r="K4495" t="s">
        <v>762</v>
      </c>
      <c r="L4495">
        <v>10771.59</v>
      </c>
      <c r="M4495">
        <v>10771.59</v>
      </c>
      <c r="N4495" t="s">
        <v>710</v>
      </c>
      <c r="O4495" t="s">
        <v>4845</v>
      </c>
      <c r="P4495" t="s">
        <v>4776</v>
      </c>
      <c r="Q4495" t="s">
        <v>4845</v>
      </c>
      <c r="R4495" t="s">
        <v>4773</v>
      </c>
    </row>
    <row r="4496" spans="1:18" x14ac:dyDescent="0.3">
      <c r="A4496">
        <v>102113</v>
      </c>
      <c r="B4496" t="s">
        <v>1034</v>
      </c>
      <c r="C4496" t="s">
        <v>495</v>
      </c>
      <c r="D4496" t="s">
        <v>44</v>
      </c>
      <c r="E4496" s="1">
        <v>45702</v>
      </c>
      <c r="F4496" t="s">
        <v>4303</v>
      </c>
      <c r="G4496" t="s">
        <v>1346</v>
      </c>
      <c r="H4496" t="s">
        <v>494</v>
      </c>
      <c r="I4496" t="s">
        <v>204</v>
      </c>
      <c r="J4496" s="1">
        <v>54878</v>
      </c>
      <c r="K4496" t="s">
        <v>717</v>
      </c>
      <c r="L4496">
        <v>1499.26</v>
      </c>
      <c r="M4496">
        <v>1499.26</v>
      </c>
      <c r="N4496" t="s">
        <v>710</v>
      </c>
      <c r="O4496" t="s">
        <v>4833</v>
      </c>
      <c r="P4496" t="s">
        <v>4776</v>
      </c>
      <c r="Q4496" t="s">
        <v>4852</v>
      </c>
      <c r="R4496" t="s">
        <v>4773</v>
      </c>
    </row>
    <row r="4497" spans="1:18" x14ac:dyDescent="0.3">
      <c r="A4497">
        <v>6947</v>
      </c>
      <c r="B4497" t="s">
        <v>4874</v>
      </c>
      <c r="C4497" t="s">
        <v>484</v>
      </c>
      <c r="D4497" t="s">
        <v>140</v>
      </c>
      <c r="E4497" s="1">
        <v>45702</v>
      </c>
      <c r="F4497" t="s">
        <v>4345</v>
      </c>
      <c r="G4497" t="s">
        <v>1342</v>
      </c>
      <c r="H4497" t="s">
        <v>483</v>
      </c>
      <c r="I4497" t="s">
        <v>204</v>
      </c>
      <c r="J4497" s="1">
        <v>46508</v>
      </c>
      <c r="K4497" t="s">
        <v>762</v>
      </c>
      <c r="L4497">
        <v>7850</v>
      </c>
      <c r="M4497">
        <v>7850</v>
      </c>
      <c r="N4497" t="s">
        <v>710</v>
      </c>
      <c r="O4497" t="s">
        <v>4833</v>
      </c>
      <c r="P4497" t="s">
        <v>4776</v>
      </c>
      <c r="Q4497" t="s">
        <v>4852</v>
      </c>
      <c r="R4497" t="s">
        <v>4773</v>
      </c>
    </row>
    <row r="4498" spans="1:18" x14ac:dyDescent="0.3">
      <c r="A4498">
        <v>6945</v>
      </c>
      <c r="B4498" t="s">
        <v>4874</v>
      </c>
      <c r="C4498" t="s">
        <v>484</v>
      </c>
      <c r="D4498" t="s">
        <v>140</v>
      </c>
      <c r="E4498" s="1">
        <v>45702</v>
      </c>
      <c r="F4498" t="s">
        <v>4345</v>
      </c>
      <c r="G4498" t="s">
        <v>1341</v>
      </c>
      <c r="H4498" t="s">
        <v>483</v>
      </c>
      <c r="I4498" t="s">
        <v>204</v>
      </c>
      <c r="J4498" s="1">
        <v>46508</v>
      </c>
      <c r="K4498" t="s">
        <v>762</v>
      </c>
      <c r="L4498">
        <v>22560</v>
      </c>
      <c r="M4498">
        <v>22560</v>
      </c>
      <c r="N4498" t="s">
        <v>710</v>
      </c>
      <c r="O4498" t="s">
        <v>4833</v>
      </c>
      <c r="P4498" t="s">
        <v>4776</v>
      </c>
      <c r="Q4498" t="s">
        <v>4852</v>
      </c>
      <c r="R4498" t="s">
        <v>4773</v>
      </c>
    </row>
    <row r="4499" spans="1:18" x14ac:dyDescent="0.3">
      <c r="A4499">
        <v>100506</v>
      </c>
      <c r="B4499" t="s">
        <v>1035</v>
      </c>
      <c r="C4499" t="s">
        <v>239</v>
      </c>
      <c r="D4499" t="s">
        <v>199</v>
      </c>
      <c r="E4499" s="1">
        <v>45702</v>
      </c>
      <c r="F4499" t="s">
        <v>4325</v>
      </c>
      <c r="G4499" t="s">
        <v>1389</v>
      </c>
      <c r="H4499" t="s">
        <v>238</v>
      </c>
      <c r="I4499" t="s">
        <v>204</v>
      </c>
      <c r="J4499" s="1">
        <v>54878</v>
      </c>
      <c r="K4499" t="s">
        <v>754</v>
      </c>
      <c r="L4499">
        <v>1</v>
      </c>
      <c r="M4499">
        <v>75.08</v>
      </c>
      <c r="N4499" t="s">
        <v>710</v>
      </c>
      <c r="O4499" t="s">
        <v>4903</v>
      </c>
      <c r="P4499" t="s">
        <v>4779</v>
      </c>
      <c r="Q4499" t="s">
        <v>4858</v>
      </c>
      <c r="R4499" t="s">
        <v>4771</v>
      </c>
    </row>
    <row r="4500" spans="1:18" x14ac:dyDescent="0.3">
      <c r="A4500">
        <v>74379</v>
      </c>
      <c r="B4500" t="s">
        <v>4874</v>
      </c>
      <c r="C4500" t="s">
        <v>422</v>
      </c>
      <c r="D4500" t="s">
        <v>37</v>
      </c>
      <c r="E4500" s="1">
        <v>45702</v>
      </c>
      <c r="F4500" t="s">
        <v>4306</v>
      </c>
      <c r="G4500" t="s">
        <v>1361</v>
      </c>
      <c r="H4500" t="s">
        <v>421</v>
      </c>
      <c r="I4500" t="s">
        <v>204</v>
      </c>
      <c r="J4500" s="1">
        <v>46080</v>
      </c>
      <c r="K4500" t="s">
        <v>762</v>
      </c>
      <c r="L4500">
        <v>153.68</v>
      </c>
      <c r="M4500">
        <v>153.68</v>
      </c>
      <c r="N4500" t="s">
        <v>710</v>
      </c>
      <c r="O4500" t="s">
        <v>4833</v>
      </c>
      <c r="P4500" t="s">
        <v>4786</v>
      </c>
      <c r="Q4500" t="s">
        <v>4852</v>
      </c>
      <c r="R4500" t="s">
        <v>4773</v>
      </c>
    </row>
    <row r="4501" spans="1:18" x14ac:dyDescent="0.3">
      <c r="A4501">
        <v>202502</v>
      </c>
      <c r="B4501" t="s">
        <v>1034</v>
      </c>
      <c r="C4501" t="s">
        <v>516</v>
      </c>
      <c r="D4501" t="s">
        <v>12</v>
      </c>
      <c r="E4501" s="1">
        <v>45702</v>
      </c>
      <c r="F4501" t="s">
        <v>4337</v>
      </c>
      <c r="G4501" t="s">
        <v>1400</v>
      </c>
      <c r="H4501" t="s">
        <v>515</v>
      </c>
      <c r="I4501" t="s">
        <v>204</v>
      </c>
      <c r="J4501" s="1">
        <v>46489</v>
      </c>
      <c r="K4501" t="s">
        <v>711</v>
      </c>
      <c r="L4501">
        <v>2340</v>
      </c>
      <c r="M4501">
        <v>2340</v>
      </c>
      <c r="N4501" t="s">
        <v>884</v>
      </c>
      <c r="O4501" t="s">
        <v>1037</v>
      </c>
      <c r="P4501" t="s">
        <v>4776</v>
      </c>
      <c r="Q4501" t="s">
        <v>4852</v>
      </c>
      <c r="R4501" t="s">
        <v>4772</v>
      </c>
    </row>
    <row r="4502" spans="1:18" x14ac:dyDescent="0.3">
      <c r="A4502">
        <v>109220</v>
      </c>
      <c r="B4502" t="s">
        <v>4874</v>
      </c>
      <c r="C4502" t="s">
        <v>379</v>
      </c>
      <c r="D4502" t="s">
        <v>131</v>
      </c>
      <c r="E4502" s="1">
        <v>45702</v>
      </c>
      <c r="F4502" t="s">
        <v>4392</v>
      </c>
      <c r="G4502" t="s">
        <v>1340</v>
      </c>
      <c r="H4502" t="s">
        <v>378</v>
      </c>
      <c r="I4502" t="s">
        <v>204</v>
      </c>
      <c r="J4502" s="1">
        <v>54878</v>
      </c>
      <c r="K4502" t="s">
        <v>762</v>
      </c>
      <c r="L4502">
        <v>68.510000000000005</v>
      </c>
      <c r="M4502">
        <v>68.510000000000005</v>
      </c>
      <c r="N4502" t="s">
        <v>710</v>
      </c>
      <c r="O4502" t="s">
        <v>4833</v>
      </c>
      <c r="P4502" t="s">
        <v>4776</v>
      </c>
      <c r="Q4502" t="s">
        <v>4852</v>
      </c>
      <c r="R4502" t="s">
        <v>4773</v>
      </c>
    </row>
    <row r="4503" spans="1:18" x14ac:dyDescent="0.3">
      <c r="A4503">
        <v>2755</v>
      </c>
      <c r="B4503" t="s">
        <v>1034</v>
      </c>
      <c r="C4503" t="s">
        <v>590</v>
      </c>
      <c r="D4503" t="s">
        <v>79</v>
      </c>
      <c r="E4503" s="1">
        <v>45702</v>
      </c>
      <c r="F4503" t="s">
        <v>4365</v>
      </c>
      <c r="G4503" t="s">
        <v>1417</v>
      </c>
      <c r="H4503" t="s">
        <v>589</v>
      </c>
      <c r="I4503" t="s">
        <v>204</v>
      </c>
      <c r="J4503" s="1">
        <v>46387</v>
      </c>
      <c r="K4503" t="s">
        <v>717</v>
      </c>
      <c r="L4503">
        <v>600</v>
      </c>
      <c r="M4503">
        <v>600</v>
      </c>
      <c r="N4503" t="s">
        <v>814</v>
      </c>
      <c r="O4503" t="s">
        <v>4845</v>
      </c>
      <c r="P4503" t="s">
        <v>4793</v>
      </c>
      <c r="Q4503" t="s">
        <v>4845</v>
      </c>
      <c r="R4503" t="s">
        <v>4773</v>
      </c>
    </row>
    <row r="4504" spans="1:18" x14ac:dyDescent="0.3">
      <c r="A4504">
        <v>36475</v>
      </c>
      <c r="B4504" t="s">
        <v>4874</v>
      </c>
      <c r="C4504" t="s">
        <v>447</v>
      </c>
      <c r="D4504" t="s">
        <v>57</v>
      </c>
      <c r="E4504" s="1">
        <v>45702</v>
      </c>
      <c r="F4504" t="s">
        <v>4383</v>
      </c>
      <c r="G4504" t="s">
        <v>1339</v>
      </c>
      <c r="H4504" t="s">
        <v>446</v>
      </c>
      <c r="I4504" t="s">
        <v>204</v>
      </c>
      <c r="J4504" s="1">
        <v>46203</v>
      </c>
      <c r="K4504" t="s">
        <v>762</v>
      </c>
      <c r="L4504">
        <v>1</v>
      </c>
      <c r="M4504">
        <v>753.16</v>
      </c>
      <c r="N4504" t="s">
        <v>710</v>
      </c>
      <c r="O4504" t="s">
        <v>1038</v>
      </c>
      <c r="P4504" t="s">
        <v>4776</v>
      </c>
      <c r="Q4504" t="s">
        <v>4858</v>
      </c>
      <c r="R4504" t="s">
        <v>4774</v>
      </c>
    </row>
    <row r="4505" spans="1:18" x14ac:dyDescent="0.3">
      <c r="A4505">
        <v>2056</v>
      </c>
      <c r="B4505" t="s">
        <v>4875</v>
      </c>
      <c r="C4505" t="s">
        <v>541</v>
      </c>
      <c r="D4505" t="s">
        <v>173</v>
      </c>
      <c r="E4505" s="1">
        <v>45701</v>
      </c>
      <c r="F4505" t="s">
        <v>4326</v>
      </c>
      <c r="G4505" t="s">
        <v>1264</v>
      </c>
      <c r="H4505" t="s">
        <v>542</v>
      </c>
      <c r="I4505" t="s">
        <v>204</v>
      </c>
      <c r="J4505" s="1">
        <v>46537</v>
      </c>
      <c r="K4505" t="s">
        <v>748</v>
      </c>
      <c r="L4505">
        <v>1</v>
      </c>
      <c r="M4505">
        <v>2337.9499999999998</v>
      </c>
      <c r="N4505" t="s">
        <v>814</v>
      </c>
      <c r="O4505" t="s">
        <v>1040</v>
      </c>
      <c r="P4505" t="s">
        <v>4791</v>
      </c>
      <c r="Q4505" t="s">
        <v>4856</v>
      </c>
      <c r="R4505" t="s">
        <v>4773</v>
      </c>
    </row>
    <row r="4506" spans="1:18" x14ac:dyDescent="0.3">
      <c r="A4506">
        <v>61613</v>
      </c>
      <c r="B4506" t="s">
        <v>4874</v>
      </c>
      <c r="C4506" t="s">
        <v>296</v>
      </c>
      <c r="D4506" t="s">
        <v>93</v>
      </c>
      <c r="E4506" s="1">
        <v>45701</v>
      </c>
      <c r="F4506" t="s">
        <v>4362</v>
      </c>
      <c r="G4506" t="s">
        <v>1393</v>
      </c>
      <c r="H4506" t="s">
        <v>295</v>
      </c>
      <c r="I4506" t="s">
        <v>209</v>
      </c>
      <c r="J4506" s="1">
        <v>54878</v>
      </c>
      <c r="K4506" t="s">
        <v>720</v>
      </c>
      <c r="L4506">
        <v>10318.32</v>
      </c>
      <c r="M4506">
        <v>10318.32</v>
      </c>
      <c r="N4506" t="s">
        <v>710</v>
      </c>
      <c r="Q4506" t="s">
        <v>4845</v>
      </c>
      <c r="R4506" t="s">
        <v>4772</v>
      </c>
    </row>
    <row r="4507" spans="1:18" x14ac:dyDescent="0.3">
      <c r="A4507">
        <v>603721</v>
      </c>
      <c r="B4507" t="s">
        <v>4874</v>
      </c>
      <c r="C4507" t="s">
        <v>491</v>
      </c>
      <c r="D4507" t="s">
        <v>33</v>
      </c>
      <c r="E4507" s="1">
        <v>45701</v>
      </c>
      <c r="F4507" t="s">
        <v>4389</v>
      </c>
      <c r="G4507" t="s">
        <v>1364</v>
      </c>
      <c r="H4507" t="s">
        <v>490</v>
      </c>
      <c r="I4507" t="s">
        <v>204</v>
      </c>
      <c r="J4507" s="1">
        <v>54878</v>
      </c>
      <c r="K4507" t="s">
        <v>762</v>
      </c>
      <c r="L4507">
        <v>7</v>
      </c>
      <c r="M4507">
        <v>7</v>
      </c>
      <c r="N4507" t="s">
        <v>710</v>
      </c>
      <c r="O4507" t="s">
        <v>4845</v>
      </c>
      <c r="P4507" t="s">
        <v>4776</v>
      </c>
      <c r="Q4507" t="s">
        <v>4845</v>
      </c>
      <c r="R4507" t="s">
        <v>4771</v>
      </c>
    </row>
    <row r="4508" spans="1:18" x14ac:dyDescent="0.3">
      <c r="A4508">
        <v>27503</v>
      </c>
      <c r="B4508" t="s">
        <v>4874</v>
      </c>
      <c r="C4508" t="s">
        <v>296</v>
      </c>
      <c r="D4508" t="s">
        <v>93</v>
      </c>
      <c r="E4508" s="1">
        <v>45701</v>
      </c>
      <c r="F4508" t="s">
        <v>4362</v>
      </c>
      <c r="G4508" t="s">
        <v>1381</v>
      </c>
      <c r="H4508" t="s">
        <v>295</v>
      </c>
      <c r="I4508" t="s">
        <v>209</v>
      </c>
      <c r="J4508" s="1">
        <v>54878</v>
      </c>
      <c r="K4508" t="s">
        <v>720</v>
      </c>
      <c r="L4508">
        <v>25</v>
      </c>
      <c r="M4508">
        <v>25</v>
      </c>
      <c r="N4508" t="s">
        <v>710</v>
      </c>
      <c r="Q4508" t="s">
        <v>4845</v>
      </c>
      <c r="R4508" t="s">
        <v>4772</v>
      </c>
    </row>
    <row r="4509" spans="1:18" x14ac:dyDescent="0.3">
      <c r="A4509">
        <v>3673</v>
      </c>
      <c r="B4509" t="s">
        <v>1034</v>
      </c>
      <c r="C4509" t="s">
        <v>535</v>
      </c>
      <c r="D4509" t="s">
        <v>148</v>
      </c>
      <c r="E4509" s="1">
        <v>45700</v>
      </c>
      <c r="F4509" t="s">
        <v>4355</v>
      </c>
      <c r="G4509" t="s">
        <v>1380</v>
      </c>
      <c r="H4509" t="s">
        <v>534</v>
      </c>
      <c r="I4509" t="s">
        <v>209</v>
      </c>
      <c r="J4509" s="1">
        <v>46295</v>
      </c>
      <c r="K4509" t="s">
        <v>711</v>
      </c>
      <c r="L4509">
        <v>1</v>
      </c>
      <c r="M4509">
        <v>3200</v>
      </c>
      <c r="N4509" t="s">
        <v>890</v>
      </c>
      <c r="O4509" t="s">
        <v>1036</v>
      </c>
      <c r="P4509" t="s">
        <v>4779</v>
      </c>
      <c r="Q4509" t="s">
        <v>4856</v>
      </c>
      <c r="R4509" t="s">
        <v>807</v>
      </c>
    </row>
    <row r="4510" spans="1:18" x14ac:dyDescent="0.3">
      <c r="A4510">
        <v>108203</v>
      </c>
      <c r="B4510" t="s">
        <v>4874</v>
      </c>
      <c r="C4510" t="s">
        <v>227</v>
      </c>
      <c r="D4510" t="s">
        <v>191</v>
      </c>
      <c r="E4510" s="1">
        <v>45700</v>
      </c>
      <c r="F4510" t="s">
        <v>4387</v>
      </c>
      <c r="G4510" t="s">
        <v>1356</v>
      </c>
      <c r="H4510" t="s">
        <v>577</v>
      </c>
      <c r="I4510" t="s">
        <v>204</v>
      </c>
      <c r="J4510" s="1">
        <v>46493</v>
      </c>
      <c r="K4510" t="s">
        <v>762</v>
      </c>
      <c r="L4510">
        <v>46022.51</v>
      </c>
      <c r="M4510">
        <v>46022.51</v>
      </c>
      <c r="N4510" t="s">
        <v>809</v>
      </c>
      <c r="O4510" t="s">
        <v>4904</v>
      </c>
      <c r="P4510" t="s">
        <v>4792</v>
      </c>
      <c r="Q4510" t="s">
        <v>4904</v>
      </c>
      <c r="R4510" t="s">
        <v>4772</v>
      </c>
    </row>
    <row r="4511" spans="1:18" x14ac:dyDescent="0.3">
      <c r="A4511">
        <v>40903</v>
      </c>
      <c r="B4511" t="s">
        <v>1034</v>
      </c>
      <c r="C4511" t="s">
        <v>327</v>
      </c>
      <c r="D4511" t="s">
        <v>159</v>
      </c>
      <c r="E4511" s="1">
        <v>45699</v>
      </c>
      <c r="F4511" t="s">
        <v>4295</v>
      </c>
      <c r="G4511" t="s">
        <v>1358</v>
      </c>
      <c r="H4511" t="s">
        <v>357</v>
      </c>
      <c r="I4511" t="s">
        <v>204</v>
      </c>
      <c r="J4511" s="1">
        <v>46476</v>
      </c>
      <c r="K4511" t="s">
        <v>711</v>
      </c>
      <c r="L4511">
        <v>2150</v>
      </c>
      <c r="M4511">
        <v>2150</v>
      </c>
      <c r="N4511" t="s">
        <v>890</v>
      </c>
      <c r="O4511" t="s">
        <v>4834</v>
      </c>
      <c r="P4511" t="s">
        <v>4776</v>
      </c>
      <c r="Q4511" t="s">
        <v>4901</v>
      </c>
      <c r="R4511" t="s">
        <v>4773</v>
      </c>
    </row>
    <row r="4512" spans="1:18" x14ac:dyDescent="0.3">
      <c r="A4512">
        <v>39657</v>
      </c>
      <c r="B4512" t="s">
        <v>4874</v>
      </c>
      <c r="C4512" t="s">
        <v>294</v>
      </c>
      <c r="D4512" t="s">
        <v>101</v>
      </c>
      <c r="E4512" s="1">
        <v>45699</v>
      </c>
      <c r="F4512" t="s">
        <v>4304</v>
      </c>
      <c r="G4512" t="s">
        <v>1373</v>
      </c>
      <c r="H4512" t="s">
        <v>293</v>
      </c>
      <c r="I4512" t="s">
        <v>204</v>
      </c>
      <c r="J4512" s="1">
        <v>46191</v>
      </c>
      <c r="K4512" t="s">
        <v>720</v>
      </c>
      <c r="L4512">
        <v>1</v>
      </c>
      <c r="M4512">
        <v>180</v>
      </c>
      <c r="N4512" t="s">
        <v>710</v>
      </c>
      <c r="O4512" t="s">
        <v>4834</v>
      </c>
      <c r="P4512" t="s">
        <v>4776</v>
      </c>
      <c r="Q4512" t="s">
        <v>4858</v>
      </c>
      <c r="R4512" t="s">
        <v>4773</v>
      </c>
    </row>
    <row r="4513" spans="1:18" x14ac:dyDescent="0.3">
      <c r="A4513">
        <v>41065</v>
      </c>
      <c r="B4513" t="s">
        <v>4874</v>
      </c>
      <c r="C4513" t="s">
        <v>537</v>
      </c>
      <c r="D4513" t="s">
        <v>194</v>
      </c>
      <c r="E4513" s="1">
        <v>45699</v>
      </c>
      <c r="F4513" t="s">
        <v>4362</v>
      </c>
      <c r="G4513" t="s">
        <v>1367</v>
      </c>
      <c r="H4513" t="s">
        <v>536</v>
      </c>
      <c r="I4513" t="s">
        <v>209</v>
      </c>
      <c r="J4513" s="1">
        <v>45412</v>
      </c>
      <c r="K4513" t="s">
        <v>720</v>
      </c>
      <c r="L4513">
        <v>1</v>
      </c>
      <c r="M4513">
        <v>1350</v>
      </c>
      <c r="N4513" t="s">
        <v>710</v>
      </c>
      <c r="Q4513" t="s">
        <v>4858</v>
      </c>
      <c r="R4513" t="s">
        <v>4773</v>
      </c>
    </row>
    <row r="4514" spans="1:18" x14ac:dyDescent="0.3">
      <c r="A4514">
        <v>5</v>
      </c>
      <c r="B4514" t="s">
        <v>4874</v>
      </c>
      <c r="C4514" t="s">
        <v>626</v>
      </c>
      <c r="D4514" t="s">
        <v>184</v>
      </c>
      <c r="E4514" s="1">
        <v>45699</v>
      </c>
      <c r="F4514" t="s">
        <v>4414</v>
      </c>
      <c r="G4514" t="s">
        <v>1350</v>
      </c>
      <c r="H4514" t="s">
        <v>625</v>
      </c>
      <c r="I4514" t="s">
        <v>204</v>
      </c>
      <c r="J4514" s="1">
        <v>46440</v>
      </c>
      <c r="K4514" t="s">
        <v>720</v>
      </c>
      <c r="L4514">
        <v>1</v>
      </c>
      <c r="M4514">
        <v>23750</v>
      </c>
      <c r="N4514" t="s">
        <v>710</v>
      </c>
      <c r="O4514" t="s">
        <v>1039</v>
      </c>
      <c r="P4514" t="s">
        <v>4777</v>
      </c>
      <c r="Q4514" t="s">
        <v>4858</v>
      </c>
      <c r="R4514" t="s">
        <v>4773</v>
      </c>
    </row>
    <row r="4515" spans="1:18" x14ac:dyDescent="0.3">
      <c r="A4515">
        <v>40904</v>
      </c>
      <c r="B4515" t="s">
        <v>1034</v>
      </c>
      <c r="C4515" t="s">
        <v>327</v>
      </c>
      <c r="D4515" t="s">
        <v>159</v>
      </c>
      <c r="E4515" s="1">
        <v>45699</v>
      </c>
      <c r="F4515" t="s">
        <v>4295</v>
      </c>
      <c r="G4515" t="s">
        <v>1359</v>
      </c>
      <c r="H4515" t="s">
        <v>357</v>
      </c>
      <c r="I4515" t="s">
        <v>204</v>
      </c>
      <c r="J4515" s="1">
        <v>46476</v>
      </c>
      <c r="K4515" t="s">
        <v>711</v>
      </c>
      <c r="L4515">
        <v>2447.5500000000002</v>
      </c>
      <c r="M4515">
        <v>2447.5500000000002</v>
      </c>
      <c r="N4515" t="s">
        <v>890</v>
      </c>
      <c r="O4515" t="s">
        <v>4834</v>
      </c>
      <c r="P4515" t="s">
        <v>4776</v>
      </c>
      <c r="Q4515" t="s">
        <v>4901</v>
      </c>
      <c r="R4515" t="s">
        <v>4773</v>
      </c>
    </row>
    <row r="4516" spans="1:18" x14ac:dyDescent="0.3">
      <c r="A4516">
        <v>332649</v>
      </c>
      <c r="B4516" t="s">
        <v>1034</v>
      </c>
      <c r="C4516" t="s">
        <v>435</v>
      </c>
      <c r="D4516" t="s">
        <v>30</v>
      </c>
      <c r="E4516" s="1">
        <v>45699</v>
      </c>
      <c r="F4516" t="s">
        <v>4351</v>
      </c>
      <c r="G4516" t="s">
        <v>1369</v>
      </c>
      <c r="H4516" t="s">
        <v>434</v>
      </c>
      <c r="I4516" t="s">
        <v>204</v>
      </c>
      <c r="J4516" s="1">
        <v>46752</v>
      </c>
      <c r="K4516" t="s">
        <v>785</v>
      </c>
      <c r="L4516">
        <v>1</v>
      </c>
      <c r="M4516">
        <v>171254.1</v>
      </c>
      <c r="N4516" t="s">
        <v>998</v>
      </c>
      <c r="O4516" t="s">
        <v>1038</v>
      </c>
      <c r="P4516" t="s">
        <v>4787</v>
      </c>
      <c r="Q4516" t="s">
        <v>4858</v>
      </c>
      <c r="R4516" t="s">
        <v>4771</v>
      </c>
    </row>
    <row r="4517" spans="1:18" x14ac:dyDescent="0.3">
      <c r="A4517">
        <v>332651</v>
      </c>
      <c r="B4517" t="s">
        <v>4875</v>
      </c>
      <c r="C4517" t="s">
        <v>435</v>
      </c>
      <c r="D4517" t="s">
        <v>30</v>
      </c>
      <c r="E4517" s="1">
        <v>45699</v>
      </c>
      <c r="F4517" t="s">
        <v>4351</v>
      </c>
      <c r="G4517" t="s">
        <v>1371</v>
      </c>
      <c r="H4517" t="s">
        <v>434</v>
      </c>
      <c r="I4517" t="s">
        <v>204</v>
      </c>
      <c r="J4517" s="1">
        <v>46752</v>
      </c>
      <c r="K4517" t="s">
        <v>785</v>
      </c>
      <c r="L4517">
        <v>1</v>
      </c>
      <c r="M4517">
        <v>58271.89</v>
      </c>
      <c r="N4517" t="s">
        <v>998</v>
      </c>
      <c r="O4517" t="s">
        <v>1038</v>
      </c>
      <c r="P4517" t="s">
        <v>4787</v>
      </c>
      <c r="Q4517" t="s">
        <v>4858</v>
      </c>
      <c r="R4517" t="s">
        <v>4771</v>
      </c>
    </row>
    <row r="4518" spans="1:18" x14ac:dyDescent="0.3">
      <c r="A4518">
        <v>202529</v>
      </c>
      <c r="B4518" t="s">
        <v>4875</v>
      </c>
      <c r="C4518" t="s">
        <v>322</v>
      </c>
      <c r="D4518" t="s">
        <v>158</v>
      </c>
      <c r="E4518" s="1">
        <v>45699</v>
      </c>
      <c r="F4518" t="s">
        <v>4433</v>
      </c>
      <c r="G4518" t="s">
        <v>1303</v>
      </c>
      <c r="H4518" t="s">
        <v>346</v>
      </c>
      <c r="I4518" t="s">
        <v>204</v>
      </c>
      <c r="J4518" s="1">
        <v>46310</v>
      </c>
      <c r="K4518" t="s">
        <v>748</v>
      </c>
      <c r="L4518">
        <v>21660</v>
      </c>
      <c r="M4518">
        <v>21660</v>
      </c>
      <c r="N4518" t="s">
        <v>710</v>
      </c>
      <c r="O4518" t="s">
        <v>1040</v>
      </c>
      <c r="P4518" t="s">
        <v>4782</v>
      </c>
      <c r="Q4518" t="s">
        <v>4856</v>
      </c>
      <c r="R4518" t="s">
        <v>4773</v>
      </c>
    </row>
    <row r="4519" spans="1:18" x14ac:dyDescent="0.3">
      <c r="A4519">
        <v>202528</v>
      </c>
      <c r="B4519" t="s">
        <v>4875</v>
      </c>
      <c r="C4519" t="s">
        <v>322</v>
      </c>
      <c r="D4519" t="s">
        <v>158</v>
      </c>
      <c r="E4519" s="1">
        <v>45699</v>
      </c>
      <c r="F4519" t="s">
        <v>4432</v>
      </c>
      <c r="G4519" t="s">
        <v>1302</v>
      </c>
      <c r="H4519" t="s">
        <v>352</v>
      </c>
      <c r="I4519" t="s">
        <v>204</v>
      </c>
      <c r="J4519" s="1">
        <v>46310</v>
      </c>
      <c r="K4519" t="s">
        <v>748</v>
      </c>
      <c r="L4519">
        <v>2898.55</v>
      </c>
      <c r="M4519">
        <v>2898.55</v>
      </c>
      <c r="N4519" t="s">
        <v>710</v>
      </c>
      <c r="O4519" t="s">
        <v>1040</v>
      </c>
      <c r="P4519" t="s">
        <v>4782</v>
      </c>
      <c r="Q4519" t="s">
        <v>4856</v>
      </c>
      <c r="R4519" t="s">
        <v>4773</v>
      </c>
    </row>
    <row r="4520" spans="1:18" x14ac:dyDescent="0.3">
      <c r="A4520">
        <v>202527</v>
      </c>
      <c r="B4520" t="s">
        <v>4875</v>
      </c>
      <c r="C4520" t="s">
        <v>322</v>
      </c>
      <c r="D4520" t="s">
        <v>158</v>
      </c>
      <c r="E4520" s="1">
        <v>45699</v>
      </c>
      <c r="F4520" t="s">
        <v>4431</v>
      </c>
      <c r="G4520" t="s">
        <v>1304</v>
      </c>
      <c r="H4520" t="s">
        <v>321</v>
      </c>
      <c r="I4520" t="s">
        <v>204</v>
      </c>
      <c r="J4520" s="1">
        <v>46310</v>
      </c>
      <c r="K4520" t="s">
        <v>748</v>
      </c>
      <c r="L4520">
        <v>13938.27</v>
      </c>
      <c r="M4520">
        <v>13938.27</v>
      </c>
      <c r="N4520" t="s">
        <v>710</v>
      </c>
      <c r="O4520" t="s">
        <v>1040</v>
      </c>
      <c r="P4520" t="s">
        <v>4782</v>
      </c>
      <c r="Q4520" t="s">
        <v>4856</v>
      </c>
      <c r="R4520" t="s">
        <v>4773</v>
      </c>
    </row>
    <row r="4521" spans="1:18" x14ac:dyDescent="0.3">
      <c r="A4521">
        <v>8513</v>
      </c>
      <c r="B4521" t="s">
        <v>4875</v>
      </c>
      <c r="C4521" t="s">
        <v>270</v>
      </c>
      <c r="D4521" t="s">
        <v>82</v>
      </c>
      <c r="E4521" s="1">
        <v>45699</v>
      </c>
      <c r="F4521" t="s">
        <v>4296</v>
      </c>
      <c r="G4521" t="s">
        <v>1265</v>
      </c>
      <c r="H4521" t="s">
        <v>334</v>
      </c>
      <c r="I4521" t="s">
        <v>209</v>
      </c>
      <c r="J4521" s="1">
        <v>54878</v>
      </c>
      <c r="K4521" t="s">
        <v>748</v>
      </c>
      <c r="L4521">
        <v>1261</v>
      </c>
      <c r="M4521">
        <v>1261</v>
      </c>
      <c r="N4521" t="s">
        <v>710</v>
      </c>
    </row>
    <row r="4522" spans="1:18" x14ac:dyDescent="0.3">
      <c r="A4522">
        <v>332664</v>
      </c>
      <c r="B4522" t="s">
        <v>4874</v>
      </c>
      <c r="C4522" t="s">
        <v>435</v>
      </c>
      <c r="D4522" t="s">
        <v>30</v>
      </c>
      <c r="E4522" s="1">
        <v>45699</v>
      </c>
      <c r="F4522" t="s">
        <v>4351</v>
      </c>
      <c r="G4522" t="s">
        <v>1370</v>
      </c>
      <c r="H4522" t="s">
        <v>434</v>
      </c>
      <c r="I4522" t="s">
        <v>204</v>
      </c>
      <c r="J4522" s="1">
        <v>46752</v>
      </c>
      <c r="K4522" t="s">
        <v>785</v>
      </c>
      <c r="L4522">
        <v>1</v>
      </c>
      <c r="M4522">
        <v>165504.32999999999</v>
      </c>
      <c r="N4522" t="s">
        <v>998</v>
      </c>
      <c r="O4522" t="s">
        <v>1038</v>
      </c>
      <c r="P4522" t="s">
        <v>4787</v>
      </c>
      <c r="Q4522" t="s">
        <v>4858</v>
      </c>
      <c r="R4522" t="s">
        <v>4771</v>
      </c>
    </row>
    <row r="4523" spans="1:18" x14ac:dyDescent="0.3">
      <c r="A4523">
        <v>16788</v>
      </c>
      <c r="B4523" t="s">
        <v>4875</v>
      </c>
      <c r="C4523" t="s">
        <v>355</v>
      </c>
      <c r="D4523" t="s">
        <v>143</v>
      </c>
      <c r="E4523" s="1">
        <v>45699</v>
      </c>
      <c r="F4523" t="s">
        <v>4318</v>
      </c>
      <c r="G4523" t="s">
        <v>1357</v>
      </c>
      <c r="H4523" t="s">
        <v>354</v>
      </c>
      <c r="I4523" t="s">
        <v>204</v>
      </c>
      <c r="J4523" s="1">
        <v>54878</v>
      </c>
      <c r="K4523" t="s">
        <v>748</v>
      </c>
      <c r="L4523">
        <v>860.3</v>
      </c>
      <c r="M4523">
        <v>860.3</v>
      </c>
      <c r="N4523" t="s">
        <v>710</v>
      </c>
      <c r="O4523" t="s">
        <v>4834</v>
      </c>
      <c r="P4523" t="s">
        <v>4776</v>
      </c>
      <c r="Q4523" t="s">
        <v>4856</v>
      </c>
      <c r="R4523" t="s">
        <v>4771</v>
      </c>
    </row>
    <row r="4524" spans="1:18" x14ac:dyDescent="0.3">
      <c r="A4524">
        <v>696387</v>
      </c>
      <c r="B4524" t="s">
        <v>4874</v>
      </c>
      <c r="C4524" t="s">
        <v>389</v>
      </c>
      <c r="D4524" t="s">
        <v>32</v>
      </c>
      <c r="E4524" s="1">
        <v>45699</v>
      </c>
      <c r="F4524" t="s">
        <v>4299</v>
      </c>
      <c r="G4524" t="s">
        <v>1368</v>
      </c>
      <c r="H4524" t="s">
        <v>388</v>
      </c>
      <c r="I4524" t="s">
        <v>204</v>
      </c>
      <c r="J4524" s="1">
        <v>46752</v>
      </c>
      <c r="K4524" t="s">
        <v>785</v>
      </c>
      <c r="L4524">
        <v>1</v>
      </c>
      <c r="M4524">
        <v>44919.51</v>
      </c>
      <c r="N4524" t="s">
        <v>710</v>
      </c>
      <c r="O4524" t="s">
        <v>1038</v>
      </c>
      <c r="P4524" t="s">
        <v>4785</v>
      </c>
      <c r="Q4524" t="s">
        <v>4858</v>
      </c>
      <c r="R4524" t="s">
        <v>4771</v>
      </c>
    </row>
    <row r="4525" spans="1:18" x14ac:dyDescent="0.3">
      <c r="A4525">
        <v>18113</v>
      </c>
      <c r="B4525" t="s">
        <v>4874</v>
      </c>
      <c r="C4525" t="s">
        <v>212</v>
      </c>
      <c r="D4525" t="s">
        <v>62</v>
      </c>
      <c r="E4525" s="1">
        <v>45699</v>
      </c>
      <c r="F4525" t="s">
        <v>4318</v>
      </c>
      <c r="G4525" t="s">
        <v>1374</v>
      </c>
      <c r="H4525" t="s">
        <v>211</v>
      </c>
      <c r="I4525" t="s">
        <v>204</v>
      </c>
      <c r="J4525" s="1">
        <v>54878</v>
      </c>
      <c r="K4525" t="s">
        <v>720</v>
      </c>
      <c r="L4525">
        <v>1</v>
      </c>
      <c r="M4525">
        <v>1000</v>
      </c>
      <c r="N4525" t="s">
        <v>719</v>
      </c>
      <c r="O4525" t="s">
        <v>4834</v>
      </c>
      <c r="P4525" t="s">
        <v>4776</v>
      </c>
      <c r="Q4525" t="s">
        <v>4858</v>
      </c>
      <c r="R4525" t="s">
        <v>4771</v>
      </c>
    </row>
    <row r="4526" spans="1:18" x14ac:dyDescent="0.3">
      <c r="A4526">
        <v>2717</v>
      </c>
      <c r="B4526" t="s">
        <v>4874</v>
      </c>
      <c r="C4526" t="s">
        <v>533</v>
      </c>
      <c r="D4526" t="s">
        <v>103</v>
      </c>
      <c r="E4526" s="1">
        <v>45698</v>
      </c>
      <c r="F4526" t="s">
        <v>4410</v>
      </c>
      <c r="G4526" t="s">
        <v>1365</v>
      </c>
      <c r="H4526" t="s">
        <v>532</v>
      </c>
      <c r="I4526" t="s">
        <v>204</v>
      </c>
      <c r="J4526" s="1">
        <v>46568</v>
      </c>
      <c r="K4526" t="s">
        <v>892</v>
      </c>
      <c r="L4526">
        <v>1</v>
      </c>
      <c r="M4526">
        <v>10378.5</v>
      </c>
      <c r="N4526" t="s">
        <v>710</v>
      </c>
      <c r="O4526" t="s">
        <v>4811</v>
      </c>
      <c r="P4526" t="s">
        <v>4776</v>
      </c>
      <c r="Q4526" t="s">
        <v>4859</v>
      </c>
      <c r="R4526" t="s">
        <v>4771</v>
      </c>
    </row>
    <row r="4527" spans="1:18" x14ac:dyDescent="0.3">
      <c r="A4527">
        <v>1143115</v>
      </c>
      <c r="B4527" t="s">
        <v>4874</v>
      </c>
      <c r="C4527" t="s">
        <v>472</v>
      </c>
      <c r="D4527" t="s">
        <v>48</v>
      </c>
      <c r="E4527" s="1">
        <v>45698</v>
      </c>
      <c r="F4527" t="s">
        <v>4315</v>
      </c>
      <c r="G4527" t="s">
        <v>1360</v>
      </c>
      <c r="H4527" t="s">
        <v>471</v>
      </c>
      <c r="I4527" t="s">
        <v>204</v>
      </c>
      <c r="J4527" s="1">
        <v>46270</v>
      </c>
      <c r="K4527" t="s">
        <v>762</v>
      </c>
      <c r="L4527">
        <v>1</v>
      </c>
      <c r="M4527">
        <v>521.97</v>
      </c>
      <c r="N4527" t="s">
        <v>710</v>
      </c>
      <c r="O4527" t="s">
        <v>4845</v>
      </c>
      <c r="P4527" t="s">
        <v>4776</v>
      </c>
      <c r="Q4527" t="s">
        <v>4845</v>
      </c>
      <c r="R4527" t="s">
        <v>4773</v>
      </c>
    </row>
    <row r="4528" spans="1:18" x14ac:dyDescent="0.3">
      <c r="A4528">
        <v>1143118</v>
      </c>
      <c r="B4528" t="s">
        <v>4874</v>
      </c>
      <c r="C4528" t="s">
        <v>472</v>
      </c>
      <c r="D4528" t="s">
        <v>48</v>
      </c>
      <c r="E4528" s="1">
        <v>45698</v>
      </c>
      <c r="F4528" t="s">
        <v>4345</v>
      </c>
      <c r="G4528" t="s">
        <v>1360</v>
      </c>
      <c r="H4528" t="s">
        <v>471</v>
      </c>
      <c r="I4528" t="s">
        <v>204</v>
      </c>
      <c r="J4528" s="1">
        <v>46270</v>
      </c>
      <c r="K4528" t="s">
        <v>762</v>
      </c>
      <c r="L4528">
        <v>1</v>
      </c>
      <c r="M4528">
        <v>52.2</v>
      </c>
      <c r="N4528" t="s">
        <v>710</v>
      </c>
      <c r="O4528" t="s">
        <v>4845</v>
      </c>
      <c r="P4528" t="s">
        <v>4776</v>
      </c>
      <c r="Q4528" t="s">
        <v>4845</v>
      </c>
      <c r="R4528" t="s">
        <v>4773</v>
      </c>
    </row>
    <row r="4529" spans="1:18" x14ac:dyDescent="0.3">
      <c r="A4529">
        <v>12152</v>
      </c>
      <c r="B4529" t="s">
        <v>4875</v>
      </c>
      <c r="C4529" t="s">
        <v>319</v>
      </c>
      <c r="D4529" t="s">
        <v>36</v>
      </c>
      <c r="E4529" s="1">
        <v>45698</v>
      </c>
      <c r="F4529" t="s">
        <v>4434</v>
      </c>
      <c r="G4529" t="s">
        <v>1296</v>
      </c>
      <c r="H4529" t="s">
        <v>336</v>
      </c>
      <c r="I4529" t="s">
        <v>204</v>
      </c>
      <c r="J4529" s="1">
        <v>46075</v>
      </c>
      <c r="K4529" t="s">
        <v>748</v>
      </c>
      <c r="L4529">
        <v>31224.42</v>
      </c>
      <c r="M4529">
        <v>31224.42</v>
      </c>
      <c r="N4529" t="s">
        <v>710</v>
      </c>
      <c r="O4529" t="s">
        <v>1040</v>
      </c>
      <c r="P4529" t="s">
        <v>4784</v>
      </c>
      <c r="Q4529" t="s">
        <v>4856</v>
      </c>
      <c r="R4529" t="s">
        <v>4771</v>
      </c>
    </row>
    <row r="4530" spans="1:18" x14ac:dyDescent="0.3">
      <c r="A4530">
        <v>210191</v>
      </c>
      <c r="B4530" t="s">
        <v>4875</v>
      </c>
      <c r="C4530" t="s">
        <v>493</v>
      </c>
      <c r="D4530" t="s">
        <v>197</v>
      </c>
      <c r="E4530" s="1">
        <v>45695</v>
      </c>
      <c r="F4530" t="s">
        <v>4306</v>
      </c>
      <c r="G4530" t="s">
        <v>1332</v>
      </c>
      <c r="H4530" t="s">
        <v>492</v>
      </c>
      <c r="I4530" t="s">
        <v>204</v>
      </c>
      <c r="J4530" s="1">
        <v>54878</v>
      </c>
      <c r="K4530" t="s">
        <v>768</v>
      </c>
      <c r="L4530">
        <v>650</v>
      </c>
      <c r="M4530">
        <v>650</v>
      </c>
      <c r="N4530" t="s">
        <v>710</v>
      </c>
      <c r="O4530" t="s">
        <v>4833</v>
      </c>
      <c r="P4530" t="s">
        <v>4786</v>
      </c>
      <c r="Q4530" t="s">
        <v>4852</v>
      </c>
      <c r="R4530" t="s">
        <v>4773</v>
      </c>
    </row>
    <row r="4531" spans="1:18" x14ac:dyDescent="0.3">
      <c r="A4531">
        <v>583411</v>
      </c>
      <c r="B4531" t="s">
        <v>4874</v>
      </c>
      <c r="C4531" t="s">
        <v>248</v>
      </c>
      <c r="D4531" t="s">
        <v>13</v>
      </c>
      <c r="E4531" s="1">
        <v>45695</v>
      </c>
      <c r="F4531" t="s">
        <v>4297</v>
      </c>
      <c r="G4531" t="s">
        <v>1353</v>
      </c>
      <c r="H4531" t="s">
        <v>247</v>
      </c>
      <c r="I4531" t="s">
        <v>204</v>
      </c>
      <c r="J4531" s="1">
        <v>54878</v>
      </c>
      <c r="K4531" t="s">
        <v>720</v>
      </c>
      <c r="L4531">
        <v>1</v>
      </c>
      <c r="M4531">
        <v>488.4</v>
      </c>
      <c r="N4531" t="s">
        <v>710</v>
      </c>
      <c r="O4531" t="s">
        <v>1038</v>
      </c>
      <c r="P4531" t="s">
        <v>4779</v>
      </c>
      <c r="Q4531" t="s">
        <v>4858</v>
      </c>
      <c r="R4531" t="s">
        <v>4773</v>
      </c>
    </row>
    <row r="4532" spans="1:18" x14ac:dyDescent="0.3">
      <c r="A4532">
        <v>368879</v>
      </c>
      <c r="B4532" t="s">
        <v>4874</v>
      </c>
      <c r="C4532" t="s">
        <v>250</v>
      </c>
      <c r="D4532" t="s">
        <v>55</v>
      </c>
      <c r="E4532" s="1">
        <v>45695</v>
      </c>
      <c r="F4532" t="s">
        <v>4391</v>
      </c>
      <c r="G4532" t="s">
        <v>1352</v>
      </c>
      <c r="H4532" t="s">
        <v>249</v>
      </c>
      <c r="I4532" t="s">
        <v>204</v>
      </c>
      <c r="J4532" s="1">
        <v>54878</v>
      </c>
      <c r="K4532" t="s">
        <v>720</v>
      </c>
      <c r="L4532">
        <v>1</v>
      </c>
      <c r="M4532">
        <v>591.63</v>
      </c>
      <c r="N4532" t="s">
        <v>719</v>
      </c>
      <c r="O4532" t="s">
        <v>1038</v>
      </c>
      <c r="P4532" t="s">
        <v>4778</v>
      </c>
      <c r="Q4532" t="s">
        <v>4858</v>
      </c>
      <c r="R4532" t="s">
        <v>4771</v>
      </c>
    </row>
    <row r="4533" spans="1:18" x14ac:dyDescent="0.3">
      <c r="A4533">
        <v>37014085</v>
      </c>
      <c r="B4533" t="s">
        <v>4874</v>
      </c>
      <c r="C4533" t="s">
        <v>428</v>
      </c>
      <c r="D4533" t="s">
        <v>127</v>
      </c>
      <c r="E4533" s="1">
        <v>45695</v>
      </c>
      <c r="F4533" t="s">
        <v>4336</v>
      </c>
      <c r="G4533" t="s">
        <v>1170</v>
      </c>
      <c r="H4533" t="s">
        <v>427</v>
      </c>
      <c r="I4533" t="s">
        <v>209</v>
      </c>
      <c r="J4533" s="1">
        <v>54878</v>
      </c>
      <c r="K4533" t="s">
        <v>762</v>
      </c>
      <c r="L4533">
        <v>65732.17</v>
      </c>
      <c r="M4533">
        <v>65732.17</v>
      </c>
      <c r="N4533" t="s">
        <v>710</v>
      </c>
      <c r="Q4533" t="s">
        <v>4852</v>
      </c>
      <c r="R4533" t="s">
        <v>4772</v>
      </c>
    </row>
    <row r="4534" spans="1:18" x14ac:dyDescent="0.3">
      <c r="A4534">
        <v>37885520</v>
      </c>
      <c r="B4534" t="s">
        <v>4874</v>
      </c>
      <c r="C4534" t="s">
        <v>428</v>
      </c>
      <c r="D4534" t="s">
        <v>127</v>
      </c>
      <c r="E4534" s="1">
        <v>45695</v>
      </c>
      <c r="F4534" t="s">
        <v>4336</v>
      </c>
      <c r="G4534" t="s">
        <v>1362</v>
      </c>
      <c r="H4534" t="s">
        <v>427</v>
      </c>
      <c r="I4534" t="s">
        <v>209</v>
      </c>
      <c r="J4534" s="1">
        <v>54878</v>
      </c>
      <c r="K4534" t="s">
        <v>762</v>
      </c>
      <c r="L4534">
        <v>63806.96</v>
      </c>
      <c r="M4534">
        <v>63806.96</v>
      </c>
      <c r="N4534" t="s">
        <v>710</v>
      </c>
      <c r="Q4534" t="s">
        <v>4852</v>
      </c>
      <c r="R4534" t="s">
        <v>4772</v>
      </c>
    </row>
    <row r="4535" spans="1:18" x14ac:dyDescent="0.3">
      <c r="A4535">
        <v>37537349</v>
      </c>
      <c r="B4535" t="s">
        <v>4874</v>
      </c>
      <c r="C4535" t="s">
        <v>428</v>
      </c>
      <c r="D4535" t="s">
        <v>127</v>
      </c>
      <c r="E4535" s="1">
        <v>45695</v>
      </c>
      <c r="F4535" t="s">
        <v>4336</v>
      </c>
      <c r="G4535" t="s">
        <v>1363</v>
      </c>
      <c r="H4535" t="s">
        <v>427</v>
      </c>
      <c r="I4535" t="s">
        <v>209</v>
      </c>
      <c r="J4535" s="1">
        <v>54878</v>
      </c>
      <c r="K4535" t="s">
        <v>762</v>
      </c>
      <c r="L4535">
        <v>3786.07</v>
      </c>
      <c r="M4535">
        <v>3786.07</v>
      </c>
      <c r="N4535" t="s">
        <v>710</v>
      </c>
      <c r="Q4535" t="s">
        <v>4852</v>
      </c>
      <c r="R4535" t="s">
        <v>4772</v>
      </c>
    </row>
    <row r="4536" spans="1:18" x14ac:dyDescent="0.3">
      <c r="A4536">
        <v>430551902</v>
      </c>
      <c r="B4536" t="s">
        <v>4874</v>
      </c>
      <c r="C4536" t="s">
        <v>298</v>
      </c>
      <c r="D4536" t="s">
        <v>11</v>
      </c>
      <c r="E4536" s="1">
        <v>45695</v>
      </c>
      <c r="F4536" t="s">
        <v>4297</v>
      </c>
      <c r="G4536" t="s">
        <v>1351</v>
      </c>
      <c r="H4536" t="s">
        <v>297</v>
      </c>
      <c r="I4536" t="s">
        <v>204</v>
      </c>
      <c r="J4536" s="1">
        <v>54878</v>
      </c>
      <c r="K4536" t="s">
        <v>720</v>
      </c>
      <c r="L4536">
        <v>1</v>
      </c>
      <c r="M4536">
        <v>1225.32</v>
      </c>
      <c r="N4536" t="s">
        <v>710</v>
      </c>
      <c r="O4536" t="s">
        <v>1038</v>
      </c>
      <c r="P4536" t="s">
        <v>4779</v>
      </c>
      <c r="Q4536" t="s">
        <v>4858</v>
      </c>
      <c r="R4536" t="s">
        <v>4771</v>
      </c>
    </row>
    <row r="4537" spans="1:18" x14ac:dyDescent="0.3">
      <c r="A4537">
        <v>1197</v>
      </c>
      <c r="B4537" t="s">
        <v>4874</v>
      </c>
      <c r="C4537" t="s">
        <v>305</v>
      </c>
      <c r="D4537" t="s">
        <v>59</v>
      </c>
      <c r="E4537" s="1">
        <v>45695</v>
      </c>
      <c r="F4537" t="s">
        <v>4359</v>
      </c>
      <c r="G4537" t="s">
        <v>1336</v>
      </c>
      <c r="H4537" t="s">
        <v>304</v>
      </c>
      <c r="I4537" t="s">
        <v>204</v>
      </c>
      <c r="J4537" s="1">
        <v>46481</v>
      </c>
      <c r="K4537" t="s">
        <v>720</v>
      </c>
      <c r="L4537">
        <v>1</v>
      </c>
      <c r="M4537">
        <v>1475</v>
      </c>
      <c r="N4537" t="s">
        <v>809</v>
      </c>
      <c r="O4537" t="s">
        <v>1038</v>
      </c>
      <c r="P4537" t="s">
        <v>4783</v>
      </c>
      <c r="Q4537" t="s">
        <v>4858</v>
      </c>
      <c r="R4537" t="s">
        <v>4771</v>
      </c>
    </row>
    <row r="4538" spans="1:18" x14ac:dyDescent="0.3">
      <c r="A4538">
        <v>3291</v>
      </c>
      <c r="B4538" t="s">
        <v>4874</v>
      </c>
      <c r="C4538" t="s">
        <v>444</v>
      </c>
      <c r="D4538" t="s">
        <v>21</v>
      </c>
      <c r="E4538" s="1">
        <v>45695</v>
      </c>
      <c r="F4538" t="s">
        <v>4380</v>
      </c>
      <c r="G4538" t="s">
        <v>1354</v>
      </c>
      <c r="H4538" t="s">
        <v>443</v>
      </c>
      <c r="I4538" t="s">
        <v>209</v>
      </c>
      <c r="J4538" s="1">
        <v>54878</v>
      </c>
      <c r="K4538" t="s">
        <v>762</v>
      </c>
      <c r="L4538">
        <v>1</v>
      </c>
      <c r="M4538">
        <v>360</v>
      </c>
      <c r="N4538" t="s">
        <v>710</v>
      </c>
      <c r="O4538" t="s">
        <v>1037</v>
      </c>
      <c r="P4538" t="s">
        <v>4808</v>
      </c>
      <c r="Q4538" t="s">
        <v>4852</v>
      </c>
      <c r="R4538" t="s">
        <v>4772</v>
      </c>
    </row>
    <row r="4539" spans="1:18" x14ac:dyDescent="0.3">
      <c r="A4539">
        <v>702432</v>
      </c>
      <c r="B4539" t="s">
        <v>4875</v>
      </c>
      <c r="C4539" t="s">
        <v>609</v>
      </c>
      <c r="D4539" t="s">
        <v>182</v>
      </c>
      <c r="E4539" s="1">
        <v>45695</v>
      </c>
      <c r="F4539" t="s">
        <v>4336</v>
      </c>
      <c r="G4539" t="s">
        <v>1328</v>
      </c>
      <c r="H4539" t="s">
        <v>610</v>
      </c>
      <c r="I4539" t="s">
        <v>204</v>
      </c>
      <c r="J4539" s="1">
        <v>46282</v>
      </c>
      <c r="K4539" t="s">
        <v>768</v>
      </c>
      <c r="L4539">
        <v>44814.25</v>
      </c>
      <c r="M4539">
        <v>44814.25</v>
      </c>
      <c r="N4539" t="s">
        <v>710</v>
      </c>
      <c r="O4539" t="s">
        <v>1037</v>
      </c>
      <c r="P4539" t="s">
        <v>4794</v>
      </c>
      <c r="Q4539" t="s">
        <v>4852</v>
      </c>
      <c r="R4539" t="s">
        <v>4772</v>
      </c>
    </row>
    <row r="4540" spans="1:18" x14ac:dyDescent="0.3">
      <c r="A4540">
        <v>702433</v>
      </c>
      <c r="B4540" t="s">
        <v>1034</v>
      </c>
      <c r="C4540" t="s">
        <v>609</v>
      </c>
      <c r="D4540" t="s">
        <v>182</v>
      </c>
      <c r="E4540" s="1">
        <v>45695</v>
      </c>
      <c r="F4540" t="s">
        <v>4336</v>
      </c>
      <c r="G4540" t="s">
        <v>1329</v>
      </c>
      <c r="H4540" t="s">
        <v>608</v>
      </c>
      <c r="I4540" t="s">
        <v>204</v>
      </c>
      <c r="J4540" s="1">
        <v>46281</v>
      </c>
      <c r="K4540" t="s">
        <v>717</v>
      </c>
      <c r="L4540">
        <v>174292.91</v>
      </c>
      <c r="M4540">
        <v>174292.91</v>
      </c>
      <c r="N4540" t="s">
        <v>719</v>
      </c>
      <c r="O4540" t="s">
        <v>1037</v>
      </c>
      <c r="P4540" t="s">
        <v>4794</v>
      </c>
      <c r="Q4540" t="s">
        <v>4852</v>
      </c>
      <c r="R4540" t="s">
        <v>4772</v>
      </c>
    </row>
    <row r="4541" spans="1:18" x14ac:dyDescent="0.3">
      <c r="A4541">
        <v>103768929</v>
      </c>
      <c r="B4541" t="s">
        <v>4874</v>
      </c>
      <c r="C4541" t="s">
        <v>433</v>
      </c>
      <c r="D4541" t="s">
        <v>168</v>
      </c>
      <c r="E4541" s="1">
        <v>45695</v>
      </c>
      <c r="F4541" t="s">
        <v>4319</v>
      </c>
      <c r="G4541" t="s">
        <v>1310</v>
      </c>
      <c r="H4541" t="s">
        <v>432</v>
      </c>
      <c r="I4541" t="s">
        <v>204</v>
      </c>
      <c r="J4541" s="1">
        <v>46473</v>
      </c>
      <c r="K4541" t="s">
        <v>762</v>
      </c>
      <c r="L4541">
        <v>3781</v>
      </c>
      <c r="M4541">
        <v>3781.46</v>
      </c>
      <c r="N4541" t="s">
        <v>710</v>
      </c>
      <c r="O4541" t="s">
        <v>4833</v>
      </c>
      <c r="P4541" t="s">
        <v>4802</v>
      </c>
      <c r="Q4541" t="s">
        <v>4852</v>
      </c>
      <c r="R4541" t="s">
        <v>4771</v>
      </c>
    </row>
    <row r="4542" spans="1:18" x14ac:dyDescent="0.3">
      <c r="A4542">
        <v>210192</v>
      </c>
      <c r="B4542" t="s">
        <v>4875</v>
      </c>
      <c r="C4542" t="s">
        <v>493</v>
      </c>
      <c r="D4542" t="s">
        <v>197</v>
      </c>
      <c r="E4542" s="1">
        <v>45695</v>
      </c>
      <c r="F4542" t="s">
        <v>4306</v>
      </c>
      <c r="G4542" t="s">
        <v>1331</v>
      </c>
      <c r="H4542" t="s">
        <v>492</v>
      </c>
      <c r="I4542" t="s">
        <v>204</v>
      </c>
      <c r="J4542" s="1">
        <v>54878</v>
      </c>
      <c r="K4542" t="s">
        <v>768</v>
      </c>
      <c r="L4542">
        <v>799</v>
      </c>
      <c r="M4542">
        <v>799</v>
      </c>
      <c r="N4542" t="s">
        <v>710</v>
      </c>
      <c r="O4542" t="s">
        <v>4833</v>
      </c>
      <c r="P4542" t="s">
        <v>4786</v>
      </c>
      <c r="Q4542" t="s">
        <v>4852</v>
      </c>
      <c r="R4542" t="s">
        <v>4773</v>
      </c>
    </row>
    <row r="4543" spans="1:18" x14ac:dyDescent="0.3">
      <c r="A4543">
        <v>1804</v>
      </c>
      <c r="B4543" t="s">
        <v>1034</v>
      </c>
      <c r="C4543" t="s">
        <v>616</v>
      </c>
      <c r="D4543" t="s">
        <v>152</v>
      </c>
      <c r="E4543" s="1">
        <v>45695</v>
      </c>
      <c r="F4543" t="s">
        <v>4338</v>
      </c>
      <c r="G4543" t="s">
        <v>1060</v>
      </c>
      <c r="H4543" t="s">
        <v>621</v>
      </c>
      <c r="I4543" t="s">
        <v>204</v>
      </c>
      <c r="J4543" s="1">
        <v>46349</v>
      </c>
      <c r="K4543" t="s">
        <v>711</v>
      </c>
      <c r="L4543">
        <v>13451.91</v>
      </c>
      <c r="M4543">
        <v>13451.91</v>
      </c>
      <c r="N4543" t="s">
        <v>710</v>
      </c>
      <c r="O4543" t="s">
        <v>4904</v>
      </c>
      <c r="P4543" t="s">
        <v>4796</v>
      </c>
      <c r="Q4543" t="s">
        <v>4901</v>
      </c>
      <c r="R4543" t="s">
        <v>4772</v>
      </c>
    </row>
    <row r="4544" spans="1:18" x14ac:dyDescent="0.3">
      <c r="A4544">
        <v>706064</v>
      </c>
      <c r="B4544" t="s">
        <v>1034</v>
      </c>
      <c r="C4544" t="s">
        <v>609</v>
      </c>
      <c r="D4544" t="s">
        <v>182</v>
      </c>
      <c r="E4544" s="1">
        <v>45695</v>
      </c>
      <c r="F4544" t="s">
        <v>4336</v>
      </c>
      <c r="G4544" t="s">
        <v>1329</v>
      </c>
      <c r="H4544" t="s">
        <v>608</v>
      </c>
      <c r="I4544" t="s">
        <v>204</v>
      </c>
      <c r="J4544" s="1">
        <v>46281</v>
      </c>
      <c r="K4544" t="s">
        <v>717</v>
      </c>
      <c r="L4544">
        <v>23339.555</v>
      </c>
      <c r="M4544">
        <v>23339.56</v>
      </c>
      <c r="N4544" t="s">
        <v>719</v>
      </c>
      <c r="O4544" t="s">
        <v>1037</v>
      </c>
      <c r="P4544" t="s">
        <v>4794</v>
      </c>
      <c r="Q4544" t="s">
        <v>4852</v>
      </c>
      <c r="R4544" t="s">
        <v>4772</v>
      </c>
    </row>
    <row r="4545" spans="1:18" x14ac:dyDescent="0.3">
      <c r="A4545">
        <v>44017</v>
      </c>
      <c r="B4545" t="s">
        <v>4875</v>
      </c>
      <c r="C4545" t="s">
        <v>210</v>
      </c>
      <c r="D4545" t="s">
        <v>163</v>
      </c>
      <c r="E4545" s="1">
        <v>45695</v>
      </c>
      <c r="F4545" t="s">
        <v>4297</v>
      </c>
      <c r="G4545" t="s">
        <v>1261</v>
      </c>
      <c r="H4545" t="s">
        <v>356</v>
      </c>
      <c r="I4545" t="s">
        <v>209</v>
      </c>
      <c r="J4545" s="1">
        <v>54878</v>
      </c>
      <c r="K4545" t="s">
        <v>748</v>
      </c>
      <c r="L4545">
        <v>120</v>
      </c>
      <c r="M4545">
        <v>120</v>
      </c>
      <c r="N4545" t="s">
        <v>710</v>
      </c>
      <c r="Q4545" t="s">
        <v>4901</v>
      </c>
      <c r="R4545" t="s">
        <v>4773</v>
      </c>
    </row>
    <row r="4546" spans="1:18" x14ac:dyDescent="0.3">
      <c r="A4546">
        <v>706063</v>
      </c>
      <c r="B4546" t="s">
        <v>4875</v>
      </c>
      <c r="C4546" t="s">
        <v>609</v>
      </c>
      <c r="D4546" t="s">
        <v>182</v>
      </c>
      <c r="E4546" s="1">
        <v>45695</v>
      </c>
      <c r="F4546" t="s">
        <v>4336</v>
      </c>
      <c r="G4546" t="s">
        <v>1328</v>
      </c>
      <c r="H4546" t="s">
        <v>610</v>
      </c>
      <c r="I4546" t="s">
        <v>204</v>
      </c>
      <c r="J4546" s="1">
        <v>46282</v>
      </c>
      <c r="K4546" t="s">
        <v>768</v>
      </c>
      <c r="L4546">
        <v>4971.28</v>
      </c>
      <c r="M4546">
        <v>4971.28</v>
      </c>
      <c r="N4546" t="s">
        <v>710</v>
      </c>
      <c r="O4546" t="s">
        <v>1037</v>
      </c>
      <c r="P4546" t="s">
        <v>4794</v>
      </c>
      <c r="Q4546" t="s">
        <v>4852</v>
      </c>
      <c r="R4546" t="s">
        <v>4772</v>
      </c>
    </row>
    <row r="4547" spans="1:18" x14ac:dyDescent="0.3">
      <c r="A4547">
        <v>4989</v>
      </c>
      <c r="B4547" t="s">
        <v>1034</v>
      </c>
      <c r="C4547" t="s">
        <v>399</v>
      </c>
      <c r="D4547" t="s">
        <v>97</v>
      </c>
      <c r="E4547" s="1">
        <v>45695</v>
      </c>
      <c r="F4547" t="s">
        <v>4301</v>
      </c>
      <c r="G4547" t="s">
        <v>1050</v>
      </c>
      <c r="H4547" t="s">
        <v>398</v>
      </c>
      <c r="I4547" t="s">
        <v>204</v>
      </c>
      <c r="J4547" s="1">
        <v>46274</v>
      </c>
      <c r="K4547" t="s">
        <v>717</v>
      </c>
      <c r="L4547">
        <v>22921.53</v>
      </c>
      <c r="M4547">
        <v>22921.53</v>
      </c>
      <c r="N4547" t="s">
        <v>710</v>
      </c>
      <c r="O4547" t="s">
        <v>4902</v>
      </c>
      <c r="P4547" t="s">
        <v>4776</v>
      </c>
      <c r="Q4547" t="s">
        <v>4852</v>
      </c>
      <c r="R4547" t="s">
        <v>4773</v>
      </c>
    </row>
    <row r="4548" spans="1:18" x14ac:dyDescent="0.3">
      <c r="A4548">
        <v>1186</v>
      </c>
      <c r="B4548" t="s">
        <v>4874</v>
      </c>
      <c r="C4548" t="s">
        <v>305</v>
      </c>
      <c r="D4548" t="s">
        <v>59</v>
      </c>
      <c r="E4548" s="1">
        <v>45695</v>
      </c>
      <c r="F4548" t="s">
        <v>4359</v>
      </c>
      <c r="G4548" t="s">
        <v>1290</v>
      </c>
      <c r="H4548" t="s">
        <v>304</v>
      </c>
      <c r="I4548" t="s">
        <v>204</v>
      </c>
      <c r="J4548" s="1">
        <v>46481</v>
      </c>
      <c r="K4548" t="s">
        <v>720</v>
      </c>
      <c r="L4548">
        <v>1</v>
      </c>
      <c r="M4548">
        <v>800</v>
      </c>
      <c r="N4548" t="s">
        <v>809</v>
      </c>
      <c r="O4548" t="s">
        <v>1038</v>
      </c>
      <c r="P4548" t="s">
        <v>4783</v>
      </c>
      <c r="Q4548" t="s">
        <v>4858</v>
      </c>
      <c r="R4548" t="s">
        <v>4771</v>
      </c>
    </row>
    <row r="4549" spans="1:18" x14ac:dyDescent="0.3">
      <c r="A4549">
        <v>1850</v>
      </c>
      <c r="B4549" t="s">
        <v>1034</v>
      </c>
      <c r="C4549" t="s">
        <v>616</v>
      </c>
      <c r="D4549" t="s">
        <v>152</v>
      </c>
      <c r="E4549" s="1">
        <v>45694</v>
      </c>
      <c r="F4549" t="s">
        <v>4338</v>
      </c>
      <c r="G4549" t="s">
        <v>1059</v>
      </c>
      <c r="H4549" t="s">
        <v>621</v>
      </c>
      <c r="I4549" t="s">
        <v>204</v>
      </c>
      <c r="J4549" s="1">
        <v>46349</v>
      </c>
      <c r="K4549" t="s">
        <v>711</v>
      </c>
      <c r="L4549">
        <v>6698.24</v>
      </c>
      <c r="M4549">
        <v>6698.24</v>
      </c>
      <c r="N4549" t="s">
        <v>710</v>
      </c>
      <c r="O4549" t="s">
        <v>4904</v>
      </c>
      <c r="P4549" t="s">
        <v>4796</v>
      </c>
      <c r="Q4549" t="s">
        <v>4901</v>
      </c>
      <c r="R4549" t="s">
        <v>4772</v>
      </c>
    </row>
    <row r="4550" spans="1:18" x14ac:dyDescent="0.3">
      <c r="A4550">
        <v>1850</v>
      </c>
      <c r="B4550" t="s">
        <v>1034</v>
      </c>
      <c r="C4550" t="s">
        <v>616</v>
      </c>
      <c r="D4550" t="s">
        <v>152</v>
      </c>
      <c r="E4550" s="1">
        <v>45694</v>
      </c>
      <c r="F4550" t="s">
        <v>4338</v>
      </c>
      <c r="G4550" t="s">
        <v>1059</v>
      </c>
      <c r="H4550" t="s">
        <v>621</v>
      </c>
      <c r="I4550" t="s">
        <v>204</v>
      </c>
      <c r="J4550" s="1">
        <v>46349</v>
      </c>
      <c r="K4550" t="s">
        <v>711</v>
      </c>
      <c r="L4550">
        <v>60561.33</v>
      </c>
      <c r="M4550">
        <v>60561.33</v>
      </c>
      <c r="N4550" t="s">
        <v>710</v>
      </c>
      <c r="O4550" t="s">
        <v>4904</v>
      </c>
      <c r="P4550" t="s">
        <v>4796</v>
      </c>
      <c r="Q4550" t="s">
        <v>4901</v>
      </c>
      <c r="R4550" t="s">
        <v>4772</v>
      </c>
    </row>
    <row r="4551" spans="1:18" x14ac:dyDescent="0.3">
      <c r="A4551">
        <v>1387</v>
      </c>
      <c r="B4551" t="s">
        <v>1034</v>
      </c>
      <c r="C4551" t="s">
        <v>312</v>
      </c>
      <c r="D4551" t="s">
        <v>73</v>
      </c>
      <c r="E4551" s="1">
        <v>45694</v>
      </c>
      <c r="F4551" t="s">
        <v>4300</v>
      </c>
      <c r="G4551" t="s">
        <v>1307</v>
      </c>
      <c r="H4551" t="s">
        <v>311</v>
      </c>
      <c r="I4551" t="s">
        <v>204</v>
      </c>
      <c r="J4551" s="1">
        <v>54878</v>
      </c>
      <c r="K4551" t="s">
        <v>711</v>
      </c>
      <c r="L4551">
        <v>2255</v>
      </c>
      <c r="M4551">
        <v>2255</v>
      </c>
      <c r="N4551" t="s">
        <v>719</v>
      </c>
      <c r="O4551" t="s">
        <v>4834</v>
      </c>
      <c r="P4551" t="s">
        <v>1006</v>
      </c>
      <c r="Q4551" t="s">
        <v>4901</v>
      </c>
      <c r="R4551" t="s">
        <v>4773</v>
      </c>
    </row>
    <row r="4552" spans="1:18" x14ac:dyDescent="0.3">
      <c r="A4552">
        <v>33384</v>
      </c>
      <c r="B4552" t="s">
        <v>4875</v>
      </c>
      <c r="C4552" t="s">
        <v>530</v>
      </c>
      <c r="D4552" t="s">
        <v>24</v>
      </c>
      <c r="E4552" s="1">
        <v>45694</v>
      </c>
      <c r="F4552" t="s">
        <v>4297</v>
      </c>
      <c r="G4552" t="s">
        <v>1256</v>
      </c>
      <c r="H4552" t="s">
        <v>529</v>
      </c>
      <c r="I4552" t="s">
        <v>204</v>
      </c>
      <c r="J4552" s="1">
        <v>46477</v>
      </c>
      <c r="K4552" t="s">
        <v>748</v>
      </c>
      <c r="L4552">
        <v>1</v>
      </c>
      <c r="M4552">
        <v>5974.06</v>
      </c>
      <c r="N4552" t="s">
        <v>710</v>
      </c>
      <c r="O4552" t="s">
        <v>1040</v>
      </c>
      <c r="P4552" t="s">
        <v>4779</v>
      </c>
      <c r="Q4552" t="s">
        <v>4856</v>
      </c>
      <c r="R4552" t="s">
        <v>4773</v>
      </c>
    </row>
    <row r="4553" spans="1:18" x14ac:dyDescent="0.3">
      <c r="A4553">
        <v>4158</v>
      </c>
      <c r="B4553" t="s">
        <v>1034</v>
      </c>
      <c r="C4553" t="s">
        <v>208</v>
      </c>
      <c r="D4553" t="s">
        <v>164</v>
      </c>
      <c r="E4553" s="1">
        <v>45694</v>
      </c>
      <c r="F4553" t="s">
        <v>4342</v>
      </c>
      <c r="G4553" t="s">
        <v>1306</v>
      </c>
      <c r="H4553" t="s">
        <v>604</v>
      </c>
      <c r="I4553" t="s">
        <v>204</v>
      </c>
      <c r="J4553" s="1">
        <v>46256</v>
      </c>
      <c r="K4553" t="s">
        <v>711</v>
      </c>
      <c r="L4553">
        <v>4</v>
      </c>
      <c r="M4553">
        <v>1360</v>
      </c>
      <c r="N4553" t="s">
        <v>710</v>
      </c>
      <c r="O4553" t="s">
        <v>1036</v>
      </c>
      <c r="P4553" t="s">
        <v>4784</v>
      </c>
      <c r="Q4553" t="s">
        <v>4901</v>
      </c>
    </row>
    <row r="4554" spans="1:18" x14ac:dyDescent="0.3">
      <c r="A4554">
        <v>255</v>
      </c>
      <c r="B4554" t="s">
        <v>1034</v>
      </c>
      <c r="C4554" t="s">
        <v>325</v>
      </c>
      <c r="D4554" t="s">
        <v>193</v>
      </c>
      <c r="E4554" s="1">
        <v>45694</v>
      </c>
      <c r="F4554" t="s">
        <v>4297</v>
      </c>
      <c r="G4554" t="s">
        <v>1321</v>
      </c>
      <c r="H4554" t="s">
        <v>324</v>
      </c>
      <c r="I4554" t="s">
        <v>204</v>
      </c>
      <c r="J4554" s="1">
        <v>54878</v>
      </c>
      <c r="K4554" t="s">
        <v>711</v>
      </c>
      <c r="L4554">
        <v>3900</v>
      </c>
      <c r="M4554">
        <v>3900</v>
      </c>
      <c r="N4554" t="s">
        <v>710</v>
      </c>
      <c r="O4554" t="s">
        <v>4844</v>
      </c>
      <c r="P4554" t="s">
        <v>4779</v>
      </c>
      <c r="Q4554" t="s">
        <v>4901</v>
      </c>
      <c r="R4554" t="s">
        <v>4773</v>
      </c>
    </row>
    <row r="4555" spans="1:18" x14ac:dyDescent="0.3">
      <c r="A4555">
        <v>15959</v>
      </c>
      <c r="B4555" t="s">
        <v>1034</v>
      </c>
      <c r="C4555" t="s">
        <v>359</v>
      </c>
      <c r="D4555" t="s">
        <v>53</v>
      </c>
      <c r="E4555" s="1">
        <v>45694</v>
      </c>
      <c r="F4555" t="s">
        <v>4305</v>
      </c>
      <c r="G4555" t="s">
        <v>1323</v>
      </c>
      <c r="H4555" t="s">
        <v>358</v>
      </c>
      <c r="I4555" t="s">
        <v>204</v>
      </c>
      <c r="J4555" s="1">
        <v>54878</v>
      </c>
      <c r="K4555" t="s">
        <v>711</v>
      </c>
      <c r="L4555">
        <v>625.37</v>
      </c>
      <c r="M4555">
        <v>625.37</v>
      </c>
      <c r="N4555" t="s">
        <v>710</v>
      </c>
      <c r="O4555" t="s">
        <v>1036</v>
      </c>
      <c r="P4555" t="s">
        <v>4776</v>
      </c>
      <c r="Q4555" t="s">
        <v>4901</v>
      </c>
      <c r="R4555" t="s">
        <v>4773</v>
      </c>
    </row>
    <row r="4556" spans="1:18" x14ac:dyDescent="0.3">
      <c r="A4556">
        <v>4158</v>
      </c>
      <c r="B4556" t="s">
        <v>1034</v>
      </c>
      <c r="C4556" t="s">
        <v>208</v>
      </c>
      <c r="D4556" t="s">
        <v>164</v>
      </c>
      <c r="E4556" s="1">
        <v>45694</v>
      </c>
      <c r="F4556" t="s">
        <v>4341</v>
      </c>
      <c r="G4556" t="s">
        <v>1306</v>
      </c>
      <c r="H4556" t="s">
        <v>604</v>
      </c>
      <c r="I4556" t="s">
        <v>204</v>
      </c>
      <c r="J4556" s="1">
        <v>46256</v>
      </c>
      <c r="K4556" t="s">
        <v>711</v>
      </c>
      <c r="L4556">
        <v>1</v>
      </c>
      <c r="M4556">
        <v>640</v>
      </c>
      <c r="N4556" t="s">
        <v>710</v>
      </c>
      <c r="O4556" t="s">
        <v>1036</v>
      </c>
      <c r="P4556" t="s">
        <v>4784</v>
      </c>
      <c r="Q4556" t="s">
        <v>4901</v>
      </c>
    </row>
    <row r="4557" spans="1:18" x14ac:dyDescent="0.3">
      <c r="A4557">
        <v>3341</v>
      </c>
      <c r="B4557" t="s">
        <v>1034</v>
      </c>
      <c r="C4557" t="s">
        <v>319</v>
      </c>
      <c r="D4557" t="s">
        <v>36</v>
      </c>
      <c r="E4557" s="1">
        <v>45694</v>
      </c>
      <c r="F4557" t="s">
        <v>4298</v>
      </c>
      <c r="G4557" t="s">
        <v>1325</v>
      </c>
      <c r="H4557" t="s">
        <v>318</v>
      </c>
      <c r="I4557" t="s">
        <v>204</v>
      </c>
      <c r="J4557" s="1">
        <v>46214</v>
      </c>
      <c r="K4557" t="s">
        <v>711</v>
      </c>
      <c r="L4557">
        <v>2054</v>
      </c>
      <c r="M4557">
        <v>2053.86</v>
      </c>
      <c r="N4557" t="s">
        <v>710</v>
      </c>
      <c r="O4557" t="s">
        <v>1036</v>
      </c>
      <c r="P4557" t="s">
        <v>4784</v>
      </c>
      <c r="Q4557" t="s">
        <v>4901</v>
      </c>
      <c r="R4557" t="s">
        <v>4771</v>
      </c>
    </row>
    <row r="4558" spans="1:18" x14ac:dyDescent="0.3">
      <c r="A4558">
        <v>2596</v>
      </c>
      <c r="B4558" t="s">
        <v>4874</v>
      </c>
      <c r="C4558" t="s">
        <v>372</v>
      </c>
      <c r="D4558" t="s">
        <v>105</v>
      </c>
      <c r="E4558" s="1">
        <v>45694</v>
      </c>
      <c r="F4558" t="s">
        <v>4408</v>
      </c>
      <c r="G4558" t="s">
        <v>1269</v>
      </c>
      <c r="H4558" t="s">
        <v>371</v>
      </c>
      <c r="I4558" t="s">
        <v>209</v>
      </c>
      <c r="J4558" s="1">
        <v>45904</v>
      </c>
      <c r="K4558" t="s">
        <v>720</v>
      </c>
      <c r="L4558">
        <v>1</v>
      </c>
      <c r="M4558">
        <v>3267</v>
      </c>
      <c r="N4558" t="s">
        <v>719</v>
      </c>
      <c r="O4558" t="s">
        <v>1038</v>
      </c>
      <c r="P4558" t="s">
        <v>4777</v>
      </c>
      <c r="Q4558" t="s">
        <v>4858</v>
      </c>
      <c r="R4558" t="s">
        <v>4773</v>
      </c>
    </row>
    <row r="4559" spans="1:18" x14ac:dyDescent="0.3">
      <c r="A4559">
        <v>4158</v>
      </c>
      <c r="B4559" t="s">
        <v>1034</v>
      </c>
      <c r="C4559" t="s">
        <v>208</v>
      </c>
      <c r="D4559" t="s">
        <v>164</v>
      </c>
      <c r="E4559" s="1">
        <v>45694</v>
      </c>
      <c r="F4559" t="s">
        <v>4343</v>
      </c>
      <c r="G4559" t="s">
        <v>1306</v>
      </c>
      <c r="H4559" t="s">
        <v>604</v>
      </c>
      <c r="I4559" t="s">
        <v>204</v>
      </c>
      <c r="J4559" s="1">
        <v>46256</v>
      </c>
      <c r="K4559" t="s">
        <v>711</v>
      </c>
      <c r="L4559">
        <v>2</v>
      </c>
      <c r="M4559">
        <v>280</v>
      </c>
      <c r="N4559" t="s">
        <v>710</v>
      </c>
      <c r="O4559" t="s">
        <v>1036</v>
      </c>
      <c r="P4559" t="s">
        <v>4784</v>
      </c>
      <c r="Q4559" t="s">
        <v>4901</v>
      </c>
    </row>
    <row r="4560" spans="1:18" x14ac:dyDescent="0.3">
      <c r="A4560">
        <v>243</v>
      </c>
      <c r="B4560" t="s">
        <v>4874</v>
      </c>
      <c r="C4560" t="s">
        <v>575</v>
      </c>
      <c r="D4560" t="s">
        <v>174</v>
      </c>
      <c r="E4560" s="1">
        <v>45694</v>
      </c>
      <c r="F4560" t="s">
        <v>4412</v>
      </c>
      <c r="G4560" t="s">
        <v>1313</v>
      </c>
      <c r="H4560" t="s">
        <v>574</v>
      </c>
      <c r="I4560" t="s">
        <v>204</v>
      </c>
      <c r="J4560" s="1">
        <v>46203</v>
      </c>
      <c r="K4560" t="s">
        <v>720</v>
      </c>
      <c r="L4560">
        <v>1</v>
      </c>
      <c r="M4560">
        <v>929.17</v>
      </c>
      <c r="N4560" t="s">
        <v>890</v>
      </c>
      <c r="O4560" t="s">
        <v>1039</v>
      </c>
      <c r="P4560" t="s">
        <v>4776</v>
      </c>
      <c r="Q4560" t="s">
        <v>4858</v>
      </c>
      <c r="R4560" t="s">
        <v>4771</v>
      </c>
    </row>
    <row r="4561" spans="1:18" x14ac:dyDescent="0.3">
      <c r="A4561">
        <v>389325731</v>
      </c>
      <c r="B4561" t="s">
        <v>4874</v>
      </c>
      <c r="C4561" t="s">
        <v>433</v>
      </c>
      <c r="D4561" t="s">
        <v>168</v>
      </c>
      <c r="E4561" s="1">
        <v>45694</v>
      </c>
      <c r="F4561" t="s">
        <v>4319</v>
      </c>
      <c r="G4561" t="s">
        <v>1285</v>
      </c>
      <c r="H4561" t="s">
        <v>432</v>
      </c>
      <c r="I4561" t="s">
        <v>204</v>
      </c>
      <c r="J4561" s="1">
        <v>46473</v>
      </c>
      <c r="K4561" t="s">
        <v>762</v>
      </c>
      <c r="L4561">
        <v>1300</v>
      </c>
      <c r="M4561">
        <v>1299.69</v>
      </c>
      <c r="N4561" t="s">
        <v>710</v>
      </c>
      <c r="O4561" t="s">
        <v>4833</v>
      </c>
      <c r="P4561" t="s">
        <v>4802</v>
      </c>
      <c r="Q4561" t="s">
        <v>4852</v>
      </c>
      <c r="R4561" t="s">
        <v>4771</v>
      </c>
    </row>
    <row r="4562" spans="1:18" x14ac:dyDescent="0.3">
      <c r="A4562">
        <v>2025155</v>
      </c>
      <c r="B4562" t="s">
        <v>1034</v>
      </c>
      <c r="C4562" t="s">
        <v>364</v>
      </c>
      <c r="D4562" t="s">
        <v>72</v>
      </c>
      <c r="E4562" s="1">
        <v>45694</v>
      </c>
      <c r="F4562" t="s">
        <v>4295</v>
      </c>
      <c r="G4562" t="s">
        <v>1308</v>
      </c>
      <c r="H4562" t="s">
        <v>363</v>
      </c>
      <c r="I4562" t="s">
        <v>209</v>
      </c>
      <c r="J4562" s="1">
        <v>46092</v>
      </c>
      <c r="K4562" t="s">
        <v>711</v>
      </c>
      <c r="L4562">
        <v>4800</v>
      </c>
      <c r="M4562">
        <v>4800</v>
      </c>
      <c r="N4562" t="s">
        <v>710</v>
      </c>
      <c r="O4562" t="s">
        <v>4834</v>
      </c>
      <c r="P4562" t="s">
        <v>4776</v>
      </c>
      <c r="Q4562" t="s">
        <v>4901</v>
      </c>
      <c r="R4562" t="s">
        <v>4773</v>
      </c>
    </row>
    <row r="4563" spans="1:18" x14ac:dyDescent="0.3">
      <c r="A4563">
        <v>40879</v>
      </c>
      <c r="B4563" t="s">
        <v>1034</v>
      </c>
      <c r="C4563" t="s">
        <v>327</v>
      </c>
      <c r="D4563" t="s">
        <v>159</v>
      </c>
      <c r="E4563" s="1">
        <v>45694</v>
      </c>
      <c r="F4563" t="s">
        <v>4296</v>
      </c>
      <c r="G4563" t="s">
        <v>1319</v>
      </c>
      <c r="H4563" t="s">
        <v>357</v>
      </c>
      <c r="I4563" t="s">
        <v>204</v>
      </c>
      <c r="J4563" s="1">
        <v>46476</v>
      </c>
      <c r="K4563" t="s">
        <v>711</v>
      </c>
      <c r="L4563">
        <v>709.7</v>
      </c>
      <c r="M4563">
        <v>709.7</v>
      </c>
      <c r="N4563" t="s">
        <v>890</v>
      </c>
      <c r="O4563" t="s">
        <v>4834</v>
      </c>
      <c r="P4563" t="s">
        <v>4776</v>
      </c>
      <c r="Q4563" t="s">
        <v>4901</v>
      </c>
      <c r="R4563" t="s">
        <v>4773</v>
      </c>
    </row>
    <row r="4564" spans="1:18" x14ac:dyDescent="0.3">
      <c r="A4564">
        <v>1220036</v>
      </c>
      <c r="B4564" t="s">
        <v>4874</v>
      </c>
      <c r="C4564" t="s">
        <v>407</v>
      </c>
      <c r="D4564" t="s">
        <v>170</v>
      </c>
      <c r="E4564" s="1">
        <v>45694</v>
      </c>
      <c r="F4564" t="s">
        <v>4388</v>
      </c>
      <c r="G4564" t="s">
        <v>1309</v>
      </c>
      <c r="H4564" t="s">
        <v>406</v>
      </c>
      <c r="I4564" t="s">
        <v>204</v>
      </c>
      <c r="J4564" s="1">
        <v>46387</v>
      </c>
      <c r="K4564" t="s">
        <v>762</v>
      </c>
      <c r="L4564">
        <v>32852</v>
      </c>
      <c r="M4564">
        <v>32851.78</v>
      </c>
      <c r="N4564" t="s">
        <v>710</v>
      </c>
      <c r="O4564" t="s">
        <v>4833</v>
      </c>
      <c r="P4564" t="s">
        <v>4776</v>
      </c>
      <c r="Q4564" t="s">
        <v>4852</v>
      </c>
      <c r="R4564" t="s">
        <v>4771</v>
      </c>
    </row>
    <row r="4565" spans="1:18" x14ac:dyDescent="0.3">
      <c r="A4565">
        <v>2611</v>
      </c>
      <c r="B4565" t="s">
        <v>4874</v>
      </c>
      <c r="C4565" t="s">
        <v>372</v>
      </c>
      <c r="D4565" t="s">
        <v>105</v>
      </c>
      <c r="E4565" s="1">
        <v>45694</v>
      </c>
      <c r="F4565" t="s">
        <v>4408</v>
      </c>
      <c r="G4565" t="s">
        <v>1334</v>
      </c>
      <c r="H4565" t="s">
        <v>371</v>
      </c>
      <c r="I4565" t="s">
        <v>209</v>
      </c>
      <c r="J4565" s="1">
        <v>45904</v>
      </c>
      <c r="K4565" t="s">
        <v>720</v>
      </c>
      <c r="L4565">
        <v>1</v>
      </c>
      <c r="M4565">
        <v>3267</v>
      </c>
      <c r="N4565" t="s">
        <v>719</v>
      </c>
      <c r="O4565" t="s">
        <v>1038</v>
      </c>
      <c r="P4565" t="s">
        <v>4777</v>
      </c>
      <c r="Q4565" t="s">
        <v>4858</v>
      </c>
      <c r="R4565" t="s">
        <v>4773</v>
      </c>
    </row>
    <row r="4566" spans="1:18" x14ac:dyDescent="0.3">
      <c r="A4566">
        <v>40880</v>
      </c>
      <c r="B4566" t="s">
        <v>1034</v>
      </c>
      <c r="C4566" t="s">
        <v>327</v>
      </c>
      <c r="D4566" t="s">
        <v>159</v>
      </c>
      <c r="E4566" s="1">
        <v>45694</v>
      </c>
      <c r="F4566" t="s">
        <v>4295</v>
      </c>
      <c r="G4566" t="s">
        <v>1318</v>
      </c>
      <c r="H4566" t="s">
        <v>357</v>
      </c>
      <c r="I4566" t="s">
        <v>204</v>
      </c>
      <c r="J4566" s="1">
        <v>46476</v>
      </c>
      <c r="K4566" t="s">
        <v>711</v>
      </c>
      <c r="L4566">
        <v>2150</v>
      </c>
      <c r="M4566">
        <v>2150</v>
      </c>
      <c r="N4566" t="s">
        <v>890</v>
      </c>
      <c r="O4566" t="s">
        <v>4834</v>
      </c>
      <c r="P4566" t="s">
        <v>4776</v>
      </c>
      <c r="Q4566" t="s">
        <v>4901</v>
      </c>
      <c r="R4566" t="s">
        <v>4773</v>
      </c>
    </row>
    <row r="4567" spans="1:18" x14ac:dyDescent="0.3">
      <c r="A4567">
        <v>6548</v>
      </c>
      <c r="B4567" t="s">
        <v>1035</v>
      </c>
      <c r="C4567" t="s">
        <v>230</v>
      </c>
      <c r="D4567" t="s">
        <v>85</v>
      </c>
      <c r="E4567" s="1">
        <v>45694</v>
      </c>
      <c r="F4567" t="s">
        <v>4348</v>
      </c>
      <c r="G4567" t="s">
        <v>1327</v>
      </c>
      <c r="H4567" t="s">
        <v>229</v>
      </c>
      <c r="I4567" t="s">
        <v>204</v>
      </c>
      <c r="J4567" s="1">
        <v>46203</v>
      </c>
      <c r="K4567" t="s">
        <v>744</v>
      </c>
      <c r="L4567">
        <v>18802.560000000001</v>
      </c>
      <c r="M4567">
        <v>18802.560000000001</v>
      </c>
      <c r="N4567" t="s">
        <v>710</v>
      </c>
      <c r="O4567" t="s">
        <v>1033</v>
      </c>
      <c r="P4567" t="s">
        <v>4781</v>
      </c>
      <c r="Q4567" t="s">
        <v>4852</v>
      </c>
      <c r="R4567" t="s">
        <v>4771</v>
      </c>
    </row>
    <row r="4568" spans="1:18" x14ac:dyDescent="0.3">
      <c r="A4568">
        <v>1195</v>
      </c>
      <c r="B4568" t="s">
        <v>4874</v>
      </c>
      <c r="C4568" t="s">
        <v>305</v>
      </c>
      <c r="D4568" t="s">
        <v>59</v>
      </c>
      <c r="E4568" s="1">
        <v>45694</v>
      </c>
      <c r="F4568" t="s">
        <v>4359</v>
      </c>
      <c r="G4568" t="s">
        <v>1316</v>
      </c>
      <c r="H4568" t="s">
        <v>304</v>
      </c>
      <c r="I4568" t="s">
        <v>204</v>
      </c>
      <c r="J4568" s="1">
        <v>46481</v>
      </c>
      <c r="K4568" t="s">
        <v>720</v>
      </c>
      <c r="L4568">
        <v>1</v>
      </c>
      <c r="M4568">
        <v>1030</v>
      </c>
      <c r="N4568" t="s">
        <v>809</v>
      </c>
      <c r="O4568" t="s">
        <v>1038</v>
      </c>
      <c r="P4568" t="s">
        <v>4783</v>
      </c>
      <c r="Q4568" t="s">
        <v>4858</v>
      </c>
      <c r="R4568" t="s">
        <v>4771</v>
      </c>
    </row>
    <row r="4569" spans="1:18" x14ac:dyDescent="0.3">
      <c r="A4569">
        <v>283457</v>
      </c>
      <c r="B4569" t="s">
        <v>4874</v>
      </c>
      <c r="C4569" t="s">
        <v>426</v>
      </c>
      <c r="D4569" t="s">
        <v>54</v>
      </c>
      <c r="E4569" s="1">
        <v>45694</v>
      </c>
      <c r="F4569" t="s">
        <v>4409</v>
      </c>
      <c r="G4569" t="s">
        <v>1348</v>
      </c>
      <c r="H4569" t="s">
        <v>425</v>
      </c>
      <c r="I4569" t="s">
        <v>204</v>
      </c>
      <c r="J4569" s="1">
        <v>46752</v>
      </c>
      <c r="K4569" t="s">
        <v>785</v>
      </c>
      <c r="L4569">
        <v>1</v>
      </c>
      <c r="M4569">
        <v>104437.36</v>
      </c>
      <c r="N4569" t="s">
        <v>710</v>
      </c>
      <c r="O4569" t="s">
        <v>1038</v>
      </c>
      <c r="P4569" t="s">
        <v>4787</v>
      </c>
      <c r="Q4569" t="s">
        <v>4858</v>
      </c>
      <c r="R4569" t="s">
        <v>4771</v>
      </c>
    </row>
    <row r="4570" spans="1:18" x14ac:dyDescent="0.3">
      <c r="A4570">
        <v>6547</v>
      </c>
      <c r="B4570" t="s">
        <v>1035</v>
      </c>
      <c r="C4570" t="s">
        <v>230</v>
      </c>
      <c r="D4570" t="s">
        <v>85</v>
      </c>
      <c r="E4570" s="1">
        <v>45694</v>
      </c>
      <c r="F4570" t="s">
        <v>4348</v>
      </c>
      <c r="G4570" t="s">
        <v>1327</v>
      </c>
      <c r="H4570" t="s">
        <v>229</v>
      </c>
      <c r="I4570" t="s">
        <v>204</v>
      </c>
      <c r="J4570" s="1">
        <v>46203</v>
      </c>
      <c r="K4570" t="s">
        <v>744</v>
      </c>
      <c r="L4570">
        <v>48517.85</v>
      </c>
      <c r="M4570">
        <v>48517.85</v>
      </c>
      <c r="N4570" t="s">
        <v>710</v>
      </c>
      <c r="O4570" t="s">
        <v>1033</v>
      </c>
      <c r="P4570" t="s">
        <v>4781</v>
      </c>
      <c r="Q4570" t="s">
        <v>4852</v>
      </c>
      <c r="R4570" t="s">
        <v>4771</v>
      </c>
    </row>
    <row r="4571" spans="1:18" x14ac:dyDescent="0.3">
      <c r="A4571">
        <v>12852</v>
      </c>
      <c r="B4571" t="s">
        <v>1034</v>
      </c>
      <c r="C4571" t="s">
        <v>319</v>
      </c>
      <c r="D4571" t="s">
        <v>36</v>
      </c>
      <c r="E4571" s="1">
        <v>45694</v>
      </c>
      <c r="F4571" t="s">
        <v>4298</v>
      </c>
      <c r="G4571" t="s">
        <v>1333</v>
      </c>
      <c r="H4571" t="s">
        <v>318</v>
      </c>
      <c r="I4571" t="s">
        <v>204</v>
      </c>
      <c r="J4571" s="1">
        <v>46214</v>
      </c>
      <c r="K4571" t="s">
        <v>711</v>
      </c>
      <c r="L4571">
        <v>412</v>
      </c>
      <c r="M4571">
        <v>411.73</v>
      </c>
      <c r="N4571" t="s">
        <v>710</v>
      </c>
      <c r="O4571" t="s">
        <v>1036</v>
      </c>
      <c r="P4571" t="s">
        <v>4784</v>
      </c>
      <c r="Q4571" t="s">
        <v>4901</v>
      </c>
      <c r="R4571" t="s">
        <v>4771</v>
      </c>
    </row>
    <row r="4572" spans="1:18" x14ac:dyDescent="0.3">
      <c r="A4572">
        <v>12154</v>
      </c>
      <c r="B4572" t="s">
        <v>1034</v>
      </c>
      <c r="C4572" t="s">
        <v>319</v>
      </c>
      <c r="D4572" t="s">
        <v>36</v>
      </c>
      <c r="E4572" s="1">
        <v>45694</v>
      </c>
      <c r="F4572" t="s">
        <v>4298</v>
      </c>
      <c r="G4572" t="s">
        <v>1320</v>
      </c>
      <c r="H4572" t="s">
        <v>318</v>
      </c>
      <c r="I4572" t="s">
        <v>204</v>
      </c>
      <c r="J4572" s="1">
        <v>46214</v>
      </c>
      <c r="K4572" t="s">
        <v>711</v>
      </c>
      <c r="L4572">
        <v>891</v>
      </c>
      <c r="M4572">
        <v>890.62</v>
      </c>
      <c r="N4572" t="s">
        <v>710</v>
      </c>
      <c r="O4572" t="s">
        <v>1036</v>
      </c>
      <c r="P4572" t="s">
        <v>4784</v>
      </c>
      <c r="Q4572" t="s">
        <v>4901</v>
      </c>
      <c r="R4572" t="s">
        <v>4771</v>
      </c>
    </row>
    <row r="4573" spans="1:18" x14ac:dyDescent="0.3">
      <c r="A4573">
        <v>26572</v>
      </c>
      <c r="B4573" t="s">
        <v>4874</v>
      </c>
      <c r="C4573" t="s">
        <v>296</v>
      </c>
      <c r="D4573" t="s">
        <v>93</v>
      </c>
      <c r="E4573" s="1">
        <v>45693</v>
      </c>
      <c r="F4573" t="s">
        <v>4362</v>
      </c>
      <c r="G4573" t="s">
        <v>1172</v>
      </c>
      <c r="H4573" t="s">
        <v>295</v>
      </c>
      <c r="I4573" t="s">
        <v>209</v>
      </c>
      <c r="J4573" s="1">
        <v>54878</v>
      </c>
      <c r="K4573" t="s">
        <v>720</v>
      </c>
      <c r="L4573">
        <v>10318.32</v>
      </c>
      <c r="M4573">
        <v>10318.32</v>
      </c>
      <c r="N4573" t="s">
        <v>710</v>
      </c>
      <c r="Q4573" t="s">
        <v>4845</v>
      </c>
      <c r="R4573" t="s">
        <v>4772</v>
      </c>
    </row>
    <row r="4574" spans="1:18" x14ac:dyDescent="0.3">
      <c r="A4574">
        <v>3586</v>
      </c>
      <c r="B4574" t="s">
        <v>4874</v>
      </c>
      <c r="C4574" t="s">
        <v>225</v>
      </c>
      <c r="D4574" t="s">
        <v>166</v>
      </c>
      <c r="E4574" s="1">
        <v>45693</v>
      </c>
      <c r="F4574" t="s">
        <v>4383</v>
      </c>
      <c r="G4574" t="s">
        <v>1311</v>
      </c>
      <c r="H4574" t="s">
        <v>224</v>
      </c>
      <c r="I4574" t="s">
        <v>204</v>
      </c>
      <c r="J4574" s="1">
        <v>54878</v>
      </c>
      <c r="K4574" t="s">
        <v>720</v>
      </c>
      <c r="L4574">
        <v>476.36</v>
      </c>
      <c r="M4574">
        <v>476.36</v>
      </c>
      <c r="N4574" t="s">
        <v>710</v>
      </c>
      <c r="O4574" t="s">
        <v>4849</v>
      </c>
      <c r="P4574" t="s">
        <v>4776</v>
      </c>
      <c r="Q4574" t="s">
        <v>4855</v>
      </c>
      <c r="R4574" t="s">
        <v>4773</v>
      </c>
    </row>
    <row r="4575" spans="1:18" x14ac:dyDescent="0.3">
      <c r="A4575">
        <v>3719196</v>
      </c>
      <c r="B4575" t="s">
        <v>4874</v>
      </c>
      <c r="C4575" t="s">
        <v>417</v>
      </c>
      <c r="D4575" t="s">
        <v>185</v>
      </c>
      <c r="E4575" s="1">
        <v>45693</v>
      </c>
      <c r="F4575" t="s">
        <v>4335</v>
      </c>
      <c r="G4575" t="s">
        <v>1293</v>
      </c>
      <c r="H4575" t="s">
        <v>461</v>
      </c>
      <c r="I4575" t="s">
        <v>204</v>
      </c>
      <c r="J4575" s="1">
        <v>54878</v>
      </c>
      <c r="K4575" t="s">
        <v>762</v>
      </c>
      <c r="L4575">
        <v>2168.81</v>
      </c>
      <c r="M4575">
        <v>2168.81</v>
      </c>
      <c r="N4575" t="s">
        <v>710</v>
      </c>
      <c r="O4575" t="s">
        <v>1037</v>
      </c>
      <c r="P4575" t="s">
        <v>4780</v>
      </c>
      <c r="Q4575" t="s">
        <v>4852</v>
      </c>
      <c r="R4575" t="s">
        <v>4771</v>
      </c>
    </row>
    <row r="4576" spans="1:18" x14ac:dyDescent="0.3">
      <c r="A4576">
        <v>397966</v>
      </c>
      <c r="B4576" t="s">
        <v>1034</v>
      </c>
      <c r="C4576" t="s">
        <v>376</v>
      </c>
      <c r="D4576" t="s">
        <v>35</v>
      </c>
      <c r="E4576" s="1">
        <v>45693</v>
      </c>
      <c r="F4576" t="s">
        <v>4302</v>
      </c>
      <c r="G4576" t="s">
        <v>1314</v>
      </c>
      <c r="H4576" t="s">
        <v>377</v>
      </c>
      <c r="I4576" t="s">
        <v>209</v>
      </c>
      <c r="J4576" s="1">
        <v>54878</v>
      </c>
      <c r="K4576" t="s">
        <v>717</v>
      </c>
      <c r="L4576">
        <v>42336.4</v>
      </c>
      <c r="M4576">
        <v>42336.4</v>
      </c>
      <c r="N4576" t="s">
        <v>710</v>
      </c>
      <c r="Q4576" t="s">
        <v>4852</v>
      </c>
      <c r="R4576" t="s">
        <v>4771</v>
      </c>
    </row>
    <row r="4577" spans="1:18" x14ac:dyDescent="0.3">
      <c r="A4577">
        <v>577237</v>
      </c>
      <c r="B4577" t="s">
        <v>1034</v>
      </c>
      <c r="C4577" t="s">
        <v>376</v>
      </c>
      <c r="D4577" t="s">
        <v>35</v>
      </c>
      <c r="E4577" s="1">
        <v>45693</v>
      </c>
      <c r="F4577" t="s">
        <v>4302</v>
      </c>
      <c r="G4577" t="s">
        <v>1314</v>
      </c>
      <c r="H4577" t="s">
        <v>377</v>
      </c>
      <c r="I4577" t="s">
        <v>209</v>
      </c>
      <c r="J4577" s="1">
        <v>54878</v>
      </c>
      <c r="K4577" t="s">
        <v>717</v>
      </c>
      <c r="L4577">
        <v>40532</v>
      </c>
      <c r="M4577">
        <v>40532</v>
      </c>
      <c r="N4577" t="s">
        <v>710</v>
      </c>
      <c r="Q4577" t="s">
        <v>4852</v>
      </c>
      <c r="R4577" t="s">
        <v>4771</v>
      </c>
    </row>
    <row r="4578" spans="1:18" x14ac:dyDescent="0.3">
      <c r="A4578">
        <v>44507</v>
      </c>
      <c r="B4578" t="s">
        <v>1034</v>
      </c>
      <c r="C4578" t="s">
        <v>790</v>
      </c>
      <c r="D4578" t="s">
        <v>19</v>
      </c>
      <c r="E4578" s="1">
        <v>45693</v>
      </c>
      <c r="F4578" t="s">
        <v>4348</v>
      </c>
      <c r="G4578" t="s">
        <v>1322</v>
      </c>
      <c r="H4578" t="s">
        <v>287</v>
      </c>
      <c r="I4578" t="s">
        <v>209</v>
      </c>
      <c r="J4578" s="1">
        <v>54878</v>
      </c>
      <c r="K4578" t="s">
        <v>711</v>
      </c>
      <c r="L4578">
        <v>2950</v>
      </c>
      <c r="M4578">
        <v>2950</v>
      </c>
      <c r="N4578" t="s">
        <v>710</v>
      </c>
      <c r="O4578" t="s">
        <v>1037</v>
      </c>
      <c r="P4578" t="s">
        <v>4781</v>
      </c>
      <c r="Q4578" t="s">
        <v>4852</v>
      </c>
      <c r="R4578" t="s">
        <v>4771</v>
      </c>
    </row>
    <row r="4579" spans="1:18" x14ac:dyDescent="0.3">
      <c r="A4579">
        <v>1196</v>
      </c>
      <c r="B4579" t="s">
        <v>4874</v>
      </c>
      <c r="C4579" t="s">
        <v>305</v>
      </c>
      <c r="D4579" t="s">
        <v>59</v>
      </c>
      <c r="E4579" s="1">
        <v>45693</v>
      </c>
      <c r="F4579" t="s">
        <v>4359</v>
      </c>
      <c r="G4579" t="s">
        <v>1330</v>
      </c>
      <c r="H4579" t="s">
        <v>304</v>
      </c>
      <c r="I4579" t="s">
        <v>204</v>
      </c>
      <c r="J4579" s="1">
        <v>46481</v>
      </c>
      <c r="K4579" t="s">
        <v>720</v>
      </c>
      <c r="L4579">
        <v>1</v>
      </c>
      <c r="M4579">
        <v>940</v>
      </c>
      <c r="N4579" t="s">
        <v>809</v>
      </c>
      <c r="O4579" t="s">
        <v>1038</v>
      </c>
      <c r="P4579" t="s">
        <v>4783</v>
      </c>
      <c r="Q4579" t="s">
        <v>4858</v>
      </c>
      <c r="R4579" t="s">
        <v>4771</v>
      </c>
    </row>
    <row r="4580" spans="1:18" x14ac:dyDescent="0.3">
      <c r="A4580">
        <v>1725659</v>
      </c>
      <c r="B4580" t="s">
        <v>4874</v>
      </c>
      <c r="C4580" t="s">
        <v>417</v>
      </c>
      <c r="D4580" t="s">
        <v>185</v>
      </c>
      <c r="E4580" s="1">
        <v>45693</v>
      </c>
      <c r="F4580" t="s">
        <v>4346</v>
      </c>
      <c r="G4580" t="s">
        <v>1293</v>
      </c>
      <c r="H4580" t="s">
        <v>461</v>
      </c>
      <c r="I4580" t="s">
        <v>204</v>
      </c>
      <c r="J4580" s="1">
        <v>54878</v>
      </c>
      <c r="K4580" t="s">
        <v>762</v>
      </c>
      <c r="L4580">
        <v>17008</v>
      </c>
      <c r="M4580">
        <v>17008</v>
      </c>
      <c r="N4580" t="s">
        <v>710</v>
      </c>
      <c r="O4580" t="s">
        <v>1037</v>
      </c>
      <c r="P4580" t="s">
        <v>4780</v>
      </c>
      <c r="Q4580" t="s">
        <v>4852</v>
      </c>
      <c r="R4580" t="s">
        <v>4771</v>
      </c>
    </row>
    <row r="4581" spans="1:18" x14ac:dyDescent="0.3">
      <c r="A4581">
        <v>35</v>
      </c>
      <c r="B4581" t="s">
        <v>4876</v>
      </c>
      <c r="C4581" t="s">
        <v>476</v>
      </c>
      <c r="D4581" t="s">
        <v>195</v>
      </c>
      <c r="E4581" s="1">
        <v>45693</v>
      </c>
      <c r="F4581" t="s">
        <v>4401</v>
      </c>
      <c r="G4581" t="s">
        <v>1335</v>
      </c>
      <c r="H4581" t="s">
        <v>475</v>
      </c>
      <c r="I4581" t="s">
        <v>204</v>
      </c>
      <c r="J4581" s="1">
        <v>54878</v>
      </c>
      <c r="K4581" t="s">
        <v>839</v>
      </c>
      <c r="L4581">
        <v>39330</v>
      </c>
      <c r="M4581">
        <v>39330</v>
      </c>
      <c r="N4581" t="s">
        <v>710</v>
      </c>
      <c r="O4581" t="s">
        <v>1042</v>
      </c>
      <c r="P4581" t="s">
        <v>1006</v>
      </c>
      <c r="Q4581" t="s">
        <v>4852</v>
      </c>
      <c r="R4581" t="s">
        <v>4771</v>
      </c>
    </row>
    <row r="4582" spans="1:18" x14ac:dyDescent="0.3">
      <c r="A4582">
        <v>279526</v>
      </c>
      <c r="B4582" t="s">
        <v>4874</v>
      </c>
      <c r="C4582" t="s">
        <v>426</v>
      </c>
      <c r="D4582" t="s">
        <v>54</v>
      </c>
      <c r="E4582" s="1">
        <v>45692</v>
      </c>
      <c r="F4582" t="s">
        <v>4409</v>
      </c>
      <c r="G4582" t="s">
        <v>1105</v>
      </c>
      <c r="H4582" t="s">
        <v>425</v>
      </c>
      <c r="I4582" t="s">
        <v>204</v>
      </c>
      <c r="J4582" s="1">
        <v>46752</v>
      </c>
      <c r="K4582" t="s">
        <v>785</v>
      </c>
      <c r="L4582">
        <v>1</v>
      </c>
      <c r="M4582">
        <v>91939.93</v>
      </c>
      <c r="N4582" t="s">
        <v>710</v>
      </c>
      <c r="O4582" t="s">
        <v>1038</v>
      </c>
      <c r="P4582" t="s">
        <v>4787</v>
      </c>
      <c r="Q4582" t="s">
        <v>4858</v>
      </c>
      <c r="R4582" t="s">
        <v>4771</v>
      </c>
    </row>
    <row r="4583" spans="1:18" x14ac:dyDescent="0.3">
      <c r="A4583">
        <v>202508</v>
      </c>
      <c r="B4583" t="s">
        <v>1034</v>
      </c>
      <c r="C4583" t="s">
        <v>507</v>
      </c>
      <c r="D4583" t="s">
        <v>18</v>
      </c>
      <c r="E4583" s="1">
        <v>45692</v>
      </c>
      <c r="F4583" t="s">
        <v>4322</v>
      </c>
      <c r="G4583" t="s">
        <v>1297</v>
      </c>
      <c r="H4583" t="s">
        <v>506</v>
      </c>
      <c r="I4583" t="s">
        <v>204</v>
      </c>
      <c r="J4583" s="1">
        <v>46741</v>
      </c>
      <c r="K4583" t="s">
        <v>711</v>
      </c>
      <c r="L4583">
        <v>22</v>
      </c>
      <c r="M4583">
        <v>7700</v>
      </c>
      <c r="N4583" t="s">
        <v>710</v>
      </c>
      <c r="O4583" t="s">
        <v>1036</v>
      </c>
      <c r="P4583" t="s">
        <v>4777</v>
      </c>
      <c r="Q4583" t="s">
        <v>4901</v>
      </c>
      <c r="R4583" t="s">
        <v>4773</v>
      </c>
    </row>
    <row r="4584" spans="1:18" x14ac:dyDescent="0.3">
      <c r="A4584">
        <v>150847</v>
      </c>
      <c r="B4584" t="s">
        <v>4875</v>
      </c>
      <c r="C4584" t="s">
        <v>301</v>
      </c>
      <c r="D4584" t="s">
        <v>23</v>
      </c>
      <c r="E4584" s="1">
        <v>45692</v>
      </c>
      <c r="F4584" t="s">
        <v>4321</v>
      </c>
      <c r="G4584" t="s">
        <v>1255</v>
      </c>
      <c r="H4584" t="s">
        <v>342</v>
      </c>
      <c r="I4584" t="s">
        <v>204</v>
      </c>
      <c r="J4584" s="1">
        <v>46285</v>
      </c>
      <c r="K4584" t="s">
        <v>748</v>
      </c>
      <c r="L4584">
        <v>4912.05</v>
      </c>
      <c r="M4584">
        <v>4912.03</v>
      </c>
      <c r="N4584" t="s">
        <v>710</v>
      </c>
      <c r="O4584" t="s">
        <v>1040</v>
      </c>
      <c r="P4584" t="s">
        <v>4782</v>
      </c>
      <c r="Q4584" t="s">
        <v>4856</v>
      </c>
      <c r="R4584" t="s">
        <v>4773</v>
      </c>
    </row>
    <row r="4585" spans="1:18" x14ac:dyDescent="0.3">
      <c r="A4585">
        <v>1883</v>
      </c>
      <c r="B4585" t="s">
        <v>4874</v>
      </c>
      <c r="C4585" t="s">
        <v>616</v>
      </c>
      <c r="D4585" t="s">
        <v>152</v>
      </c>
      <c r="E4585" s="1">
        <v>45692</v>
      </c>
      <c r="F4585" t="s">
        <v>4338</v>
      </c>
      <c r="G4585" t="s">
        <v>1266</v>
      </c>
      <c r="H4585" t="s">
        <v>615</v>
      </c>
      <c r="I4585" t="s">
        <v>204</v>
      </c>
      <c r="J4585" s="1">
        <v>46327</v>
      </c>
      <c r="K4585" t="s">
        <v>720</v>
      </c>
      <c r="L4585">
        <v>1</v>
      </c>
      <c r="M4585">
        <v>87050.44</v>
      </c>
      <c r="N4585" t="s">
        <v>710</v>
      </c>
      <c r="O4585" t="s">
        <v>4834</v>
      </c>
      <c r="P4585" t="s">
        <v>4776</v>
      </c>
      <c r="Q4585" t="s">
        <v>4858</v>
      </c>
      <c r="R4585" t="s">
        <v>4772</v>
      </c>
    </row>
    <row r="4586" spans="1:18" x14ac:dyDescent="0.3">
      <c r="A4586">
        <v>1882</v>
      </c>
      <c r="B4586" t="s">
        <v>4875</v>
      </c>
      <c r="C4586" t="s">
        <v>616</v>
      </c>
      <c r="D4586" t="s">
        <v>152</v>
      </c>
      <c r="E4586" s="1">
        <v>45692</v>
      </c>
      <c r="F4586" t="s">
        <v>4338</v>
      </c>
      <c r="G4586" t="s">
        <v>1235</v>
      </c>
      <c r="H4586" t="s">
        <v>622</v>
      </c>
      <c r="I4586" t="s">
        <v>204</v>
      </c>
      <c r="J4586" s="1">
        <v>46351</v>
      </c>
      <c r="K4586" t="s">
        <v>748</v>
      </c>
      <c r="L4586">
        <v>1</v>
      </c>
      <c r="M4586">
        <v>28600.99</v>
      </c>
      <c r="N4586" t="s">
        <v>710</v>
      </c>
      <c r="O4586" t="s">
        <v>4904</v>
      </c>
      <c r="P4586" t="s">
        <v>4796</v>
      </c>
      <c r="Q4586" t="s">
        <v>4856</v>
      </c>
      <c r="R4586" t="s">
        <v>4772</v>
      </c>
    </row>
    <row r="4587" spans="1:18" x14ac:dyDescent="0.3">
      <c r="A4587">
        <v>1184</v>
      </c>
      <c r="B4587" t="s">
        <v>4874</v>
      </c>
      <c r="C4587" t="s">
        <v>305</v>
      </c>
      <c r="D4587" t="s">
        <v>59</v>
      </c>
      <c r="E4587" s="1">
        <v>45692</v>
      </c>
      <c r="F4587" t="s">
        <v>4359</v>
      </c>
      <c r="G4587" t="s">
        <v>1305</v>
      </c>
      <c r="H4587" t="s">
        <v>304</v>
      </c>
      <c r="I4587" t="s">
        <v>204</v>
      </c>
      <c r="J4587" s="1">
        <v>46481</v>
      </c>
      <c r="K4587" t="s">
        <v>720</v>
      </c>
      <c r="L4587">
        <v>1</v>
      </c>
      <c r="M4587">
        <v>1120</v>
      </c>
      <c r="N4587" t="s">
        <v>809</v>
      </c>
      <c r="O4587" t="s">
        <v>1038</v>
      </c>
      <c r="P4587" t="s">
        <v>4783</v>
      </c>
      <c r="Q4587" t="s">
        <v>4858</v>
      </c>
      <c r="R4587" t="s">
        <v>4771</v>
      </c>
    </row>
    <row r="4588" spans="1:18" x14ac:dyDescent="0.3">
      <c r="A4588">
        <v>1187</v>
      </c>
      <c r="B4588" t="s">
        <v>4874</v>
      </c>
      <c r="C4588" t="s">
        <v>305</v>
      </c>
      <c r="D4588" t="s">
        <v>59</v>
      </c>
      <c r="E4588" s="1">
        <v>45692</v>
      </c>
      <c r="F4588" t="s">
        <v>4359</v>
      </c>
      <c r="G4588" t="s">
        <v>1251</v>
      </c>
      <c r="H4588" t="s">
        <v>304</v>
      </c>
      <c r="I4588" t="s">
        <v>204</v>
      </c>
      <c r="J4588" s="1">
        <v>46481</v>
      </c>
      <c r="K4588" t="s">
        <v>720</v>
      </c>
      <c r="L4588">
        <v>1</v>
      </c>
      <c r="M4588">
        <v>1122.9000000000001</v>
      </c>
      <c r="N4588" t="s">
        <v>809</v>
      </c>
      <c r="O4588" t="s">
        <v>1038</v>
      </c>
      <c r="P4588" t="s">
        <v>4783</v>
      </c>
      <c r="Q4588" t="s">
        <v>4858</v>
      </c>
      <c r="R4588" t="s">
        <v>4771</v>
      </c>
    </row>
    <row r="4589" spans="1:18" x14ac:dyDescent="0.3">
      <c r="A4589">
        <v>30</v>
      </c>
      <c r="B4589" t="s">
        <v>4875</v>
      </c>
      <c r="C4589" t="s">
        <v>561</v>
      </c>
      <c r="D4589" t="s">
        <v>121</v>
      </c>
      <c r="E4589" s="1">
        <v>45692</v>
      </c>
      <c r="F4589" t="s">
        <v>4390</v>
      </c>
      <c r="G4589" t="s">
        <v>1254</v>
      </c>
      <c r="H4589" t="s">
        <v>560</v>
      </c>
      <c r="I4589" t="s">
        <v>204</v>
      </c>
      <c r="J4589" s="1">
        <v>46732</v>
      </c>
      <c r="K4589" t="s">
        <v>748</v>
      </c>
      <c r="L4589">
        <v>6700</v>
      </c>
      <c r="M4589">
        <v>6700</v>
      </c>
      <c r="N4589" t="s">
        <v>818</v>
      </c>
      <c r="O4589" t="s">
        <v>1040</v>
      </c>
      <c r="P4589" t="s">
        <v>4777</v>
      </c>
      <c r="Q4589" t="s">
        <v>4856</v>
      </c>
      <c r="R4589" t="s">
        <v>4771</v>
      </c>
    </row>
    <row r="4590" spans="1:18" x14ac:dyDescent="0.3">
      <c r="A4590">
        <v>3020</v>
      </c>
      <c r="B4590" t="s">
        <v>4874</v>
      </c>
      <c r="C4590" t="s">
        <v>572</v>
      </c>
      <c r="D4590" t="s">
        <v>43</v>
      </c>
      <c r="E4590" s="1">
        <v>45692</v>
      </c>
      <c r="F4590" t="s">
        <v>4321</v>
      </c>
      <c r="G4590" t="s">
        <v>1289</v>
      </c>
      <c r="H4590" t="s">
        <v>571</v>
      </c>
      <c r="I4590" t="s">
        <v>204</v>
      </c>
      <c r="J4590" s="1">
        <v>46387</v>
      </c>
      <c r="K4590" t="s">
        <v>720</v>
      </c>
      <c r="L4590">
        <v>1</v>
      </c>
      <c r="M4590">
        <v>20333.68</v>
      </c>
      <c r="N4590" t="s">
        <v>814</v>
      </c>
      <c r="O4590" t="s">
        <v>1038</v>
      </c>
      <c r="P4590" t="s">
        <v>4782</v>
      </c>
      <c r="Q4590" t="s">
        <v>4858</v>
      </c>
      <c r="R4590" t="s">
        <v>4771</v>
      </c>
    </row>
    <row r="4591" spans="1:18" x14ac:dyDescent="0.3">
      <c r="A4591">
        <v>18478</v>
      </c>
      <c r="B4591" t="s">
        <v>4874</v>
      </c>
      <c r="C4591" t="s">
        <v>539</v>
      </c>
      <c r="D4591" t="s">
        <v>189</v>
      </c>
      <c r="E4591" s="1">
        <v>45692</v>
      </c>
      <c r="F4591" t="s">
        <v>4327</v>
      </c>
      <c r="G4591" t="s">
        <v>1295</v>
      </c>
      <c r="H4591" t="s">
        <v>573</v>
      </c>
      <c r="I4591" t="s">
        <v>209</v>
      </c>
      <c r="J4591" s="1">
        <v>45808</v>
      </c>
      <c r="K4591" t="s">
        <v>762</v>
      </c>
      <c r="L4591">
        <v>727.67</v>
      </c>
      <c r="M4591">
        <v>727.67</v>
      </c>
      <c r="N4591" t="s">
        <v>890</v>
      </c>
      <c r="Q4591" t="s">
        <v>807</v>
      </c>
    </row>
    <row r="4592" spans="1:18" x14ac:dyDescent="0.3">
      <c r="A4592">
        <v>6553</v>
      </c>
      <c r="B4592" t="s">
        <v>4874</v>
      </c>
      <c r="C4592" t="s">
        <v>230</v>
      </c>
      <c r="D4592" t="s">
        <v>85</v>
      </c>
      <c r="E4592" s="1">
        <v>45692</v>
      </c>
      <c r="F4592" t="s">
        <v>4348</v>
      </c>
      <c r="G4592" t="s">
        <v>1299</v>
      </c>
      <c r="H4592" t="s">
        <v>299</v>
      </c>
      <c r="I4592" t="s">
        <v>204</v>
      </c>
      <c r="J4592" s="1">
        <v>46536</v>
      </c>
      <c r="K4592" t="s">
        <v>762</v>
      </c>
      <c r="L4592">
        <v>198518.11</v>
      </c>
      <c r="M4592">
        <v>198518.11</v>
      </c>
      <c r="N4592" t="s">
        <v>710</v>
      </c>
      <c r="O4592" t="s">
        <v>1033</v>
      </c>
      <c r="P4592" t="s">
        <v>4781</v>
      </c>
      <c r="Q4592" t="s">
        <v>4852</v>
      </c>
      <c r="R4592" t="s">
        <v>4771</v>
      </c>
    </row>
    <row r="4593" spans="1:18" x14ac:dyDescent="0.3">
      <c r="A4593">
        <v>6557</v>
      </c>
      <c r="B4593" t="s">
        <v>1034</v>
      </c>
      <c r="C4593" t="s">
        <v>230</v>
      </c>
      <c r="D4593" t="s">
        <v>85</v>
      </c>
      <c r="E4593" s="1">
        <v>45692</v>
      </c>
      <c r="F4593" t="s">
        <v>4348</v>
      </c>
      <c r="G4593" t="s">
        <v>1300</v>
      </c>
      <c r="H4593" t="s">
        <v>570</v>
      </c>
      <c r="I4593" t="s">
        <v>204</v>
      </c>
      <c r="J4593" s="1">
        <v>46418</v>
      </c>
      <c r="K4593" t="s">
        <v>717</v>
      </c>
      <c r="L4593">
        <v>1</v>
      </c>
      <c r="M4593">
        <v>508195.8</v>
      </c>
      <c r="N4593" t="s">
        <v>719</v>
      </c>
      <c r="O4593" t="s">
        <v>1033</v>
      </c>
      <c r="P4593" t="s">
        <v>4781</v>
      </c>
      <c r="Q4593" t="s">
        <v>4852</v>
      </c>
      <c r="R4593" t="s">
        <v>4771</v>
      </c>
    </row>
    <row r="4594" spans="1:18" x14ac:dyDescent="0.3">
      <c r="A4594">
        <v>76</v>
      </c>
      <c r="B4594" t="s">
        <v>1034</v>
      </c>
      <c r="C4594" t="s">
        <v>618</v>
      </c>
      <c r="D4594" t="s">
        <v>112</v>
      </c>
      <c r="E4594" s="1">
        <v>45692</v>
      </c>
      <c r="F4594" t="s">
        <v>4361</v>
      </c>
      <c r="G4594" t="s">
        <v>1324</v>
      </c>
      <c r="H4594" t="s">
        <v>617</v>
      </c>
      <c r="I4594" t="s">
        <v>204</v>
      </c>
      <c r="J4594" s="1">
        <v>46347</v>
      </c>
      <c r="K4594" t="s">
        <v>711</v>
      </c>
      <c r="L4594">
        <v>1</v>
      </c>
      <c r="M4594">
        <v>214</v>
      </c>
      <c r="N4594" t="s">
        <v>818</v>
      </c>
      <c r="O4594" t="s">
        <v>1036</v>
      </c>
      <c r="P4594" t="s">
        <v>4776</v>
      </c>
      <c r="Q4594" t="s">
        <v>4901</v>
      </c>
      <c r="R4594" t="s">
        <v>4771</v>
      </c>
    </row>
    <row r="4595" spans="1:18" x14ac:dyDescent="0.3">
      <c r="A4595">
        <v>6583</v>
      </c>
      <c r="B4595" t="s">
        <v>4874</v>
      </c>
      <c r="C4595" t="s">
        <v>230</v>
      </c>
      <c r="D4595" t="s">
        <v>85</v>
      </c>
      <c r="E4595" s="1">
        <v>45692</v>
      </c>
      <c r="F4595" t="s">
        <v>4348</v>
      </c>
      <c r="G4595" t="s">
        <v>1298</v>
      </c>
      <c r="H4595" t="s">
        <v>299</v>
      </c>
      <c r="I4595" t="s">
        <v>204</v>
      </c>
      <c r="J4595" s="1">
        <v>46536</v>
      </c>
      <c r="K4595" t="s">
        <v>762</v>
      </c>
      <c r="L4595">
        <v>8994.73</v>
      </c>
      <c r="M4595">
        <v>8994.73</v>
      </c>
      <c r="N4595" t="s">
        <v>710</v>
      </c>
      <c r="O4595" t="s">
        <v>1033</v>
      </c>
      <c r="P4595" t="s">
        <v>4781</v>
      </c>
      <c r="Q4595" t="s">
        <v>4852</v>
      </c>
      <c r="R4595" t="s">
        <v>4771</v>
      </c>
    </row>
    <row r="4596" spans="1:18" x14ac:dyDescent="0.3">
      <c r="A4596">
        <v>1700</v>
      </c>
      <c r="B4596" t="s">
        <v>4874</v>
      </c>
      <c r="C4596" t="s">
        <v>252</v>
      </c>
      <c r="D4596" t="s">
        <v>183</v>
      </c>
      <c r="E4596" s="1">
        <v>45692</v>
      </c>
      <c r="F4596" t="s">
        <v>4404</v>
      </c>
      <c r="G4596" t="s">
        <v>1270</v>
      </c>
      <c r="H4596" t="s">
        <v>251</v>
      </c>
      <c r="I4596" t="s">
        <v>204</v>
      </c>
      <c r="J4596" s="1">
        <v>46418</v>
      </c>
      <c r="K4596" t="s">
        <v>762</v>
      </c>
      <c r="L4596">
        <v>18900</v>
      </c>
      <c r="M4596">
        <v>-18900</v>
      </c>
      <c r="N4596" t="s">
        <v>719</v>
      </c>
      <c r="O4596" t="s">
        <v>4904</v>
      </c>
      <c r="P4596" t="s">
        <v>4792</v>
      </c>
      <c r="Q4596" t="s">
        <v>4904</v>
      </c>
      <c r="R4596" t="s">
        <v>4773</v>
      </c>
    </row>
    <row r="4597" spans="1:18" x14ac:dyDescent="0.3">
      <c r="A4597">
        <v>50941</v>
      </c>
      <c r="B4597" t="s">
        <v>1034</v>
      </c>
      <c r="C4597" t="s">
        <v>241</v>
      </c>
      <c r="D4597" t="s">
        <v>10</v>
      </c>
      <c r="E4597" s="1">
        <v>45692</v>
      </c>
      <c r="F4597" t="s">
        <v>4295</v>
      </c>
      <c r="G4597" t="s">
        <v>1317</v>
      </c>
      <c r="H4597" t="s">
        <v>255</v>
      </c>
      <c r="I4597" t="s">
        <v>209</v>
      </c>
      <c r="J4597" s="1">
        <v>54878</v>
      </c>
      <c r="K4597" t="s">
        <v>711</v>
      </c>
      <c r="L4597">
        <v>141.74</v>
      </c>
      <c r="M4597">
        <v>141.74</v>
      </c>
      <c r="N4597" t="s">
        <v>710</v>
      </c>
      <c r="Q4597" t="s">
        <v>4856</v>
      </c>
      <c r="R4597" t="s">
        <v>4773</v>
      </c>
    </row>
    <row r="4598" spans="1:18" x14ac:dyDescent="0.3">
      <c r="A4598">
        <v>53686</v>
      </c>
      <c r="B4598" t="s">
        <v>4874</v>
      </c>
      <c r="C4598" t="s">
        <v>437</v>
      </c>
      <c r="D4598" t="s">
        <v>150</v>
      </c>
      <c r="E4598" s="1">
        <v>45692</v>
      </c>
      <c r="F4598" t="s">
        <v>4395</v>
      </c>
      <c r="G4598" t="s">
        <v>1294</v>
      </c>
      <c r="H4598" t="s">
        <v>436</v>
      </c>
      <c r="I4598" t="s">
        <v>204</v>
      </c>
      <c r="J4598" s="1">
        <v>54878</v>
      </c>
      <c r="K4598" t="s">
        <v>762</v>
      </c>
      <c r="L4598">
        <v>1004</v>
      </c>
      <c r="M4598">
        <v>1004</v>
      </c>
      <c r="N4598" t="s">
        <v>719</v>
      </c>
      <c r="O4598" t="s">
        <v>1037</v>
      </c>
      <c r="P4598" t="s">
        <v>4788</v>
      </c>
      <c r="Q4598" t="s">
        <v>4852</v>
      </c>
      <c r="R4598" t="s">
        <v>4771</v>
      </c>
    </row>
    <row r="4599" spans="1:18" x14ac:dyDescent="0.3">
      <c r="A4599">
        <v>1707</v>
      </c>
      <c r="B4599" t="s">
        <v>4874</v>
      </c>
      <c r="C4599" t="s">
        <v>252</v>
      </c>
      <c r="D4599" t="s">
        <v>183</v>
      </c>
      <c r="E4599" s="1">
        <v>45692</v>
      </c>
      <c r="F4599" t="s">
        <v>4404</v>
      </c>
      <c r="G4599" t="s">
        <v>1270</v>
      </c>
      <c r="H4599" t="s">
        <v>251</v>
      </c>
      <c r="I4599" t="s">
        <v>204</v>
      </c>
      <c r="J4599" s="1">
        <v>46418</v>
      </c>
      <c r="K4599" t="s">
        <v>762</v>
      </c>
      <c r="L4599">
        <v>18900</v>
      </c>
      <c r="M4599">
        <v>18900</v>
      </c>
      <c r="N4599" t="s">
        <v>719</v>
      </c>
      <c r="O4599" t="s">
        <v>4904</v>
      </c>
      <c r="P4599" t="s">
        <v>4792</v>
      </c>
      <c r="Q4599" t="s">
        <v>4904</v>
      </c>
      <c r="R4599" t="s">
        <v>4773</v>
      </c>
    </row>
    <row r="4600" spans="1:18" x14ac:dyDescent="0.3">
      <c r="A4600">
        <v>11030983</v>
      </c>
      <c r="B4600" t="s">
        <v>1034</v>
      </c>
      <c r="C4600" t="s">
        <v>452</v>
      </c>
      <c r="D4600" t="s">
        <v>171</v>
      </c>
      <c r="E4600" s="1">
        <v>45691</v>
      </c>
      <c r="F4600" t="s">
        <v>4319</v>
      </c>
      <c r="G4600" t="s">
        <v>1278</v>
      </c>
      <c r="H4600" t="s">
        <v>450</v>
      </c>
      <c r="I4600" t="s">
        <v>209</v>
      </c>
      <c r="J4600" s="1">
        <v>54878</v>
      </c>
      <c r="K4600" t="s">
        <v>717</v>
      </c>
      <c r="L4600">
        <v>1858</v>
      </c>
      <c r="M4600">
        <v>1857.25</v>
      </c>
      <c r="N4600" t="s">
        <v>710</v>
      </c>
      <c r="Q4600" t="s">
        <v>4852</v>
      </c>
      <c r="R4600" t="s">
        <v>4771</v>
      </c>
    </row>
    <row r="4601" spans="1:18" x14ac:dyDescent="0.3">
      <c r="A4601">
        <v>11031048</v>
      </c>
      <c r="B4601" t="s">
        <v>1034</v>
      </c>
      <c r="C4601" t="s">
        <v>452</v>
      </c>
      <c r="D4601" t="s">
        <v>171</v>
      </c>
      <c r="E4601" s="1">
        <v>45691</v>
      </c>
      <c r="F4601" t="s">
        <v>4319</v>
      </c>
      <c r="G4601" t="s">
        <v>1278</v>
      </c>
      <c r="H4601" t="s">
        <v>450</v>
      </c>
      <c r="I4601" t="s">
        <v>209</v>
      </c>
      <c r="J4601" s="1">
        <v>54878</v>
      </c>
      <c r="K4601" t="s">
        <v>717</v>
      </c>
      <c r="L4601">
        <v>1530</v>
      </c>
      <c r="M4601">
        <v>1529.85</v>
      </c>
      <c r="N4601" t="s">
        <v>710</v>
      </c>
      <c r="Q4601" t="s">
        <v>4852</v>
      </c>
      <c r="R4601" t="s">
        <v>4771</v>
      </c>
    </row>
    <row r="4602" spans="1:18" x14ac:dyDescent="0.3">
      <c r="A4602">
        <v>40856</v>
      </c>
      <c r="B4602" t="s">
        <v>1034</v>
      </c>
      <c r="C4602" t="s">
        <v>327</v>
      </c>
      <c r="D4602" t="s">
        <v>159</v>
      </c>
      <c r="E4602" s="1">
        <v>45691</v>
      </c>
      <c r="F4602" t="s">
        <v>4295</v>
      </c>
      <c r="G4602" t="s">
        <v>1273</v>
      </c>
      <c r="H4602" t="s">
        <v>357</v>
      </c>
      <c r="I4602" t="s">
        <v>204</v>
      </c>
      <c r="J4602" s="1">
        <v>46476</v>
      </c>
      <c r="K4602" t="s">
        <v>711</v>
      </c>
      <c r="L4602">
        <v>968.63</v>
      </c>
      <c r="M4602">
        <v>968.63</v>
      </c>
      <c r="N4602" t="s">
        <v>890</v>
      </c>
      <c r="O4602" t="s">
        <v>4834</v>
      </c>
      <c r="P4602" t="s">
        <v>4776</v>
      </c>
      <c r="Q4602" t="s">
        <v>4901</v>
      </c>
      <c r="R4602" t="s">
        <v>4773</v>
      </c>
    </row>
    <row r="4603" spans="1:18" x14ac:dyDescent="0.3">
      <c r="A4603">
        <v>40855</v>
      </c>
      <c r="B4603" t="s">
        <v>1034</v>
      </c>
      <c r="C4603" t="s">
        <v>327</v>
      </c>
      <c r="D4603" t="s">
        <v>159</v>
      </c>
      <c r="E4603" s="1">
        <v>45691</v>
      </c>
      <c r="F4603" t="s">
        <v>4295</v>
      </c>
      <c r="G4603" t="s">
        <v>1272</v>
      </c>
      <c r="H4603" t="s">
        <v>357</v>
      </c>
      <c r="I4603" t="s">
        <v>204</v>
      </c>
      <c r="J4603" s="1">
        <v>46476</v>
      </c>
      <c r="K4603" t="s">
        <v>711</v>
      </c>
      <c r="L4603">
        <v>2150</v>
      </c>
      <c r="M4603">
        <v>2150</v>
      </c>
      <c r="N4603" t="s">
        <v>890</v>
      </c>
      <c r="O4603" t="s">
        <v>4834</v>
      </c>
      <c r="P4603" t="s">
        <v>4776</v>
      </c>
      <c r="Q4603" t="s">
        <v>4901</v>
      </c>
      <c r="R4603" t="s">
        <v>4773</v>
      </c>
    </row>
    <row r="4604" spans="1:18" x14ac:dyDescent="0.3">
      <c r="A4604">
        <v>11030927</v>
      </c>
      <c r="B4604" t="s">
        <v>1034</v>
      </c>
      <c r="C4604" t="s">
        <v>452</v>
      </c>
      <c r="D4604" t="s">
        <v>171</v>
      </c>
      <c r="E4604" s="1">
        <v>45691</v>
      </c>
      <c r="F4604" t="s">
        <v>4319</v>
      </c>
      <c r="G4604" t="s">
        <v>1278</v>
      </c>
      <c r="H4604" t="s">
        <v>450</v>
      </c>
      <c r="I4604" t="s">
        <v>209</v>
      </c>
      <c r="J4604" s="1">
        <v>54878</v>
      </c>
      <c r="K4604" t="s">
        <v>717</v>
      </c>
      <c r="L4604">
        <v>1528</v>
      </c>
      <c r="M4604">
        <v>1527.3</v>
      </c>
      <c r="N4604" t="s">
        <v>710</v>
      </c>
      <c r="Q4604" t="s">
        <v>4852</v>
      </c>
      <c r="R4604" t="s">
        <v>4771</v>
      </c>
    </row>
    <row r="4605" spans="1:18" x14ac:dyDescent="0.3">
      <c r="A4605">
        <v>1388</v>
      </c>
      <c r="B4605" t="s">
        <v>4875</v>
      </c>
      <c r="C4605" t="s">
        <v>312</v>
      </c>
      <c r="D4605" t="s">
        <v>73</v>
      </c>
      <c r="E4605" s="1">
        <v>45691</v>
      </c>
      <c r="F4605" t="s">
        <v>4300</v>
      </c>
      <c r="G4605" t="s">
        <v>1262</v>
      </c>
      <c r="H4605" t="s">
        <v>365</v>
      </c>
      <c r="I4605" t="s">
        <v>204</v>
      </c>
      <c r="J4605" s="1">
        <v>46418</v>
      </c>
      <c r="K4605" t="s">
        <v>748</v>
      </c>
      <c r="L4605">
        <v>2255</v>
      </c>
      <c r="M4605">
        <v>2255</v>
      </c>
      <c r="N4605" t="s">
        <v>710</v>
      </c>
      <c r="O4605" t="s">
        <v>4834</v>
      </c>
      <c r="P4605" t="s">
        <v>1006</v>
      </c>
      <c r="Q4605" t="s">
        <v>4856</v>
      </c>
      <c r="R4605" t="s">
        <v>4773</v>
      </c>
    </row>
    <row r="4606" spans="1:18" x14ac:dyDescent="0.3">
      <c r="A4606">
        <v>40853</v>
      </c>
      <c r="B4606" t="s">
        <v>1034</v>
      </c>
      <c r="C4606" t="s">
        <v>327</v>
      </c>
      <c r="D4606" t="s">
        <v>159</v>
      </c>
      <c r="E4606" s="1">
        <v>45691</v>
      </c>
      <c r="F4606" t="s">
        <v>4296</v>
      </c>
      <c r="G4606" t="s">
        <v>1258</v>
      </c>
      <c r="H4606" t="s">
        <v>357</v>
      </c>
      <c r="I4606" t="s">
        <v>204</v>
      </c>
      <c r="J4606" s="1">
        <v>46476</v>
      </c>
      <c r="K4606" t="s">
        <v>711</v>
      </c>
      <c r="L4606">
        <v>672.75</v>
      </c>
      <c r="M4606">
        <v>672.75</v>
      </c>
      <c r="N4606" t="s">
        <v>890</v>
      </c>
      <c r="O4606" t="s">
        <v>4834</v>
      </c>
      <c r="P4606" t="s">
        <v>4776</v>
      </c>
      <c r="Q4606" t="s">
        <v>4901</v>
      </c>
      <c r="R4606" t="s">
        <v>4773</v>
      </c>
    </row>
    <row r="4607" spans="1:18" x14ac:dyDescent="0.3">
      <c r="A4607">
        <v>202524</v>
      </c>
      <c r="B4607" t="s">
        <v>4875</v>
      </c>
      <c r="C4607" t="s">
        <v>322</v>
      </c>
      <c r="D4607" t="s">
        <v>158</v>
      </c>
      <c r="E4607" s="1">
        <v>45691</v>
      </c>
      <c r="F4607" t="s">
        <v>4431</v>
      </c>
      <c r="G4607" t="s">
        <v>1229</v>
      </c>
      <c r="H4607" t="s">
        <v>321</v>
      </c>
      <c r="I4607" t="s">
        <v>204</v>
      </c>
      <c r="J4607" s="1">
        <v>46310</v>
      </c>
      <c r="K4607" t="s">
        <v>748</v>
      </c>
      <c r="L4607">
        <v>4858.26</v>
      </c>
      <c r="M4607">
        <v>4858.26</v>
      </c>
      <c r="N4607" t="s">
        <v>710</v>
      </c>
      <c r="O4607" t="s">
        <v>1040</v>
      </c>
      <c r="P4607" t="s">
        <v>4782</v>
      </c>
      <c r="Q4607" t="s">
        <v>4856</v>
      </c>
      <c r="R4607" t="s">
        <v>4773</v>
      </c>
    </row>
    <row r="4608" spans="1:18" x14ac:dyDescent="0.3">
      <c r="A4608">
        <v>4</v>
      </c>
      <c r="B4608" t="s">
        <v>4874</v>
      </c>
      <c r="C4608" t="s">
        <v>626</v>
      </c>
      <c r="D4608" t="s">
        <v>184</v>
      </c>
      <c r="E4608" s="1">
        <v>45691</v>
      </c>
      <c r="F4608" t="s">
        <v>4414</v>
      </c>
      <c r="G4608" t="s">
        <v>1252</v>
      </c>
      <c r="H4608" t="s">
        <v>625</v>
      </c>
      <c r="I4608" t="s">
        <v>204</v>
      </c>
      <c r="J4608" s="1">
        <v>46440</v>
      </c>
      <c r="K4608" t="s">
        <v>720</v>
      </c>
      <c r="L4608">
        <v>1</v>
      </c>
      <c r="M4608">
        <v>23750</v>
      </c>
      <c r="N4608" t="s">
        <v>710</v>
      </c>
      <c r="O4608" t="s">
        <v>1039</v>
      </c>
      <c r="P4608" t="s">
        <v>4777</v>
      </c>
      <c r="Q4608" t="s">
        <v>4858</v>
      </c>
      <c r="R4608" t="s">
        <v>4773</v>
      </c>
    </row>
    <row r="4609" spans="1:18" x14ac:dyDescent="0.3">
      <c r="A4609">
        <v>40854</v>
      </c>
      <c r="B4609" t="s">
        <v>1034</v>
      </c>
      <c r="C4609" t="s">
        <v>327</v>
      </c>
      <c r="D4609" t="s">
        <v>159</v>
      </c>
      <c r="E4609" s="1">
        <v>45691</v>
      </c>
      <c r="F4609" t="s">
        <v>4295</v>
      </c>
      <c r="G4609" t="s">
        <v>1257</v>
      </c>
      <c r="H4609" t="s">
        <v>357</v>
      </c>
      <c r="I4609" t="s">
        <v>204</v>
      </c>
      <c r="J4609" s="1">
        <v>46476</v>
      </c>
      <c r="K4609" t="s">
        <v>711</v>
      </c>
      <c r="L4609">
        <v>2150</v>
      </c>
      <c r="M4609">
        <v>2150</v>
      </c>
      <c r="N4609" t="s">
        <v>890</v>
      </c>
      <c r="O4609" t="s">
        <v>4834</v>
      </c>
      <c r="P4609" t="s">
        <v>4776</v>
      </c>
      <c r="Q4609" t="s">
        <v>4901</v>
      </c>
      <c r="R4609" t="s">
        <v>4773</v>
      </c>
    </row>
    <row r="4610" spans="1:18" x14ac:dyDescent="0.3">
      <c r="A4610">
        <v>10524</v>
      </c>
      <c r="B4610" t="s">
        <v>4874</v>
      </c>
      <c r="C4610" t="s">
        <v>546</v>
      </c>
      <c r="D4610" t="s">
        <v>75</v>
      </c>
      <c r="E4610" s="1">
        <v>45691</v>
      </c>
      <c r="F4610" t="s">
        <v>4355</v>
      </c>
      <c r="G4610" t="s">
        <v>1284</v>
      </c>
      <c r="H4610" t="s">
        <v>581</v>
      </c>
      <c r="I4610" t="s">
        <v>204</v>
      </c>
      <c r="J4610" s="1">
        <v>46233</v>
      </c>
      <c r="K4610" t="s">
        <v>720</v>
      </c>
      <c r="L4610">
        <v>1</v>
      </c>
      <c r="M4610">
        <v>2850</v>
      </c>
      <c r="N4610" t="s">
        <v>814</v>
      </c>
      <c r="O4610" t="s">
        <v>1038</v>
      </c>
      <c r="P4610" t="s">
        <v>4779</v>
      </c>
      <c r="Q4610" t="s">
        <v>4858</v>
      </c>
      <c r="R4610" t="s">
        <v>4773</v>
      </c>
    </row>
    <row r="4611" spans="1:18" x14ac:dyDescent="0.3">
      <c r="A4611">
        <v>31463</v>
      </c>
      <c r="B4611" t="s">
        <v>1034</v>
      </c>
      <c r="C4611" t="s">
        <v>314</v>
      </c>
      <c r="D4611" t="s">
        <v>39</v>
      </c>
      <c r="E4611" s="1">
        <v>45691</v>
      </c>
      <c r="F4611" t="s">
        <v>4347</v>
      </c>
      <c r="G4611" t="s">
        <v>1149</v>
      </c>
      <c r="H4611" t="s">
        <v>313</v>
      </c>
      <c r="I4611" t="s">
        <v>204</v>
      </c>
      <c r="J4611" s="1">
        <v>46237</v>
      </c>
      <c r="K4611" t="s">
        <v>711</v>
      </c>
      <c r="L4611">
        <v>664.4</v>
      </c>
      <c r="M4611">
        <v>664.4</v>
      </c>
      <c r="N4611" t="s">
        <v>710</v>
      </c>
      <c r="O4611" t="s">
        <v>4834</v>
      </c>
      <c r="P4611" t="s">
        <v>4779</v>
      </c>
      <c r="Q4611" t="s">
        <v>4901</v>
      </c>
      <c r="R4611" t="s">
        <v>4773</v>
      </c>
    </row>
    <row r="4612" spans="1:18" x14ac:dyDescent="0.3">
      <c r="A4612">
        <v>1700</v>
      </c>
      <c r="B4612" t="s">
        <v>4874</v>
      </c>
      <c r="C4612" t="s">
        <v>252</v>
      </c>
      <c r="D4612" t="s">
        <v>183</v>
      </c>
      <c r="E4612" s="1">
        <v>45691</v>
      </c>
      <c r="F4612" t="s">
        <v>4404</v>
      </c>
      <c r="G4612" t="s">
        <v>1270</v>
      </c>
      <c r="H4612" t="s">
        <v>251</v>
      </c>
      <c r="I4612" t="s">
        <v>204</v>
      </c>
      <c r="J4612" s="1">
        <v>46418</v>
      </c>
      <c r="K4612" t="s">
        <v>762</v>
      </c>
      <c r="L4612">
        <v>18900</v>
      </c>
      <c r="M4612">
        <v>18900</v>
      </c>
      <c r="N4612" t="s">
        <v>719</v>
      </c>
      <c r="O4612" t="s">
        <v>4904</v>
      </c>
      <c r="P4612" t="s">
        <v>4792</v>
      </c>
      <c r="Q4612" t="s">
        <v>4904</v>
      </c>
      <c r="R4612" t="s">
        <v>4773</v>
      </c>
    </row>
    <row r="4613" spans="1:18" x14ac:dyDescent="0.3">
      <c r="A4613">
        <v>725</v>
      </c>
      <c r="B4613" t="s">
        <v>1034</v>
      </c>
      <c r="C4613" t="s">
        <v>603</v>
      </c>
      <c r="D4613" t="s">
        <v>69</v>
      </c>
      <c r="E4613" s="1">
        <v>45691</v>
      </c>
      <c r="F4613" t="s">
        <v>4345</v>
      </c>
      <c r="G4613" t="s">
        <v>1049</v>
      </c>
      <c r="H4613" t="s">
        <v>602</v>
      </c>
      <c r="I4613" t="s">
        <v>209</v>
      </c>
      <c r="J4613" s="1">
        <v>46276</v>
      </c>
      <c r="K4613" t="s">
        <v>720</v>
      </c>
      <c r="L4613">
        <v>1</v>
      </c>
      <c r="M4613">
        <v>2918.6</v>
      </c>
      <c r="N4613" t="s">
        <v>954</v>
      </c>
      <c r="O4613" t="s">
        <v>4834</v>
      </c>
      <c r="P4613" t="s">
        <v>952</v>
      </c>
      <c r="Q4613" t="s">
        <v>4901</v>
      </c>
      <c r="R4613" t="s">
        <v>4771</v>
      </c>
    </row>
    <row r="4614" spans="1:18" x14ac:dyDescent="0.3">
      <c r="A4614">
        <v>31461</v>
      </c>
      <c r="B4614" t="s">
        <v>1034</v>
      </c>
      <c r="C4614" t="s">
        <v>314</v>
      </c>
      <c r="D4614" t="s">
        <v>39</v>
      </c>
      <c r="E4614" s="1">
        <v>45691</v>
      </c>
      <c r="F4614" t="s">
        <v>4347</v>
      </c>
      <c r="G4614" t="s">
        <v>1152</v>
      </c>
      <c r="H4614" t="s">
        <v>313</v>
      </c>
      <c r="I4614" t="s">
        <v>204</v>
      </c>
      <c r="J4614" s="1">
        <v>46237</v>
      </c>
      <c r="K4614" t="s">
        <v>711</v>
      </c>
      <c r="L4614">
        <v>1089</v>
      </c>
      <c r="M4614">
        <v>1089</v>
      </c>
      <c r="N4614" t="s">
        <v>710</v>
      </c>
      <c r="O4614" t="s">
        <v>4834</v>
      </c>
      <c r="P4614" t="s">
        <v>4779</v>
      </c>
      <c r="Q4614" t="s">
        <v>4901</v>
      </c>
      <c r="R4614" t="s">
        <v>4773</v>
      </c>
    </row>
    <row r="4615" spans="1:18" x14ac:dyDescent="0.3">
      <c r="A4615">
        <v>96285</v>
      </c>
      <c r="B4615" t="s">
        <v>4874</v>
      </c>
      <c r="C4615" t="s">
        <v>415</v>
      </c>
      <c r="D4615" t="s">
        <v>60</v>
      </c>
      <c r="E4615" s="1">
        <v>45688</v>
      </c>
      <c r="F4615" t="s">
        <v>4333</v>
      </c>
      <c r="G4615" t="s">
        <v>1287</v>
      </c>
      <c r="H4615" t="s">
        <v>457</v>
      </c>
      <c r="I4615" t="s">
        <v>204</v>
      </c>
      <c r="J4615" s="1">
        <v>46387</v>
      </c>
      <c r="K4615" t="s">
        <v>762</v>
      </c>
      <c r="L4615">
        <v>3786.7</v>
      </c>
      <c r="M4615">
        <v>3786.7</v>
      </c>
      <c r="N4615" t="s">
        <v>814</v>
      </c>
      <c r="O4615" t="s">
        <v>1037</v>
      </c>
      <c r="P4615" t="s">
        <v>4807</v>
      </c>
      <c r="Q4615" t="s">
        <v>4852</v>
      </c>
      <c r="R4615" t="s">
        <v>4771</v>
      </c>
    </row>
    <row r="4616" spans="1:18" x14ac:dyDescent="0.3">
      <c r="A4616">
        <v>107973</v>
      </c>
      <c r="B4616" t="s">
        <v>4874</v>
      </c>
      <c r="C4616" t="s">
        <v>227</v>
      </c>
      <c r="D4616" t="s">
        <v>191</v>
      </c>
      <c r="E4616" s="1">
        <v>45688</v>
      </c>
      <c r="F4616" t="s">
        <v>4387</v>
      </c>
      <c r="G4616" t="s">
        <v>1253</v>
      </c>
      <c r="H4616" t="s">
        <v>577</v>
      </c>
      <c r="I4616" t="s">
        <v>204</v>
      </c>
      <c r="J4616" s="1">
        <v>46493</v>
      </c>
      <c r="K4616" t="s">
        <v>762</v>
      </c>
      <c r="L4616">
        <v>46022.51</v>
      </c>
      <c r="M4616">
        <v>46022.51</v>
      </c>
      <c r="N4616" t="s">
        <v>809</v>
      </c>
      <c r="O4616" t="s">
        <v>4904</v>
      </c>
      <c r="P4616" t="s">
        <v>4792</v>
      </c>
      <c r="Q4616" t="s">
        <v>4904</v>
      </c>
      <c r="R4616" t="s">
        <v>4772</v>
      </c>
    </row>
    <row r="4617" spans="1:18" x14ac:dyDescent="0.3">
      <c r="A4617">
        <v>96280</v>
      </c>
      <c r="B4617" t="s">
        <v>1034</v>
      </c>
      <c r="C4617" t="s">
        <v>415</v>
      </c>
      <c r="D4617" t="s">
        <v>60</v>
      </c>
      <c r="E4617" s="1">
        <v>45688</v>
      </c>
      <c r="F4617" t="s">
        <v>4333</v>
      </c>
      <c r="G4617" t="s">
        <v>1288</v>
      </c>
      <c r="H4617" t="s">
        <v>431</v>
      </c>
      <c r="I4617" t="s">
        <v>204</v>
      </c>
      <c r="J4617" s="1">
        <v>46386</v>
      </c>
      <c r="K4617" t="s">
        <v>717</v>
      </c>
      <c r="L4617">
        <v>14190.62</v>
      </c>
      <c r="M4617">
        <v>14190.62</v>
      </c>
      <c r="N4617" t="s">
        <v>814</v>
      </c>
      <c r="O4617" t="s">
        <v>1037</v>
      </c>
      <c r="P4617" t="s">
        <v>4807</v>
      </c>
      <c r="Q4617" t="s">
        <v>4852</v>
      </c>
      <c r="R4617" t="s">
        <v>4771</v>
      </c>
    </row>
    <row r="4618" spans="1:18" x14ac:dyDescent="0.3">
      <c r="A4618">
        <v>3441001</v>
      </c>
      <c r="B4618" t="s">
        <v>1034</v>
      </c>
      <c r="C4618" t="s">
        <v>563</v>
      </c>
      <c r="D4618" t="s">
        <v>63</v>
      </c>
      <c r="E4618" s="1">
        <v>45688</v>
      </c>
      <c r="F4618" t="s">
        <v>4362</v>
      </c>
      <c r="G4618" t="s">
        <v>1291</v>
      </c>
      <c r="H4618" t="s">
        <v>562</v>
      </c>
      <c r="I4618" t="s">
        <v>209</v>
      </c>
      <c r="J4618" s="1">
        <v>45596</v>
      </c>
      <c r="K4618" t="s">
        <v>762</v>
      </c>
      <c r="L4618">
        <v>3097.73</v>
      </c>
      <c r="M4618">
        <v>3097.73</v>
      </c>
      <c r="N4618" t="s">
        <v>710</v>
      </c>
      <c r="Q4618" t="s">
        <v>4845</v>
      </c>
      <c r="R4618" t="s">
        <v>4772</v>
      </c>
    </row>
    <row r="4619" spans="1:18" x14ac:dyDescent="0.3">
      <c r="A4619">
        <v>8420</v>
      </c>
      <c r="B4619" t="s">
        <v>1034</v>
      </c>
      <c r="C4619" t="s">
        <v>624</v>
      </c>
      <c r="D4619" t="s">
        <v>68</v>
      </c>
      <c r="E4619" s="1">
        <v>45688</v>
      </c>
      <c r="F4619" t="s">
        <v>4367</v>
      </c>
      <c r="G4619" t="s">
        <v>1292</v>
      </c>
      <c r="H4619" t="s">
        <v>623</v>
      </c>
      <c r="I4619" t="s">
        <v>204</v>
      </c>
      <c r="J4619" s="1">
        <v>46017</v>
      </c>
      <c r="K4619" t="s">
        <v>839</v>
      </c>
      <c r="L4619">
        <v>1600</v>
      </c>
      <c r="M4619">
        <v>1600</v>
      </c>
      <c r="N4619" t="s">
        <v>710</v>
      </c>
      <c r="O4619" t="s">
        <v>1041</v>
      </c>
      <c r="P4619" t="s">
        <v>4776</v>
      </c>
      <c r="Q4619" t="s">
        <v>4852</v>
      </c>
      <c r="R4619" t="s">
        <v>4771</v>
      </c>
    </row>
    <row r="4620" spans="1:18" x14ac:dyDescent="0.3">
      <c r="A4620">
        <v>8874</v>
      </c>
      <c r="B4620" t="s">
        <v>1034</v>
      </c>
      <c r="C4620" t="s">
        <v>248</v>
      </c>
      <c r="D4620" t="s">
        <v>13</v>
      </c>
      <c r="E4620" s="1">
        <v>45688</v>
      </c>
      <c r="F4620" t="s">
        <v>4297</v>
      </c>
      <c r="G4620" t="s">
        <v>1268</v>
      </c>
      <c r="H4620" t="s">
        <v>315</v>
      </c>
      <c r="I4620" t="s">
        <v>204</v>
      </c>
      <c r="J4620" s="1">
        <v>46073</v>
      </c>
      <c r="K4620" t="s">
        <v>711</v>
      </c>
      <c r="L4620">
        <v>4513.9399999999996</v>
      </c>
      <c r="M4620">
        <v>4513.9399999999996</v>
      </c>
      <c r="N4620" t="s">
        <v>710</v>
      </c>
      <c r="O4620" t="s">
        <v>1036</v>
      </c>
      <c r="P4620" t="s">
        <v>4779</v>
      </c>
      <c r="Q4620" t="s">
        <v>4901</v>
      </c>
      <c r="R4620" t="s">
        <v>4773</v>
      </c>
    </row>
    <row r="4621" spans="1:18" x14ac:dyDescent="0.3">
      <c r="A4621">
        <v>96286</v>
      </c>
      <c r="B4621" t="s">
        <v>4875</v>
      </c>
      <c r="C4621" t="s">
        <v>415</v>
      </c>
      <c r="D4621" t="s">
        <v>60</v>
      </c>
      <c r="E4621" s="1">
        <v>45688</v>
      </c>
      <c r="F4621" t="s">
        <v>4333</v>
      </c>
      <c r="G4621" t="s">
        <v>1286</v>
      </c>
      <c r="H4621" t="s">
        <v>414</v>
      </c>
      <c r="I4621" t="s">
        <v>204</v>
      </c>
      <c r="J4621" s="1">
        <v>46386</v>
      </c>
      <c r="K4621" t="s">
        <v>768</v>
      </c>
      <c r="L4621">
        <v>2867.3</v>
      </c>
      <c r="M4621">
        <v>2867.3</v>
      </c>
      <c r="N4621" t="s">
        <v>814</v>
      </c>
      <c r="O4621" t="s">
        <v>1037</v>
      </c>
      <c r="P4621" t="s">
        <v>4807</v>
      </c>
      <c r="Q4621" t="s">
        <v>4852</v>
      </c>
      <c r="R4621" t="s">
        <v>4771</v>
      </c>
    </row>
    <row r="4622" spans="1:18" x14ac:dyDescent="0.3">
      <c r="A4622">
        <v>281</v>
      </c>
      <c r="B4622" t="s">
        <v>1034</v>
      </c>
      <c r="C4622" t="s">
        <v>479</v>
      </c>
      <c r="D4622" t="s">
        <v>99</v>
      </c>
      <c r="E4622" s="1">
        <v>45687</v>
      </c>
      <c r="F4622" t="s">
        <v>4308</v>
      </c>
      <c r="G4622" t="s">
        <v>1281</v>
      </c>
      <c r="H4622" t="s">
        <v>478</v>
      </c>
      <c r="I4622" t="s">
        <v>204</v>
      </c>
      <c r="J4622" s="1">
        <v>46239</v>
      </c>
      <c r="K4622" t="s">
        <v>717</v>
      </c>
      <c r="L4622">
        <v>2462</v>
      </c>
      <c r="M4622">
        <v>9060.16</v>
      </c>
      <c r="N4622" t="s">
        <v>710</v>
      </c>
      <c r="O4622" t="s">
        <v>1037</v>
      </c>
      <c r="P4622" t="s">
        <v>4790</v>
      </c>
      <c r="Q4622" t="s">
        <v>4852</v>
      </c>
      <c r="R4622" t="s">
        <v>4772</v>
      </c>
    </row>
    <row r="4623" spans="1:18" x14ac:dyDescent="0.3">
      <c r="A4623">
        <v>281</v>
      </c>
      <c r="B4623" t="s">
        <v>1034</v>
      </c>
      <c r="C4623" t="s">
        <v>479</v>
      </c>
      <c r="D4623" t="s">
        <v>99</v>
      </c>
      <c r="E4623" s="1">
        <v>45687</v>
      </c>
      <c r="F4623" t="s">
        <v>4307</v>
      </c>
      <c r="G4623" t="s">
        <v>1281</v>
      </c>
      <c r="H4623" t="s">
        <v>478</v>
      </c>
      <c r="I4623" t="s">
        <v>204</v>
      </c>
      <c r="J4623" s="1">
        <v>46239</v>
      </c>
      <c r="K4623" t="s">
        <v>717</v>
      </c>
      <c r="L4623">
        <v>3185</v>
      </c>
      <c r="M4623">
        <v>36149.75</v>
      </c>
      <c r="N4623" t="s">
        <v>710</v>
      </c>
      <c r="O4623" t="s">
        <v>1037</v>
      </c>
      <c r="P4623" t="s">
        <v>4790</v>
      </c>
      <c r="Q4623" t="s">
        <v>4852</v>
      </c>
      <c r="R4623" t="s">
        <v>4772</v>
      </c>
    </row>
    <row r="4624" spans="1:18" x14ac:dyDescent="0.3">
      <c r="A4624">
        <v>281</v>
      </c>
      <c r="B4624" t="s">
        <v>1034</v>
      </c>
      <c r="C4624" t="s">
        <v>479</v>
      </c>
      <c r="D4624" t="s">
        <v>99</v>
      </c>
      <c r="E4624" s="1">
        <v>45687</v>
      </c>
      <c r="F4624" t="s">
        <v>4312</v>
      </c>
      <c r="G4624" t="s">
        <v>1281</v>
      </c>
      <c r="H4624" t="s">
        <v>478</v>
      </c>
      <c r="I4624" t="s">
        <v>204</v>
      </c>
      <c r="J4624" s="1">
        <v>46239</v>
      </c>
      <c r="K4624" t="s">
        <v>717</v>
      </c>
      <c r="L4624">
        <v>18</v>
      </c>
      <c r="M4624">
        <v>79.38</v>
      </c>
      <c r="N4624" t="s">
        <v>710</v>
      </c>
      <c r="O4624" t="s">
        <v>1037</v>
      </c>
      <c r="P4624" t="s">
        <v>4790</v>
      </c>
      <c r="Q4624" t="s">
        <v>4852</v>
      </c>
      <c r="R4624" t="s">
        <v>4772</v>
      </c>
    </row>
    <row r="4625" spans="1:18" x14ac:dyDescent="0.3">
      <c r="A4625">
        <v>281</v>
      </c>
      <c r="B4625" t="s">
        <v>1034</v>
      </c>
      <c r="C4625" t="s">
        <v>479</v>
      </c>
      <c r="D4625" t="s">
        <v>99</v>
      </c>
      <c r="E4625" s="1">
        <v>45687</v>
      </c>
      <c r="F4625" t="s">
        <v>4311</v>
      </c>
      <c r="G4625" t="s">
        <v>1281</v>
      </c>
      <c r="H4625" t="s">
        <v>478</v>
      </c>
      <c r="I4625" t="s">
        <v>204</v>
      </c>
      <c r="J4625" s="1">
        <v>46239</v>
      </c>
      <c r="K4625" t="s">
        <v>717</v>
      </c>
      <c r="L4625">
        <v>80</v>
      </c>
      <c r="M4625">
        <v>633.6</v>
      </c>
      <c r="N4625" t="s">
        <v>710</v>
      </c>
      <c r="O4625" t="s">
        <v>1037</v>
      </c>
      <c r="P4625" t="s">
        <v>4790</v>
      </c>
      <c r="Q4625" t="s">
        <v>4852</v>
      </c>
      <c r="R4625" t="s">
        <v>4772</v>
      </c>
    </row>
    <row r="4626" spans="1:18" x14ac:dyDescent="0.3">
      <c r="A4626">
        <v>281</v>
      </c>
      <c r="B4626" t="s">
        <v>1034</v>
      </c>
      <c r="C4626" t="s">
        <v>479</v>
      </c>
      <c r="D4626" t="s">
        <v>99</v>
      </c>
      <c r="E4626" s="1">
        <v>45687</v>
      </c>
      <c r="F4626" t="s">
        <v>4310</v>
      </c>
      <c r="G4626" t="s">
        <v>1281</v>
      </c>
      <c r="H4626" t="s">
        <v>478</v>
      </c>
      <c r="I4626" t="s">
        <v>204</v>
      </c>
      <c r="J4626" s="1">
        <v>46239</v>
      </c>
      <c r="K4626" t="s">
        <v>717</v>
      </c>
      <c r="L4626">
        <v>23</v>
      </c>
      <c r="M4626">
        <v>75.900000000000006</v>
      </c>
      <c r="N4626" t="s">
        <v>710</v>
      </c>
      <c r="O4626" t="s">
        <v>1037</v>
      </c>
      <c r="P4626" t="s">
        <v>4790</v>
      </c>
      <c r="Q4626" t="s">
        <v>4852</v>
      </c>
      <c r="R4626" t="s">
        <v>4772</v>
      </c>
    </row>
    <row r="4627" spans="1:18" x14ac:dyDescent="0.3">
      <c r="A4627">
        <v>800</v>
      </c>
      <c r="B4627" t="s">
        <v>4874</v>
      </c>
      <c r="C4627" t="s">
        <v>216</v>
      </c>
      <c r="D4627" t="s">
        <v>141</v>
      </c>
      <c r="E4627" s="1">
        <v>45687</v>
      </c>
      <c r="F4627" t="s">
        <v>4305</v>
      </c>
      <c r="G4627" t="s">
        <v>1279</v>
      </c>
      <c r="H4627" t="s">
        <v>215</v>
      </c>
      <c r="I4627" t="s">
        <v>204</v>
      </c>
      <c r="J4627" s="1">
        <v>54878</v>
      </c>
      <c r="K4627" t="s">
        <v>720</v>
      </c>
      <c r="L4627">
        <v>9450</v>
      </c>
      <c r="M4627">
        <v>9450</v>
      </c>
      <c r="N4627" t="s">
        <v>710</v>
      </c>
      <c r="O4627" t="s">
        <v>1038</v>
      </c>
      <c r="P4627" t="s">
        <v>4777</v>
      </c>
      <c r="Q4627" t="s">
        <v>4858</v>
      </c>
      <c r="R4627" t="s">
        <v>4771</v>
      </c>
    </row>
    <row r="4628" spans="1:18" x14ac:dyDescent="0.3">
      <c r="A4628">
        <v>7720</v>
      </c>
      <c r="B4628" t="s">
        <v>4874</v>
      </c>
      <c r="C4628" t="s">
        <v>594</v>
      </c>
      <c r="D4628" t="s">
        <v>27</v>
      </c>
      <c r="E4628" s="1">
        <v>45687</v>
      </c>
      <c r="F4628" t="s">
        <v>4323</v>
      </c>
      <c r="G4628" t="s">
        <v>1239</v>
      </c>
      <c r="H4628" t="s">
        <v>593</v>
      </c>
      <c r="I4628" t="s">
        <v>204</v>
      </c>
      <c r="J4628" s="1">
        <v>46204</v>
      </c>
      <c r="K4628" t="s">
        <v>762</v>
      </c>
      <c r="L4628">
        <v>320720.98</v>
      </c>
      <c r="M4628">
        <v>320720.98</v>
      </c>
      <c r="N4628" t="s">
        <v>814</v>
      </c>
      <c r="O4628" t="s">
        <v>1037</v>
      </c>
      <c r="P4628" t="s">
        <v>4794</v>
      </c>
      <c r="Q4628" t="s">
        <v>4852</v>
      </c>
      <c r="R4628" t="s">
        <v>4772</v>
      </c>
    </row>
    <row r="4629" spans="1:18" x14ac:dyDescent="0.3">
      <c r="A4629">
        <v>6969</v>
      </c>
      <c r="B4629" t="s">
        <v>4874</v>
      </c>
      <c r="C4629" t="s">
        <v>474</v>
      </c>
      <c r="D4629" t="s">
        <v>100</v>
      </c>
      <c r="E4629" s="1">
        <v>45687</v>
      </c>
      <c r="F4629" t="s">
        <v>4307</v>
      </c>
      <c r="G4629" t="s">
        <v>1280</v>
      </c>
      <c r="H4629" t="s">
        <v>473</v>
      </c>
      <c r="I4629" t="s">
        <v>209</v>
      </c>
      <c r="J4629" s="1">
        <v>54878</v>
      </c>
      <c r="K4629" t="s">
        <v>762</v>
      </c>
      <c r="L4629">
        <v>1683</v>
      </c>
      <c r="M4629">
        <v>24167.88</v>
      </c>
      <c r="N4629" t="s">
        <v>719</v>
      </c>
      <c r="Q4629" t="s">
        <v>4852</v>
      </c>
      <c r="R4629" t="s">
        <v>4772</v>
      </c>
    </row>
    <row r="4630" spans="1:18" x14ac:dyDescent="0.3">
      <c r="A4630">
        <v>6969</v>
      </c>
      <c r="B4630" t="s">
        <v>4874</v>
      </c>
      <c r="C4630" t="s">
        <v>474</v>
      </c>
      <c r="D4630" t="s">
        <v>100</v>
      </c>
      <c r="E4630" s="1">
        <v>45687</v>
      </c>
      <c r="F4630" t="s">
        <v>4394</v>
      </c>
      <c r="G4630" t="s">
        <v>1280</v>
      </c>
      <c r="H4630" t="s">
        <v>473</v>
      </c>
      <c r="I4630" t="s">
        <v>209</v>
      </c>
      <c r="J4630" s="1">
        <v>54878</v>
      </c>
      <c r="K4630" t="s">
        <v>762</v>
      </c>
      <c r="L4630">
        <v>1683</v>
      </c>
      <c r="M4630">
        <v>1683</v>
      </c>
      <c r="N4630" t="s">
        <v>719</v>
      </c>
      <c r="Q4630" t="s">
        <v>4852</v>
      </c>
      <c r="R4630" t="s">
        <v>4772</v>
      </c>
    </row>
    <row r="4631" spans="1:18" x14ac:dyDescent="0.3">
      <c r="A4631">
        <v>6969</v>
      </c>
      <c r="B4631" t="s">
        <v>4874</v>
      </c>
      <c r="C4631" t="s">
        <v>474</v>
      </c>
      <c r="D4631" t="s">
        <v>100</v>
      </c>
      <c r="E4631" s="1">
        <v>45687</v>
      </c>
      <c r="F4631" t="s">
        <v>4308</v>
      </c>
      <c r="G4631" t="s">
        <v>1280</v>
      </c>
      <c r="H4631" t="s">
        <v>473</v>
      </c>
      <c r="I4631" t="s">
        <v>209</v>
      </c>
      <c r="J4631" s="1">
        <v>54878</v>
      </c>
      <c r="K4631" t="s">
        <v>762</v>
      </c>
      <c r="L4631">
        <v>61</v>
      </c>
      <c r="M4631">
        <v>275.11</v>
      </c>
      <c r="N4631" t="s">
        <v>719</v>
      </c>
      <c r="Q4631" t="s">
        <v>4852</v>
      </c>
      <c r="R4631" t="s">
        <v>4772</v>
      </c>
    </row>
    <row r="4632" spans="1:18" x14ac:dyDescent="0.3">
      <c r="A4632">
        <v>6969</v>
      </c>
      <c r="B4632" t="s">
        <v>4874</v>
      </c>
      <c r="C4632" t="s">
        <v>474</v>
      </c>
      <c r="D4632" t="s">
        <v>100</v>
      </c>
      <c r="E4632" s="1">
        <v>45687</v>
      </c>
      <c r="F4632" t="s">
        <v>4310</v>
      </c>
      <c r="G4632" t="s">
        <v>1280</v>
      </c>
      <c r="H4632" t="s">
        <v>473</v>
      </c>
      <c r="I4632" t="s">
        <v>209</v>
      </c>
      <c r="J4632" s="1">
        <v>54878</v>
      </c>
      <c r="K4632" t="s">
        <v>762</v>
      </c>
      <c r="L4632">
        <v>48</v>
      </c>
      <c r="M4632">
        <v>162.72</v>
      </c>
      <c r="N4632" t="s">
        <v>719</v>
      </c>
      <c r="Q4632" t="s">
        <v>4852</v>
      </c>
      <c r="R4632" t="s">
        <v>4772</v>
      </c>
    </row>
    <row r="4633" spans="1:18" x14ac:dyDescent="0.3">
      <c r="A4633">
        <v>18536</v>
      </c>
      <c r="B4633" t="s">
        <v>4874</v>
      </c>
      <c r="C4633" t="s">
        <v>539</v>
      </c>
      <c r="D4633" t="s">
        <v>189</v>
      </c>
      <c r="E4633" s="1">
        <v>45686</v>
      </c>
      <c r="F4633" t="s">
        <v>4327</v>
      </c>
      <c r="G4633" t="s">
        <v>1248</v>
      </c>
      <c r="H4633" t="s">
        <v>573</v>
      </c>
      <c r="I4633" t="s">
        <v>209</v>
      </c>
      <c r="J4633" s="1">
        <v>45808</v>
      </c>
      <c r="K4633" t="s">
        <v>762</v>
      </c>
      <c r="L4633">
        <v>5004.6400000000003</v>
      </c>
      <c r="M4633">
        <v>5004.6400000000003</v>
      </c>
      <c r="N4633" t="s">
        <v>890</v>
      </c>
      <c r="Q4633" t="s">
        <v>807</v>
      </c>
    </row>
    <row r="4634" spans="1:18" x14ac:dyDescent="0.3">
      <c r="A4634">
        <v>4504179</v>
      </c>
      <c r="B4634" t="s">
        <v>1034</v>
      </c>
      <c r="C4634" t="s">
        <v>463</v>
      </c>
      <c r="D4634" t="s">
        <v>147</v>
      </c>
      <c r="E4634" s="1">
        <v>45686</v>
      </c>
      <c r="F4634" t="s">
        <v>4334</v>
      </c>
      <c r="G4634" t="s">
        <v>1283</v>
      </c>
      <c r="H4634" t="s">
        <v>462</v>
      </c>
      <c r="I4634" t="s">
        <v>204</v>
      </c>
      <c r="J4634" s="1">
        <v>46752</v>
      </c>
      <c r="K4634" t="s">
        <v>717</v>
      </c>
      <c r="L4634">
        <v>1141.17</v>
      </c>
      <c r="M4634">
        <v>1141.17</v>
      </c>
      <c r="N4634" t="s">
        <v>719</v>
      </c>
      <c r="O4634" t="s">
        <v>1033</v>
      </c>
      <c r="P4634" t="s">
        <v>4776</v>
      </c>
      <c r="Q4634" t="s">
        <v>4852</v>
      </c>
      <c r="R4634" t="s">
        <v>4771</v>
      </c>
    </row>
    <row r="4635" spans="1:18" x14ac:dyDescent="0.3">
      <c r="A4635">
        <v>17992</v>
      </c>
      <c r="B4635" t="s">
        <v>4874</v>
      </c>
      <c r="C4635" t="s">
        <v>212</v>
      </c>
      <c r="D4635" t="s">
        <v>62</v>
      </c>
      <c r="E4635" s="1">
        <v>45686</v>
      </c>
      <c r="F4635" t="s">
        <v>4318</v>
      </c>
      <c r="G4635" t="s">
        <v>1249</v>
      </c>
      <c r="H4635" t="s">
        <v>211</v>
      </c>
      <c r="I4635" t="s">
        <v>204</v>
      </c>
      <c r="J4635" s="1">
        <v>54878</v>
      </c>
      <c r="K4635" t="s">
        <v>720</v>
      </c>
      <c r="L4635">
        <v>1</v>
      </c>
      <c r="M4635">
        <v>1000</v>
      </c>
      <c r="N4635" t="s">
        <v>719</v>
      </c>
      <c r="O4635" t="s">
        <v>4834</v>
      </c>
      <c r="P4635" t="s">
        <v>4776</v>
      </c>
      <c r="Q4635" t="s">
        <v>4858</v>
      </c>
      <c r="R4635" t="s">
        <v>4771</v>
      </c>
    </row>
    <row r="4636" spans="1:18" x14ac:dyDescent="0.3">
      <c r="A4636">
        <v>202523860</v>
      </c>
      <c r="B4636" t="s">
        <v>4874</v>
      </c>
      <c r="C4636" t="s">
        <v>222</v>
      </c>
      <c r="D4636" t="s">
        <v>80</v>
      </c>
      <c r="E4636" s="1">
        <v>45686</v>
      </c>
      <c r="F4636" t="s">
        <v>4347</v>
      </c>
      <c r="G4636" t="s">
        <v>1282</v>
      </c>
      <c r="H4636" t="s">
        <v>223</v>
      </c>
      <c r="I4636" t="s">
        <v>204</v>
      </c>
      <c r="J4636" s="1">
        <v>46504</v>
      </c>
      <c r="K4636" t="s">
        <v>720</v>
      </c>
      <c r="L4636">
        <v>1</v>
      </c>
      <c r="M4636">
        <v>283.62</v>
      </c>
      <c r="N4636" t="s">
        <v>710</v>
      </c>
      <c r="O4636" t="s">
        <v>4834</v>
      </c>
      <c r="P4636" t="s">
        <v>4778</v>
      </c>
      <c r="Q4636" t="s">
        <v>4858</v>
      </c>
      <c r="R4636" t="s">
        <v>4773</v>
      </c>
    </row>
    <row r="4637" spans="1:18" x14ac:dyDescent="0.3">
      <c r="A4637">
        <v>150664</v>
      </c>
      <c r="B4637" t="s">
        <v>1034</v>
      </c>
      <c r="C4637" t="s">
        <v>301</v>
      </c>
      <c r="D4637" t="s">
        <v>23</v>
      </c>
      <c r="E4637" s="1">
        <v>45686</v>
      </c>
      <c r="F4637" t="s">
        <v>4321</v>
      </c>
      <c r="G4637" t="s">
        <v>1274</v>
      </c>
      <c r="H4637" t="s">
        <v>323</v>
      </c>
      <c r="I4637" t="s">
        <v>204</v>
      </c>
      <c r="J4637" s="1">
        <v>46538</v>
      </c>
      <c r="K4637" t="s">
        <v>711</v>
      </c>
      <c r="L4637">
        <v>5244.13</v>
      </c>
      <c r="M4637">
        <v>5244.13</v>
      </c>
      <c r="N4637" t="s">
        <v>710</v>
      </c>
      <c r="O4637" t="s">
        <v>1036</v>
      </c>
      <c r="P4637" t="s">
        <v>4782</v>
      </c>
      <c r="Q4637" t="s">
        <v>4901</v>
      </c>
      <c r="R4637" t="s">
        <v>4773</v>
      </c>
    </row>
    <row r="4638" spans="1:18" x14ac:dyDescent="0.3">
      <c r="A4638">
        <v>36711</v>
      </c>
      <c r="B4638" t="s">
        <v>4874</v>
      </c>
      <c r="C4638" t="s">
        <v>239</v>
      </c>
      <c r="D4638" t="s">
        <v>199</v>
      </c>
      <c r="E4638" s="1">
        <v>45686</v>
      </c>
      <c r="F4638" t="s">
        <v>4325</v>
      </c>
      <c r="G4638" t="s">
        <v>1277</v>
      </c>
      <c r="H4638" t="s">
        <v>268</v>
      </c>
      <c r="I4638" t="s">
        <v>204</v>
      </c>
      <c r="J4638" s="1">
        <v>46172</v>
      </c>
      <c r="K4638" t="s">
        <v>720</v>
      </c>
      <c r="L4638">
        <v>1</v>
      </c>
      <c r="M4638">
        <v>109.9</v>
      </c>
      <c r="N4638" t="s">
        <v>710</v>
      </c>
      <c r="O4638" t="s">
        <v>1038</v>
      </c>
      <c r="P4638" t="s">
        <v>4779</v>
      </c>
      <c r="Q4638" t="s">
        <v>4858</v>
      </c>
      <c r="R4638" t="s">
        <v>4771</v>
      </c>
    </row>
    <row r="4639" spans="1:18" x14ac:dyDescent="0.3">
      <c r="A4639">
        <v>32954</v>
      </c>
      <c r="B4639" t="s">
        <v>4875</v>
      </c>
      <c r="C4639" t="s">
        <v>530</v>
      </c>
      <c r="D4639" t="s">
        <v>24</v>
      </c>
      <c r="E4639" s="1">
        <v>45686</v>
      </c>
      <c r="F4639" t="s">
        <v>4297</v>
      </c>
      <c r="G4639" t="s">
        <v>1220</v>
      </c>
      <c r="H4639" t="s">
        <v>529</v>
      </c>
      <c r="I4639" t="s">
        <v>204</v>
      </c>
      <c r="J4639" s="1">
        <v>46477</v>
      </c>
      <c r="K4639" t="s">
        <v>748</v>
      </c>
      <c r="L4639">
        <v>1</v>
      </c>
      <c r="M4639">
        <v>5974.06</v>
      </c>
      <c r="N4639" t="s">
        <v>710</v>
      </c>
      <c r="O4639" t="s">
        <v>1040</v>
      </c>
      <c r="P4639" t="s">
        <v>4779</v>
      </c>
      <c r="Q4639" t="s">
        <v>4856</v>
      </c>
      <c r="R4639" t="s">
        <v>4773</v>
      </c>
    </row>
    <row r="4640" spans="1:18" x14ac:dyDescent="0.3">
      <c r="A4640">
        <v>4499</v>
      </c>
      <c r="B4640" t="s">
        <v>1034</v>
      </c>
      <c r="C4640" t="s">
        <v>319</v>
      </c>
      <c r="D4640" t="s">
        <v>36</v>
      </c>
      <c r="E4640" s="1">
        <v>45685</v>
      </c>
      <c r="F4640" t="s">
        <v>4298</v>
      </c>
      <c r="G4640" t="s">
        <v>1276</v>
      </c>
      <c r="H4640" t="s">
        <v>318</v>
      </c>
      <c r="I4640" t="s">
        <v>204</v>
      </c>
      <c r="J4640" s="1">
        <v>46214</v>
      </c>
      <c r="K4640" t="s">
        <v>711</v>
      </c>
      <c r="L4640">
        <v>2054</v>
      </c>
      <c r="M4640">
        <v>2053.86</v>
      </c>
      <c r="N4640" t="s">
        <v>710</v>
      </c>
      <c r="O4640" t="s">
        <v>1036</v>
      </c>
      <c r="P4640" t="s">
        <v>4784</v>
      </c>
      <c r="Q4640" t="s">
        <v>4901</v>
      </c>
      <c r="R4640" t="s">
        <v>4771</v>
      </c>
    </row>
    <row r="4641" spans="1:18" x14ac:dyDescent="0.3">
      <c r="A4641">
        <v>12791</v>
      </c>
      <c r="B4641" t="s">
        <v>1034</v>
      </c>
      <c r="C4641" t="s">
        <v>319</v>
      </c>
      <c r="D4641" t="s">
        <v>36</v>
      </c>
      <c r="E4641" s="1">
        <v>45685</v>
      </c>
      <c r="F4641" t="s">
        <v>4298</v>
      </c>
      <c r="G4641" t="s">
        <v>1275</v>
      </c>
      <c r="H4641" t="s">
        <v>318</v>
      </c>
      <c r="I4641" t="s">
        <v>204</v>
      </c>
      <c r="J4641" s="1">
        <v>46214</v>
      </c>
      <c r="K4641" t="s">
        <v>711</v>
      </c>
      <c r="L4641">
        <v>2033</v>
      </c>
      <c r="M4641">
        <v>2033.35</v>
      </c>
      <c r="N4641" t="s">
        <v>710</v>
      </c>
      <c r="O4641" t="s">
        <v>1036</v>
      </c>
      <c r="P4641" t="s">
        <v>4784</v>
      </c>
      <c r="Q4641" t="s">
        <v>4901</v>
      </c>
      <c r="R4641" t="s">
        <v>4771</v>
      </c>
    </row>
    <row r="4642" spans="1:18" x14ac:dyDescent="0.3">
      <c r="A4642">
        <v>2072207</v>
      </c>
      <c r="B4642" t="s">
        <v>4874</v>
      </c>
      <c r="C4642" t="s">
        <v>403</v>
      </c>
      <c r="D4642" t="s">
        <v>106</v>
      </c>
      <c r="E4642" s="1">
        <v>45685</v>
      </c>
      <c r="F4642" t="s">
        <v>4362</v>
      </c>
      <c r="G4642" t="s">
        <v>1259</v>
      </c>
      <c r="H4642" t="s">
        <v>402</v>
      </c>
      <c r="I4642" t="s">
        <v>204</v>
      </c>
      <c r="J4642" s="1">
        <v>46386</v>
      </c>
      <c r="K4642" t="s">
        <v>762</v>
      </c>
      <c r="L4642">
        <v>39294.26</v>
      </c>
      <c r="M4642">
        <v>39294.26</v>
      </c>
      <c r="N4642" t="s">
        <v>710</v>
      </c>
      <c r="O4642" t="s">
        <v>1037</v>
      </c>
      <c r="P4642" t="s">
        <v>4779</v>
      </c>
      <c r="Q4642" t="s">
        <v>4852</v>
      </c>
      <c r="R4642" t="s">
        <v>4772</v>
      </c>
    </row>
    <row r="4643" spans="1:18" x14ac:dyDescent="0.3">
      <c r="A4643">
        <v>1390</v>
      </c>
      <c r="B4643" t="s">
        <v>1034</v>
      </c>
      <c r="C4643" t="s">
        <v>449</v>
      </c>
      <c r="D4643" t="s">
        <v>20</v>
      </c>
      <c r="E4643" s="1">
        <v>45685</v>
      </c>
      <c r="F4643" t="s">
        <v>4331</v>
      </c>
      <c r="G4643" t="s">
        <v>1271</v>
      </c>
      <c r="H4643" t="s">
        <v>448</v>
      </c>
      <c r="I4643" t="s">
        <v>204</v>
      </c>
      <c r="J4643" s="1">
        <v>46219</v>
      </c>
      <c r="K4643" t="s">
        <v>717</v>
      </c>
      <c r="L4643">
        <v>7774.54</v>
      </c>
      <c r="M4643">
        <v>7774.54</v>
      </c>
      <c r="N4643" t="s">
        <v>710</v>
      </c>
      <c r="O4643" t="s">
        <v>4902</v>
      </c>
      <c r="P4643" t="s">
        <v>4776</v>
      </c>
      <c r="Q4643" t="s">
        <v>4852</v>
      </c>
      <c r="R4643" t="s">
        <v>4771</v>
      </c>
    </row>
    <row r="4644" spans="1:18" x14ac:dyDescent="0.3">
      <c r="A4644">
        <v>157383</v>
      </c>
      <c r="B4644" t="s">
        <v>4874</v>
      </c>
      <c r="C4644" t="s">
        <v>214</v>
      </c>
      <c r="D4644" t="s">
        <v>94</v>
      </c>
      <c r="E4644" s="1">
        <v>45685</v>
      </c>
      <c r="F4644" t="s">
        <v>4295</v>
      </c>
      <c r="G4644" t="s">
        <v>1250</v>
      </c>
      <c r="H4644" t="s">
        <v>213</v>
      </c>
      <c r="I4644" t="s">
        <v>204</v>
      </c>
      <c r="J4644" s="1">
        <v>46309</v>
      </c>
      <c r="K4644" t="s">
        <v>720</v>
      </c>
      <c r="L4644">
        <v>1</v>
      </c>
      <c r="M4644">
        <v>28530.44</v>
      </c>
      <c r="N4644" t="s">
        <v>710</v>
      </c>
      <c r="O4644" t="s">
        <v>4834</v>
      </c>
      <c r="P4644" t="s">
        <v>4776</v>
      </c>
      <c r="Q4644" t="s">
        <v>4858</v>
      </c>
      <c r="R4644" t="s">
        <v>4772</v>
      </c>
    </row>
    <row r="4645" spans="1:18" x14ac:dyDescent="0.3">
      <c r="A4645">
        <v>3084</v>
      </c>
      <c r="B4645" t="s">
        <v>4874</v>
      </c>
      <c r="C4645" t="s">
        <v>612</v>
      </c>
      <c r="D4645" t="s">
        <v>102</v>
      </c>
      <c r="E4645" s="1">
        <v>45684</v>
      </c>
      <c r="F4645" t="s">
        <v>4300</v>
      </c>
      <c r="G4645" t="s">
        <v>1051</v>
      </c>
      <c r="H4645" t="s">
        <v>611</v>
      </c>
      <c r="I4645" t="s">
        <v>209</v>
      </c>
      <c r="J4645" s="1">
        <v>45961</v>
      </c>
      <c r="K4645" t="s">
        <v>720</v>
      </c>
      <c r="L4645">
        <v>20748</v>
      </c>
      <c r="M4645">
        <v>14820</v>
      </c>
      <c r="N4645" t="s">
        <v>710</v>
      </c>
      <c r="O4645" t="s">
        <v>1037</v>
      </c>
      <c r="P4645" t="s">
        <v>4777</v>
      </c>
      <c r="Q4645" t="s">
        <v>4852</v>
      </c>
      <c r="R4645" t="s">
        <v>4773</v>
      </c>
    </row>
    <row r="4646" spans="1:18" x14ac:dyDescent="0.3">
      <c r="A4646">
        <v>375738</v>
      </c>
      <c r="B4646" t="s">
        <v>4874</v>
      </c>
      <c r="C4646" t="s">
        <v>376</v>
      </c>
      <c r="D4646" t="s">
        <v>35</v>
      </c>
      <c r="E4646" s="1">
        <v>45684</v>
      </c>
      <c r="F4646" t="s">
        <v>4324</v>
      </c>
      <c r="G4646" t="s">
        <v>1245</v>
      </c>
      <c r="H4646" t="s">
        <v>442</v>
      </c>
      <c r="I4646" t="s">
        <v>209</v>
      </c>
      <c r="J4646" s="1">
        <v>54878</v>
      </c>
      <c r="K4646" t="s">
        <v>762</v>
      </c>
      <c r="L4646">
        <v>3620</v>
      </c>
      <c r="M4646">
        <v>3620</v>
      </c>
      <c r="N4646" t="s">
        <v>710</v>
      </c>
      <c r="Q4646" t="s">
        <v>4852</v>
      </c>
      <c r="R4646" t="s">
        <v>4771</v>
      </c>
    </row>
    <row r="4647" spans="1:18" x14ac:dyDescent="0.3">
      <c r="A4647">
        <v>799</v>
      </c>
      <c r="B4647" t="s">
        <v>4874</v>
      </c>
      <c r="C4647" t="s">
        <v>216</v>
      </c>
      <c r="D4647" t="s">
        <v>141</v>
      </c>
      <c r="E4647" s="1">
        <v>45684</v>
      </c>
      <c r="F4647" t="s">
        <v>4305</v>
      </c>
      <c r="G4647" t="s">
        <v>1195</v>
      </c>
      <c r="H4647" t="s">
        <v>215</v>
      </c>
      <c r="I4647" t="s">
        <v>204</v>
      </c>
      <c r="J4647" s="1">
        <v>54878</v>
      </c>
      <c r="K4647" t="s">
        <v>720</v>
      </c>
      <c r="L4647">
        <v>1</v>
      </c>
      <c r="M4647">
        <v>11970</v>
      </c>
      <c r="N4647" t="s">
        <v>710</v>
      </c>
      <c r="O4647" t="s">
        <v>1038</v>
      </c>
      <c r="P4647" t="s">
        <v>4777</v>
      </c>
      <c r="Q4647" t="s">
        <v>4858</v>
      </c>
      <c r="R4647" t="s">
        <v>4771</v>
      </c>
    </row>
    <row r="4648" spans="1:18" x14ac:dyDescent="0.3">
      <c r="A4648">
        <v>202514186</v>
      </c>
      <c r="B4648" t="s">
        <v>1034</v>
      </c>
      <c r="C4648" t="s">
        <v>522</v>
      </c>
      <c r="D4648" t="s">
        <v>50</v>
      </c>
      <c r="E4648" s="1">
        <v>45681</v>
      </c>
      <c r="F4648" t="s">
        <v>4352</v>
      </c>
      <c r="G4648" t="s">
        <v>1246</v>
      </c>
      <c r="H4648" t="s">
        <v>521</v>
      </c>
      <c r="I4648" t="s">
        <v>204</v>
      </c>
      <c r="J4648" s="1">
        <v>46387</v>
      </c>
      <c r="K4648" t="s">
        <v>717</v>
      </c>
      <c r="L4648">
        <v>547.27</v>
      </c>
      <c r="M4648">
        <v>547.27</v>
      </c>
      <c r="N4648" t="s">
        <v>884</v>
      </c>
      <c r="O4648" t="s">
        <v>1037</v>
      </c>
      <c r="P4648" t="s">
        <v>4776</v>
      </c>
      <c r="Q4648" t="s">
        <v>4852</v>
      </c>
      <c r="R4648" t="s">
        <v>4773</v>
      </c>
    </row>
    <row r="4649" spans="1:18" x14ac:dyDescent="0.3">
      <c r="A4649">
        <v>57332</v>
      </c>
      <c r="B4649" t="s">
        <v>1034</v>
      </c>
      <c r="C4649" t="s">
        <v>376</v>
      </c>
      <c r="D4649" t="s">
        <v>35</v>
      </c>
      <c r="E4649" s="1">
        <v>45681</v>
      </c>
      <c r="F4649" t="s">
        <v>4324</v>
      </c>
      <c r="G4649" t="s">
        <v>1242</v>
      </c>
      <c r="H4649" t="s">
        <v>375</v>
      </c>
      <c r="I4649" t="s">
        <v>209</v>
      </c>
      <c r="J4649" s="1">
        <v>54878</v>
      </c>
      <c r="K4649" t="s">
        <v>717</v>
      </c>
      <c r="L4649">
        <v>124172.65</v>
      </c>
      <c r="M4649">
        <v>124172.65</v>
      </c>
      <c r="N4649" t="s">
        <v>710</v>
      </c>
      <c r="O4649" t="s">
        <v>1037</v>
      </c>
      <c r="P4649" t="s">
        <v>4807</v>
      </c>
      <c r="Q4649" t="s">
        <v>4852</v>
      </c>
      <c r="R4649" t="s">
        <v>4771</v>
      </c>
    </row>
    <row r="4650" spans="1:18" x14ac:dyDescent="0.3">
      <c r="A4650">
        <v>124403</v>
      </c>
      <c r="B4650" t="s">
        <v>1034</v>
      </c>
      <c r="C4650" t="s">
        <v>376</v>
      </c>
      <c r="D4650" t="s">
        <v>35</v>
      </c>
      <c r="E4650" s="1">
        <v>45681</v>
      </c>
      <c r="F4650" t="s">
        <v>4324</v>
      </c>
      <c r="G4650" t="s">
        <v>1242</v>
      </c>
      <c r="H4650" t="s">
        <v>375</v>
      </c>
      <c r="I4650" t="s">
        <v>209</v>
      </c>
      <c r="J4650" s="1">
        <v>54878</v>
      </c>
      <c r="K4650" t="s">
        <v>717</v>
      </c>
      <c r="L4650">
        <v>19470</v>
      </c>
      <c r="M4650">
        <v>19470</v>
      </c>
      <c r="N4650" t="s">
        <v>710</v>
      </c>
      <c r="O4650" t="s">
        <v>1037</v>
      </c>
      <c r="P4650" t="s">
        <v>4807</v>
      </c>
      <c r="Q4650" t="s">
        <v>4852</v>
      </c>
      <c r="R4650" t="s">
        <v>4771</v>
      </c>
    </row>
    <row r="4651" spans="1:18" x14ac:dyDescent="0.3">
      <c r="A4651">
        <v>6583006</v>
      </c>
      <c r="B4651" t="s">
        <v>1034</v>
      </c>
      <c r="C4651" t="s">
        <v>397</v>
      </c>
      <c r="D4651" t="s">
        <v>161</v>
      </c>
      <c r="E4651" s="1">
        <v>45681</v>
      </c>
      <c r="F4651" t="s">
        <v>4323</v>
      </c>
      <c r="G4651" t="s">
        <v>1224</v>
      </c>
      <c r="H4651" t="s">
        <v>489</v>
      </c>
      <c r="I4651" t="s">
        <v>209</v>
      </c>
      <c r="J4651" s="1">
        <v>54878</v>
      </c>
      <c r="K4651" t="s">
        <v>717</v>
      </c>
      <c r="L4651">
        <v>5.34</v>
      </c>
      <c r="M4651">
        <v>5.34</v>
      </c>
      <c r="N4651" t="s">
        <v>710</v>
      </c>
      <c r="Q4651" t="s">
        <v>4852</v>
      </c>
      <c r="R4651" t="s">
        <v>4772</v>
      </c>
    </row>
    <row r="4652" spans="1:18" x14ac:dyDescent="0.3">
      <c r="A4652">
        <v>7729</v>
      </c>
      <c r="B4652" t="s">
        <v>1034</v>
      </c>
      <c r="C4652" t="s">
        <v>594</v>
      </c>
      <c r="D4652" t="s">
        <v>27</v>
      </c>
      <c r="E4652" s="1">
        <v>45681</v>
      </c>
      <c r="F4652" t="s">
        <v>4323</v>
      </c>
      <c r="G4652" t="s">
        <v>1240</v>
      </c>
      <c r="H4652" t="s">
        <v>595</v>
      </c>
      <c r="I4652" t="s">
        <v>204</v>
      </c>
      <c r="J4652" s="1">
        <v>46204</v>
      </c>
      <c r="K4652" t="s">
        <v>717</v>
      </c>
      <c r="L4652">
        <v>65528.74</v>
      </c>
      <c r="M4652">
        <v>65528.74</v>
      </c>
      <c r="N4652" t="s">
        <v>814</v>
      </c>
      <c r="O4652" t="s">
        <v>1037</v>
      </c>
      <c r="P4652" t="s">
        <v>4794</v>
      </c>
      <c r="Q4652" t="s">
        <v>4852</v>
      </c>
      <c r="R4652" t="s">
        <v>4772</v>
      </c>
    </row>
    <row r="4653" spans="1:18" x14ac:dyDescent="0.3">
      <c r="A4653">
        <v>2758</v>
      </c>
      <c r="B4653" t="s">
        <v>4874</v>
      </c>
      <c r="C4653" t="s">
        <v>469</v>
      </c>
      <c r="D4653" t="s">
        <v>124</v>
      </c>
      <c r="E4653" s="1">
        <v>45681</v>
      </c>
      <c r="F4653" t="s">
        <v>4361</v>
      </c>
      <c r="G4653" t="s">
        <v>1260</v>
      </c>
      <c r="H4653" t="s">
        <v>468</v>
      </c>
      <c r="I4653" t="s">
        <v>204</v>
      </c>
      <c r="J4653" s="1">
        <v>54878</v>
      </c>
      <c r="K4653" t="s">
        <v>762</v>
      </c>
      <c r="L4653">
        <v>546</v>
      </c>
      <c r="M4653">
        <v>546</v>
      </c>
      <c r="N4653" t="s">
        <v>719</v>
      </c>
      <c r="O4653" t="s">
        <v>4845</v>
      </c>
      <c r="P4653" t="s">
        <v>4776</v>
      </c>
      <c r="Q4653" t="s">
        <v>4845</v>
      </c>
      <c r="R4653" t="s">
        <v>4771</v>
      </c>
    </row>
    <row r="4654" spans="1:18" x14ac:dyDescent="0.3">
      <c r="A4654">
        <v>55522</v>
      </c>
      <c r="B4654" t="s">
        <v>4874</v>
      </c>
      <c r="C4654" t="s">
        <v>376</v>
      </c>
      <c r="D4654" t="s">
        <v>35</v>
      </c>
      <c r="E4654" s="1">
        <v>45681</v>
      </c>
      <c r="F4654" t="s">
        <v>4324</v>
      </c>
      <c r="G4654" t="s">
        <v>1244</v>
      </c>
      <c r="H4654" t="s">
        <v>442</v>
      </c>
      <c r="I4654" t="s">
        <v>209</v>
      </c>
      <c r="J4654" s="1">
        <v>54878</v>
      </c>
      <c r="K4654" t="s">
        <v>762</v>
      </c>
      <c r="L4654">
        <v>94355</v>
      </c>
      <c r="M4654">
        <v>94355</v>
      </c>
      <c r="N4654" t="s">
        <v>710</v>
      </c>
      <c r="Q4654" t="s">
        <v>4852</v>
      </c>
      <c r="R4654" t="s">
        <v>4771</v>
      </c>
    </row>
    <row r="4655" spans="1:18" x14ac:dyDescent="0.3">
      <c r="A4655">
        <v>7738</v>
      </c>
      <c r="B4655" t="s">
        <v>4875</v>
      </c>
      <c r="C4655" t="s">
        <v>594</v>
      </c>
      <c r="D4655" t="s">
        <v>27</v>
      </c>
      <c r="E4655" s="1">
        <v>45681</v>
      </c>
      <c r="F4655" t="s">
        <v>4323</v>
      </c>
      <c r="G4655" t="s">
        <v>1241</v>
      </c>
      <c r="H4655" t="s">
        <v>596</v>
      </c>
      <c r="I4655" t="s">
        <v>204</v>
      </c>
      <c r="J4655" s="1">
        <v>46204</v>
      </c>
      <c r="K4655" t="s">
        <v>768</v>
      </c>
      <c r="L4655">
        <v>11755.9</v>
      </c>
      <c r="M4655">
        <v>11755.9</v>
      </c>
      <c r="N4655" t="s">
        <v>814</v>
      </c>
      <c r="O4655" t="s">
        <v>1037</v>
      </c>
      <c r="P4655" t="s">
        <v>4794</v>
      </c>
      <c r="Q4655" t="s">
        <v>4852</v>
      </c>
      <c r="R4655" t="s">
        <v>4772</v>
      </c>
    </row>
    <row r="4656" spans="1:18" x14ac:dyDescent="0.3">
      <c r="A4656">
        <v>6580007</v>
      </c>
      <c r="B4656" t="s">
        <v>4875</v>
      </c>
      <c r="C4656" t="s">
        <v>397</v>
      </c>
      <c r="D4656" t="s">
        <v>161</v>
      </c>
      <c r="E4656" s="1">
        <v>45681</v>
      </c>
      <c r="F4656" t="s">
        <v>4323</v>
      </c>
      <c r="G4656" t="s">
        <v>1226</v>
      </c>
      <c r="H4656" t="s">
        <v>396</v>
      </c>
      <c r="I4656" t="s">
        <v>209</v>
      </c>
      <c r="J4656" s="1">
        <v>54878</v>
      </c>
      <c r="K4656" t="s">
        <v>768</v>
      </c>
      <c r="L4656">
        <v>21.36</v>
      </c>
      <c r="M4656">
        <v>21.36</v>
      </c>
      <c r="N4656" t="s">
        <v>710</v>
      </c>
      <c r="Q4656" t="s">
        <v>4852</v>
      </c>
      <c r="R4656" t="s">
        <v>4772</v>
      </c>
    </row>
    <row r="4657" spans="1:18" x14ac:dyDescent="0.3">
      <c r="A4657">
        <v>1689</v>
      </c>
      <c r="B4657" t="s">
        <v>4874</v>
      </c>
      <c r="C4657" t="s">
        <v>252</v>
      </c>
      <c r="D4657" t="s">
        <v>183</v>
      </c>
      <c r="E4657" s="1">
        <v>45681</v>
      </c>
      <c r="F4657" t="s">
        <v>4404</v>
      </c>
      <c r="G4657" t="s">
        <v>1270</v>
      </c>
      <c r="H4657" t="s">
        <v>251</v>
      </c>
      <c r="I4657" t="s">
        <v>204</v>
      </c>
      <c r="J4657" s="1">
        <v>46418</v>
      </c>
      <c r="K4657" t="s">
        <v>762</v>
      </c>
      <c r="L4657">
        <v>18900</v>
      </c>
      <c r="M4657">
        <v>18900</v>
      </c>
      <c r="N4657" t="s">
        <v>719</v>
      </c>
      <c r="O4657" t="s">
        <v>4904</v>
      </c>
      <c r="P4657" t="s">
        <v>4792</v>
      </c>
      <c r="Q4657" t="s">
        <v>4904</v>
      </c>
      <c r="R4657" t="s">
        <v>4773</v>
      </c>
    </row>
    <row r="4658" spans="1:18" x14ac:dyDescent="0.3">
      <c r="A4658">
        <v>6582000</v>
      </c>
      <c r="B4658" t="s">
        <v>4874</v>
      </c>
      <c r="C4658" t="s">
        <v>397</v>
      </c>
      <c r="D4658" t="s">
        <v>161</v>
      </c>
      <c r="E4658" s="1">
        <v>45681</v>
      </c>
      <c r="F4658" t="s">
        <v>4323</v>
      </c>
      <c r="G4658" t="s">
        <v>1225</v>
      </c>
      <c r="H4658" t="s">
        <v>482</v>
      </c>
      <c r="I4658" t="s">
        <v>209</v>
      </c>
      <c r="J4658" s="1">
        <v>54878</v>
      </c>
      <c r="K4658" t="s">
        <v>762</v>
      </c>
      <c r="L4658">
        <v>234.27</v>
      </c>
      <c r="M4658">
        <v>234.27</v>
      </c>
      <c r="N4658" t="s">
        <v>710</v>
      </c>
      <c r="Q4658" t="s">
        <v>4852</v>
      </c>
      <c r="R4658" t="s">
        <v>4772</v>
      </c>
    </row>
    <row r="4659" spans="1:18" x14ac:dyDescent="0.3">
      <c r="A4659">
        <v>439496</v>
      </c>
      <c r="B4659" t="s">
        <v>4875</v>
      </c>
      <c r="C4659" t="s">
        <v>585</v>
      </c>
      <c r="D4659" t="s">
        <v>179</v>
      </c>
      <c r="E4659" s="1">
        <v>45681</v>
      </c>
      <c r="F4659" t="s">
        <v>4306</v>
      </c>
      <c r="G4659" t="s">
        <v>1238</v>
      </c>
      <c r="H4659" t="s">
        <v>586</v>
      </c>
      <c r="I4659" t="s">
        <v>204</v>
      </c>
      <c r="J4659" s="1">
        <v>46477</v>
      </c>
      <c r="K4659" t="s">
        <v>768</v>
      </c>
      <c r="L4659">
        <v>1140</v>
      </c>
      <c r="M4659">
        <v>1139.9000000000001</v>
      </c>
      <c r="N4659" t="s">
        <v>719</v>
      </c>
      <c r="O4659" t="s">
        <v>4833</v>
      </c>
      <c r="P4659" t="s">
        <v>4786</v>
      </c>
      <c r="Q4659" t="s">
        <v>4852</v>
      </c>
      <c r="R4659" t="s">
        <v>4771</v>
      </c>
    </row>
    <row r="4660" spans="1:18" x14ac:dyDescent="0.3">
      <c r="A4660">
        <v>55786</v>
      </c>
      <c r="B4660" t="s">
        <v>4875</v>
      </c>
      <c r="C4660" t="s">
        <v>376</v>
      </c>
      <c r="D4660" t="s">
        <v>35</v>
      </c>
      <c r="E4660" s="1">
        <v>45681</v>
      </c>
      <c r="F4660" t="s">
        <v>4324</v>
      </c>
      <c r="G4660" t="s">
        <v>1243</v>
      </c>
      <c r="H4660" t="s">
        <v>486</v>
      </c>
      <c r="I4660" t="s">
        <v>209</v>
      </c>
      <c r="J4660" s="1">
        <v>54878</v>
      </c>
      <c r="K4660" t="s">
        <v>768</v>
      </c>
      <c r="L4660">
        <v>40946.65</v>
      </c>
      <c r="M4660">
        <v>40946.65</v>
      </c>
      <c r="N4660" t="s">
        <v>710</v>
      </c>
      <c r="Q4660" t="s">
        <v>4852</v>
      </c>
      <c r="R4660" t="s">
        <v>4771</v>
      </c>
    </row>
    <row r="4661" spans="1:18" x14ac:dyDescent="0.3">
      <c r="A4661">
        <v>439495</v>
      </c>
      <c r="B4661" t="s">
        <v>1034</v>
      </c>
      <c r="C4661" t="s">
        <v>585</v>
      </c>
      <c r="D4661" t="s">
        <v>179</v>
      </c>
      <c r="E4661" s="1">
        <v>45681</v>
      </c>
      <c r="F4661" t="s">
        <v>4306</v>
      </c>
      <c r="G4661" t="s">
        <v>1237</v>
      </c>
      <c r="H4661" t="s">
        <v>584</v>
      </c>
      <c r="I4661" t="s">
        <v>204</v>
      </c>
      <c r="J4661" s="1">
        <v>46477</v>
      </c>
      <c r="K4661" t="s">
        <v>717</v>
      </c>
      <c r="L4661">
        <v>1140</v>
      </c>
      <c r="M4661">
        <v>1139.9000000000001</v>
      </c>
      <c r="N4661" t="s">
        <v>719</v>
      </c>
      <c r="O4661" t="s">
        <v>4833</v>
      </c>
      <c r="P4661" t="s">
        <v>4786</v>
      </c>
      <c r="Q4661" t="s">
        <v>4852</v>
      </c>
      <c r="R4661" t="s">
        <v>4771</v>
      </c>
    </row>
    <row r="4662" spans="1:18" x14ac:dyDescent="0.3">
      <c r="A4662">
        <v>84501</v>
      </c>
      <c r="B4662" t="s">
        <v>1034</v>
      </c>
      <c r="C4662" t="s">
        <v>452</v>
      </c>
      <c r="D4662" t="s">
        <v>171</v>
      </c>
      <c r="E4662" s="1">
        <v>45681</v>
      </c>
      <c r="F4662" t="s">
        <v>4319</v>
      </c>
      <c r="G4662" t="s">
        <v>1230</v>
      </c>
      <c r="H4662" t="s">
        <v>512</v>
      </c>
      <c r="I4662" t="s">
        <v>209</v>
      </c>
      <c r="J4662" s="1">
        <v>45138</v>
      </c>
      <c r="K4662" t="s">
        <v>762</v>
      </c>
      <c r="L4662">
        <v>225</v>
      </c>
      <c r="M4662">
        <v>224.31</v>
      </c>
      <c r="N4662" t="s">
        <v>710</v>
      </c>
      <c r="O4662" t="s">
        <v>4833</v>
      </c>
      <c r="P4662" t="s">
        <v>4802</v>
      </c>
      <c r="Q4662" t="s">
        <v>4852</v>
      </c>
      <c r="R4662" t="s">
        <v>4771</v>
      </c>
    </row>
    <row r="4663" spans="1:18" x14ac:dyDescent="0.3">
      <c r="A4663">
        <v>8371</v>
      </c>
      <c r="B4663" t="s">
        <v>4875</v>
      </c>
      <c r="C4663" t="s">
        <v>598</v>
      </c>
      <c r="D4663" t="s">
        <v>128</v>
      </c>
      <c r="E4663" s="1">
        <v>45680</v>
      </c>
      <c r="F4663" t="s">
        <v>4336</v>
      </c>
      <c r="G4663" t="s">
        <v>1234</v>
      </c>
      <c r="H4663" t="s">
        <v>600</v>
      </c>
      <c r="I4663" t="s">
        <v>204</v>
      </c>
      <c r="J4663" s="1">
        <v>45869</v>
      </c>
      <c r="K4663" t="s">
        <v>768</v>
      </c>
      <c r="L4663">
        <v>713.81</v>
      </c>
      <c r="M4663">
        <v>713.81</v>
      </c>
      <c r="N4663" t="s">
        <v>710</v>
      </c>
      <c r="O4663" t="s">
        <v>1037</v>
      </c>
      <c r="P4663" t="s">
        <v>4794</v>
      </c>
      <c r="Q4663" t="s">
        <v>4852</v>
      </c>
      <c r="R4663" t="s">
        <v>4772</v>
      </c>
    </row>
    <row r="4664" spans="1:18" x14ac:dyDescent="0.3">
      <c r="A4664">
        <v>202561</v>
      </c>
      <c r="B4664" t="s">
        <v>4875</v>
      </c>
      <c r="C4664" t="s">
        <v>550</v>
      </c>
      <c r="D4664" t="s">
        <v>189</v>
      </c>
      <c r="E4664" s="1">
        <v>45680</v>
      </c>
      <c r="F4664" t="s">
        <v>4338</v>
      </c>
      <c r="G4664" t="s">
        <v>1205</v>
      </c>
      <c r="H4664" t="s">
        <v>569</v>
      </c>
      <c r="I4664" t="s">
        <v>204</v>
      </c>
      <c r="J4664" s="1">
        <v>46599</v>
      </c>
      <c r="K4664" t="s">
        <v>768</v>
      </c>
      <c r="L4664">
        <v>21944.240000000002</v>
      </c>
      <c r="M4664">
        <v>21944.240000000002</v>
      </c>
      <c r="N4664" t="s">
        <v>710</v>
      </c>
      <c r="O4664" t="s">
        <v>4904</v>
      </c>
      <c r="P4664" t="s">
        <v>4792</v>
      </c>
      <c r="Q4664" t="s">
        <v>4904</v>
      </c>
      <c r="R4664" t="s">
        <v>4772</v>
      </c>
    </row>
    <row r="4665" spans="1:18" x14ac:dyDescent="0.3">
      <c r="A4665">
        <v>4164</v>
      </c>
      <c r="B4665" t="s">
        <v>1034</v>
      </c>
      <c r="C4665" t="s">
        <v>620</v>
      </c>
      <c r="D4665" t="s">
        <v>146</v>
      </c>
      <c r="E4665" s="1">
        <v>45680</v>
      </c>
      <c r="F4665" t="s">
        <v>4300</v>
      </c>
      <c r="G4665" t="s">
        <v>1117</v>
      </c>
      <c r="H4665" t="s">
        <v>619</v>
      </c>
      <c r="I4665" t="s">
        <v>209</v>
      </c>
      <c r="J4665" s="1">
        <v>46000</v>
      </c>
      <c r="K4665" t="s">
        <v>711</v>
      </c>
      <c r="L4665">
        <v>24589</v>
      </c>
      <c r="M4665">
        <v>24588.65</v>
      </c>
      <c r="N4665" t="s">
        <v>710</v>
      </c>
      <c r="Q4665" t="s">
        <v>4901</v>
      </c>
      <c r="R4665" t="s">
        <v>4773</v>
      </c>
    </row>
    <row r="4666" spans="1:18" x14ac:dyDescent="0.3">
      <c r="A4666">
        <v>2025133</v>
      </c>
      <c r="B4666" t="s">
        <v>1034</v>
      </c>
      <c r="C4666" t="s">
        <v>364</v>
      </c>
      <c r="D4666" t="s">
        <v>72</v>
      </c>
      <c r="E4666" s="1">
        <v>45680</v>
      </c>
      <c r="F4666" t="s">
        <v>4295</v>
      </c>
      <c r="G4666" t="s">
        <v>1183</v>
      </c>
      <c r="H4666" t="s">
        <v>363</v>
      </c>
      <c r="I4666" t="s">
        <v>209</v>
      </c>
      <c r="J4666" s="1">
        <v>46092</v>
      </c>
      <c r="K4666" t="s">
        <v>711</v>
      </c>
      <c r="L4666">
        <v>4800</v>
      </c>
      <c r="M4666">
        <v>4800</v>
      </c>
      <c r="N4666" t="s">
        <v>710</v>
      </c>
      <c r="O4666" t="s">
        <v>4834</v>
      </c>
      <c r="P4666" t="s">
        <v>4776</v>
      </c>
      <c r="Q4666" t="s">
        <v>4901</v>
      </c>
      <c r="R4666" t="s">
        <v>4773</v>
      </c>
    </row>
    <row r="4667" spans="1:18" x14ac:dyDescent="0.3">
      <c r="A4667">
        <v>202516</v>
      </c>
      <c r="B4667" t="s">
        <v>1034</v>
      </c>
      <c r="C4667" t="s">
        <v>552</v>
      </c>
      <c r="D4667" t="s">
        <v>190</v>
      </c>
      <c r="E4667" s="1">
        <v>45680</v>
      </c>
      <c r="F4667" t="s">
        <v>4339</v>
      </c>
      <c r="G4667" t="s">
        <v>1204</v>
      </c>
      <c r="H4667" t="s">
        <v>583</v>
      </c>
      <c r="I4667" t="s">
        <v>204</v>
      </c>
      <c r="J4667" s="1">
        <v>46441</v>
      </c>
      <c r="K4667" t="s">
        <v>717</v>
      </c>
      <c r="L4667">
        <v>32705.040000000001</v>
      </c>
      <c r="M4667">
        <v>32705.040000000001</v>
      </c>
      <c r="N4667" t="s">
        <v>710</v>
      </c>
      <c r="O4667" t="s">
        <v>4904</v>
      </c>
      <c r="P4667" t="s">
        <v>4792</v>
      </c>
      <c r="Q4667" t="s">
        <v>4904</v>
      </c>
      <c r="R4667" t="s">
        <v>4772</v>
      </c>
    </row>
    <row r="4668" spans="1:18" x14ac:dyDescent="0.3">
      <c r="A4668">
        <v>202560</v>
      </c>
      <c r="B4668" t="s">
        <v>1034</v>
      </c>
      <c r="C4668" t="s">
        <v>550</v>
      </c>
      <c r="D4668" t="s">
        <v>189</v>
      </c>
      <c r="E4668" s="1">
        <v>45680</v>
      </c>
      <c r="F4668" t="s">
        <v>4338</v>
      </c>
      <c r="G4668" t="s">
        <v>1206</v>
      </c>
      <c r="H4668" t="s">
        <v>582</v>
      </c>
      <c r="I4668" t="s">
        <v>204</v>
      </c>
      <c r="J4668" s="1">
        <v>46599</v>
      </c>
      <c r="K4668" t="s">
        <v>717</v>
      </c>
      <c r="L4668">
        <v>25574.29</v>
      </c>
      <c r="M4668">
        <v>25574.29</v>
      </c>
      <c r="N4668" t="s">
        <v>710</v>
      </c>
      <c r="O4668" t="s">
        <v>4904</v>
      </c>
      <c r="P4668" t="s">
        <v>4792</v>
      </c>
      <c r="Q4668" t="s">
        <v>4904</v>
      </c>
      <c r="R4668" t="s">
        <v>4772</v>
      </c>
    </row>
    <row r="4669" spans="1:18" x14ac:dyDescent="0.3">
      <c r="A4669">
        <v>8363</v>
      </c>
      <c r="B4669" t="s">
        <v>1034</v>
      </c>
      <c r="C4669" t="s">
        <v>598</v>
      </c>
      <c r="D4669" t="s">
        <v>128</v>
      </c>
      <c r="E4669" s="1">
        <v>45680</v>
      </c>
      <c r="F4669" t="s">
        <v>4336</v>
      </c>
      <c r="G4669" t="s">
        <v>1233</v>
      </c>
      <c r="H4669" t="s">
        <v>597</v>
      </c>
      <c r="I4669" t="s">
        <v>204</v>
      </c>
      <c r="J4669" s="1">
        <v>45839</v>
      </c>
      <c r="K4669" t="s">
        <v>717</v>
      </c>
      <c r="L4669">
        <v>4034.71</v>
      </c>
      <c r="M4669">
        <v>4034.71</v>
      </c>
      <c r="N4669" t="s">
        <v>710</v>
      </c>
      <c r="O4669" t="s">
        <v>1037</v>
      </c>
      <c r="P4669" t="s">
        <v>4794</v>
      </c>
      <c r="Q4669" t="s">
        <v>4852</v>
      </c>
      <c r="R4669" t="s">
        <v>4772</v>
      </c>
    </row>
    <row r="4670" spans="1:18" x14ac:dyDescent="0.3">
      <c r="A4670">
        <v>36992323</v>
      </c>
      <c r="B4670" t="s">
        <v>4874</v>
      </c>
      <c r="C4670" t="s">
        <v>428</v>
      </c>
      <c r="D4670" t="s">
        <v>127</v>
      </c>
      <c r="E4670" s="1">
        <v>45680</v>
      </c>
      <c r="F4670" t="s">
        <v>4336</v>
      </c>
      <c r="G4670" t="s">
        <v>1171</v>
      </c>
      <c r="H4670" t="s">
        <v>427</v>
      </c>
      <c r="I4670" t="s">
        <v>209</v>
      </c>
      <c r="J4670" s="1">
        <v>54878</v>
      </c>
      <c r="K4670" t="s">
        <v>762</v>
      </c>
      <c r="L4670">
        <v>1194.56</v>
      </c>
      <c r="M4670">
        <v>1194.56</v>
      </c>
      <c r="N4670" t="s">
        <v>710</v>
      </c>
      <c r="Q4670" t="s">
        <v>4852</v>
      </c>
      <c r="R4670" t="s">
        <v>4772</v>
      </c>
    </row>
    <row r="4671" spans="1:18" x14ac:dyDescent="0.3">
      <c r="A4671">
        <v>8355</v>
      </c>
      <c r="B4671" t="s">
        <v>4874</v>
      </c>
      <c r="C4671" t="s">
        <v>598</v>
      </c>
      <c r="D4671" t="s">
        <v>128</v>
      </c>
      <c r="E4671" s="1">
        <v>45680</v>
      </c>
      <c r="F4671" t="s">
        <v>4336</v>
      </c>
      <c r="G4671" t="s">
        <v>1232</v>
      </c>
      <c r="H4671" t="s">
        <v>599</v>
      </c>
      <c r="I4671" t="s">
        <v>204</v>
      </c>
      <c r="J4671" s="1">
        <v>45869</v>
      </c>
      <c r="K4671" t="s">
        <v>762</v>
      </c>
      <c r="L4671">
        <v>2991.14</v>
      </c>
      <c r="M4671">
        <v>2991.14</v>
      </c>
      <c r="N4671" t="s">
        <v>710</v>
      </c>
      <c r="O4671" t="s">
        <v>1037</v>
      </c>
      <c r="P4671" t="s">
        <v>4794</v>
      </c>
      <c r="Q4671" t="s">
        <v>4852</v>
      </c>
      <c r="R4671" t="s">
        <v>4772</v>
      </c>
    </row>
    <row r="4672" spans="1:18" x14ac:dyDescent="0.3">
      <c r="A4672">
        <v>39478</v>
      </c>
      <c r="B4672" t="s">
        <v>4874</v>
      </c>
      <c r="C4672" t="s">
        <v>294</v>
      </c>
      <c r="D4672" t="s">
        <v>101</v>
      </c>
      <c r="E4672" s="1">
        <v>45680</v>
      </c>
      <c r="F4672" t="s">
        <v>4304</v>
      </c>
      <c r="G4672" t="s">
        <v>1231</v>
      </c>
      <c r="H4672" t="s">
        <v>293</v>
      </c>
      <c r="I4672" t="s">
        <v>204</v>
      </c>
      <c r="J4672" s="1">
        <v>46191</v>
      </c>
      <c r="K4672" t="s">
        <v>720</v>
      </c>
      <c r="L4672">
        <v>1</v>
      </c>
      <c r="M4672">
        <v>180</v>
      </c>
      <c r="N4672" t="s">
        <v>710</v>
      </c>
      <c r="O4672" t="s">
        <v>4834</v>
      </c>
      <c r="P4672" t="s">
        <v>4776</v>
      </c>
      <c r="Q4672" t="s">
        <v>4858</v>
      </c>
      <c r="R4672" t="s">
        <v>4773</v>
      </c>
    </row>
    <row r="4673" spans="1:18" x14ac:dyDescent="0.3">
      <c r="A4673">
        <v>6587</v>
      </c>
      <c r="B4673" t="s">
        <v>1035</v>
      </c>
      <c r="C4673" t="s">
        <v>230</v>
      </c>
      <c r="D4673" t="s">
        <v>85</v>
      </c>
      <c r="E4673" s="1">
        <v>45679</v>
      </c>
      <c r="F4673" t="s">
        <v>4348</v>
      </c>
      <c r="G4673" t="s">
        <v>1236</v>
      </c>
      <c r="H4673" t="s">
        <v>229</v>
      </c>
      <c r="I4673" t="s">
        <v>204</v>
      </c>
      <c r="J4673" s="1">
        <v>46203</v>
      </c>
      <c r="K4673" t="s">
        <v>744</v>
      </c>
      <c r="L4673">
        <v>5461.42</v>
      </c>
      <c r="M4673">
        <v>5461.42</v>
      </c>
      <c r="N4673" t="s">
        <v>710</v>
      </c>
      <c r="O4673" t="s">
        <v>1033</v>
      </c>
      <c r="P4673" t="s">
        <v>4781</v>
      </c>
      <c r="Q4673" t="s">
        <v>4852</v>
      </c>
      <c r="R4673" t="s">
        <v>4771</v>
      </c>
    </row>
    <row r="4674" spans="1:18" x14ac:dyDescent="0.3">
      <c r="A4674">
        <v>6575</v>
      </c>
      <c r="B4674" t="s">
        <v>1035</v>
      </c>
      <c r="C4674" t="s">
        <v>230</v>
      </c>
      <c r="D4674" t="s">
        <v>85</v>
      </c>
      <c r="E4674" s="1">
        <v>45679</v>
      </c>
      <c r="F4674" t="s">
        <v>4348</v>
      </c>
      <c r="G4674" t="s">
        <v>1236</v>
      </c>
      <c r="H4674" t="s">
        <v>229</v>
      </c>
      <c r="I4674" t="s">
        <v>204</v>
      </c>
      <c r="J4674" s="1">
        <v>46203</v>
      </c>
      <c r="K4674" t="s">
        <v>744</v>
      </c>
      <c r="L4674">
        <v>2897.95</v>
      </c>
      <c r="M4674">
        <v>2897.95</v>
      </c>
      <c r="N4674" t="s">
        <v>710</v>
      </c>
      <c r="O4674" t="s">
        <v>1033</v>
      </c>
      <c r="P4674" t="s">
        <v>4781</v>
      </c>
      <c r="Q4674" t="s">
        <v>4852</v>
      </c>
      <c r="R4674" t="s">
        <v>4771</v>
      </c>
    </row>
    <row r="4675" spans="1:18" x14ac:dyDescent="0.3">
      <c r="A4675">
        <v>582174</v>
      </c>
      <c r="B4675" t="s">
        <v>1034</v>
      </c>
      <c r="C4675" t="s">
        <v>248</v>
      </c>
      <c r="D4675" t="s">
        <v>13</v>
      </c>
      <c r="E4675" s="1">
        <v>45679</v>
      </c>
      <c r="F4675" t="s">
        <v>4297</v>
      </c>
      <c r="G4675" t="s">
        <v>1140</v>
      </c>
      <c r="H4675" t="s">
        <v>315</v>
      </c>
      <c r="I4675" t="s">
        <v>204</v>
      </c>
      <c r="J4675" s="1">
        <v>46073</v>
      </c>
      <c r="K4675" t="s">
        <v>711</v>
      </c>
      <c r="L4675">
        <v>4947.16</v>
      </c>
      <c r="M4675">
        <v>4947.16</v>
      </c>
      <c r="N4675" t="s">
        <v>710</v>
      </c>
      <c r="O4675" t="s">
        <v>1036</v>
      </c>
      <c r="P4675" t="s">
        <v>4779</v>
      </c>
      <c r="Q4675" t="s">
        <v>4901</v>
      </c>
      <c r="R4675" t="s">
        <v>4773</v>
      </c>
    </row>
    <row r="4676" spans="1:18" x14ac:dyDescent="0.3">
      <c r="A4676">
        <v>8345</v>
      </c>
      <c r="B4676" t="s">
        <v>1034</v>
      </c>
      <c r="C4676" t="s">
        <v>270</v>
      </c>
      <c r="D4676" t="s">
        <v>82</v>
      </c>
      <c r="E4676" s="1">
        <v>45679</v>
      </c>
      <c r="F4676" t="s">
        <v>4296</v>
      </c>
      <c r="G4676" t="s">
        <v>1228</v>
      </c>
      <c r="H4676" t="s">
        <v>362</v>
      </c>
      <c r="I4676" t="s">
        <v>209</v>
      </c>
      <c r="J4676" s="1">
        <v>54878</v>
      </c>
      <c r="K4676" t="s">
        <v>711</v>
      </c>
      <c r="L4676">
        <v>1882</v>
      </c>
      <c r="M4676">
        <v>1882</v>
      </c>
      <c r="N4676" t="s">
        <v>710</v>
      </c>
    </row>
    <row r="4677" spans="1:18" x14ac:dyDescent="0.3">
      <c r="A4677">
        <v>4481</v>
      </c>
      <c r="B4677" t="s">
        <v>1034</v>
      </c>
      <c r="C4677" t="s">
        <v>319</v>
      </c>
      <c r="D4677" t="s">
        <v>36</v>
      </c>
      <c r="E4677" s="1">
        <v>45679</v>
      </c>
      <c r="F4677" t="s">
        <v>4298</v>
      </c>
      <c r="G4677" t="s">
        <v>1247</v>
      </c>
      <c r="H4677" t="s">
        <v>318</v>
      </c>
      <c r="I4677" t="s">
        <v>204</v>
      </c>
      <c r="J4677" s="1">
        <v>46214</v>
      </c>
      <c r="K4677" t="s">
        <v>711</v>
      </c>
      <c r="L4677">
        <v>1848</v>
      </c>
      <c r="M4677">
        <v>1848.47</v>
      </c>
      <c r="N4677" t="s">
        <v>710</v>
      </c>
      <c r="O4677" t="s">
        <v>1036</v>
      </c>
      <c r="P4677" t="s">
        <v>4784</v>
      </c>
      <c r="Q4677" t="s">
        <v>4901</v>
      </c>
      <c r="R4677" t="s">
        <v>4771</v>
      </c>
    </row>
    <row r="4678" spans="1:18" x14ac:dyDescent="0.3">
      <c r="A4678">
        <v>6940</v>
      </c>
      <c r="B4678" t="s">
        <v>4874</v>
      </c>
      <c r="C4678" t="s">
        <v>484</v>
      </c>
      <c r="D4678" t="s">
        <v>140</v>
      </c>
      <c r="E4678" s="1">
        <v>45679</v>
      </c>
      <c r="F4678" t="s">
        <v>4345</v>
      </c>
      <c r="G4678" t="s">
        <v>1227</v>
      </c>
      <c r="H4678" t="s">
        <v>483</v>
      </c>
      <c r="I4678" t="s">
        <v>204</v>
      </c>
      <c r="J4678" s="1">
        <v>46508</v>
      </c>
      <c r="K4678" t="s">
        <v>762</v>
      </c>
      <c r="L4678">
        <v>791</v>
      </c>
      <c r="M4678">
        <v>790.4</v>
      </c>
      <c r="N4678" t="s">
        <v>710</v>
      </c>
      <c r="O4678" t="s">
        <v>4833</v>
      </c>
      <c r="P4678" t="s">
        <v>4776</v>
      </c>
      <c r="Q4678" t="s">
        <v>4852</v>
      </c>
      <c r="R4678" t="s">
        <v>4773</v>
      </c>
    </row>
    <row r="4679" spans="1:18" x14ac:dyDescent="0.3">
      <c r="A4679">
        <v>580666</v>
      </c>
      <c r="B4679" t="s">
        <v>1034</v>
      </c>
      <c r="C4679" t="s">
        <v>248</v>
      </c>
      <c r="D4679" t="s">
        <v>13</v>
      </c>
      <c r="E4679" s="1">
        <v>45679</v>
      </c>
      <c r="F4679" t="s">
        <v>4297</v>
      </c>
      <c r="G4679" t="s">
        <v>1061</v>
      </c>
      <c r="H4679" t="s">
        <v>315</v>
      </c>
      <c r="I4679" t="s">
        <v>204</v>
      </c>
      <c r="J4679" s="1">
        <v>46073</v>
      </c>
      <c r="K4679" t="s">
        <v>711</v>
      </c>
      <c r="L4679">
        <v>4947.16</v>
      </c>
      <c r="M4679">
        <v>4947.16</v>
      </c>
      <c r="N4679" t="s">
        <v>710</v>
      </c>
      <c r="O4679" t="s">
        <v>1036</v>
      </c>
      <c r="P4679" t="s">
        <v>4779</v>
      </c>
      <c r="Q4679" t="s">
        <v>4901</v>
      </c>
      <c r="R4679" t="s">
        <v>4773</v>
      </c>
    </row>
    <row r="4680" spans="1:18" x14ac:dyDescent="0.3">
      <c r="A4680">
        <v>16546</v>
      </c>
      <c r="B4680" t="s">
        <v>4874</v>
      </c>
      <c r="C4680" t="s">
        <v>939</v>
      </c>
      <c r="D4680" t="s">
        <v>7</v>
      </c>
      <c r="E4680" s="1">
        <v>45678</v>
      </c>
      <c r="F4680" t="s">
        <v>4352</v>
      </c>
      <c r="G4680" t="s">
        <v>1188</v>
      </c>
      <c r="H4680" t="s">
        <v>591</v>
      </c>
      <c r="I4680" t="s">
        <v>209</v>
      </c>
      <c r="J4680" s="1">
        <v>45865</v>
      </c>
      <c r="K4680" t="s">
        <v>762</v>
      </c>
      <c r="L4680">
        <v>940</v>
      </c>
      <c r="M4680">
        <v>940</v>
      </c>
      <c r="N4680" t="s">
        <v>890</v>
      </c>
      <c r="Q4680" t="s">
        <v>807</v>
      </c>
    </row>
    <row r="4681" spans="1:18" x14ac:dyDescent="0.3">
      <c r="A4681">
        <v>4407</v>
      </c>
      <c r="B4681" t="s">
        <v>4874</v>
      </c>
      <c r="C4681" t="s">
        <v>456</v>
      </c>
      <c r="D4681" t="s">
        <v>71</v>
      </c>
      <c r="E4681" s="1">
        <v>45678</v>
      </c>
      <c r="F4681" t="s">
        <v>4401</v>
      </c>
      <c r="G4681" t="s">
        <v>1210</v>
      </c>
      <c r="H4681" t="s">
        <v>455</v>
      </c>
      <c r="I4681" t="s">
        <v>204</v>
      </c>
      <c r="J4681" s="1">
        <v>54878</v>
      </c>
      <c r="K4681" t="s">
        <v>762</v>
      </c>
      <c r="L4681">
        <v>13771.8</v>
      </c>
      <c r="M4681">
        <v>13771.8</v>
      </c>
      <c r="N4681" t="s">
        <v>710</v>
      </c>
      <c r="O4681" t="s">
        <v>1042</v>
      </c>
      <c r="P4681" t="s">
        <v>1006</v>
      </c>
      <c r="Q4681" t="s">
        <v>4852</v>
      </c>
      <c r="R4681" t="s">
        <v>4771</v>
      </c>
    </row>
    <row r="4682" spans="1:18" x14ac:dyDescent="0.3">
      <c r="A4682">
        <v>149268</v>
      </c>
      <c r="B4682" t="s">
        <v>1034</v>
      </c>
      <c r="C4682" t="s">
        <v>301</v>
      </c>
      <c r="D4682" t="s">
        <v>23</v>
      </c>
      <c r="E4682" s="1">
        <v>45678</v>
      </c>
      <c r="F4682" t="s">
        <v>4321</v>
      </c>
      <c r="G4682" t="s">
        <v>1075</v>
      </c>
      <c r="H4682" t="s">
        <v>323</v>
      </c>
      <c r="I4682" t="s">
        <v>204</v>
      </c>
      <c r="J4682" s="1">
        <v>46538</v>
      </c>
      <c r="K4682" t="s">
        <v>711</v>
      </c>
      <c r="L4682">
        <v>5244.13</v>
      </c>
      <c r="M4682">
        <v>5244.13</v>
      </c>
      <c r="N4682" t="s">
        <v>710</v>
      </c>
      <c r="O4682" t="s">
        <v>1036</v>
      </c>
      <c r="P4682" t="s">
        <v>4782</v>
      </c>
      <c r="Q4682" t="s">
        <v>4901</v>
      </c>
      <c r="R4682" t="s">
        <v>4773</v>
      </c>
    </row>
    <row r="4683" spans="1:18" x14ac:dyDescent="0.3">
      <c r="A4683">
        <v>193372</v>
      </c>
      <c r="B4683" t="s">
        <v>4874</v>
      </c>
      <c r="C4683" t="s">
        <v>391</v>
      </c>
      <c r="D4683" t="s">
        <v>104</v>
      </c>
      <c r="E4683" s="1">
        <v>45678</v>
      </c>
      <c r="F4683" t="s">
        <v>4306</v>
      </c>
      <c r="G4683" t="s">
        <v>1167</v>
      </c>
      <c r="H4683" t="s">
        <v>390</v>
      </c>
      <c r="I4683" t="s">
        <v>204</v>
      </c>
      <c r="J4683" s="1">
        <v>54878</v>
      </c>
      <c r="K4683" t="s">
        <v>762</v>
      </c>
      <c r="L4683">
        <v>838.58</v>
      </c>
      <c r="M4683">
        <v>838.58</v>
      </c>
      <c r="N4683" t="s">
        <v>710</v>
      </c>
      <c r="O4683" t="s">
        <v>4833</v>
      </c>
      <c r="P4683" t="s">
        <v>4776</v>
      </c>
      <c r="Q4683" t="s">
        <v>4852</v>
      </c>
      <c r="R4683" t="s">
        <v>4773</v>
      </c>
    </row>
    <row r="4684" spans="1:18" x14ac:dyDescent="0.3">
      <c r="A4684">
        <v>1848</v>
      </c>
      <c r="B4684" t="s">
        <v>4875</v>
      </c>
      <c r="C4684" t="s">
        <v>616</v>
      </c>
      <c r="D4684" t="s">
        <v>152</v>
      </c>
      <c r="E4684" s="1">
        <v>45678</v>
      </c>
      <c r="F4684" t="s">
        <v>4338</v>
      </c>
      <c r="G4684" t="s">
        <v>1124</v>
      </c>
      <c r="H4684" t="s">
        <v>622</v>
      </c>
      <c r="I4684" t="s">
        <v>204</v>
      </c>
      <c r="J4684" s="1">
        <v>46351</v>
      </c>
      <c r="K4684" t="s">
        <v>748</v>
      </c>
      <c r="L4684">
        <v>1</v>
      </c>
      <c r="M4684">
        <v>28600.99</v>
      </c>
      <c r="N4684" t="s">
        <v>710</v>
      </c>
      <c r="O4684" t="s">
        <v>4904</v>
      </c>
      <c r="P4684" t="s">
        <v>4796</v>
      </c>
      <c r="Q4684" t="s">
        <v>4856</v>
      </c>
      <c r="R4684" t="s">
        <v>4772</v>
      </c>
    </row>
    <row r="4685" spans="1:18" x14ac:dyDescent="0.3">
      <c r="A4685">
        <v>259713</v>
      </c>
      <c r="B4685" t="s">
        <v>4874</v>
      </c>
      <c r="C4685" t="s">
        <v>391</v>
      </c>
      <c r="D4685" t="s">
        <v>104</v>
      </c>
      <c r="E4685" s="1">
        <v>45678</v>
      </c>
      <c r="F4685" t="s">
        <v>4315</v>
      </c>
      <c r="G4685" t="s">
        <v>1167</v>
      </c>
      <c r="H4685" t="s">
        <v>390</v>
      </c>
      <c r="I4685" t="s">
        <v>204</v>
      </c>
      <c r="J4685" s="1">
        <v>54878</v>
      </c>
      <c r="K4685" t="s">
        <v>762</v>
      </c>
      <c r="L4685">
        <v>82.81</v>
      </c>
      <c r="M4685">
        <v>82.81</v>
      </c>
      <c r="N4685" t="s">
        <v>710</v>
      </c>
      <c r="O4685" t="s">
        <v>4833</v>
      </c>
      <c r="P4685" t="s">
        <v>4776</v>
      </c>
      <c r="Q4685" t="s">
        <v>4852</v>
      </c>
      <c r="R4685" t="s">
        <v>4773</v>
      </c>
    </row>
    <row r="4686" spans="1:18" x14ac:dyDescent="0.3">
      <c r="A4686">
        <v>181249</v>
      </c>
      <c r="B4686" t="s">
        <v>4874</v>
      </c>
      <c r="C4686" t="s">
        <v>391</v>
      </c>
      <c r="D4686" t="s">
        <v>104</v>
      </c>
      <c r="E4686" s="1">
        <v>45678</v>
      </c>
      <c r="F4686" t="s">
        <v>4354</v>
      </c>
      <c r="G4686" t="s">
        <v>1167</v>
      </c>
      <c r="H4686" t="s">
        <v>390</v>
      </c>
      <c r="I4686" t="s">
        <v>204</v>
      </c>
      <c r="J4686" s="1">
        <v>54878</v>
      </c>
      <c r="K4686" t="s">
        <v>762</v>
      </c>
      <c r="L4686">
        <v>211.58</v>
      </c>
      <c r="M4686">
        <v>211.58</v>
      </c>
      <c r="N4686" t="s">
        <v>710</v>
      </c>
      <c r="O4686" t="s">
        <v>4833</v>
      </c>
      <c r="P4686" t="s">
        <v>4776</v>
      </c>
      <c r="Q4686" t="s">
        <v>4852</v>
      </c>
      <c r="R4686" t="s">
        <v>4773</v>
      </c>
    </row>
    <row r="4687" spans="1:18" x14ac:dyDescent="0.3">
      <c r="A4687">
        <v>675761</v>
      </c>
      <c r="B4687" t="s">
        <v>4874</v>
      </c>
      <c r="C4687" t="s">
        <v>409</v>
      </c>
      <c r="D4687" t="s">
        <v>28</v>
      </c>
      <c r="E4687" s="1">
        <v>45678</v>
      </c>
      <c r="F4687" t="s">
        <v>4388</v>
      </c>
      <c r="G4687" t="s">
        <v>1201</v>
      </c>
      <c r="H4687" t="s">
        <v>408</v>
      </c>
      <c r="I4687" t="s">
        <v>204</v>
      </c>
      <c r="J4687" s="1">
        <v>54878</v>
      </c>
      <c r="K4687" t="s">
        <v>762</v>
      </c>
      <c r="L4687">
        <v>26152</v>
      </c>
      <c r="M4687">
        <v>26151.73</v>
      </c>
      <c r="N4687" t="s">
        <v>710</v>
      </c>
      <c r="O4687" t="s">
        <v>4833</v>
      </c>
      <c r="P4687" t="s">
        <v>4776</v>
      </c>
      <c r="Q4687" t="s">
        <v>4852</v>
      </c>
      <c r="R4687" t="s">
        <v>4773</v>
      </c>
    </row>
    <row r="4688" spans="1:18" x14ac:dyDescent="0.3">
      <c r="A4688">
        <v>107</v>
      </c>
      <c r="B4688" t="s">
        <v>4874</v>
      </c>
      <c r="C4688" t="s">
        <v>565</v>
      </c>
      <c r="D4688" t="s">
        <v>113</v>
      </c>
      <c r="E4688" s="1">
        <v>45678</v>
      </c>
      <c r="F4688" t="s">
        <v>4390</v>
      </c>
      <c r="G4688" t="s">
        <v>1211</v>
      </c>
      <c r="H4688" t="s">
        <v>564</v>
      </c>
      <c r="I4688" t="s">
        <v>204</v>
      </c>
      <c r="J4688" s="1">
        <v>46386</v>
      </c>
      <c r="K4688" t="s">
        <v>720</v>
      </c>
      <c r="L4688">
        <v>1</v>
      </c>
      <c r="M4688">
        <v>5200</v>
      </c>
      <c r="N4688" t="s">
        <v>710</v>
      </c>
      <c r="O4688" t="s">
        <v>1038</v>
      </c>
      <c r="P4688" t="s">
        <v>4777</v>
      </c>
      <c r="Q4688" t="s">
        <v>4858</v>
      </c>
      <c r="R4688" t="s">
        <v>4771</v>
      </c>
    </row>
    <row r="4689" spans="1:18" x14ac:dyDescent="0.3">
      <c r="A4689">
        <v>1998</v>
      </c>
      <c r="B4689" t="s">
        <v>4874</v>
      </c>
      <c r="C4689" t="s">
        <v>541</v>
      </c>
      <c r="D4689" t="s">
        <v>173</v>
      </c>
      <c r="E4689" s="1">
        <v>45678</v>
      </c>
      <c r="F4689" t="s">
        <v>4326</v>
      </c>
      <c r="G4689" t="s">
        <v>1185</v>
      </c>
      <c r="H4689" t="s">
        <v>548</v>
      </c>
      <c r="I4689" t="s">
        <v>204</v>
      </c>
      <c r="J4689" s="1">
        <v>46387</v>
      </c>
      <c r="K4689" t="s">
        <v>720</v>
      </c>
      <c r="L4689">
        <v>1</v>
      </c>
      <c r="M4689">
        <v>2300</v>
      </c>
      <c r="N4689" t="s">
        <v>710</v>
      </c>
      <c r="O4689" t="s">
        <v>1038</v>
      </c>
      <c r="P4689" t="s">
        <v>4791</v>
      </c>
      <c r="Q4689" t="s">
        <v>4858</v>
      </c>
      <c r="R4689" t="s">
        <v>4773</v>
      </c>
    </row>
    <row r="4690" spans="1:18" x14ac:dyDescent="0.3">
      <c r="A4690">
        <v>402984</v>
      </c>
      <c r="B4690" t="s">
        <v>1034</v>
      </c>
      <c r="C4690" t="s">
        <v>333</v>
      </c>
      <c r="D4690" t="s">
        <v>29</v>
      </c>
      <c r="E4690" s="1">
        <v>45678</v>
      </c>
      <c r="F4690" t="s">
        <v>4317</v>
      </c>
      <c r="G4690" t="s">
        <v>1223</v>
      </c>
      <c r="H4690" t="s">
        <v>332</v>
      </c>
      <c r="I4690" t="s">
        <v>204</v>
      </c>
      <c r="J4690" s="1">
        <v>54878</v>
      </c>
      <c r="K4690" t="s">
        <v>711</v>
      </c>
      <c r="L4690">
        <v>140</v>
      </c>
      <c r="M4690">
        <v>139.5</v>
      </c>
      <c r="N4690" t="s">
        <v>710</v>
      </c>
      <c r="O4690" t="s">
        <v>1036</v>
      </c>
      <c r="P4690" t="s">
        <v>4776</v>
      </c>
      <c r="Q4690" t="s">
        <v>4901</v>
      </c>
      <c r="R4690" t="s">
        <v>4771</v>
      </c>
    </row>
    <row r="4691" spans="1:18" x14ac:dyDescent="0.3">
      <c r="A4691">
        <v>149269</v>
      </c>
      <c r="B4691" t="s">
        <v>1034</v>
      </c>
      <c r="C4691" t="s">
        <v>301</v>
      </c>
      <c r="D4691" t="s">
        <v>23</v>
      </c>
      <c r="E4691" s="1">
        <v>45678</v>
      </c>
      <c r="F4691" t="s">
        <v>4321</v>
      </c>
      <c r="G4691" t="s">
        <v>1074</v>
      </c>
      <c r="H4691" t="s">
        <v>323</v>
      </c>
      <c r="I4691" t="s">
        <v>204</v>
      </c>
      <c r="J4691" s="1">
        <v>46538</v>
      </c>
      <c r="K4691" t="s">
        <v>711</v>
      </c>
      <c r="L4691">
        <v>5244.13</v>
      </c>
      <c r="M4691">
        <v>5244.13</v>
      </c>
      <c r="N4691" t="s">
        <v>710</v>
      </c>
      <c r="O4691" t="s">
        <v>1036</v>
      </c>
      <c r="P4691" t="s">
        <v>4782</v>
      </c>
      <c r="Q4691" t="s">
        <v>4901</v>
      </c>
      <c r="R4691" t="s">
        <v>4773</v>
      </c>
    </row>
    <row r="4692" spans="1:18" x14ac:dyDescent="0.3">
      <c r="A4692">
        <v>40761</v>
      </c>
      <c r="B4692" t="s">
        <v>1034</v>
      </c>
      <c r="C4692" t="s">
        <v>327</v>
      </c>
      <c r="D4692" t="s">
        <v>159</v>
      </c>
      <c r="E4692" s="1">
        <v>45677</v>
      </c>
      <c r="F4692" t="s">
        <v>4295</v>
      </c>
      <c r="G4692" t="s">
        <v>1213</v>
      </c>
      <c r="H4692" t="s">
        <v>357</v>
      </c>
      <c r="I4692" t="s">
        <v>204</v>
      </c>
      <c r="J4692" s="1">
        <v>46476</v>
      </c>
      <c r="K4692" t="s">
        <v>711</v>
      </c>
      <c r="L4692">
        <v>2150</v>
      </c>
      <c r="M4692">
        <v>2150</v>
      </c>
      <c r="N4692" t="s">
        <v>890</v>
      </c>
      <c r="O4692" t="s">
        <v>4834</v>
      </c>
      <c r="P4692" t="s">
        <v>4776</v>
      </c>
      <c r="Q4692" t="s">
        <v>4901</v>
      </c>
      <c r="R4692" t="s">
        <v>4773</v>
      </c>
    </row>
    <row r="4693" spans="1:18" x14ac:dyDescent="0.3">
      <c r="A4693">
        <v>915945</v>
      </c>
      <c r="B4693" t="s">
        <v>1034</v>
      </c>
      <c r="C4693" t="s">
        <v>338</v>
      </c>
      <c r="D4693" t="s">
        <v>31</v>
      </c>
      <c r="E4693" s="1">
        <v>45677</v>
      </c>
      <c r="F4693" t="s">
        <v>4299</v>
      </c>
      <c r="G4693" t="s">
        <v>1209</v>
      </c>
      <c r="H4693" t="s">
        <v>337</v>
      </c>
      <c r="I4693" t="s">
        <v>204</v>
      </c>
      <c r="J4693" s="1">
        <v>54878</v>
      </c>
      <c r="K4693" t="s">
        <v>711</v>
      </c>
      <c r="L4693">
        <v>18424</v>
      </c>
      <c r="M4693">
        <v>18423.84</v>
      </c>
      <c r="N4693" t="s">
        <v>710</v>
      </c>
      <c r="O4693" t="s">
        <v>1036</v>
      </c>
      <c r="P4693" t="s">
        <v>4785</v>
      </c>
      <c r="Q4693" t="s">
        <v>4901</v>
      </c>
      <c r="R4693" t="s">
        <v>4773</v>
      </c>
    </row>
    <row r="4694" spans="1:18" x14ac:dyDescent="0.3">
      <c r="A4694">
        <v>40763</v>
      </c>
      <c r="B4694" t="s">
        <v>1034</v>
      </c>
      <c r="C4694" t="s">
        <v>327</v>
      </c>
      <c r="D4694" t="s">
        <v>159</v>
      </c>
      <c r="E4694" s="1">
        <v>45677</v>
      </c>
      <c r="F4694" t="s">
        <v>4295</v>
      </c>
      <c r="G4694" t="s">
        <v>1212</v>
      </c>
      <c r="H4694" t="s">
        <v>357</v>
      </c>
      <c r="I4694" t="s">
        <v>204</v>
      </c>
      <c r="J4694" s="1">
        <v>46476</v>
      </c>
      <c r="K4694" t="s">
        <v>711</v>
      </c>
      <c r="L4694">
        <v>2150</v>
      </c>
      <c r="M4694">
        <v>2150</v>
      </c>
      <c r="N4694" t="s">
        <v>890</v>
      </c>
      <c r="O4694" t="s">
        <v>4834</v>
      </c>
      <c r="P4694" t="s">
        <v>4776</v>
      </c>
      <c r="Q4694" t="s">
        <v>4901</v>
      </c>
      <c r="R4694" t="s">
        <v>4773</v>
      </c>
    </row>
    <row r="4695" spans="1:18" x14ac:dyDescent="0.3">
      <c r="A4695">
        <v>40762</v>
      </c>
      <c r="B4695" t="s">
        <v>1034</v>
      </c>
      <c r="C4695" t="s">
        <v>327</v>
      </c>
      <c r="D4695" t="s">
        <v>159</v>
      </c>
      <c r="E4695" s="1">
        <v>45677</v>
      </c>
      <c r="F4695" t="s">
        <v>4295</v>
      </c>
      <c r="G4695" t="s">
        <v>1215</v>
      </c>
      <c r="H4695" t="s">
        <v>357</v>
      </c>
      <c r="I4695" t="s">
        <v>204</v>
      </c>
      <c r="J4695" s="1">
        <v>46476</v>
      </c>
      <c r="K4695" t="s">
        <v>711</v>
      </c>
      <c r="L4695">
        <v>1474.2</v>
      </c>
      <c r="M4695">
        <v>1474.2</v>
      </c>
      <c r="N4695" t="s">
        <v>890</v>
      </c>
      <c r="O4695" t="s">
        <v>4834</v>
      </c>
      <c r="P4695" t="s">
        <v>4776</v>
      </c>
      <c r="Q4695" t="s">
        <v>4901</v>
      </c>
      <c r="R4695" t="s">
        <v>4773</v>
      </c>
    </row>
    <row r="4696" spans="1:18" x14ac:dyDescent="0.3">
      <c r="A4696">
        <v>2580</v>
      </c>
      <c r="B4696" t="s">
        <v>4874</v>
      </c>
      <c r="C4696" t="s">
        <v>372</v>
      </c>
      <c r="D4696" t="s">
        <v>105</v>
      </c>
      <c r="E4696" s="1">
        <v>45677</v>
      </c>
      <c r="F4696" t="s">
        <v>4408</v>
      </c>
      <c r="G4696" t="s">
        <v>1199</v>
      </c>
      <c r="H4696" t="s">
        <v>371</v>
      </c>
      <c r="I4696" t="s">
        <v>209</v>
      </c>
      <c r="J4696" s="1">
        <v>45904</v>
      </c>
      <c r="K4696" t="s">
        <v>720</v>
      </c>
      <c r="L4696">
        <v>1</v>
      </c>
      <c r="M4696">
        <v>2089</v>
      </c>
      <c r="N4696" t="s">
        <v>719</v>
      </c>
      <c r="O4696" t="s">
        <v>1038</v>
      </c>
      <c r="P4696" t="s">
        <v>4777</v>
      </c>
      <c r="Q4696" t="s">
        <v>4858</v>
      </c>
      <c r="R4696" t="s">
        <v>4773</v>
      </c>
    </row>
    <row r="4697" spans="1:18" x14ac:dyDescent="0.3">
      <c r="A4697">
        <v>7828</v>
      </c>
      <c r="B4697" t="s">
        <v>1034</v>
      </c>
      <c r="C4697" t="s">
        <v>267</v>
      </c>
      <c r="D4697" t="s">
        <v>186</v>
      </c>
      <c r="E4697" s="1">
        <v>45677</v>
      </c>
      <c r="F4697" t="s">
        <v>4350</v>
      </c>
      <c r="G4697" t="s">
        <v>1219</v>
      </c>
      <c r="H4697" t="s">
        <v>266</v>
      </c>
      <c r="I4697" t="s">
        <v>204</v>
      </c>
      <c r="J4697" s="1">
        <v>46259</v>
      </c>
      <c r="K4697" t="s">
        <v>717</v>
      </c>
      <c r="L4697">
        <v>44193.599999999999</v>
      </c>
      <c r="M4697">
        <v>44193.599999999999</v>
      </c>
      <c r="N4697" t="s">
        <v>710</v>
      </c>
      <c r="O4697" t="s">
        <v>1037</v>
      </c>
      <c r="P4697" t="s">
        <v>4780</v>
      </c>
      <c r="Q4697" t="s">
        <v>4852</v>
      </c>
      <c r="R4697" t="s">
        <v>4772</v>
      </c>
    </row>
    <row r="4698" spans="1:18" x14ac:dyDescent="0.3">
      <c r="A4698">
        <v>40755</v>
      </c>
      <c r="B4698" t="s">
        <v>4875</v>
      </c>
      <c r="C4698" t="s">
        <v>327</v>
      </c>
      <c r="D4698" t="s">
        <v>159</v>
      </c>
      <c r="E4698" s="1">
        <v>45677</v>
      </c>
      <c r="F4698" t="s">
        <v>4295</v>
      </c>
      <c r="G4698" t="s">
        <v>1202</v>
      </c>
      <c r="H4698" t="s">
        <v>326</v>
      </c>
      <c r="I4698" t="s">
        <v>204</v>
      </c>
      <c r="J4698" s="1">
        <v>54878</v>
      </c>
      <c r="K4698" t="s">
        <v>748</v>
      </c>
      <c r="L4698">
        <v>2598.62</v>
      </c>
      <c r="M4698">
        <v>2598.62</v>
      </c>
      <c r="N4698" t="s">
        <v>719</v>
      </c>
      <c r="O4698" t="s">
        <v>4834</v>
      </c>
      <c r="P4698" t="s">
        <v>4776</v>
      </c>
      <c r="Q4698" t="s">
        <v>4856</v>
      </c>
      <c r="R4698" t="s">
        <v>4773</v>
      </c>
    </row>
    <row r="4699" spans="1:18" x14ac:dyDescent="0.3">
      <c r="A4699">
        <v>40756</v>
      </c>
      <c r="B4699" t="s">
        <v>4875</v>
      </c>
      <c r="C4699" t="s">
        <v>327</v>
      </c>
      <c r="D4699" t="s">
        <v>159</v>
      </c>
      <c r="E4699" s="1">
        <v>45677</v>
      </c>
      <c r="F4699" t="s">
        <v>4295</v>
      </c>
      <c r="G4699" t="s">
        <v>1203</v>
      </c>
      <c r="H4699" t="s">
        <v>326</v>
      </c>
      <c r="I4699" t="s">
        <v>204</v>
      </c>
      <c r="J4699" s="1">
        <v>54878</v>
      </c>
      <c r="K4699" t="s">
        <v>748</v>
      </c>
      <c r="L4699">
        <v>2150</v>
      </c>
      <c r="M4699">
        <v>2150</v>
      </c>
      <c r="N4699" t="s">
        <v>719</v>
      </c>
      <c r="O4699" t="s">
        <v>4834</v>
      </c>
      <c r="P4699" t="s">
        <v>4776</v>
      </c>
      <c r="Q4699" t="s">
        <v>4856</v>
      </c>
      <c r="R4699" t="s">
        <v>4773</v>
      </c>
    </row>
    <row r="4700" spans="1:18" x14ac:dyDescent="0.3">
      <c r="A4700">
        <v>6400152</v>
      </c>
      <c r="B4700" t="s">
        <v>4875</v>
      </c>
      <c r="C4700" t="s">
        <v>333</v>
      </c>
      <c r="D4700" t="s">
        <v>29</v>
      </c>
      <c r="E4700" s="1">
        <v>45677</v>
      </c>
      <c r="F4700" t="s">
        <v>4317</v>
      </c>
      <c r="G4700" t="s">
        <v>1221</v>
      </c>
      <c r="H4700" t="s">
        <v>335</v>
      </c>
      <c r="I4700" t="s">
        <v>204</v>
      </c>
      <c r="J4700" s="1">
        <v>54878</v>
      </c>
      <c r="K4700" t="s">
        <v>748</v>
      </c>
      <c r="L4700">
        <v>104</v>
      </c>
      <c r="M4700">
        <v>104.49</v>
      </c>
      <c r="N4700" t="s">
        <v>710</v>
      </c>
      <c r="O4700" t="s">
        <v>1040</v>
      </c>
      <c r="P4700" t="s">
        <v>4776</v>
      </c>
      <c r="Q4700" t="s">
        <v>4856</v>
      </c>
      <c r="R4700" t="s">
        <v>4771</v>
      </c>
    </row>
    <row r="4701" spans="1:18" x14ac:dyDescent="0.3">
      <c r="A4701">
        <v>7826</v>
      </c>
      <c r="B4701" t="s">
        <v>1034</v>
      </c>
      <c r="C4701" t="s">
        <v>267</v>
      </c>
      <c r="D4701" t="s">
        <v>186</v>
      </c>
      <c r="E4701" s="1">
        <v>45677</v>
      </c>
      <c r="F4701" t="s">
        <v>4350</v>
      </c>
      <c r="G4701" t="s">
        <v>1219</v>
      </c>
      <c r="H4701" t="s">
        <v>266</v>
      </c>
      <c r="I4701" t="s">
        <v>204</v>
      </c>
      <c r="J4701" s="1">
        <v>46259</v>
      </c>
      <c r="K4701" t="s">
        <v>717</v>
      </c>
      <c r="L4701">
        <v>5746.24</v>
      </c>
      <c r="M4701">
        <v>5746.24</v>
      </c>
      <c r="N4701" t="s">
        <v>710</v>
      </c>
      <c r="O4701" t="s">
        <v>1037</v>
      </c>
      <c r="P4701" t="s">
        <v>4780</v>
      </c>
      <c r="Q4701" t="s">
        <v>4852</v>
      </c>
      <c r="R4701" t="s">
        <v>4772</v>
      </c>
    </row>
    <row r="4702" spans="1:18" x14ac:dyDescent="0.3">
      <c r="A4702">
        <v>7827</v>
      </c>
      <c r="B4702" t="s">
        <v>1034</v>
      </c>
      <c r="C4702" t="s">
        <v>267</v>
      </c>
      <c r="D4702" t="s">
        <v>186</v>
      </c>
      <c r="E4702" s="1">
        <v>45677</v>
      </c>
      <c r="F4702" t="s">
        <v>4350</v>
      </c>
      <c r="G4702" t="s">
        <v>1219</v>
      </c>
      <c r="H4702" t="s">
        <v>266</v>
      </c>
      <c r="I4702" t="s">
        <v>204</v>
      </c>
      <c r="J4702" s="1">
        <v>46259</v>
      </c>
      <c r="K4702" t="s">
        <v>717</v>
      </c>
      <c r="L4702">
        <v>15332.36</v>
      </c>
      <c r="M4702">
        <v>15332.36</v>
      </c>
      <c r="N4702" t="s">
        <v>710</v>
      </c>
      <c r="O4702" t="s">
        <v>1037</v>
      </c>
      <c r="P4702" t="s">
        <v>4780</v>
      </c>
      <c r="Q4702" t="s">
        <v>4852</v>
      </c>
      <c r="R4702" t="s">
        <v>4772</v>
      </c>
    </row>
    <row r="4703" spans="1:18" x14ac:dyDescent="0.3">
      <c r="A4703">
        <v>399524</v>
      </c>
      <c r="B4703" t="s">
        <v>4874</v>
      </c>
      <c r="C4703" t="s">
        <v>333</v>
      </c>
      <c r="D4703" t="s">
        <v>29</v>
      </c>
      <c r="E4703" s="1">
        <v>45677</v>
      </c>
      <c r="F4703" t="s">
        <v>4317</v>
      </c>
      <c r="G4703" t="s">
        <v>1222</v>
      </c>
      <c r="H4703" t="s">
        <v>460</v>
      </c>
      <c r="I4703" t="s">
        <v>204</v>
      </c>
      <c r="J4703" s="1">
        <v>54878</v>
      </c>
      <c r="K4703" t="s">
        <v>785</v>
      </c>
      <c r="L4703">
        <v>1</v>
      </c>
      <c r="M4703">
        <v>137.99</v>
      </c>
      <c r="N4703" t="s">
        <v>710</v>
      </c>
      <c r="O4703" t="s">
        <v>1038</v>
      </c>
      <c r="P4703" t="s">
        <v>4776</v>
      </c>
      <c r="Q4703" t="s">
        <v>4858</v>
      </c>
      <c r="R4703" t="s">
        <v>4771</v>
      </c>
    </row>
    <row r="4704" spans="1:18" x14ac:dyDescent="0.3">
      <c r="A4704">
        <v>7829</v>
      </c>
      <c r="B4704" t="s">
        <v>1034</v>
      </c>
      <c r="C4704" t="s">
        <v>267</v>
      </c>
      <c r="D4704" t="s">
        <v>186</v>
      </c>
      <c r="E4704" s="1">
        <v>45677</v>
      </c>
      <c r="F4704" t="s">
        <v>4350</v>
      </c>
      <c r="G4704" t="s">
        <v>1219</v>
      </c>
      <c r="H4704" t="s">
        <v>266</v>
      </c>
      <c r="I4704" t="s">
        <v>204</v>
      </c>
      <c r="J4704" s="1">
        <v>46259</v>
      </c>
      <c r="K4704" t="s">
        <v>717</v>
      </c>
      <c r="L4704">
        <v>13075.04</v>
      </c>
      <c r="M4704">
        <v>13075.04</v>
      </c>
      <c r="N4704" t="s">
        <v>710</v>
      </c>
      <c r="O4704" t="s">
        <v>1037</v>
      </c>
      <c r="P4704" t="s">
        <v>4780</v>
      </c>
      <c r="Q4704" t="s">
        <v>4852</v>
      </c>
      <c r="R4704" t="s">
        <v>4772</v>
      </c>
    </row>
    <row r="4705" spans="1:18" x14ac:dyDescent="0.3">
      <c r="A4705">
        <v>7830</v>
      </c>
      <c r="B4705" t="s">
        <v>1034</v>
      </c>
      <c r="C4705" t="s">
        <v>267</v>
      </c>
      <c r="D4705" t="s">
        <v>186</v>
      </c>
      <c r="E4705" s="1">
        <v>45677</v>
      </c>
      <c r="F4705" t="s">
        <v>4350</v>
      </c>
      <c r="G4705" t="s">
        <v>1219</v>
      </c>
      <c r="H4705" t="s">
        <v>266</v>
      </c>
      <c r="I4705" t="s">
        <v>204</v>
      </c>
      <c r="J4705" s="1">
        <v>46259</v>
      </c>
      <c r="K4705" t="s">
        <v>717</v>
      </c>
      <c r="L4705">
        <v>26400</v>
      </c>
      <c r="M4705">
        <v>26400</v>
      </c>
      <c r="N4705" t="s">
        <v>710</v>
      </c>
      <c r="O4705" t="s">
        <v>1037</v>
      </c>
      <c r="P4705" t="s">
        <v>4780</v>
      </c>
      <c r="Q4705" t="s">
        <v>4852</v>
      </c>
      <c r="R4705" t="s">
        <v>4772</v>
      </c>
    </row>
    <row r="4706" spans="1:18" x14ac:dyDescent="0.3">
      <c r="A4706">
        <v>7831</v>
      </c>
      <c r="B4706" t="s">
        <v>1034</v>
      </c>
      <c r="C4706" t="s">
        <v>267</v>
      </c>
      <c r="D4706" t="s">
        <v>186</v>
      </c>
      <c r="E4706" s="1">
        <v>45677</v>
      </c>
      <c r="F4706" t="s">
        <v>4350</v>
      </c>
      <c r="G4706" t="s">
        <v>1219</v>
      </c>
      <c r="H4706" t="s">
        <v>266</v>
      </c>
      <c r="I4706" t="s">
        <v>204</v>
      </c>
      <c r="J4706" s="1">
        <v>46259</v>
      </c>
      <c r="K4706" t="s">
        <v>717</v>
      </c>
      <c r="L4706">
        <v>18437.2</v>
      </c>
      <c r="M4706">
        <v>18437.2</v>
      </c>
      <c r="N4706" t="s">
        <v>710</v>
      </c>
      <c r="O4706" t="s">
        <v>1037</v>
      </c>
      <c r="P4706" t="s">
        <v>4780</v>
      </c>
      <c r="Q4706" t="s">
        <v>4852</v>
      </c>
      <c r="R4706" t="s">
        <v>4772</v>
      </c>
    </row>
    <row r="4707" spans="1:18" x14ac:dyDescent="0.3">
      <c r="A4707">
        <v>3383</v>
      </c>
      <c r="B4707" t="s">
        <v>1034</v>
      </c>
      <c r="C4707" t="s">
        <v>267</v>
      </c>
      <c r="D4707" t="s">
        <v>186</v>
      </c>
      <c r="E4707" s="1">
        <v>45677</v>
      </c>
      <c r="F4707" t="s">
        <v>4349</v>
      </c>
      <c r="G4707" t="s">
        <v>1219</v>
      </c>
      <c r="H4707" t="s">
        <v>266</v>
      </c>
      <c r="I4707" t="s">
        <v>204</v>
      </c>
      <c r="J4707" s="1">
        <v>46259</v>
      </c>
      <c r="K4707" t="s">
        <v>717</v>
      </c>
      <c r="L4707">
        <v>41660.239999999998</v>
      </c>
      <c r="M4707">
        <v>41660.239999999998</v>
      </c>
      <c r="N4707" t="s">
        <v>710</v>
      </c>
      <c r="O4707" t="s">
        <v>1037</v>
      </c>
      <c r="P4707" t="s">
        <v>4780</v>
      </c>
      <c r="Q4707" t="s">
        <v>4852</v>
      </c>
      <c r="R4707" t="s">
        <v>4772</v>
      </c>
    </row>
    <row r="4708" spans="1:18" x14ac:dyDescent="0.3">
      <c r="A4708">
        <v>716</v>
      </c>
      <c r="B4708" t="s">
        <v>1034</v>
      </c>
      <c r="C4708" t="s">
        <v>603</v>
      </c>
      <c r="D4708" t="s">
        <v>69</v>
      </c>
      <c r="E4708" s="1">
        <v>45677</v>
      </c>
      <c r="F4708" t="s">
        <v>4345</v>
      </c>
      <c r="G4708" t="s">
        <v>1049</v>
      </c>
      <c r="H4708" t="s">
        <v>602</v>
      </c>
      <c r="I4708" t="s">
        <v>209</v>
      </c>
      <c r="J4708" s="1">
        <v>46276</v>
      </c>
      <c r="K4708" t="s">
        <v>720</v>
      </c>
      <c r="L4708">
        <v>1</v>
      </c>
      <c r="M4708">
        <v>2918.6</v>
      </c>
      <c r="N4708" t="s">
        <v>954</v>
      </c>
      <c r="O4708" t="s">
        <v>4834</v>
      </c>
      <c r="P4708" t="s">
        <v>952</v>
      </c>
      <c r="Q4708" t="s">
        <v>4901</v>
      </c>
      <c r="R4708" t="s">
        <v>4771</v>
      </c>
    </row>
    <row r="4709" spans="1:18" x14ac:dyDescent="0.3">
      <c r="A4709">
        <v>181</v>
      </c>
      <c r="B4709" t="s">
        <v>4874</v>
      </c>
      <c r="C4709" t="s">
        <v>568</v>
      </c>
      <c r="D4709" t="s">
        <v>64</v>
      </c>
      <c r="E4709" s="1">
        <v>45677</v>
      </c>
      <c r="F4709" t="s">
        <v>4368</v>
      </c>
      <c r="G4709" t="s">
        <v>1186</v>
      </c>
      <c r="H4709" t="s">
        <v>576</v>
      </c>
      <c r="I4709" t="s">
        <v>209</v>
      </c>
      <c r="J4709" s="1">
        <v>46262</v>
      </c>
      <c r="K4709" t="s">
        <v>762</v>
      </c>
      <c r="L4709">
        <v>1</v>
      </c>
      <c r="M4709">
        <v>3600</v>
      </c>
      <c r="N4709" t="s">
        <v>710</v>
      </c>
      <c r="O4709" t="s">
        <v>1038</v>
      </c>
      <c r="P4709" t="s">
        <v>4782</v>
      </c>
      <c r="Q4709" t="s">
        <v>4858</v>
      </c>
      <c r="R4709" t="s">
        <v>4771</v>
      </c>
    </row>
    <row r="4710" spans="1:18" x14ac:dyDescent="0.3">
      <c r="A4710">
        <v>120790</v>
      </c>
      <c r="B4710" t="s">
        <v>1034</v>
      </c>
      <c r="C4710" t="s">
        <v>563</v>
      </c>
      <c r="D4710" t="s">
        <v>63</v>
      </c>
      <c r="E4710" s="1">
        <v>45677</v>
      </c>
      <c r="F4710" t="s">
        <v>4362</v>
      </c>
      <c r="G4710" t="s">
        <v>1161</v>
      </c>
      <c r="H4710" t="s">
        <v>562</v>
      </c>
      <c r="I4710" t="s">
        <v>209</v>
      </c>
      <c r="J4710" s="1">
        <v>45596</v>
      </c>
      <c r="K4710" t="s">
        <v>762</v>
      </c>
      <c r="L4710">
        <v>3319</v>
      </c>
      <c r="M4710">
        <v>3319</v>
      </c>
      <c r="N4710" t="s">
        <v>710</v>
      </c>
      <c r="Q4710" t="s">
        <v>4845</v>
      </c>
      <c r="R4710" t="s">
        <v>4772</v>
      </c>
    </row>
    <row r="4711" spans="1:18" x14ac:dyDescent="0.3">
      <c r="A4711">
        <v>116975</v>
      </c>
      <c r="B4711" t="s">
        <v>1034</v>
      </c>
      <c r="C4711" t="s">
        <v>563</v>
      </c>
      <c r="D4711" t="s">
        <v>63</v>
      </c>
      <c r="E4711" s="1">
        <v>45677</v>
      </c>
      <c r="F4711" t="s">
        <v>4362</v>
      </c>
      <c r="G4711" t="s">
        <v>1160</v>
      </c>
      <c r="H4711" t="s">
        <v>562</v>
      </c>
      <c r="I4711" t="s">
        <v>209</v>
      </c>
      <c r="J4711" s="1">
        <v>45596</v>
      </c>
      <c r="K4711" t="s">
        <v>762</v>
      </c>
      <c r="L4711">
        <v>3319</v>
      </c>
      <c r="M4711">
        <v>3319</v>
      </c>
      <c r="N4711" t="s">
        <v>710</v>
      </c>
      <c r="Q4711" t="s">
        <v>4845</v>
      </c>
      <c r="R4711" t="s">
        <v>4772</v>
      </c>
    </row>
    <row r="4712" spans="1:18" x14ac:dyDescent="0.3">
      <c r="A4712">
        <v>2741</v>
      </c>
      <c r="B4712" t="s">
        <v>4874</v>
      </c>
      <c r="C4712" t="s">
        <v>469</v>
      </c>
      <c r="D4712" t="s">
        <v>124</v>
      </c>
      <c r="E4712" s="1">
        <v>45677</v>
      </c>
      <c r="F4712" t="s">
        <v>4361</v>
      </c>
      <c r="G4712" t="s">
        <v>1180</v>
      </c>
      <c r="H4712" t="s">
        <v>468</v>
      </c>
      <c r="I4712" t="s">
        <v>204</v>
      </c>
      <c r="J4712" s="1">
        <v>54878</v>
      </c>
      <c r="K4712" t="s">
        <v>762</v>
      </c>
      <c r="L4712">
        <v>312</v>
      </c>
      <c r="M4712">
        <v>312</v>
      </c>
      <c r="N4712" t="s">
        <v>719</v>
      </c>
      <c r="O4712" t="s">
        <v>4845</v>
      </c>
      <c r="P4712" t="s">
        <v>4776</v>
      </c>
      <c r="Q4712" t="s">
        <v>4845</v>
      </c>
      <c r="R4712" t="s">
        <v>4771</v>
      </c>
    </row>
    <row r="4713" spans="1:18" x14ac:dyDescent="0.3">
      <c r="A4713">
        <v>40764</v>
      </c>
      <c r="B4713" t="s">
        <v>1034</v>
      </c>
      <c r="C4713" t="s">
        <v>327</v>
      </c>
      <c r="D4713" t="s">
        <v>159</v>
      </c>
      <c r="E4713" s="1">
        <v>45677</v>
      </c>
      <c r="F4713" t="s">
        <v>4295</v>
      </c>
      <c r="G4713" t="s">
        <v>1214</v>
      </c>
      <c r="H4713" t="s">
        <v>357</v>
      </c>
      <c r="I4713" t="s">
        <v>204</v>
      </c>
      <c r="J4713" s="1">
        <v>46476</v>
      </c>
      <c r="K4713" t="s">
        <v>711</v>
      </c>
      <c r="L4713">
        <v>1724.63</v>
      </c>
      <c r="M4713">
        <v>1724.63</v>
      </c>
      <c r="N4713" t="s">
        <v>890</v>
      </c>
      <c r="O4713" t="s">
        <v>4834</v>
      </c>
      <c r="P4713" t="s">
        <v>4776</v>
      </c>
      <c r="Q4713" t="s">
        <v>4901</v>
      </c>
      <c r="R4713" t="s">
        <v>4773</v>
      </c>
    </row>
    <row r="4714" spans="1:18" x14ac:dyDescent="0.3">
      <c r="A4714">
        <v>801541</v>
      </c>
      <c r="B4714" t="s">
        <v>1034</v>
      </c>
      <c r="C4714" t="s">
        <v>276</v>
      </c>
      <c r="D4714" t="s">
        <v>5</v>
      </c>
      <c r="E4714" s="1">
        <v>45674</v>
      </c>
      <c r="F4714" t="s">
        <v>4315</v>
      </c>
      <c r="G4714" t="s">
        <v>1216</v>
      </c>
      <c r="H4714" t="s">
        <v>275</v>
      </c>
      <c r="I4714" t="s">
        <v>204</v>
      </c>
      <c r="J4714" s="1">
        <v>46904</v>
      </c>
      <c r="K4714" t="s">
        <v>717</v>
      </c>
      <c r="L4714">
        <v>30627.46</v>
      </c>
      <c r="M4714">
        <v>30627.46</v>
      </c>
      <c r="N4714" t="s">
        <v>710</v>
      </c>
      <c r="O4714" t="s">
        <v>1037</v>
      </c>
      <c r="P4714" t="s">
        <v>4776</v>
      </c>
      <c r="Q4714" t="s">
        <v>4852</v>
      </c>
      <c r="R4714" t="s">
        <v>4773</v>
      </c>
    </row>
    <row r="4715" spans="1:18" x14ac:dyDescent="0.3">
      <c r="A4715">
        <v>14757</v>
      </c>
      <c r="B4715" t="s">
        <v>4876</v>
      </c>
      <c r="C4715" t="s">
        <v>439</v>
      </c>
      <c r="D4715" t="s">
        <v>156</v>
      </c>
      <c r="E4715" s="1">
        <v>45674</v>
      </c>
      <c r="F4715" t="s">
        <v>4396</v>
      </c>
      <c r="G4715" t="s">
        <v>1217</v>
      </c>
      <c r="H4715" t="s">
        <v>485</v>
      </c>
      <c r="I4715" t="s">
        <v>204</v>
      </c>
      <c r="J4715" s="1">
        <v>54878</v>
      </c>
      <c r="K4715" t="s">
        <v>839</v>
      </c>
      <c r="L4715">
        <v>5048.3599999999997</v>
      </c>
      <c r="M4715">
        <v>5048.3599999999997</v>
      </c>
      <c r="N4715" t="s">
        <v>710</v>
      </c>
      <c r="O4715" t="s">
        <v>1037</v>
      </c>
      <c r="P4715" t="s">
        <v>4776</v>
      </c>
      <c r="Q4715" t="s">
        <v>4852</v>
      </c>
      <c r="R4715" t="s">
        <v>4771</v>
      </c>
    </row>
    <row r="4716" spans="1:18" x14ac:dyDescent="0.3">
      <c r="A4716">
        <v>40633</v>
      </c>
      <c r="B4716" t="s">
        <v>1034</v>
      </c>
      <c r="C4716" t="s">
        <v>327</v>
      </c>
      <c r="D4716" t="s">
        <v>159</v>
      </c>
      <c r="E4716" s="1">
        <v>45674</v>
      </c>
      <c r="F4716" t="s">
        <v>4295</v>
      </c>
      <c r="G4716" t="s">
        <v>1069</v>
      </c>
      <c r="H4716" t="s">
        <v>357</v>
      </c>
      <c r="I4716" t="s">
        <v>204</v>
      </c>
      <c r="J4716" s="1">
        <v>46476</v>
      </c>
      <c r="K4716" t="s">
        <v>711</v>
      </c>
      <c r="L4716">
        <v>1750</v>
      </c>
      <c r="M4716">
        <v>1750</v>
      </c>
      <c r="N4716" t="s">
        <v>890</v>
      </c>
      <c r="O4716" t="s">
        <v>4834</v>
      </c>
      <c r="P4716" t="s">
        <v>4776</v>
      </c>
      <c r="Q4716" t="s">
        <v>4901</v>
      </c>
      <c r="R4716" t="s">
        <v>4773</v>
      </c>
    </row>
    <row r="4717" spans="1:18" x14ac:dyDescent="0.3">
      <c r="A4717">
        <v>31209</v>
      </c>
      <c r="B4717" t="s">
        <v>4875</v>
      </c>
      <c r="C4717" t="s">
        <v>314</v>
      </c>
      <c r="D4717" t="s">
        <v>39</v>
      </c>
      <c r="E4717" s="1">
        <v>45674</v>
      </c>
      <c r="F4717" t="s">
        <v>4347</v>
      </c>
      <c r="G4717" t="s">
        <v>1147</v>
      </c>
      <c r="H4717" t="s">
        <v>341</v>
      </c>
      <c r="I4717" t="s">
        <v>204</v>
      </c>
      <c r="J4717" s="1">
        <v>46266</v>
      </c>
      <c r="K4717" t="s">
        <v>748</v>
      </c>
      <c r="L4717">
        <v>664.4</v>
      </c>
      <c r="M4717">
        <v>664.4</v>
      </c>
      <c r="N4717" t="s">
        <v>710</v>
      </c>
      <c r="O4717" t="s">
        <v>4834</v>
      </c>
      <c r="P4717" t="s">
        <v>4776</v>
      </c>
      <c r="Q4717" t="s">
        <v>4856</v>
      </c>
      <c r="R4717" t="s">
        <v>4773</v>
      </c>
    </row>
    <row r="4718" spans="1:18" x14ac:dyDescent="0.3">
      <c r="A4718">
        <v>31210</v>
      </c>
      <c r="B4718" t="s">
        <v>4875</v>
      </c>
      <c r="C4718" t="s">
        <v>314</v>
      </c>
      <c r="D4718" t="s">
        <v>39</v>
      </c>
      <c r="E4718" s="1">
        <v>45674</v>
      </c>
      <c r="F4718" t="s">
        <v>4347</v>
      </c>
      <c r="G4718" t="s">
        <v>1145</v>
      </c>
      <c r="H4718" t="s">
        <v>341</v>
      </c>
      <c r="I4718" t="s">
        <v>204</v>
      </c>
      <c r="J4718" s="1">
        <v>46266</v>
      </c>
      <c r="K4718" t="s">
        <v>748</v>
      </c>
      <c r="L4718">
        <v>1089</v>
      </c>
      <c r="M4718">
        <v>1089</v>
      </c>
      <c r="N4718" t="s">
        <v>710</v>
      </c>
      <c r="O4718" t="s">
        <v>4834</v>
      </c>
      <c r="P4718" t="s">
        <v>4776</v>
      </c>
      <c r="Q4718" t="s">
        <v>4856</v>
      </c>
      <c r="R4718" t="s">
        <v>4773</v>
      </c>
    </row>
    <row r="4719" spans="1:18" x14ac:dyDescent="0.3">
      <c r="A4719">
        <v>202512</v>
      </c>
      <c r="B4719" t="s">
        <v>4875</v>
      </c>
      <c r="C4719" t="s">
        <v>322</v>
      </c>
      <c r="D4719" t="s">
        <v>158</v>
      </c>
      <c r="E4719" s="1">
        <v>45674</v>
      </c>
      <c r="F4719" t="s">
        <v>4431</v>
      </c>
      <c r="G4719" t="s">
        <v>1137</v>
      </c>
      <c r="H4719" t="s">
        <v>321</v>
      </c>
      <c r="I4719" t="s">
        <v>204</v>
      </c>
      <c r="J4719" s="1">
        <v>46310</v>
      </c>
      <c r="K4719" t="s">
        <v>748</v>
      </c>
      <c r="L4719">
        <v>7651.11</v>
      </c>
      <c r="M4719">
        <v>7651.11</v>
      </c>
      <c r="N4719" t="s">
        <v>710</v>
      </c>
      <c r="O4719" t="s">
        <v>1040</v>
      </c>
      <c r="P4719" t="s">
        <v>4782</v>
      </c>
      <c r="Q4719" t="s">
        <v>4856</v>
      </c>
      <c r="R4719" t="s">
        <v>4773</v>
      </c>
    </row>
    <row r="4720" spans="1:18" x14ac:dyDescent="0.3">
      <c r="A4720">
        <v>803447</v>
      </c>
      <c r="B4720" t="s">
        <v>1034</v>
      </c>
      <c r="C4720" t="s">
        <v>276</v>
      </c>
      <c r="D4720" t="s">
        <v>5</v>
      </c>
      <c r="E4720" s="1">
        <v>45674</v>
      </c>
      <c r="F4720" t="s">
        <v>4315</v>
      </c>
      <c r="G4720" t="s">
        <v>1216</v>
      </c>
      <c r="H4720" t="s">
        <v>275</v>
      </c>
      <c r="I4720" t="s">
        <v>204</v>
      </c>
      <c r="J4720" s="1">
        <v>46904</v>
      </c>
      <c r="K4720" t="s">
        <v>717</v>
      </c>
      <c r="L4720">
        <v>18741.419999999998</v>
      </c>
      <c r="M4720">
        <v>18741.419999999998</v>
      </c>
      <c r="N4720" t="s">
        <v>710</v>
      </c>
      <c r="O4720" t="s">
        <v>1037</v>
      </c>
      <c r="P4720" t="s">
        <v>4776</v>
      </c>
      <c r="Q4720" t="s">
        <v>4852</v>
      </c>
      <c r="R4720" t="s">
        <v>4773</v>
      </c>
    </row>
    <row r="4721" spans="1:18" x14ac:dyDescent="0.3">
      <c r="A4721">
        <v>531</v>
      </c>
      <c r="B4721" t="s">
        <v>4874</v>
      </c>
      <c r="C4721" t="s">
        <v>259</v>
      </c>
      <c r="D4721" t="s">
        <v>122</v>
      </c>
      <c r="E4721" s="1">
        <v>45674</v>
      </c>
      <c r="F4721" t="s">
        <v>4390</v>
      </c>
      <c r="G4721" t="s">
        <v>1169</v>
      </c>
      <c r="H4721" t="s">
        <v>258</v>
      </c>
      <c r="I4721" t="s">
        <v>204</v>
      </c>
      <c r="J4721" s="1">
        <v>46337</v>
      </c>
      <c r="K4721" t="s">
        <v>720</v>
      </c>
      <c r="L4721">
        <v>1</v>
      </c>
      <c r="M4721">
        <v>39804</v>
      </c>
      <c r="N4721" t="s">
        <v>710</v>
      </c>
      <c r="O4721" t="s">
        <v>1038</v>
      </c>
      <c r="P4721" t="s">
        <v>4777</v>
      </c>
      <c r="Q4721" t="s">
        <v>4858</v>
      </c>
      <c r="R4721" t="s">
        <v>4771</v>
      </c>
    </row>
    <row r="4722" spans="1:18" x14ac:dyDescent="0.3">
      <c r="A4722">
        <v>110999</v>
      </c>
      <c r="B4722" t="s">
        <v>1034</v>
      </c>
      <c r="C4722" t="s">
        <v>563</v>
      </c>
      <c r="D4722" t="s">
        <v>63</v>
      </c>
      <c r="E4722" s="1">
        <v>45674</v>
      </c>
      <c r="F4722" t="s">
        <v>4362</v>
      </c>
      <c r="G4722" t="s">
        <v>1159</v>
      </c>
      <c r="H4722" t="s">
        <v>562</v>
      </c>
      <c r="I4722" t="s">
        <v>209</v>
      </c>
      <c r="J4722" s="1">
        <v>45596</v>
      </c>
      <c r="K4722" t="s">
        <v>762</v>
      </c>
      <c r="L4722">
        <v>3176</v>
      </c>
      <c r="M4722">
        <v>3176</v>
      </c>
      <c r="N4722" t="s">
        <v>710</v>
      </c>
      <c r="Q4722" t="s">
        <v>4845</v>
      </c>
      <c r="R4722" t="s">
        <v>4772</v>
      </c>
    </row>
    <row r="4723" spans="1:18" x14ac:dyDescent="0.3">
      <c r="A4723">
        <v>8096</v>
      </c>
      <c r="B4723" t="s">
        <v>1034</v>
      </c>
      <c r="C4723" t="s">
        <v>624</v>
      </c>
      <c r="D4723" t="s">
        <v>68</v>
      </c>
      <c r="E4723" s="1">
        <v>45674</v>
      </c>
      <c r="F4723" t="s">
        <v>4367</v>
      </c>
      <c r="G4723" t="s">
        <v>1197</v>
      </c>
      <c r="H4723" t="s">
        <v>623</v>
      </c>
      <c r="I4723" t="s">
        <v>204</v>
      </c>
      <c r="J4723" s="1">
        <v>46017</v>
      </c>
      <c r="K4723" t="s">
        <v>839</v>
      </c>
      <c r="L4723">
        <v>1600</v>
      </c>
      <c r="M4723">
        <v>1600</v>
      </c>
      <c r="N4723" t="s">
        <v>710</v>
      </c>
      <c r="O4723" t="s">
        <v>1041</v>
      </c>
      <c r="P4723" t="s">
        <v>4776</v>
      </c>
      <c r="Q4723" t="s">
        <v>4852</v>
      </c>
      <c r="R4723" t="s">
        <v>4771</v>
      </c>
    </row>
    <row r="4724" spans="1:18" x14ac:dyDescent="0.3">
      <c r="A4724">
        <v>40633</v>
      </c>
      <c r="B4724" t="s">
        <v>1034</v>
      </c>
      <c r="C4724" t="s">
        <v>327</v>
      </c>
      <c r="D4724" t="s">
        <v>159</v>
      </c>
      <c r="E4724" s="1">
        <v>45674</v>
      </c>
      <c r="F4724" t="s">
        <v>4295</v>
      </c>
      <c r="G4724" t="s">
        <v>1069</v>
      </c>
      <c r="H4724" t="s">
        <v>357</v>
      </c>
      <c r="I4724" t="s">
        <v>204</v>
      </c>
      <c r="J4724" s="1">
        <v>46476</v>
      </c>
      <c r="K4724" t="s">
        <v>711</v>
      </c>
      <c r="L4724">
        <v>1450</v>
      </c>
      <c r="M4724">
        <v>1450</v>
      </c>
      <c r="N4724" t="s">
        <v>890</v>
      </c>
      <c r="O4724" t="s">
        <v>4834</v>
      </c>
      <c r="P4724" t="s">
        <v>4776</v>
      </c>
      <c r="Q4724" t="s">
        <v>4901</v>
      </c>
      <c r="R4724" t="s">
        <v>4773</v>
      </c>
    </row>
    <row r="4725" spans="1:18" x14ac:dyDescent="0.3">
      <c r="A4725">
        <v>14756</v>
      </c>
      <c r="B4725" t="s">
        <v>4874</v>
      </c>
      <c r="C4725" t="s">
        <v>439</v>
      </c>
      <c r="D4725" t="s">
        <v>156</v>
      </c>
      <c r="E4725" s="1">
        <v>45674</v>
      </c>
      <c r="F4725" t="s">
        <v>4396</v>
      </c>
      <c r="G4725" t="s">
        <v>1218</v>
      </c>
      <c r="H4725" t="s">
        <v>438</v>
      </c>
      <c r="I4725" t="s">
        <v>204</v>
      </c>
      <c r="J4725" s="1">
        <v>46265</v>
      </c>
      <c r="K4725" t="s">
        <v>762</v>
      </c>
      <c r="L4725">
        <v>16216.71</v>
      </c>
      <c r="M4725">
        <v>16216.71</v>
      </c>
      <c r="N4725" t="s">
        <v>710</v>
      </c>
      <c r="O4725" t="s">
        <v>1037</v>
      </c>
      <c r="P4725" t="s">
        <v>4789</v>
      </c>
      <c r="Q4725" t="s">
        <v>4852</v>
      </c>
      <c r="R4725" t="s">
        <v>4771</v>
      </c>
    </row>
    <row r="4726" spans="1:18" x14ac:dyDescent="0.3">
      <c r="A4726">
        <v>40633</v>
      </c>
      <c r="B4726" t="s">
        <v>1034</v>
      </c>
      <c r="C4726" t="s">
        <v>327</v>
      </c>
      <c r="D4726" t="s">
        <v>159</v>
      </c>
      <c r="E4726" s="1">
        <v>45674</v>
      </c>
      <c r="F4726" t="s">
        <v>4295</v>
      </c>
      <c r="G4726" t="s">
        <v>1069</v>
      </c>
      <c r="H4726" t="s">
        <v>357</v>
      </c>
      <c r="I4726" t="s">
        <v>204</v>
      </c>
      <c r="J4726" s="1">
        <v>46476</v>
      </c>
      <c r="K4726" t="s">
        <v>711</v>
      </c>
      <c r="L4726">
        <v>1450</v>
      </c>
      <c r="M4726">
        <v>1450</v>
      </c>
      <c r="N4726" t="s">
        <v>890</v>
      </c>
      <c r="O4726" t="s">
        <v>4834</v>
      </c>
      <c r="P4726" t="s">
        <v>4776</v>
      </c>
      <c r="Q4726" t="s">
        <v>4901</v>
      </c>
      <c r="R4726" t="s">
        <v>4773</v>
      </c>
    </row>
    <row r="4727" spans="1:18" x14ac:dyDescent="0.3">
      <c r="A4727">
        <v>202510</v>
      </c>
      <c r="B4727" t="s">
        <v>4875</v>
      </c>
      <c r="C4727" t="s">
        <v>322</v>
      </c>
      <c r="D4727" t="s">
        <v>158</v>
      </c>
      <c r="E4727" s="1">
        <v>45673</v>
      </c>
      <c r="F4727" t="s">
        <v>4432</v>
      </c>
      <c r="G4727" t="s">
        <v>1134</v>
      </c>
      <c r="H4727" t="s">
        <v>352</v>
      </c>
      <c r="I4727" t="s">
        <v>204</v>
      </c>
      <c r="J4727" s="1">
        <v>46310</v>
      </c>
      <c r="K4727" t="s">
        <v>748</v>
      </c>
      <c r="L4727">
        <v>579.71</v>
      </c>
      <c r="M4727">
        <v>579.71</v>
      </c>
      <c r="N4727" t="s">
        <v>710</v>
      </c>
      <c r="O4727" t="s">
        <v>1040</v>
      </c>
      <c r="P4727" t="s">
        <v>4782</v>
      </c>
      <c r="Q4727" t="s">
        <v>4856</v>
      </c>
      <c r="R4727" t="s">
        <v>4773</v>
      </c>
    </row>
    <row r="4728" spans="1:18" x14ac:dyDescent="0.3">
      <c r="A4728">
        <v>13851</v>
      </c>
      <c r="B4728" t="s">
        <v>4874</v>
      </c>
      <c r="C4728" t="s">
        <v>239</v>
      </c>
      <c r="D4728" t="s">
        <v>199</v>
      </c>
      <c r="E4728" s="1">
        <v>45673</v>
      </c>
      <c r="F4728" t="s">
        <v>4325</v>
      </c>
      <c r="G4728" t="s">
        <v>1196</v>
      </c>
      <c r="H4728" t="s">
        <v>268</v>
      </c>
      <c r="I4728" t="s">
        <v>204</v>
      </c>
      <c r="J4728" s="1">
        <v>46172</v>
      </c>
      <c r="K4728" t="s">
        <v>720</v>
      </c>
      <c r="L4728">
        <v>1</v>
      </c>
      <c r="M4728">
        <v>712.5</v>
      </c>
      <c r="N4728" t="s">
        <v>710</v>
      </c>
      <c r="O4728" t="s">
        <v>1038</v>
      </c>
      <c r="P4728" t="s">
        <v>4779</v>
      </c>
      <c r="Q4728" t="s">
        <v>4858</v>
      </c>
      <c r="R4728" t="s">
        <v>4771</v>
      </c>
    </row>
    <row r="4729" spans="1:18" x14ac:dyDescent="0.3">
      <c r="A4729">
        <v>186</v>
      </c>
      <c r="B4729" t="s">
        <v>4874</v>
      </c>
      <c r="C4729" t="s">
        <v>280</v>
      </c>
      <c r="D4729" t="s">
        <v>133</v>
      </c>
      <c r="E4729" s="1">
        <v>45673</v>
      </c>
      <c r="F4729" t="s">
        <v>4294</v>
      </c>
      <c r="G4729" t="s">
        <v>1200</v>
      </c>
      <c r="H4729" t="s">
        <v>279</v>
      </c>
      <c r="I4729" t="s">
        <v>209</v>
      </c>
      <c r="J4729" s="1">
        <v>54878</v>
      </c>
      <c r="K4729" t="s">
        <v>785</v>
      </c>
      <c r="L4729">
        <v>1</v>
      </c>
      <c r="M4729">
        <v>14826</v>
      </c>
      <c r="N4729" t="s">
        <v>710</v>
      </c>
      <c r="O4729" t="s">
        <v>1037</v>
      </c>
      <c r="P4729" t="s">
        <v>4776</v>
      </c>
      <c r="Q4729" t="s">
        <v>4852</v>
      </c>
    </row>
    <row r="4730" spans="1:18" x14ac:dyDescent="0.3">
      <c r="A4730">
        <v>4457</v>
      </c>
      <c r="B4730" t="s">
        <v>1034</v>
      </c>
      <c r="C4730" t="s">
        <v>319</v>
      </c>
      <c r="D4730" t="s">
        <v>36</v>
      </c>
      <c r="E4730" s="1">
        <v>45673</v>
      </c>
      <c r="F4730" t="s">
        <v>4298</v>
      </c>
      <c r="G4730" t="s">
        <v>1208</v>
      </c>
      <c r="H4730" t="s">
        <v>318</v>
      </c>
      <c r="I4730" t="s">
        <v>204</v>
      </c>
      <c r="J4730" s="1">
        <v>46214</v>
      </c>
      <c r="K4730" t="s">
        <v>711</v>
      </c>
      <c r="L4730">
        <v>2054</v>
      </c>
      <c r="M4730">
        <v>2053.86</v>
      </c>
      <c r="N4730" t="s">
        <v>710</v>
      </c>
      <c r="O4730" t="s">
        <v>1036</v>
      </c>
      <c r="P4730" t="s">
        <v>4784</v>
      </c>
      <c r="Q4730" t="s">
        <v>4901</v>
      </c>
      <c r="R4730" t="s">
        <v>4771</v>
      </c>
    </row>
    <row r="4731" spans="1:18" x14ac:dyDescent="0.3">
      <c r="A4731">
        <v>28</v>
      </c>
      <c r="B4731" t="s">
        <v>4875</v>
      </c>
      <c r="C4731" t="s">
        <v>561</v>
      </c>
      <c r="D4731" t="s">
        <v>121</v>
      </c>
      <c r="E4731" s="1">
        <v>45673</v>
      </c>
      <c r="F4731" t="s">
        <v>4390</v>
      </c>
      <c r="G4731" t="s">
        <v>1113</v>
      </c>
      <c r="H4731" t="s">
        <v>560</v>
      </c>
      <c r="I4731" t="s">
        <v>204</v>
      </c>
      <c r="J4731" s="1">
        <v>46732</v>
      </c>
      <c r="K4731" t="s">
        <v>748</v>
      </c>
      <c r="L4731">
        <v>6700</v>
      </c>
      <c r="M4731">
        <v>6700</v>
      </c>
      <c r="N4731" t="s">
        <v>818</v>
      </c>
      <c r="O4731" t="s">
        <v>1040</v>
      </c>
      <c r="P4731" t="s">
        <v>4777</v>
      </c>
      <c r="Q4731" t="s">
        <v>4856</v>
      </c>
      <c r="R4731" t="s">
        <v>4771</v>
      </c>
    </row>
    <row r="4732" spans="1:18" x14ac:dyDescent="0.3">
      <c r="A4732">
        <v>1460660</v>
      </c>
      <c r="B4732" t="s">
        <v>4875</v>
      </c>
      <c r="C4732" t="s">
        <v>338</v>
      </c>
      <c r="D4732" t="s">
        <v>31</v>
      </c>
      <c r="E4732" s="1">
        <v>45673</v>
      </c>
      <c r="F4732" t="s">
        <v>4299</v>
      </c>
      <c r="G4732" t="s">
        <v>1129</v>
      </c>
      <c r="H4732" t="s">
        <v>353</v>
      </c>
      <c r="I4732" t="s">
        <v>204</v>
      </c>
      <c r="J4732" s="1">
        <v>54878</v>
      </c>
      <c r="K4732" t="s">
        <v>748</v>
      </c>
      <c r="L4732">
        <v>5958</v>
      </c>
      <c r="M4732">
        <v>5958.04</v>
      </c>
      <c r="N4732" t="s">
        <v>710</v>
      </c>
      <c r="O4732" t="s">
        <v>1040</v>
      </c>
      <c r="P4732" t="s">
        <v>4785</v>
      </c>
      <c r="Q4732" t="s">
        <v>4856</v>
      </c>
      <c r="R4732" t="s">
        <v>4773</v>
      </c>
    </row>
    <row r="4733" spans="1:18" x14ac:dyDescent="0.3">
      <c r="A4733">
        <v>25919</v>
      </c>
      <c r="B4733" t="s">
        <v>1035</v>
      </c>
      <c r="C4733" t="s">
        <v>239</v>
      </c>
      <c r="D4733" t="s">
        <v>199</v>
      </c>
      <c r="E4733" s="1">
        <v>45673</v>
      </c>
      <c r="F4733" t="s">
        <v>4325</v>
      </c>
      <c r="G4733" t="s">
        <v>1190</v>
      </c>
      <c r="H4733" t="s">
        <v>238</v>
      </c>
      <c r="I4733" t="s">
        <v>204</v>
      </c>
      <c r="J4733" s="1">
        <v>54878</v>
      </c>
      <c r="K4733" t="s">
        <v>754</v>
      </c>
      <c r="L4733">
        <v>1</v>
      </c>
      <c r="M4733">
        <v>75.08</v>
      </c>
      <c r="N4733" t="s">
        <v>710</v>
      </c>
      <c r="O4733" t="s">
        <v>4903</v>
      </c>
      <c r="P4733" t="s">
        <v>4779</v>
      </c>
      <c r="Q4733" t="s">
        <v>4858</v>
      </c>
      <c r="R4733" t="s">
        <v>4771</v>
      </c>
    </row>
    <row r="4734" spans="1:18" x14ac:dyDescent="0.3">
      <c r="A4734">
        <v>10938</v>
      </c>
      <c r="B4734" t="s">
        <v>4875</v>
      </c>
      <c r="C4734" t="s">
        <v>319</v>
      </c>
      <c r="D4734" t="s">
        <v>36</v>
      </c>
      <c r="E4734" s="1">
        <v>45673</v>
      </c>
      <c r="F4734" t="s">
        <v>4434</v>
      </c>
      <c r="G4734" t="s">
        <v>1065</v>
      </c>
      <c r="H4734" t="s">
        <v>336</v>
      </c>
      <c r="I4734" t="s">
        <v>204</v>
      </c>
      <c r="J4734" s="1">
        <v>46075</v>
      </c>
      <c r="K4734" t="s">
        <v>748</v>
      </c>
      <c r="L4734">
        <v>13303.88</v>
      </c>
      <c r="M4734">
        <v>13303.88</v>
      </c>
      <c r="N4734" t="s">
        <v>710</v>
      </c>
      <c r="O4734" t="s">
        <v>1040</v>
      </c>
      <c r="P4734" t="s">
        <v>4784</v>
      </c>
      <c r="Q4734" t="s">
        <v>4856</v>
      </c>
      <c r="R4734" t="s">
        <v>4771</v>
      </c>
    </row>
    <row r="4735" spans="1:18" x14ac:dyDescent="0.3">
      <c r="A4735">
        <v>202511</v>
      </c>
      <c r="B4735" t="s">
        <v>4875</v>
      </c>
      <c r="C4735" t="s">
        <v>322</v>
      </c>
      <c r="D4735" t="s">
        <v>158</v>
      </c>
      <c r="E4735" s="1">
        <v>45673</v>
      </c>
      <c r="F4735" t="s">
        <v>4433</v>
      </c>
      <c r="G4735" t="s">
        <v>1135</v>
      </c>
      <c r="H4735" t="s">
        <v>346</v>
      </c>
      <c r="I4735" t="s">
        <v>204</v>
      </c>
      <c r="J4735" s="1">
        <v>46310</v>
      </c>
      <c r="K4735" t="s">
        <v>748</v>
      </c>
      <c r="L4735">
        <v>21660</v>
      </c>
      <c r="M4735">
        <v>21660</v>
      </c>
      <c r="N4735" t="s">
        <v>710</v>
      </c>
      <c r="O4735" t="s">
        <v>1040</v>
      </c>
      <c r="P4735" t="s">
        <v>4782</v>
      </c>
      <c r="Q4735" t="s">
        <v>4856</v>
      </c>
      <c r="R4735" t="s">
        <v>4773</v>
      </c>
    </row>
    <row r="4736" spans="1:18" x14ac:dyDescent="0.3">
      <c r="A4736">
        <v>8856</v>
      </c>
      <c r="B4736" t="s">
        <v>1034</v>
      </c>
      <c r="C4736" t="s">
        <v>319</v>
      </c>
      <c r="D4736" t="s">
        <v>36</v>
      </c>
      <c r="E4736" s="1">
        <v>45673</v>
      </c>
      <c r="F4736" t="s">
        <v>4298</v>
      </c>
      <c r="G4736" t="s">
        <v>1207</v>
      </c>
      <c r="H4736" t="s">
        <v>318</v>
      </c>
      <c r="I4736" t="s">
        <v>204</v>
      </c>
      <c r="J4736" s="1">
        <v>46214</v>
      </c>
      <c r="K4736" t="s">
        <v>711</v>
      </c>
      <c r="L4736">
        <v>2265</v>
      </c>
      <c r="M4736">
        <v>2265.0100000000002</v>
      </c>
      <c r="N4736" t="s">
        <v>710</v>
      </c>
      <c r="O4736" t="s">
        <v>1036</v>
      </c>
      <c r="P4736" t="s">
        <v>4784</v>
      </c>
      <c r="Q4736" t="s">
        <v>4901</v>
      </c>
      <c r="R4736" t="s">
        <v>4771</v>
      </c>
    </row>
    <row r="4737" spans="1:18" x14ac:dyDescent="0.3">
      <c r="A4737">
        <v>206048</v>
      </c>
      <c r="B4737" t="s">
        <v>4875</v>
      </c>
      <c r="C4737" t="s">
        <v>493</v>
      </c>
      <c r="D4737" t="s">
        <v>197</v>
      </c>
      <c r="E4737" s="1">
        <v>45672</v>
      </c>
      <c r="F4737" t="s">
        <v>4306</v>
      </c>
      <c r="G4737" t="s">
        <v>1142</v>
      </c>
      <c r="H4737" t="s">
        <v>492</v>
      </c>
      <c r="I4737" t="s">
        <v>204</v>
      </c>
      <c r="J4737" s="1">
        <v>54878</v>
      </c>
      <c r="K4737" t="s">
        <v>768</v>
      </c>
      <c r="L4737">
        <v>799</v>
      </c>
      <c r="M4737">
        <v>799</v>
      </c>
      <c r="N4737" t="s">
        <v>710</v>
      </c>
      <c r="O4737" t="s">
        <v>4833</v>
      </c>
      <c r="P4737" t="s">
        <v>4786</v>
      </c>
      <c r="Q4737" t="s">
        <v>4852</v>
      </c>
      <c r="R4737" t="s">
        <v>4773</v>
      </c>
    </row>
    <row r="4738" spans="1:18" x14ac:dyDescent="0.3">
      <c r="A4738">
        <v>188255</v>
      </c>
      <c r="B4738" t="s">
        <v>4874</v>
      </c>
      <c r="C4738" t="s">
        <v>407</v>
      </c>
      <c r="D4738" t="s">
        <v>170</v>
      </c>
      <c r="E4738" s="1">
        <v>45672</v>
      </c>
      <c r="F4738" t="s">
        <v>4388</v>
      </c>
      <c r="G4738" t="s">
        <v>1082</v>
      </c>
      <c r="H4738" t="s">
        <v>406</v>
      </c>
      <c r="I4738" t="s">
        <v>204</v>
      </c>
      <c r="J4738" s="1">
        <v>46387</v>
      </c>
      <c r="K4738" t="s">
        <v>762</v>
      </c>
      <c r="L4738">
        <v>30232</v>
      </c>
      <c r="M4738">
        <v>30231.88</v>
      </c>
      <c r="N4738" t="s">
        <v>710</v>
      </c>
      <c r="O4738" t="s">
        <v>4833</v>
      </c>
      <c r="P4738" t="s">
        <v>4776</v>
      </c>
      <c r="Q4738" t="s">
        <v>4852</v>
      </c>
      <c r="R4738" t="s">
        <v>4771</v>
      </c>
    </row>
    <row r="4739" spans="1:18" x14ac:dyDescent="0.3">
      <c r="A4739">
        <v>6932</v>
      </c>
      <c r="B4739" t="s">
        <v>4874</v>
      </c>
      <c r="C4739" t="s">
        <v>474</v>
      </c>
      <c r="D4739" t="s">
        <v>100</v>
      </c>
      <c r="E4739" s="1">
        <v>45672</v>
      </c>
      <c r="F4739" t="s">
        <v>4329</v>
      </c>
      <c r="G4739" t="s">
        <v>1175</v>
      </c>
      <c r="H4739" t="s">
        <v>473</v>
      </c>
      <c r="I4739" t="s">
        <v>209</v>
      </c>
      <c r="J4739" s="1">
        <v>54878</v>
      </c>
      <c r="K4739" t="s">
        <v>762</v>
      </c>
      <c r="L4739">
        <v>28</v>
      </c>
      <c r="M4739">
        <v>344.4</v>
      </c>
      <c r="N4739" t="s">
        <v>719</v>
      </c>
      <c r="Q4739" t="s">
        <v>4852</v>
      </c>
      <c r="R4739" t="s">
        <v>4772</v>
      </c>
    </row>
    <row r="4740" spans="1:18" x14ac:dyDescent="0.3">
      <c r="A4740">
        <v>3974</v>
      </c>
      <c r="B4740" t="s">
        <v>1034</v>
      </c>
      <c r="C4740" t="s">
        <v>208</v>
      </c>
      <c r="D4740" t="s">
        <v>164</v>
      </c>
      <c r="E4740" s="1">
        <v>45672</v>
      </c>
      <c r="F4740" t="s">
        <v>4343</v>
      </c>
      <c r="G4740" t="s">
        <v>1189</v>
      </c>
      <c r="H4740" t="s">
        <v>604</v>
      </c>
      <c r="I4740" t="s">
        <v>204</v>
      </c>
      <c r="J4740" s="1">
        <v>46256</v>
      </c>
      <c r="K4740" t="s">
        <v>711</v>
      </c>
      <c r="L4740">
        <v>1</v>
      </c>
      <c r="M4740">
        <v>140</v>
      </c>
      <c r="N4740" t="s">
        <v>710</v>
      </c>
      <c r="O4740" t="s">
        <v>1036</v>
      </c>
      <c r="P4740" t="s">
        <v>4784</v>
      </c>
      <c r="Q4740" t="s">
        <v>4901</v>
      </c>
    </row>
    <row r="4741" spans="1:18" x14ac:dyDescent="0.3">
      <c r="A4741">
        <v>44134</v>
      </c>
      <c r="B4741" t="s">
        <v>4874</v>
      </c>
      <c r="C4741" t="s">
        <v>514</v>
      </c>
      <c r="D4741" t="s">
        <v>47</v>
      </c>
      <c r="E4741" s="1">
        <v>45672</v>
      </c>
      <c r="F4741" t="s">
        <v>4362</v>
      </c>
      <c r="G4741" t="s">
        <v>1141</v>
      </c>
      <c r="H4741" t="s">
        <v>513</v>
      </c>
      <c r="I4741" t="s">
        <v>204</v>
      </c>
      <c r="J4741" s="1">
        <v>46386</v>
      </c>
      <c r="K4741" t="s">
        <v>762</v>
      </c>
      <c r="L4741">
        <v>6863</v>
      </c>
      <c r="M4741">
        <v>6862.06</v>
      </c>
      <c r="N4741" t="s">
        <v>710</v>
      </c>
      <c r="O4741" t="s">
        <v>4833</v>
      </c>
      <c r="P4741" t="s">
        <v>4779</v>
      </c>
      <c r="Q4741" t="s">
        <v>4852</v>
      </c>
    </row>
    <row r="4742" spans="1:18" x14ac:dyDescent="0.3">
      <c r="A4742">
        <v>6932</v>
      </c>
      <c r="B4742" t="s">
        <v>4874</v>
      </c>
      <c r="C4742" t="s">
        <v>474</v>
      </c>
      <c r="D4742" t="s">
        <v>100</v>
      </c>
      <c r="E4742" s="1">
        <v>45672</v>
      </c>
      <c r="F4742" t="s">
        <v>4307</v>
      </c>
      <c r="G4742" t="s">
        <v>1175</v>
      </c>
      <c r="H4742" t="s">
        <v>473</v>
      </c>
      <c r="I4742" t="s">
        <v>209</v>
      </c>
      <c r="J4742" s="1">
        <v>54878</v>
      </c>
      <c r="K4742" t="s">
        <v>762</v>
      </c>
      <c r="L4742">
        <v>1761</v>
      </c>
      <c r="M4742">
        <v>25287.96</v>
      </c>
      <c r="N4742" t="s">
        <v>719</v>
      </c>
      <c r="Q4742" t="s">
        <v>4852</v>
      </c>
      <c r="R4742" t="s">
        <v>4772</v>
      </c>
    </row>
    <row r="4743" spans="1:18" x14ac:dyDescent="0.3">
      <c r="A4743">
        <v>6932</v>
      </c>
      <c r="B4743" t="s">
        <v>4874</v>
      </c>
      <c r="C4743" t="s">
        <v>474</v>
      </c>
      <c r="D4743" t="s">
        <v>100</v>
      </c>
      <c r="E4743" s="1">
        <v>45672</v>
      </c>
      <c r="F4743" t="s">
        <v>4394</v>
      </c>
      <c r="G4743" t="s">
        <v>1175</v>
      </c>
      <c r="H4743" t="s">
        <v>473</v>
      </c>
      <c r="I4743" t="s">
        <v>209</v>
      </c>
      <c r="J4743" s="1">
        <v>54878</v>
      </c>
      <c r="K4743" t="s">
        <v>762</v>
      </c>
      <c r="L4743">
        <v>1761</v>
      </c>
      <c r="M4743">
        <v>1761</v>
      </c>
      <c r="N4743" t="s">
        <v>719</v>
      </c>
      <c r="Q4743" t="s">
        <v>4852</v>
      </c>
      <c r="R4743" t="s">
        <v>4772</v>
      </c>
    </row>
    <row r="4744" spans="1:18" x14ac:dyDescent="0.3">
      <c r="A4744">
        <v>191824</v>
      </c>
      <c r="B4744" t="s">
        <v>4874</v>
      </c>
      <c r="C4744" t="s">
        <v>441</v>
      </c>
      <c r="D4744" t="s">
        <v>38</v>
      </c>
      <c r="E4744" s="1">
        <v>45672</v>
      </c>
      <c r="F4744" t="s">
        <v>4393</v>
      </c>
      <c r="G4744" t="s">
        <v>1150</v>
      </c>
      <c r="H4744" t="s">
        <v>440</v>
      </c>
      <c r="I4744" t="s">
        <v>204</v>
      </c>
      <c r="J4744" s="1">
        <v>46191</v>
      </c>
      <c r="K4744" t="s">
        <v>762</v>
      </c>
      <c r="L4744">
        <v>7705.83</v>
      </c>
      <c r="M4744">
        <v>7705.83</v>
      </c>
      <c r="N4744" t="s">
        <v>710</v>
      </c>
      <c r="O4744" t="s">
        <v>4833</v>
      </c>
      <c r="P4744" t="s">
        <v>4786</v>
      </c>
      <c r="Q4744" t="s">
        <v>4852</v>
      </c>
      <c r="R4744" t="s">
        <v>4773</v>
      </c>
    </row>
    <row r="4745" spans="1:18" x14ac:dyDescent="0.3">
      <c r="A4745">
        <v>6932</v>
      </c>
      <c r="B4745" t="s">
        <v>4874</v>
      </c>
      <c r="C4745" t="s">
        <v>474</v>
      </c>
      <c r="D4745" t="s">
        <v>100</v>
      </c>
      <c r="E4745" s="1">
        <v>45672</v>
      </c>
      <c r="F4745" t="s">
        <v>4310</v>
      </c>
      <c r="G4745" t="s">
        <v>1175</v>
      </c>
      <c r="H4745" t="s">
        <v>473</v>
      </c>
      <c r="I4745" t="s">
        <v>209</v>
      </c>
      <c r="J4745" s="1">
        <v>54878</v>
      </c>
      <c r="K4745" t="s">
        <v>762</v>
      </c>
      <c r="L4745">
        <v>8</v>
      </c>
      <c r="M4745">
        <v>27.12</v>
      </c>
      <c r="N4745" t="s">
        <v>719</v>
      </c>
      <c r="Q4745" t="s">
        <v>4852</v>
      </c>
      <c r="R4745" t="s">
        <v>4772</v>
      </c>
    </row>
    <row r="4746" spans="1:18" x14ac:dyDescent="0.3">
      <c r="A4746">
        <v>6932</v>
      </c>
      <c r="B4746" t="s">
        <v>4874</v>
      </c>
      <c r="C4746" t="s">
        <v>474</v>
      </c>
      <c r="D4746" t="s">
        <v>100</v>
      </c>
      <c r="E4746" s="1">
        <v>45672</v>
      </c>
      <c r="F4746" t="s">
        <v>4400</v>
      </c>
      <c r="G4746" t="s">
        <v>1175</v>
      </c>
      <c r="H4746" t="s">
        <v>473</v>
      </c>
      <c r="I4746" t="s">
        <v>209</v>
      </c>
      <c r="J4746" s="1">
        <v>54878</v>
      </c>
      <c r="K4746" t="s">
        <v>762</v>
      </c>
      <c r="L4746">
        <v>38</v>
      </c>
      <c r="M4746">
        <v>205.96</v>
      </c>
      <c r="N4746" t="s">
        <v>719</v>
      </c>
      <c r="Q4746" t="s">
        <v>4852</v>
      </c>
      <c r="R4746" t="s">
        <v>4772</v>
      </c>
    </row>
    <row r="4747" spans="1:18" x14ac:dyDescent="0.3">
      <c r="A4747">
        <v>6932</v>
      </c>
      <c r="B4747" t="s">
        <v>4874</v>
      </c>
      <c r="C4747" t="s">
        <v>474</v>
      </c>
      <c r="D4747" t="s">
        <v>100</v>
      </c>
      <c r="E4747" s="1">
        <v>45672</v>
      </c>
      <c r="F4747" t="s">
        <v>4308</v>
      </c>
      <c r="G4747" t="s">
        <v>1175</v>
      </c>
      <c r="H4747" t="s">
        <v>473</v>
      </c>
      <c r="I4747" t="s">
        <v>209</v>
      </c>
      <c r="J4747" s="1">
        <v>54878</v>
      </c>
      <c r="K4747" t="s">
        <v>762</v>
      </c>
      <c r="L4747">
        <v>144</v>
      </c>
      <c r="M4747">
        <v>649.44000000000005</v>
      </c>
      <c r="N4747" t="s">
        <v>719</v>
      </c>
      <c r="Q4747" t="s">
        <v>4852</v>
      </c>
      <c r="R4747" t="s">
        <v>4772</v>
      </c>
    </row>
    <row r="4748" spans="1:18" x14ac:dyDescent="0.3">
      <c r="A4748">
        <v>2711</v>
      </c>
      <c r="B4748" t="s">
        <v>1034</v>
      </c>
      <c r="C4748" t="s">
        <v>590</v>
      </c>
      <c r="D4748" t="s">
        <v>79</v>
      </c>
      <c r="E4748" s="1">
        <v>45672</v>
      </c>
      <c r="F4748" t="s">
        <v>4365</v>
      </c>
      <c r="G4748" t="s">
        <v>1187</v>
      </c>
      <c r="H4748" t="s">
        <v>589</v>
      </c>
      <c r="I4748" t="s">
        <v>204</v>
      </c>
      <c r="J4748" s="1">
        <v>46387</v>
      </c>
      <c r="K4748" t="s">
        <v>717</v>
      </c>
      <c r="L4748">
        <v>120</v>
      </c>
      <c r="M4748">
        <v>120</v>
      </c>
      <c r="N4748" t="s">
        <v>814</v>
      </c>
      <c r="O4748" t="s">
        <v>4845</v>
      </c>
      <c r="P4748" t="s">
        <v>4793</v>
      </c>
      <c r="Q4748" t="s">
        <v>4845</v>
      </c>
      <c r="R4748" t="s">
        <v>4773</v>
      </c>
    </row>
    <row r="4749" spans="1:18" x14ac:dyDescent="0.3">
      <c r="A4749">
        <v>6541</v>
      </c>
      <c r="B4749" t="s">
        <v>1035</v>
      </c>
      <c r="C4749" t="s">
        <v>230</v>
      </c>
      <c r="D4749" t="s">
        <v>85</v>
      </c>
      <c r="E4749" s="1">
        <v>45672</v>
      </c>
      <c r="F4749" t="s">
        <v>4436</v>
      </c>
      <c r="G4749" t="s">
        <v>1198</v>
      </c>
      <c r="H4749" t="s">
        <v>229</v>
      </c>
      <c r="I4749" t="s">
        <v>204</v>
      </c>
      <c r="J4749" s="1">
        <v>46203</v>
      </c>
      <c r="K4749" t="s">
        <v>744</v>
      </c>
      <c r="L4749">
        <v>5793.36</v>
      </c>
      <c r="M4749">
        <v>5793.36</v>
      </c>
      <c r="N4749" t="s">
        <v>710</v>
      </c>
      <c r="O4749" t="s">
        <v>1033</v>
      </c>
      <c r="P4749" t="s">
        <v>4781</v>
      </c>
      <c r="Q4749" t="s">
        <v>4852</v>
      </c>
      <c r="R4749" t="s">
        <v>4771</v>
      </c>
    </row>
    <row r="4750" spans="1:18" x14ac:dyDescent="0.3">
      <c r="A4750">
        <v>259059</v>
      </c>
      <c r="B4750" t="s">
        <v>1034</v>
      </c>
      <c r="C4750" t="s">
        <v>500</v>
      </c>
      <c r="D4750" t="s">
        <v>16</v>
      </c>
      <c r="E4750" s="1">
        <v>45672</v>
      </c>
      <c r="F4750" t="s">
        <v>4306</v>
      </c>
      <c r="G4750" t="s">
        <v>1151</v>
      </c>
      <c r="H4750" t="s">
        <v>499</v>
      </c>
      <c r="I4750" t="s">
        <v>204</v>
      </c>
      <c r="J4750" s="1">
        <v>54878</v>
      </c>
      <c r="K4750" t="s">
        <v>717</v>
      </c>
      <c r="L4750">
        <v>1633.45</v>
      </c>
      <c r="M4750">
        <v>1633.45</v>
      </c>
      <c r="N4750" t="s">
        <v>710</v>
      </c>
      <c r="O4750" t="s">
        <v>4833</v>
      </c>
      <c r="P4750" t="s">
        <v>4786</v>
      </c>
      <c r="Q4750" t="s">
        <v>4852</v>
      </c>
      <c r="R4750" t="s">
        <v>4773</v>
      </c>
    </row>
    <row r="4751" spans="1:18" x14ac:dyDescent="0.3">
      <c r="A4751">
        <v>259060</v>
      </c>
      <c r="B4751" t="s">
        <v>1034</v>
      </c>
      <c r="C4751" t="s">
        <v>500</v>
      </c>
      <c r="D4751" t="s">
        <v>16</v>
      </c>
      <c r="E4751" s="1">
        <v>45672</v>
      </c>
      <c r="F4751" t="s">
        <v>4306</v>
      </c>
      <c r="G4751" t="s">
        <v>1151</v>
      </c>
      <c r="H4751" t="s">
        <v>499</v>
      </c>
      <c r="I4751" t="s">
        <v>204</v>
      </c>
      <c r="J4751" s="1">
        <v>54878</v>
      </c>
      <c r="K4751" t="s">
        <v>717</v>
      </c>
      <c r="L4751">
        <v>1633.45</v>
      </c>
      <c r="M4751">
        <v>1633.45</v>
      </c>
      <c r="N4751" t="s">
        <v>710</v>
      </c>
      <c r="O4751" t="s">
        <v>4833</v>
      </c>
      <c r="P4751" t="s">
        <v>4786</v>
      </c>
      <c r="Q4751" t="s">
        <v>4852</v>
      </c>
      <c r="R4751" t="s">
        <v>4773</v>
      </c>
    </row>
    <row r="4752" spans="1:18" x14ac:dyDescent="0.3">
      <c r="A4752">
        <v>64</v>
      </c>
      <c r="B4752" t="s">
        <v>4874</v>
      </c>
      <c r="C4752" t="s">
        <v>607</v>
      </c>
      <c r="D4752" t="s">
        <v>81</v>
      </c>
      <c r="E4752" s="1">
        <v>45671</v>
      </c>
      <c r="F4752" t="s">
        <v>4357</v>
      </c>
      <c r="G4752" t="s">
        <v>1118</v>
      </c>
      <c r="H4752" t="s">
        <v>606</v>
      </c>
      <c r="I4752" t="s">
        <v>204</v>
      </c>
      <c r="J4752" s="1">
        <v>46387</v>
      </c>
      <c r="K4752" t="s">
        <v>720</v>
      </c>
      <c r="L4752">
        <v>1</v>
      </c>
      <c r="M4752">
        <v>39300.57</v>
      </c>
      <c r="N4752" t="s">
        <v>710</v>
      </c>
      <c r="O4752" t="s">
        <v>1038</v>
      </c>
      <c r="P4752" t="s">
        <v>4777</v>
      </c>
      <c r="Q4752" t="s">
        <v>4858</v>
      </c>
      <c r="R4752" t="s">
        <v>4773</v>
      </c>
    </row>
    <row r="4753" spans="1:18" x14ac:dyDescent="0.3">
      <c r="A4753">
        <v>388846544</v>
      </c>
      <c r="B4753" t="s">
        <v>4874</v>
      </c>
      <c r="C4753" t="s">
        <v>433</v>
      </c>
      <c r="D4753" t="s">
        <v>168</v>
      </c>
      <c r="E4753" s="1">
        <v>45671</v>
      </c>
      <c r="F4753" t="s">
        <v>4319</v>
      </c>
      <c r="G4753" t="s">
        <v>1191</v>
      </c>
      <c r="H4753" t="s">
        <v>432</v>
      </c>
      <c r="I4753" t="s">
        <v>204</v>
      </c>
      <c r="J4753" s="1">
        <v>46473</v>
      </c>
      <c r="K4753" t="s">
        <v>762</v>
      </c>
      <c r="L4753">
        <v>106</v>
      </c>
      <c r="M4753">
        <v>105.2</v>
      </c>
      <c r="N4753" t="s">
        <v>710</v>
      </c>
      <c r="O4753" t="s">
        <v>4833</v>
      </c>
      <c r="P4753" t="s">
        <v>4802</v>
      </c>
      <c r="Q4753" t="s">
        <v>4852</v>
      </c>
      <c r="R4753" t="s">
        <v>4771</v>
      </c>
    </row>
    <row r="4754" spans="1:18" x14ac:dyDescent="0.3">
      <c r="A4754">
        <v>8253</v>
      </c>
      <c r="B4754" t="s">
        <v>1034</v>
      </c>
      <c r="C4754" t="s">
        <v>624</v>
      </c>
      <c r="D4754" t="s">
        <v>68</v>
      </c>
      <c r="E4754" s="1">
        <v>45671</v>
      </c>
      <c r="F4754" t="s">
        <v>4367</v>
      </c>
      <c r="G4754" t="s">
        <v>1146</v>
      </c>
      <c r="H4754" t="s">
        <v>623</v>
      </c>
      <c r="I4754" t="s">
        <v>204</v>
      </c>
      <c r="J4754" s="1">
        <v>46017</v>
      </c>
      <c r="K4754" t="s">
        <v>839</v>
      </c>
      <c r="L4754">
        <v>1600</v>
      </c>
      <c r="M4754">
        <v>1600</v>
      </c>
      <c r="N4754" t="s">
        <v>710</v>
      </c>
      <c r="O4754" t="s">
        <v>1041</v>
      </c>
      <c r="P4754" t="s">
        <v>4776</v>
      </c>
      <c r="Q4754" t="s">
        <v>4852</v>
      </c>
      <c r="R4754" t="s">
        <v>4771</v>
      </c>
    </row>
    <row r="4755" spans="1:18" x14ac:dyDescent="0.3">
      <c r="A4755">
        <v>73034</v>
      </c>
      <c r="B4755" t="s">
        <v>4874</v>
      </c>
      <c r="C4755" t="s">
        <v>422</v>
      </c>
      <c r="D4755" t="s">
        <v>37</v>
      </c>
      <c r="E4755" s="1">
        <v>45671</v>
      </c>
      <c r="F4755" t="s">
        <v>4306</v>
      </c>
      <c r="G4755" t="s">
        <v>1166</v>
      </c>
      <c r="H4755" t="s">
        <v>421</v>
      </c>
      <c r="I4755" t="s">
        <v>204</v>
      </c>
      <c r="J4755" s="1">
        <v>46080</v>
      </c>
      <c r="K4755" t="s">
        <v>762</v>
      </c>
      <c r="L4755">
        <v>153.68</v>
      </c>
      <c r="M4755">
        <v>153.68</v>
      </c>
      <c r="N4755" t="s">
        <v>710</v>
      </c>
      <c r="O4755" t="s">
        <v>4833</v>
      </c>
      <c r="P4755" t="s">
        <v>4786</v>
      </c>
      <c r="Q4755" t="s">
        <v>4852</v>
      </c>
      <c r="R4755" t="s">
        <v>4773</v>
      </c>
    </row>
    <row r="4756" spans="1:18" x14ac:dyDescent="0.3">
      <c r="A4756">
        <v>1180</v>
      </c>
      <c r="B4756" t="s">
        <v>4874</v>
      </c>
      <c r="C4756" t="s">
        <v>305</v>
      </c>
      <c r="D4756" t="s">
        <v>59</v>
      </c>
      <c r="E4756" s="1">
        <v>45671</v>
      </c>
      <c r="F4756" t="s">
        <v>4359</v>
      </c>
      <c r="G4756" t="s">
        <v>1066</v>
      </c>
      <c r="H4756" t="s">
        <v>304</v>
      </c>
      <c r="I4756" t="s">
        <v>204</v>
      </c>
      <c r="J4756" s="1">
        <v>46481</v>
      </c>
      <c r="K4756" t="s">
        <v>720</v>
      </c>
      <c r="L4756">
        <v>1</v>
      </c>
      <c r="M4756">
        <v>600</v>
      </c>
      <c r="N4756" t="s">
        <v>809</v>
      </c>
      <c r="O4756" t="s">
        <v>1038</v>
      </c>
      <c r="P4756" t="s">
        <v>4783</v>
      </c>
      <c r="Q4756" t="s">
        <v>4858</v>
      </c>
      <c r="R4756" t="s">
        <v>4771</v>
      </c>
    </row>
    <row r="4757" spans="1:18" x14ac:dyDescent="0.3">
      <c r="A4757">
        <v>388845389</v>
      </c>
      <c r="B4757" t="s">
        <v>4874</v>
      </c>
      <c r="C4757" t="s">
        <v>433</v>
      </c>
      <c r="D4757" t="s">
        <v>168</v>
      </c>
      <c r="E4757" s="1">
        <v>45671</v>
      </c>
      <c r="F4757" t="s">
        <v>4319</v>
      </c>
      <c r="G4757" t="s">
        <v>1193</v>
      </c>
      <c r="H4757" t="s">
        <v>432</v>
      </c>
      <c r="I4757" t="s">
        <v>204</v>
      </c>
      <c r="J4757" s="1">
        <v>46473</v>
      </c>
      <c r="K4757" t="s">
        <v>762</v>
      </c>
      <c r="L4757">
        <v>181</v>
      </c>
      <c r="M4757">
        <v>180.32</v>
      </c>
      <c r="N4757" t="s">
        <v>710</v>
      </c>
      <c r="O4757" t="s">
        <v>4833</v>
      </c>
      <c r="P4757" t="s">
        <v>4802</v>
      </c>
      <c r="Q4757" t="s">
        <v>4852</v>
      </c>
      <c r="R4757" t="s">
        <v>4771</v>
      </c>
    </row>
    <row r="4758" spans="1:18" x14ac:dyDescent="0.3">
      <c r="A4758">
        <v>795</v>
      </c>
      <c r="B4758" t="s">
        <v>4874</v>
      </c>
      <c r="C4758" t="s">
        <v>216</v>
      </c>
      <c r="D4758" t="s">
        <v>141</v>
      </c>
      <c r="E4758" s="1">
        <v>45671</v>
      </c>
      <c r="F4758" t="s">
        <v>4305</v>
      </c>
      <c r="G4758" t="s">
        <v>1139</v>
      </c>
      <c r="H4758" t="s">
        <v>215</v>
      </c>
      <c r="I4758" t="s">
        <v>204</v>
      </c>
      <c r="J4758" s="1">
        <v>54878</v>
      </c>
      <c r="K4758" t="s">
        <v>720</v>
      </c>
      <c r="L4758">
        <v>1</v>
      </c>
      <c r="M4758">
        <v>945</v>
      </c>
      <c r="N4758" t="s">
        <v>710</v>
      </c>
      <c r="O4758" t="s">
        <v>1038</v>
      </c>
      <c r="P4758" t="s">
        <v>4777</v>
      </c>
      <c r="Q4758" t="s">
        <v>4858</v>
      </c>
      <c r="R4758" t="s">
        <v>4771</v>
      </c>
    </row>
    <row r="4759" spans="1:18" x14ac:dyDescent="0.3">
      <c r="A4759">
        <v>252</v>
      </c>
      <c r="B4759" t="s">
        <v>1034</v>
      </c>
      <c r="C4759" t="s">
        <v>325</v>
      </c>
      <c r="D4759" t="s">
        <v>193</v>
      </c>
      <c r="E4759" s="1">
        <v>45671</v>
      </c>
      <c r="F4759" t="s">
        <v>4297</v>
      </c>
      <c r="G4759" t="s">
        <v>1112</v>
      </c>
      <c r="H4759" t="s">
        <v>324</v>
      </c>
      <c r="I4759" t="s">
        <v>204</v>
      </c>
      <c r="J4759" s="1">
        <v>54878</v>
      </c>
      <c r="K4759" t="s">
        <v>711</v>
      </c>
      <c r="L4759">
        <v>3900</v>
      </c>
      <c r="M4759">
        <v>3900</v>
      </c>
      <c r="N4759" t="s">
        <v>710</v>
      </c>
      <c r="O4759" t="s">
        <v>4844</v>
      </c>
      <c r="P4759" t="s">
        <v>4779</v>
      </c>
      <c r="Q4759" t="s">
        <v>4901</v>
      </c>
      <c r="R4759" t="s">
        <v>4773</v>
      </c>
    </row>
    <row r="4760" spans="1:18" x14ac:dyDescent="0.3">
      <c r="A4760">
        <v>1982</v>
      </c>
      <c r="B4760" t="s">
        <v>1034</v>
      </c>
      <c r="C4760" t="s">
        <v>541</v>
      </c>
      <c r="D4760" t="s">
        <v>173</v>
      </c>
      <c r="E4760" s="1">
        <v>45671</v>
      </c>
      <c r="F4760" t="s">
        <v>4326</v>
      </c>
      <c r="G4760" t="s">
        <v>1182</v>
      </c>
      <c r="H4760" t="s">
        <v>540</v>
      </c>
      <c r="I4760" t="s">
        <v>204</v>
      </c>
      <c r="J4760" s="1">
        <v>46386</v>
      </c>
      <c r="K4760" t="s">
        <v>711</v>
      </c>
      <c r="L4760">
        <v>1</v>
      </c>
      <c r="M4760">
        <v>2337.9499999999998</v>
      </c>
      <c r="N4760" t="s">
        <v>890</v>
      </c>
      <c r="O4760" t="s">
        <v>1036</v>
      </c>
      <c r="P4760" t="s">
        <v>4791</v>
      </c>
      <c r="Q4760" t="s">
        <v>4901</v>
      </c>
      <c r="R4760" t="s">
        <v>4773</v>
      </c>
    </row>
    <row r="4761" spans="1:18" x14ac:dyDescent="0.3">
      <c r="A4761">
        <v>15822</v>
      </c>
      <c r="B4761" t="s">
        <v>1034</v>
      </c>
      <c r="C4761" t="s">
        <v>359</v>
      </c>
      <c r="D4761" t="s">
        <v>53</v>
      </c>
      <c r="E4761" s="1">
        <v>45671</v>
      </c>
      <c r="F4761" t="s">
        <v>4305</v>
      </c>
      <c r="G4761" t="s">
        <v>1181</v>
      </c>
      <c r="H4761" t="s">
        <v>358</v>
      </c>
      <c r="I4761" t="s">
        <v>204</v>
      </c>
      <c r="J4761" s="1">
        <v>54878</v>
      </c>
      <c r="K4761" t="s">
        <v>711</v>
      </c>
      <c r="L4761">
        <v>625.27</v>
      </c>
      <c r="M4761">
        <v>625.27</v>
      </c>
      <c r="N4761" t="s">
        <v>710</v>
      </c>
      <c r="O4761" t="s">
        <v>1036</v>
      </c>
      <c r="P4761" t="s">
        <v>4776</v>
      </c>
      <c r="Q4761" t="s">
        <v>4901</v>
      </c>
      <c r="R4761" t="s">
        <v>4773</v>
      </c>
    </row>
    <row r="4762" spans="1:18" x14ac:dyDescent="0.3">
      <c r="A4762">
        <v>6490</v>
      </c>
      <c r="B4762" t="s">
        <v>1035</v>
      </c>
      <c r="C4762" t="s">
        <v>230</v>
      </c>
      <c r="D4762" t="s">
        <v>85</v>
      </c>
      <c r="E4762" s="1">
        <v>45671</v>
      </c>
      <c r="F4762" t="s">
        <v>4348</v>
      </c>
      <c r="G4762" t="s">
        <v>1116</v>
      </c>
      <c r="H4762" t="s">
        <v>229</v>
      </c>
      <c r="I4762" t="s">
        <v>204</v>
      </c>
      <c r="J4762" s="1">
        <v>46203</v>
      </c>
      <c r="K4762" t="s">
        <v>744</v>
      </c>
      <c r="L4762">
        <v>17403.07</v>
      </c>
      <c r="M4762">
        <v>17403.07</v>
      </c>
      <c r="N4762" t="s">
        <v>710</v>
      </c>
      <c r="O4762" t="s">
        <v>1033</v>
      </c>
      <c r="P4762" t="s">
        <v>4781</v>
      </c>
      <c r="Q4762" t="s">
        <v>4852</v>
      </c>
      <c r="R4762" t="s">
        <v>4771</v>
      </c>
    </row>
    <row r="4763" spans="1:18" x14ac:dyDescent="0.3">
      <c r="A4763">
        <v>3800</v>
      </c>
      <c r="B4763" t="s">
        <v>1034</v>
      </c>
      <c r="C4763" t="s">
        <v>208</v>
      </c>
      <c r="D4763" t="s">
        <v>164</v>
      </c>
      <c r="E4763" s="1">
        <v>45671</v>
      </c>
      <c r="F4763" t="s">
        <v>4343</v>
      </c>
      <c r="G4763" t="s">
        <v>1106</v>
      </c>
      <c r="H4763" t="s">
        <v>604</v>
      </c>
      <c r="I4763" t="s">
        <v>204</v>
      </c>
      <c r="J4763" s="1">
        <v>46256</v>
      </c>
      <c r="K4763" t="s">
        <v>711</v>
      </c>
      <c r="L4763">
        <v>2</v>
      </c>
      <c r="M4763">
        <v>280</v>
      </c>
      <c r="N4763" t="s">
        <v>710</v>
      </c>
      <c r="O4763" t="s">
        <v>1036</v>
      </c>
      <c r="P4763" t="s">
        <v>4784</v>
      </c>
      <c r="Q4763" t="s">
        <v>4901</v>
      </c>
    </row>
    <row r="4764" spans="1:18" x14ac:dyDescent="0.3">
      <c r="A4764">
        <v>3800</v>
      </c>
      <c r="B4764" t="s">
        <v>1034</v>
      </c>
      <c r="C4764" t="s">
        <v>208</v>
      </c>
      <c r="D4764" t="s">
        <v>164</v>
      </c>
      <c r="E4764" s="1">
        <v>45671</v>
      </c>
      <c r="F4764" t="s">
        <v>4342</v>
      </c>
      <c r="G4764" t="s">
        <v>1106</v>
      </c>
      <c r="H4764" t="s">
        <v>604</v>
      </c>
      <c r="I4764" t="s">
        <v>204</v>
      </c>
      <c r="J4764" s="1">
        <v>46256</v>
      </c>
      <c r="K4764" t="s">
        <v>711</v>
      </c>
      <c r="L4764">
        <v>2</v>
      </c>
      <c r="M4764">
        <v>680</v>
      </c>
      <c r="N4764" t="s">
        <v>710</v>
      </c>
      <c r="O4764" t="s">
        <v>1036</v>
      </c>
      <c r="P4764" t="s">
        <v>4784</v>
      </c>
      <c r="Q4764" t="s">
        <v>4901</v>
      </c>
    </row>
    <row r="4765" spans="1:18" x14ac:dyDescent="0.3">
      <c r="A4765">
        <v>3800</v>
      </c>
      <c r="B4765" t="s">
        <v>1034</v>
      </c>
      <c r="C4765" t="s">
        <v>208</v>
      </c>
      <c r="D4765" t="s">
        <v>164</v>
      </c>
      <c r="E4765" s="1">
        <v>45671</v>
      </c>
      <c r="F4765" t="s">
        <v>4341</v>
      </c>
      <c r="G4765" t="s">
        <v>1106</v>
      </c>
      <c r="H4765" t="s">
        <v>604</v>
      </c>
      <c r="I4765" t="s">
        <v>204</v>
      </c>
      <c r="J4765" s="1">
        <v>46256</v>
      </c>
      <c r="K4765" t="s">
        <v>711</v>
      </c>
      <c r="L4765">
        <v>2</v>
      </c>
      <c r="M4765">
        <v>1378</v>
      </c>
      <c r="N4765" t="s">
        <v>710</v>
      </c>
      <c r="O4765" t="s">
        <v>1036</v>
      </c>
      <c r="P4765" t="s">
        <v>4784</v>
      </c>
      <c r="Q4765" t="s">
        <v>4901</v>
      </c>
    </row>
    <row r="4766" spans="1:18" x14ac:dyDescent="0.3">
      <c r="A4766">
        <v>388846464</v>
      </c>
      <c r="B4766" t="s">
        <v>1034</v>
      </c>
      <c r="C4766" t="s">
        <v>433</v>
      </c>
      <c r="D4766" t="s">
        <v>168</v>
      </c>
      <c r="E4766" s="1">
        <v>45671</v>
      </c>
      <c r="F4766" t="s">
        <v>4319</v>
      </c>
      <c r="G4766" t="s">
        <v>1192</v>
      </c>
      <c r="H4766" t="s">
        <v>432</v>
      </c>
      <c r="I4766" t="s">
        <v>204</v>
      </c>
      <c r="J4766" s="1">
        <v>46473</v>
      </c>
      <c r="K4766" t="s">
        <v>762</v>
      </c>
      <c r="L4766">
        <v>313</v>
      </c>
      <c r="M4766">
        <v>312.32</v>
      </c>
      <c r="N4766" t="s">
        <v>710</v>
      </c>
      <c r="O4766" t="s">
        <v>4833</v>
      </c>
      <c r="P4766" t="s">
        <v>4802</v>
      </c>
      <c r="Q4766" t="s">
        <v>4852</v>
      </c>
      <c r="R4766" t="s">
        <v>4771</v>
      </c>
    </row>
    <row r="4767" spans="1:18" x14ac:dyDescent="0.3">
      <c r="A4767">
        <v>3655</v>
      </c>
      <c r="B4767" t="s">
        <v>1034</v>
      </c>
      <c r="C4767" t="s">
        <v>535</v>
      </c>
      <c r="D4767" t="s">
        <v>148</v>
      </c>
      <c r="E4767" s="1">
        <v>45671</v>
      </c>
      <c r="F4767" t="s">
        <v>4355</v>
      </c>
      <c r="G4767" t="s">
        <v>1168</v>
      </c>
      <c r="H4767" t="s">
        <v>534</v>
      </c>
      <c r="I4767" t="s">
        <v>209</v>
      </c>
      <c r="J4767" s="1">
        <v>46295</v>
      </c>
      <c r="K4767" t="s">
        <v>711</v>
      </c>
      <c r="L4767">
        <v>1</v>
      </c>
      <c r="M4767">
        <v>3200</v>
      </c>
      <c r="N4767" t="s">
        <v>890</v>
      </c>
      <c r="O4767" t="s">
        <v>1036</v>
      </c>
      <c r="P4767" t="s">
        <v>4779</v>
      </c>
      <c r="Q4767" t="s">
        <v>4856</v>
      </c>
      <c r="R4767" t="s">
        <v>807</v>
      </c>
    </row>
    <row r="4768" spans="1:18" x14ac:dyDescent="0.3">
      <c r="A4768">
        <v>6489</v>
      </c>
      <c r="B4768" t="s">
        <v>1035</v>
      </c>
      <c r="C4768" t="s">
        <v>230</v>
      </c>
      <c r="D4768" t="s">
        <v>85</v>
      </c>
      <c r="E4768" s="1">
        <v>45671</v>
      </c>
      <c r="F4768" t="s">
        <v>4348</v>
      </c>
      <c r="G4768" t="s">
        <v>1116</v>
      </c>
      <c r="H4768" t="s">
        <v>229</v>
      </c>
      <c r="I4768" t="s">
        <v>204</v>
      </c>
      <c r="J4768" s="1">
        <v>46203</v>
      </c>
      <c r="K4768" t="s">
        <v>744</v>
      </c>
      <c r="L4768">
        <v>43310</v>
      </c>
      <c r="M4768">
        <v>43310</v>
      </c>
      <c r="N4768" t="s">
        <v>710</v>
      </c>
      <c r="O4768" t="s">
        <v>1033</v>
      </c>
      <c r="P4768" t="s">
        <v>4781</v>
      </c>
      <c r="Q4768" t="s">
        <v>4852</v>
      </c>
      <c r="R4768" t="s">
        <v>4771</v>
      </c>
    </row>
    <row r="4769" spans="1:18" x14ac:dyDescent="0.3">
      <c r="A4769">
        <v>6532</v>
      </c>
      <c r="B4769" t="s">
        <v>1035</v>
      </c>
      <c r="C4769" t="s">
        <v>230</v>
      </c>
      <c r="D4769" t="s">
        <v>85</v>
      </c>
      <c r="E4769" s="1">
        <v>45671</v>
      </c>
      <c r="F4769" t="s">
        <v>4348</v>
      </c>
      <c r="G4769" t="s">
        <v>1116</v>
      </c>
      <c r="H4769" t="s">
        <v>229</v>
      </c>
      <c r="I4769" t="s">
        <v>204</v>
      </c>
      <c r="J4769" s="1">
        <v>46203</v>
      </c>
      <c r="K4769" t="s">
        <v>744</v>
      </c>
      <c r="L4769">
        <v>6223.4</v>
      </c>
      <c r="M4769">
        <v>6223.4</v>
      </c>
      <c r="N4769" t="s">
        <v>710</v>
      </c>
      <c r="O4769" t="s">
        <v>1033</v>
      </c>
      <c r="P4769" t="s">
        <v>4781</v>
      </c>
      <c r="Q4769" t="s">
        <v>4852</v>
      </c>
      <c r="R4769" t="s">
        <v>4771</v>
      </c>
    </row>
    <row r="4770" spans="1:18" x14ac:dyDescent="0.3">
      <c r="A4770">
        <v>2662</v>
      </c>
      <c r="B4770" t="s">
        <v>4874</v>
      </c>
      <c r="C4770" t="s">
        <v>533</v>
      </c>
      <c r="D4770" t="s">
        <v>103</v>
      </c>
      <c r="E4770" s="1">
        <v>45670</v>
      </c>
      <c r="F4770" t="s">
        <v>4410</v>
      </c>
      <c r="G4770" t="s">
        <v>1178</v>
      </c>
      <c r="H4770" t="s">
        <v>532</v>
      </c>
      <c r="I4770" t="s">
        <v>204</v>
      </c>
      <c r="J4770" s="1">
        <v>46568</v>
      </c>
      <c r="K4770" t="s">
        <v>892</v>
      </c>
      <c r="L4770">
        <v>1</v>
      </c>
      <c r="M4770">
        <v>10378.5</v>
      </c>
      <c r="N4770" t="s">
        <v>710</v>
      </c>
      <c r="O4770" t="s">
        <v>4811</v>
      </c>
      <c r="P4770" t="s">
        <v>4776</v>
      </c>
      <c r="Q4770" t="s">
        <v>4859</v>
      </c>
      <c r="R4770" t="s">
        <v>4771</v>
      </c>
    </row>
    <row r="4771" spans="1:18" x14ac:dyDescent="0.3">
      <c r="A4771">
        <v>2691</v>
      </c>
      <c r="B4771" t="s">
        <v>4874</v>
      </c>
      <c r="C4771" t="s">
        <v>533</v>
      </c>
      <c r="D4771" t="s">
        <v>103</v>
      </c>
      <c r="E4771" s="1">
        <v>45670</v>
      </c>
      <c r="F4771" t="s">
        <v>4410</v>
      </c>
      <c r="G4771" t="s">
        <v>1179</v>
      </c>
      <c r="H4771" t="s">
        <v>532</v>
      </c>
      <c r="I4771" t="s">
        <v>204</v>
      </c>
      <c r="J4771" s="1">
        <v>46568</v>
      </c>
      <c r="K4771" t="s">
        <v>892</v>
      </c>
      <c r="L4771">
        <v>1</v>
      </c>
      <c r="M4771">
        <v>10378.5</v>
      </c>
      <c r="N4771" t="s">
        <v>710</v>
      </c>
      <c r="O4771" t="s">
        <v>4811</v>
      </c>
      <c r="P4771" t="s">
        <v>4776</v>
      </c>
      <c r="Q4771" t="s">
        <v>4859</v>
      </c>
      <c r="R4771" t="s">
        <v>4771</v>
      </c>
    </row>
    <row r="4772" spans="1:18" x14ac:dyDescent="0.3">
      <c r="A4772">
        <v>326720</v>
      </c>
      <c r="B4772" t="s">
        <v>4875</v>
      </c>
      <c r="C4772" t="s">
        <v>435</v>
      </c>
      <c r="D4772" t="s">
        <v>30</v>
      </c>
      <c r="E4772" s="1">
        <v>45670</v>
      </c>
      <c r="F4772" t="s">
        <v>4351</v>
      </c>
      <c r="G4772" t="s">
        <v>1155</v>
      </c>
      <c r="H4772" t="s">
        <v>434</v>
      </c>
      <c r="I4772" t="s">
        <v>204</v>
      </c>
      <c r="J4772" s="1">
        <v>46752</v>
      </c>
      <c r="K4772" t="s">
        <v>785</v>
      </c>
      <c r="L4772">
        <v>1</v>
      </c>
      <c r="M4772">
        <v>50395.86</v>
      </c>
      <c r="N4772" t="s">
        <v>998</v>
      </c>
      <c r="O4772" t="s">
        <v>1038</v>
      </c>
      <c r="P4772" t="s">
        <v>4787</v>
      </c>
      <c r="Q4772" t="s">
        <v>4858</v>
      </c>
      <c r="R4772" t="s">
        <v>4771</v>
      </c>
    </row>
    <row r="4773" spans="1:18" x14ac:dyDescent="0.3">
      <c r="A4773">
        <v>595711</v>
      </c>
      <c r="B4773" t="s">
        <v>4874</v>
      </c>
      <c r="C4773" t="s">
        <v>491</v>
      </c>
      <c r="D4773" t="s">
        <v>33</v>
      </c>
      <c r="E4773" s="1">
        <v>45670</v>
      </c>
      <c r="F4773" t="s">
        <v>4389</v>
      </c>
      <c r="G4773" t="s">
        <v>1136</v>
      </c>
      <c r="H4773" t="s">
        <v>490</v>
      </c>
      <c r="I4773" t="s">
        <v>204</v>
      </c>
      <c r="J4773" s="1">
        <v>54878</v>
      </c>
      <c r="K4773" t="s">
        <v>762</v>
      </c>
      <c r="L4773">
        <v>149.08000000000001</v>
      </c>
      <c r="M4773">
        <v>149.08000000000001</v>
      </c>
      <c r="N4773" t="s">
        <v>710</v>
      </c>
      <c r="O4773" t="s">
        <v>4845</v>
      </c>
      <c r="P4773" t="s">
        <v>4776</v>
      </c>
      <c r="Q4773" t="s">
        <v>4845</v>
      </c>
      <c r="R4773" t="s">
        <v>4771</v>
      </c>
    </row>
    <row r="4774" spans="1:18" x14ac:dyDescent="0.3">
      <c r="A4774">
        <v>206049</v>
      </c>
      <c r="B4774" t="s">
        <v>4875</v>
      </c>
      <c r="C4774" t="s">
        <v>493</v>
      </c>
      <c r="D4774" t="s">
        <v>197</v>
      </c>
      <c r="E4774" s="1">
        <v>45670</v>
      </c>
      <c r="F4774" t="s">
        <v>4306</v>
      </c>
      <c r="G4774" t="s">
        <v>1068</v>
      </c>
      <c r="H4774" t="s">
        <v>492</v>
      </c>
      <c r="I4774" t="s">
        <v>204</v>
      </c>
      <c r="J4774" s="1">
        <v>54878</v>
      </c>
      <c r="K4774" t="s">
        <v>768</v>
      </c>
      <c r="L4774">
        <v>650</v>
      </c>
      <c r="M4774">
        <v>650</v>
      </c>
      <c r="N4774" t="s">
        <v>710</v>
      </c>
      <c r="O4774" t="s">
        <v>4833</v>
      </c>
      <c r="P4774" t="s">
        <v>4786</v>
      </c>
      <c r="Q4774" t="s">
        <v>4852</v>
      </c>
      <c r="R4774" t="s">
        <v>4773</v>
      </c>
    </row>
    <row r="4775" spans="1:18" x14ac:dyDescent="0.3">
      <c r="A4775">
        <v>149769</v>
      </c>
      <c r="B4775" t="s">
        <v>4875</v>
      </c>
      <c r="C4775" t="s">
        <v>301</v>
      </c>
      <c r="D4775" t="s">
        <v>23</v>
      </c>
      <c r="E4775" s="1">
        <v>45670</v>
      </c>
      <c r="F4775" t="s">
        <v>4321</v>
      </c>
      <c r="G4775" t="s">
        <v>1114</v>
      </c>
      <c r="H4775" t="s">
        <v>342</v>
      </c>
      <c r="I4775" t="s">
        <v>204</v>
      </c>
      <c r="J4775" s="1">
        <v>46285</v>
      </c>
      <c r="K4775" t="s">
        <v>748</v>
      </c>
      <c r="L4775">
        <v>4912.05</v>
      </c>
      <c r="M4775">
        <v>4912.03</v>
      </c>
      <c r="N4775" t="s">
        <v>710</v>
      </c>
      <c r="O4775" t="s">
        <v>1040</v>
      </c>
      <c r="P4775" t="s">
        <v>4782</v>
      </c>
      <c r="Q4775" t="s">
        <v>4856</v>
      </c>
      <c r="R4775" t="s">
        <v>4773</v>
      </c>
    </row>
    <row r="4776" spans="1:18" x14ac:dyDescent="0.3">
      <c r="A4776">
        <v>1981</v>
      </c>
      <c r="B4776" t="s">
        <v>4875</v>
      </c>
      <c r="C4776" t="s">
        <v>541</v>
      </c>
      <c r="D4776" t="s">
        <v>173</v>
      </c>
      <c r="E4776" s="1">
        <v>45670</v>
      </c>
      <c r="F4776" t="s">
        <v>4326</v>
      </c>
      <c r="G4776" t="s">
        <v>1122</v>
      </c>
      <c r="H4776" t="s">
        <v>542</v>
      </c>
      <c r="I4776" t="s">
        <v>204</v>
      </c>
      <c r="J4776" s="1">
        <v>46537</v>
      </c>
      <c r="K4776" t="s">
        <v>748</v>
      </c>
      <c r="L4776">
        <v>1</v>
      </c>
      <c r="M4776">
        <v>2337.9499999999998</v>
      </c>
      <c r="N4776" t="s">
        <v>814</v>
      </c>
      <c r="O4776" t="s">
        <v>1040</v>
      </c>
      <c r="P4776" t="s">
        <v>4791</v>
      </c>
      <c r="Q4776" t="s">
        <v>4856</v>
      </c>
      <c r="R4776" t="s">
        <v>4773</v>
      </c>
    </row>
    <row r="4777" spans="1:18" x14ac:dyDescent="0.3">
      <c r="A4777">
        <v>16609</v>
      </c>
      <c r="B4777" t="s">
        <v>4875</v>
      </c>
      <c r="C4777" t="s">
        <v>355</v>
      </c>
      <c r="D4777" t="s">
        <v>143</v>
      </c>
      <c r="E4777" s="1">
        <v>45670</v>
      </c>
      <c r="F4777" t="s">
        <v>4318</v>
      </c>
      <c r="G4777" t="s">
        <v>1143</v>
      </c>
      <c r="H4777" t="s">
        <v>354</v>
      </c>
      <c r="I4777" t="s">
        <v>204</v>
      </c>
      <c r="J4777" s="1">
        <v>54878</v>
      </c>
      <c r="K4777" t="s">
        <v>748</v>
      </c>
      <c r="L4777">
        <v>1891</v>
      </c>
      <c r="M4777">
        <v>1891</v>
      </c>
      <c r="N4777" t="s">
        <v>710</v>
      </c>
      <c r="O4777" t="s">
        <v>4834</v>
      </c>
      <c r="P4777" t="s">
        <v>4776</v>
      </c>
      <c r="Q4777" t="s">
        <v>4856</v>
      </c>
      <c r="R4777" t="s">
        <v>4771</v>
      </c>
    </row>
    <row r="4778" spans="1:18" x14ac:dyDescent="0.3">
      <c r="A4778">
        <v>43221</v>
      </c>
      <c r="B4778" t="s">
        <v>4875</v>
      </c>
      <c r="C4778" t="s">
        <v>210</v>
      </c>
      <c r="D4778" t="s">
        <v>163</v>
      </c>
      <c r="E4778" s="1">
        <v>45670</v>
      </c>
      <c r="F4778" t="s">
        <v>4297</v>
      </c>
      <c r="G4778" t="s">
        <v>1115</v>
      </c>
      <c r="H4778" t="s">
        <v>356</v>
      </c>
      <c r="I4778" t="s">
        <v>209</v>
      </c>
      <c r="J4778" s="1">
        <v>54878</v>
      </c>
      <c r="K4778" t="s">
        <v>748</v>
      </c>
      <c r="L4778">
        <v>120</v>
      </c>
      <c r="M4778">
        <v>120</v>
      </c>
      <c r="N4778" t="s">
        <v>710</v>
      </c>
      <c r="Q4778" t="s">
        <v>4901</v>
      </c>
      <c r="R4778" t="s">
        <v>4773</v>
      </c>
    </row>
    <row r="4779" spans="1:18" x14ac:dyDescent="0.3">
      <c r="A4779">
        <v>619</v>
      </c>
      <c r="B4779" t="s">
        <v>4875</v>
      </c>
      <c r="C4779" t="s">
        <v>344</v>
      </c>
      <c r="D4779" t="s">
        <v>138</v>
      </c>
      <c r="E4779" s="1">
        <v>45670</v>
      </c>
      <c r="F4779" t="s">
        <v>4338</v>
      </c>
      <c r="G4779" t="s">
        <v>1108</v>
      </c>
      <c r="H4779" t="s">
        <v>343</v>
      </c>
      <c r="I4779" t="s">
        <v>209</v>
      </c>
      <c r="J4779" s="1">
        <v>54878</v>
      </c>
      <c r="K4779" t="s">
        <v>748</v>
      </c>
      <c r="L4779">
        <v>4230.6000000000004</v>
      </c>
      <c r="M4779">
        <v>4230.6000000000004</v>
      </c>
      <c r="N4779" t="s">
        <v>719</v>
      </c>
      <c r="Q4779" t="s">
        <v>4856</v>
      </c>
      <c r="R4779" t="s">
        <v>4771</v>
      </c>
    </row>
    <row r="4780" spans="1:18" x14ac:dyDescent="0.3">
      <c r="A4780">
        <v>268016</v>
      </c>
      <c r="B4780" t="s">
        <v>4874</v>
      </c>
      <c r="C4780" t="s">
        <v>491</v>
      </c>
      <c r="D4780" t="s">
        <v>33</v>
      </c>
      <c r="E4780" s="1">
        <v>45670</v>
      </c>
      <c r="F4780" t="s">
        <v>4407</v>
      </c>
      <c r="G4780" t="s">
        <v>1136</v>
      </c>
      <c r="H4780" t="s">
        <v>490</v>
      </c>
      <c r="I4780" t="s">
        <v>204</v>
      </c>
      <c r="J4780" s="1">
        <v>54878</v>
      </c>
      <c r="K4780" t="s">
        <v>762</v>
      </c>
      <c r="L4780">
        <v>271.55</v>
      </c>
      <c r="M4780">
        <v>271.55</v>
      </c>
      <c r="N4780" t="s">
        <v>710</v>
      </c>
      <c r="O4780" t="s">
        <v>4845</v>
      </c>
      <c r="P4780" t="s">
        <v>4776</v>
      </c>
      <c r="Q4780" t="s">
        <v>4845</v>
      </c>
      <c r="R4780" t="s">
        <v>4771</v>
      </c>
    </row>
    <row r="4781" spans="1:18" x14ac:dyDescent="0.3">
      <c r="A4781">
        <v>582170</v>
      </c>
      <c r="B4781" t="s">
        <v>4875</v>
      </c>
      <c r="C4781" t="s">
        <v>248</v>
      </c>
      <c r="D4781" t="s">
        <v>13</v>
      </c>
      <c r="E4781" s="1">
        <v>45667</v>
      </c>
      <c r="F4781" t="s">
        <v>4430</v>
      </c>
      <c r="G4781" t="s">
        <v>1121</v>
      </c>
      <c r="H4781" t="s">
        <v>351</v>
      </c>
      <c r="I4781" t="s">
        <v>204</v>
      </c>
      <c r="J4781" s="1">
        <v>54878</v>
      </c>
      <c r="K4781" t="s">
        <v>748</v>
      </c>
      <c r="L4781">
        <v>1330.44</v>
      </c>
      <c r="M4781">
        <v>1330.44</v>
      </c>
      <c r="N4781" t="s">
        <v>710</v>
      </c>
      <c r="O4781" t="s">
        <v>1040</v>
      </c>
      <c r="P4781" t="s">
        <v>4779</v>
      </c>
      <c r="Q4781" t="s">
        <v>4856</v>
      </c>
      <c r="R4781" t="s">
        <v>4773</v>
      </c>
    </row>
    <row r="4782" spans="1:18" x14ac:dyDescent="0.3">
      <c r="A4782">
        <v>4430</v>
      </c>
      <c r="B4782" t="s">
        <v>4875</v>
      </c>
      <c r="C4782" t="s">
        <v>319</v>
      </c>
      <c r="D4782" t="s">
        <v>36</v>
      </c>
      <c r="E4782" s="1">
        <v>45667</v>
      </c>
      <c r="F4782" t="s">
        <v>4298</v>
      </c>
      <c r="G4782" t="s">
        <v>1133</v>
      </c>
      <c r="H4782" t="s">
        <v>336</v>
      </c>
      <c r="I4782" t="s">
        <v>204</v>
      </c>
      <c r="J4782" s="1">
        <v>46075</v>
      </c>
      <c r="K4782" t="s">
        <v>748</v>
      </c>
      <c r="L4782">
        <v>2</v>
      </c>
      <c r="M4782">
        <v>392.14</v>
      </c>
      <c r="N4782" t="s">
        <v>710</v>
      </c>
      <c r="O4782" t="s">
        <v>1040</v>
      </c>
      <c r="P4782" t="s">
        <v>4784</v>
      </c>
      <c r="Q4782" t="s">
        <v>4856</v>
      </c>
      <c r="R4782" t="s">
        <v>4771</v>
      </c>
    </row>
    <row r="4783" spans="1:18" x14ac:dyDescent="0.3">
      <c r="A4783">
        <v>8421</v>
      </c>
      <c r="B4783" t="s">
        <v>4875</v>
      </c>
      <c r="C4783" t="s">
        <v>270</v>
      </c>
      <c r="D4783" t="s">
        <v>82</v>
      </c>
      <c r="E4783" s="1">
        <v>45667</v>
      </c>
      <c r="F4783" t="s">
        <v>4296</v>
      </c>
      <c r="G4783" t="s">
        <v>1123</v>
      </c>
      <c r="H4783" t="s">
        <v>334</v>
      </c>
      <c r="I4783" t="s">
        <v>209</v>
      </c>
      <c r="J4783" s="1">
        <v>54878</v>
      </c>
      <c r="K4783" t="s">
        <v>748</v>
      </c>
      <c r="L4783">
        <v>1261</v>
      </c>
      <c r="M4783">
        <v>1261</v>
      </c>
      <c r="N4783" t="s">
        <v>710</v>
      </c>
    </row>
    <row r="4784" spans="1:18" x14ac:dyDescent="0.3">
      <c r="A4784">
        <v>78508</v>
      </c>
      <c r="B4784" t="s">
        <v>1034</v>
      </c>
      <c r="C4784" t="s">
        <v>319</v>
      </c>
      <c r="D4784" t="s">
        <v>36</v>
      </c>
      <c r="E4784" s="1">
        <v>45667</v>
      </c>
      <c r="F4784" t="s">
        <v>4298</v>
      </c>
      <c r="G4784" t="s">
        <v>1163</v>
      </c>
      <c r="H4784" t="s">
        <v>318</v>
      </c>
      <c r="I4784" t="s">
        <v>204</v>
      </c>
      <c r="J4784" s="1">
        <v>46214</v>
      </c>
      <c r="K4784" t="s">
        <v>711</v>
      </c>
      <c r="L4784">
        <v>1027</v>
      </c>
      <c r="M4784">
        <v>1026.93</v>
      </c>
      <c r="N4784" t="s">
        <v>710</v>
      </c>
      <c r="O4784" t="s">
        <v>1036</v>
      </c>
      <c r="P4784" t="s">
        <v>4784</v>
      </c>
      <c r="Q4784" t="s">
        <v>4901</v>
      </c>
      <c r="R4784" t="s">
        <v>4771</v>
      </c>
    </row>
    <row r="4785" spans="1:18" x14ac:dyDescent="0.3">
      <c r="A4785">
        <v>326705</v>
      </c>
      <c r="B4785" t="s">
        <v>1034</v>
      </c>
      <c r="C4785" t="s">
        <v>435</v>
      </c>
      <c r="D4785" t="s">
        <v>30</v>
      </c>
      <c r="E4785" s="1">
        <v>45667</v>
      </c>
      <c r="F4785" t="s">
        <v>4351</v>
      </c>
      <c r="G4785" t="s">
        <v>1157</v>
      </c>
      <c r="H4785" t="s">
        <v>434</v>
      </c>
      <c r="I4785" t="s">
        <v>204</v>
      </c>
      <c r="J4785" s="1">
        <v>46752</v>
      </c>
      <c r="K4785" t="s">
        <v>785</v>
      </c>
      <c r="L4785">
        <v>1</v>
      </c>
      <c r="M4785">
        <v>155155.04999999999</v>
      </c>
      <c r="N4785" t="s">
        <v>998</v>
      </c>
      <c r="O4785" t="s">
        <v>1038</v>
      </c>
      <c r="P4785" t="s">
        <v>4787</v>
      </c>
      <c r="Q4785" t="s">
        <v>4858</v>
      </c>
      <c r="R4785" t="s">
        <v>4771</v>
      </c>
    </row>
    <row r="4786" spans="1:18" x14ac:dyDescent="0.3">
      <c r="A4786">
        <v>3693565</v>
      </c>
      <c r="B4786" t="s">
        <v>4874</v>
      </c>
      <c r="C4786" t="s">
        <v>417</v>
      </c>
      <c r="D4786" t="s">
        <v>185</v>
      </c>
      <c r="E4786" s="1">
        <v>45667</v>
      </c>
      <c r="F4786" t="s">
        <v>4335</v>
      </c>
      <c r="G4786" t="s">
        <v>1158</v>
      </c>
      <c r="H4786" t="s">
        <v>461</v>
      </c>
      <c r="I4786" t="s">
        <v>204</v>
      </c>
      <c r="J4786" s="1">
        <v>54878</v>
      </c>
      <c r="K4786" t="s">
        <v>762</v>
      </c>
      <c r="L4786">
        <v>2179.9299999999998</v>
      </c>
      <c r="M4786">
        <v>2179.9299999999998</v>
      </c>
      <c r="N4786" t="s">
        <v>710</v>
      </c>
      <c r="O4786" t="s">
        <v>1037</v>
      </c>
      <c r="P4786" t="s">
        <v>4780</v>
      </c>
      <c r="Q4786" t="s">
        <v>4852</v>
      </c>
      <c r="R4786" t="s">
        <v>4771</v>
      </c>
    </row>
    <row r="4787" spans="1:18" x14ac:dyDescent="0.3">
      <c r="A4787">
        <v>10966789</v>
      </c>
      <c r="B4787" t="s">
        <v>1034</v>
      </c>
      <c r="C4787" t="s">
        <v>452</v>
      </c>
      <c r="D4787" t="s">
        <v>171</v>
      </c>
      <c r="E4787" s="1">
        <v>45667</v>
      </c>
      <c r="F4787" t="s">
        <v>4319</v>
      </c>
      <c r="G4787" t="s">
        <v>1080</v>
      </c>
      <c r="H4787" t="s">
        <v>450</v>
      </c>
      <c r="I4787" t="s">
        <v>209</v>
      </c>
      <c r="J4787" s="1">
        <v>54878</v>
      </c>
      <c r="K4787" t="s">
        <v>717</v>
      </c>
      <c r="L4787">
        <v>1439</v>
      </c>
      <c r="M4787">
        <v>1438.46</v>
      </c>
      <c r="N4787" t="s">
        <v>710</v>
      </c>
      <c r="Q4787" t="s">
        <v>4852</v>
      </c>
      <c r="R4787" t="s">
        <v>4771</v>
      </c>
    </row>
    <row r="4788" spans="1:18" x14ac:dyDescent="0.3">
      <c r="A4788">
        <v>10966904</v>
      </c>
      <c r="B4788" t="s">
        <v>1034</v>
      </c>
      <c r="C4788" t="s">
        <v>452</v>
      </c>
      <c r="D4788" t="s">
        <v>171</v>
      </c>
      <c r="E4788" s="1">
        <v>45667</v>
      </c>
      <c r="F4788" t="s">
        <v>4319</v>
      </c>
      <c r="G4788" t="s">
        <v>1080</v>
      </c>
      <c r="H4788" t="s">
        <v>450</v>
      </c>
      <c r="I4788" t="s">
        <v>209</v>
      </c>
      <c r="J4788" s="1">
        <v>54878</v>
      </c>
      <c r="K4788" t="s">
        <v>717</v>
      </c>
      <c r="L4788">
        <v>1564</v>
      </c>
      <c r="M4788">
        <v>1563.08</v>
      </c>
      <c r="N4788" t="s">
        <v>710</v>
      </c>
      <c r="Q4788" t="s">
        <v>4852</v>
      </c>
      <c r="R4788" t="s">
        <v>4771</v>
      </c>
    </row>
    <row r="4789" spans="1:18" x14ac:dyDescent="0.3">
      <c r="A4789">
        <v>180</v>
      </c>
      <c r="B4789" t="s">
        <v>4874</v>
      </c>
      <c r="C4789" t="s">
        <v>568</v>
      </c>
      <c r="D4789" t="s">
        <v>64</v>
      </c>
      <c r="E4789" s="1">
        <v>45667</v>
      </c>
      <c r="F4789" t="s">
        <v>4368</v>
      </c>
      <c r="G4789" t="s">
        <v>1131</v>
      </c>
      <c r="H4789" t="s">
        <v>576</v>
      </c>
      <c r="I4789" t="s">
        <v>209</v>
      </c>
      <c r="J4789" s="1">
        <v>46262</v>
      </c>
      <c r="K4789" t="s">
        <v>762</v>
      </c>
      <c r="L4789">
        <v>1</v>
      </c>
      <c r="M4789">
        <v>4800</v>
      </c>
      <c r="N4789" t="s">
        <v>710</v>
      </c>
      <c r="O4789" t="s">
        <v>1038</v>
      </c>
      <c r="P4789" t="s">
        <v>4782</v>
      </c>
      <c r="Q4789" t="s">
        <v>4858</v>
      </c>
      <c r="R4789" t="s">
        <v>4771</v>
      </c>
    </row>
    <row r="4790" spans="1:18" x14ac:dyDescent="0.3">
      <c r="A4790">
        <v>10966842</v>
      </c>
      <c r="B4790" t="s">
        <v>1034</v>
      </c>
      <c r="C4790" t="s">
        <v>452</v>
      </c>
      <c r="D4790" t="s">
        <v>171</v>
      </c>
      <c r="E4790" s="1">
        <v>45667</v>
      </c>
      <c r="F4790" t="s">
        <v>4319</v>
      </c>
      <c r="G4790" t="s">
        <v>1080</v>
      </c>
      <c r="H4790" t="s">
        <v>450</v>
      </c>
      <c r="I4790" t="s">
        <v>209</v>
      </c>
      <c r="J4790" s="1">
        <v>54878</v>
      </c>
      <c r="K4790" t="s">
        <v>717</v>
      </c>
      <c r="L4790">
        <v>1858</v>
      </c>
      <c r="M4790">
        <v>1857.25</v>
      </c>
      <c r="N4790" t="s">
        <v>710</v>
      </c>
      <c r="Q4790" t="s">
        <v>4852</v>
      </c>
      <c r="R4790" t="s">
        <v>4771</v>
      </c>
    </row>
    <row r="4791" spans="1:18" x14ac:dyDescent="0.3">
      <c r="A4791">
        <v>41045</v>
      </c>
      <c r="B4791" t="s">
        <v>1034</v>
      </c>
      <c r="C4791" t="s">
        <v>497</v>
      </c>
      <c r="D4791" t="s">
        <v>58</v>
      </c>
      <c r="E4791" s="1">
        <v>45667</v>
      </c>
      <c r="F4791" t="s">
        <v>4316</v>
      </c>
      <c r="G4791" t="s">
        <v>1095</v>
      </c>
      <c r="H4791" t="s">
        <v>498</v>
      </c>
      <c r="I4791" t="s">
        <v>204</v>
      </c>
      <c r="J4791" s="1">
        <v>46265</v>
      </c>
      <c r="K4791" t="s">
        <v>717</v>
      </c>
      <c r="L4791">
        <v>537.17999999999995</v>
      </c>
      <c r="M4791">
        <v>537.17999999999995</v>
      </c>
      <c r="N4791" t="s">
        <v>710</v>
      </c>
      <c r="O4791" t="s">
        <v>4833</v>
      </c>
      <c r="P4791" t="s">
        <v>4776</v>
      </c>
      <c r="Q4791" t="s">
        <v>4852</v>
      </c>
      <c r="R4791" t="s">
        <v>4773</v>
      </c>
    </row>
    <row r="4792" spans="1:18" x14ac:dyDescent="0.3">
      <c r="A4792">
        <v>3179</v>
      </c>
      <c r="B4792" t="s">
        <v>4874</v>
      </c>
      <c r="C4792" t="s">
        <v>444</v>
      </c>
      <c r="D4792" t="s">
        <v>21</v>
      </c>
      <c r="E4792" s="1">
        <v>45667</v>
      </c>
      <c r="F4792" t="s">
        <v>4380</v>
      </c>
      <c r="G4792" t="s">
        <v>1177</v>
      </c>
      <c r="H4792" t="s">
        <v>443</v>
      </c>
      <c r="I4792" t="s">
        <v>209</v>
      </c>
      <c r="J4792" s="1">
        <v>54878</v>
      </c>
      <c r="K4792" t="s">
        <v>762</v>
      </c>
      <c r="L4792">
        <v>1</v>
      </c>
      <c r="M4792">
        <v>320</v>
      </c>
      <c r="N4792" t="s">
        <v>710</v>
      </c>
      <c r="O4792" t="s">
        <v>1037</v>
      </c>
      <c r="P4792" t="s">
        <v>4808</v>
      </c>
      <c r="Q4792" t="s">
        <v>4852</v>
      </c>
      <c r="R4792" t="s">
        <v>4772</v>
      </c>
    </row>
    <row r="4793" spans="1:18" x14ac:dyDescent="0.3">
      <c r="A4793">
        <v>1700017</v>
      </c>
      <c r="B4793" t="s">
        <v>4874</v>
      </c>
      <c r="C4793" t="s">
        <v>417</v>
      </c>
      <c r="D4793" t="s">
        <v>185</v>
      </c>
      <c r="E4793" s="1">
        <v>45667</v>
      </c>
      <c r="F4793" t="s">
        <v>4346</v>
      </c>
      <c r="G4793" t="s">
        <v>1158</v>
      </c>
      <c r="H4793" t="s">
        <v>461</v>
      </c>
      <c r="I4793" t="s">
        <v>204</v>
      </c>
      <c r="J4793" s="1">
        <v>54878</v>
      </c>
      <c r="K4793" t="s">
        <v>762</v>
      </c>
      <c r="L4793">
        <v>19449.78</v>
      </c>
      <c r="M4793">
        <v>19449.78</v>
      </c>
      <c r="N4793" t="s">
        <v>710</v>
      </c>
      <c r="O4793" t="s">
        <v>1037</v>
      </c>
      <c r="P4793" t="s">
        <v>4780</v>
      </c>
      <c r="Q4793" t="s">
        <v>4852</v>
      </c>
      <c r="R4793" t="s">
        <v>4771</v>
      </c>
    </row>
    <row r="4794" spans="1:18" x14ac:dyDescent="0.3">
      <c r="A4794">
        <v>3087</v>
      </c>
      <c r="B4794" t="s">
        <v>4874</v>
      </c>
      <c r="C4794" t="s">
        <v>612</v>
      </c>
      <c r="D4794" t="s">
        <v>102</v>
      </c>
      <c r="E4794" s="1">
        <v>45667</v>
      </c>
      <c r="F4794" t="s">
        <v>4300</v>
      </c>
      <c r="G4794" t="s">
        <v>1165</v>
      </c>
      <c r="H4794" t="s">
        <v>611</v>
      </c>
      <c r="I4794" t="s">
        <v>209</v>
      </c>
      <c r="J4794" s="1">
        <v>45961</v>
      </c>
      <c r="K4794" t="s">
        <v>720</v>
      </c>
      <c r="L4794">
        <v>4446</v>
      </c>
      <c r="M4794">
        <v>4446</v>
      </c>
      <c r="N4794" t="s">
        <v>710</v>
      </c>
      <c r="O4794" t="s">
        <v>1037</v>
      </c>
      <c r="P4794" t="s">
        <v>4777</v>
      </c>
      <c r="Q4794" t="s">
        <v>4852</v>
      </c>
      <c r="R4794" t="s">
        <v>4773</v>
      </c>
    </row>
    <row r="4795" spans="1:18" x14ac:dyDescent="0.3">
      <c r="A4795">
        <v>326827</v>
      </c>
      <c r="B4795" t="s">
        <v>4874</v>
      </c>
      <c r="C4795" t="s">
        <v>435</v>
      </c>
      <c r="D4795" t="s">
        <v>30</v>
      </c>
      <c r="E4795" s="1">
        <v>45667</v>
      </c>
      <c r="F4795" t="s">
        <v>4351</v>
      </c>
      <c r="G4795" t="s">
        <v>1154</v>
      </c>
      <c r="H4795" t="s">
        <v>434</v>
      </c>
      <c r="I4795" t="s">
        <v>204</v>
      </c>
      <c r="J4795" s="1">
        <v>46752</v>
      </c>
      <c r="K4795" t="s">
        <v>785</v>
      </c>
      <c r="L4795">
        <v>1</v>
      </c>
      <c r="M4795">
        <v>147827.82999999999</v>
      </c>
      <c r="N4795" t="s">
        <v>998</v>
      </c>
      <c r="O4795" t="s">
        <v>1038</v>
      </c>
      <c r="P4795" t="s">
        <v>4787</v>
      </c>
      <c r="Q4795" t="s">
        <v>4858</v>
      </c>
      <c r="R4795" t="s">
        <v>4771</v>
      </c>
    </row>
    <row r="4796" spans="1:18" x14ac:dyDescent="0.3">
      <c r="A4796">
        <v>723091</v>
      </c>
      <c r="B4796" t="s">
        <v>4874</v>
      </c>
      <c r="C4796" t="s">
        <v>459</v>
      </c>
      <c r="D4796" t="s">
        <v>160</v>
      </c>
      <c r="E4796" s="1">
        <v>45666</v>
      </c>
      <c r="F4796" t="s">
        <v>4399</v>
      </c>
      <c r="G4796" t="s">
        <v>1156</v>
      </c>
      <c r="H4796" t="s">
        <v>458</v>
      </c>
      <c r="I4796" t="s">
        <v>209</v>
      </c>
      <c r="J4796" s="1">
        <v>54878</v>
      </c>
      <c r="K4796" t="s">
        <v>762</v>
      </c>
      <c r="L4796">
        <v>33199.800000000003</v>
      </c>
      <c r="M4796">
        <v>33199.800000000003</v>
      </c>
      <c r="N4796" t="s">
        <v>710</v>
      </c>
      <c r="Q4796" t="s">
        <v>4852</v>
      </c>
      <c r="R4796" t="s">
        <v>4772</v>
      </c>
    </row>
    <row r="4797" spans="1:18" x14ac:dyDescent="0.3">
      <c r="A4797">
        <v>70</v>
      </c>
      <c r="B4797" t="s">
        <v>1034</v>
      </c>
      <c r="C4797" t="s">
        <v>618</v>
      </c>
      <c r="D4797" t="s">
        <v>112</v>
      </c>
      <c r="E4797" s="1">
        <v>45666</v>
      </c>
      <c r="F4797" t="s">
        <v>4361</v>
      </c>
      <c r="G4797" t="s">
        <v>1130</v>
      </c>
      <c r="H4797" t="s">
        <v>617</v>
      </c>
      <c r="I4797" t="s">
        <v>204</v>
      </c>
      <c r="J4797" s="1">
        <v>46347</v>
      </c>
      <c r="K4797" t="s">
        <v>711</v>
      </c>
      <c r="L4797">
        <v>1</v>
      </c>
      <c r="M4797">
        <v>338.8</v>
      </c>
      <c r="N4797" t="s">
        <v>818</v>
      </c>
      <c r="O4797" t="s">
        <v>1036</v>
      </c>
      <c r="P4797" t="s">
        <v>4776</v>
      </c>
      <c r="Q4797" t="s">
        <v>4901</v>
      </c>
      <c r="R4797" t="s">
        <v>4771</v>
      </c>
    </row>
    <row r="4798" spans="1:18" x14ac:dyDescent="0.3">
      <c r="A4798">
        <v>278</v>
      </c>
      <c r="B4798" t="s">
        <v>1034</v>
      </c>
      <c r="C4798" t="s">
        <v>479</v>
      </c>
      <c r="D4798" t="s">
        <v>99</v>
      </c>
      <c r="E4798" s="1">
        <v>45666</v>
      </c>
      <c r="F4798" t="s">
        <v>4314</v>
      </c>
      <c r="G4798" t="s">
        <v>1174</v>
      </c>
      <c r="H4798" t="s">
        <v>478</v>
      </c>
      <c r="I4798" t="s">
        <v>204</v>
      </c>
      <c r="J4798" s="1">
        <v>46239</v>
      </c>
      <c r="K4798" t="s">
        <v>717</v>
      </c>
      <c r="L4798">
        <v>29</v>
      </c>
      <c r="M4798">
        <v>444.28</v>
      </c>
      <c r="N4798" t="s">
        <v>710</v>
      </c>
      <c r="O4798" t="s">
        <v>1037</v>
      </c>
      <c r="P4798" t="s">
        <v>4790</v>
      </c>
      <c r="Q4798" t="s">
        <v>4852</v>
      </c>
      <c r="R4798" t="s">
        <v>4772</v>
      </c>
    </row>
    <row r="4799" spans="1:18" x14ac:dyDescent="0.3">
      <c r="A4799">
        <v>36148</v>
      </c>
      <c r="B4799" t="s">
        <v>4874</v>
      </c>
      <c r="C4799" t="s">
        <v>447</v>
      </c>
      <c r="D4799" t="s">
        <v>57</v>
      </c>
      <c r="E4799" s="1">
        <v>45666</v>
      </c>
      <c r="F4799" t="s">
        <v>4383</v>
      </c>
      <c r="G4799" t="s">
        <v>1093</v>
      </c>
      <c r="H4799" t="s">
        <v>446</v>
      </c>
      <c r="I4799" t="s">
        <v>204</v>
      </c>
      <c r="J4799" s="1">
        <v>46203</v>
      </c>
      <c r="K4799" t="s">
        <v>762</v>
      </c>
      <c r="L4799">
        <v>754</v>
      </c>
      <c r="M4799">
        <v>753.16</v>
      </c>
      <c r="N4799" t="s">
        <v>710</v>
      </c>
      <c r="O4799" t="s">
        <v>1038</v>
      </c>
      <c r="P4799" t="s">
        <v>4776</v>
      </c>
      <c r="Q4799" t="s">
        <v>4858</v>
      </c>
      <c r="R4799" t="s">
        <v>4774</v>
      </c>
    </row>
    <row r="4800" spans="1:18" x14ac:dyDescent="0.3">
      <c r="A4800">
        <v>4892</v>
      </c>
      <c r="B4800" t="s">
        <v>1034</v>
      </c>
      <c r="C4800" t="s">
        <v>399</v>
      </c>
      <c r="D4800" t="s">
        <v>97</v>
      </c>
      <c r="E4800" s="1">
        <v>45666</v>
      </c>
      <c r="F4800" t="s">
        <v>4301</v>
      </c>
      <c r="G4800" t="s">
        <v>1050</v>
      </c>
      <c r="H4800" t="s">
        <v>398</v>
      </c>
      <c r="I4800" t="s">
        <v>204</v>
      </c>
      <c r="J4800" s="1">
        <v>46274</v>
      </c>
      <c r="K4800" t="s">
        <v>717</v>
      </c>
      <c r="L4800">
        <v>22921.53</v>
      </c>
      <c r="M4800">
        <v>22921.53</v>
      </c>
      <c r="N4800" t="s">
        <v>710</v>
      </c>
      <c r="O4800" t="s">
        <v>4902</v>
      </c>
      <c r="P4800" t="s">
        <v>4776</v>
      </c>
      <c r="Q4800" t="s">
        <v>4852</v>
      </c>
      <c r="R4800" t="s">
        <v>4773</v>
      </c>
    </row>
    <row r="4801" spans="1:18" x14ac:dyDescent="0.3">
      <c r="A4801">
        <v>40709</v>
      </c>
      <c r="B4801" t="s">
        <v>1034</v>
      </c>
      <c r="C4801" t="s">
        <v>327</v>
      </c>
      <c r="D4801" t="s">
        <v>159</v>
      </c>
      <c r="E4801" s="1">
        <v>45666</v>
      </c>
      <c r="F4801" t="s">
        <v>4296</v>
      </c>
      <c r="G4801" t="s">
        <v>1127</v>
      </c>
      <c r="H4801" t="s">
        <v>357</v>
      </c>
      <c r="I4801" t="s">
        <v>204</v>
      </c>
      <c r="J4801" s="1">
        <v>46476</v>
      </c>
      <c r="K4801" t="s">
        <v>711</v>
      </c>
      <c r="L4801">
        <v>910</v>
      </c>
      <c r="M4801">
        <v>910</v>
      </c>
      <c r="N4801" t="s">
        <v>890</v>
      </c>
      <c r="O4801" t="s">
        <v>4834</v>
      </c>
      <c r="P4801" t="s">
        <v>4776</v>
      </c>
      <c r="Q4801" t="s">
        <v>4901</v>
      </c>
      <c r="R4801" t="s">
        <v>4773</v>
      </c>
    </row>
    <row r="4802" spans="1:18" x14ac:dyDescent="0.3">
      <c r="A4802">
        <v>278</v>
      </c>
      <c r="B4802" t="s">
        <v>1034</v>
      </c>
      <c r="C4802" t="s">
        <v>479</v>
      </c>
      <c r="D4802" t="s">
        <v>99</v>
      </c>
      <c r="E4802" s="1">
        <v>45666</v>
      </c>
      <c r="F4802" t="s">
        <v>4312</v>
      </c>
      <c r="G4802" t="s">
        <v>1174</v>
      </c>
      <c r="H4802" t="s">
        <v>478</v>
      </c>
      <c r="I4802" t="s">
        <v>204</v>
      </c>
      <c r="J4802" s="1">
        <v>46239</v>
      </c>
      <c r="K4802" t="s">
        <v>717</v>
      </c>
      <c r="L4802">
        <v>25</v>
      </c>
      <c r="M4802">
        <v>110.25</v>
      </c>
      <c r="N4802" t="s">
        <v>710</v>
      </c>
      <c r="O4802" t="s">
        <v>1037</v>
      </c>
      <c r="P4802" t="s">
        <v>4790</v>
      </c>
      <c r="Q4802" t="s">
        <v>4852</v>
      </c>
      <c r="R4802" t="s">
        <v>4772</v>
      </c>
    </row>
    <row r="4803" spans="1:18" x14ac:dyDescent="0.3">
      <c r="A4803">
        <v>40708</v>
      </c>
      <c r="B4803" t="s">
        <v>1034</v>
      </c>
      <c r="C4803" t="s">
        <v>327</v>
      </c>
      <c r="D4803" t="s">
        <v>159</v>
      </c>
      <c r="E4803" s="1">
        <v>45666</v>
      </c>
      <c r="F4803" t="s">
        <v>4295</v>
      </c>
      <c r="G4803" t="s">
        <v>1126</v>
      </c>
      <c r="H4803" t="s">
        <v>357</v>
      </c>
      <c r="I4803" t="s">
        <v>204</v>
      </c>
      <c r="J4803" s="1">
        <v>46476</v>
      </c>
      <c r="K4803" t="s">
        <v>711</v>
      </c>
      <c r="L4803">
        <v>1450</v>
      </c>
      <c r="M4803">
        <v>1450</v>
      </c>
      <c r="N4803" t="s">
        <v>890</v>
      </c>
      <c r="O4803" t="s">
        <v>4834</v>
      </c>
      <c r="P4803" t="s">
        <v>4776</v>
      </c>
      <c r="Q4803" t="s">
        <v>4901</v>
      </c>
      <c r="R4803" t="s">
        <v>4773</v>
      </c>
    </row>
    <row r="4804" spans="1:18" x14ac:dyDescent="0.3">
      <c r="A4804">
        <v>6065</v>
      </c>
      <c r="B4804" t="s">
        <v>1034</v>
      </c>
      <c r="C4804" t="s">
        <v>208</v>
      </c>
      <c r="D4804" t="s">
        <v>164</v>
      </c>
      <c r="E4804" s="1">
        <v>45666</v>
      </c>
      <c r="F4804" t="s">
        <v>4297</v>
      </c>
      <c r="G4804" t="s">
        <v>1128</v>
      </c>
      <c r="H4804" t="s">
        <v>604</v>
      </c>
      <c r="I4804" t="s">
        <v>204</v>
      </c>
      <c r="J4804" s="1">
        <v>46256</v>
      </c>
      <c r="K4804" t="s">
        <v>711</v>
      </c>
      <c r="L4804">
        <v>2</v>
      </c>
      <c r="M4804">
        <v>120</v>
      </c>
      <c r="N4804" t="s">
        <v>710</v>
      </c>
      <c r="O4804" t="s">
        <v>1036</v>
      </c>
      <c r="P4804" t="s">
        <v>4784</v>
      </c>
      <c r="Q4804" t="s">
        <v>4901</v>
      </c>
    </row>
    <row r="4805" spans="1:18" x14ac:dyDescent="0.3">
      <c r="A4805">
        <v>6065</v>
      </c>
      <c r="B4805" t="s">
        <v>1034</v>
      </c>
      <c r="C4805" t="s">
        <v>208</v>
      </c>
      <c r="D4805" t="s">
        <v>164</v>
      </c>
      <c r="E4805" s="1">
        <v>45666</v>
      </c>
      <c r="F4805" t="s">
        <v>4297</v>
      </c>
      <c r="G4805" t="s">
        <v>1128</v>
      </c>
      <c r="H4805" t="s">
        <v>604</v>
      </c>
      <c r="I4805" t="s">
        <v>204</v>
      </c>
      <c r="J4805" s="1">
        <v>46256</v>
      </c>
      <c r="K4805" t="s">
        <v>711</v>
      </c>
      <c r="L4805">
        <v>3</v>
      </c>
      <c r="M4805">
        <v>180</v>
      </c>
      <c r="N4805" t="s">
        <v>710</v>
      </c>
      <c r="O4805" t="s">
        <v>1036</v>
      </c>
      <c r="P4805" t="s">
        <v>4784</v>
      </c>
      <c r="Q4805" t="s">
        <v>4901</v>
      </c>
    </row>
    <row r="4806" spans="1:18" x14ac:dyDescent="0.3">
      <c r="A4806">
        <v>6065</v>
      </c>
      <c r="B4806" t="s">
        <v>1034</v>
      </c>
      <c r="C4806" t="s">
        <v>208</v>
      </c>
      <c r="D4806" t="s">
        <v>164</v>
      </c>
      <c r="E4806" s="1">
        <v>45666</v>
      </c>
      <c r="F4806" t="s">
        <v>4297</v>
      </c>
      <c r="G4806" t="s">
        <v>1128</v>
      </c>
      <c r="H4806" t="s">
        <v>604</v>
      </c>
      <c r="I4806" t="s">
        <v>204</v>
      </c>
      <c r="J4806" s="1">
        <v>46256</v>
      </c>
      <c r="K4806" t="s">
        <v>711</v>
      </c>
      <c r="L4806">
        <v>1</v>
      </c>
      <c r="M4806">
        <v>60</v>
      </c>
      <c r="N4806" t="s">
        <v>710</v>
      </c>
      <c r="O4806" t="s">
        <v>1036</v>
      </c>
      <c r="P4806" t="s">
        <v>4784</v>
      </c>
      <c r="Q4806" t="s">
        <v>4901</v>
      </c>
    </row>
    <row r="4807" spans="1:18" x14ac:dyDescent="0.3">
      <c r="A4807">
        <v>6065</v>
      </c>
      <c r="B4807" t="s">
        <v>1034</v>
      </c>
      <c r="C4807" t="s">
        <v>208</v>
      </c>
      <c r="D4807" t="s">
        <v>164</v>
      </c>
      <c r="E4807" s="1">
        <v>45666</v>
      </c>
      <c r="F4807" t="s">
        <v>4297</v>
      </c>
      <c r="G4807" t="s">
        <v>1128</v>
      </c>
      <c r="H4807" t="s">
        <v>604</v>
      </c>
      <c r="I4807" t="s">
        <v>204</v>
      </c>
      <c r="J4807" s="1">
        <v>46256</v>
      </c>
      <c r="K4807" t="s">
        <v>711</v>
      </c>
      <c r="L4807">
        <v>2</v>
      </c>
      <c r="M4807">
        <v>120</v>
      </c>
      <c r="N4807" t="s">
        <v>710</v>
      </c>
      <c r="O4807" t="s">
        <v>1036</v>
      </c>
      <c r="P4807" t="s">
        <v>4784</v>
      </c>
      <c r="Q4807" t="s">
        <v>4901</v>
      </c>
    </row>
    <row r="4808" spans="1:18" x14ac:dyDescent="0.3">
      <c r="A4808">
        <v>6065</v>
      </c>
      <c r="B4808" t="s">
        <v>1034</v>
      </c>
      <c r="C4808" t="s">
        <v>208</v>
      </c>
      <c r="D4808" t="s">
        <v>164</v>
      </c>
      <c r="E4808" s="1">
        <v>45666</v>
      </c>
      <c r="F4808" t="s">
        <v>4297</v>
      </c>
      <c r="G4808" t="s">
        <v>1128</v>
      </c>
      <c r="H4808" t="s">
        <v>604</v>
      </c>
      <c r="I4808" t="s">
        <v>204</v>
      </c>
      <c r="J4808" s="1">
        <v>46256</v>
      </c>
      <c r="K4808" t="s">
        <v>711</v>
      </c>
      <c r="L4808">
        <v>4</v>
      </c>
      <c r="M4808">
        <v>240</v>
      </c>
      <c r="N4808" t="s">
        <v>710</v>
      </c>
      <c r="O4808" t="s">
        <v>1036</v>
      </c>
      <c r="P4808" t="s">
        <v>4784</v>
      </c>
      <c r="Q4808" t="s">
        <v>4901</v>
      </c>
    </row>
    <row r="4809" spans="1:18" x14ac:dyDescent="0.3">
      <c r="A4809">
        <v>1117810</v>
      </c>
      <c r="B4809" t="s">
        <v>4874</v>
      </c>
      <c r="C4809" t="s">
        <v>472</v>
      </c>
      <c r="D4809" t="s">
        <v>48</v>
      </c>
      <c r="E4809" s="1">
        <v>45666</v>
      </c>
      <c r="F4809" t="s">
        <v>4315</v>
      </c>
      <c r="G4809" t="s">
        <v>1107</v>
      </c>
      <c r="H4809" t="s">
        <v>471</v>
      </c>
      <c r="I4809" t="s">
        <v>204</v>
      </c>
      <c r="J4809" s="1">
        <v>46270</v>
      </c>
      <c r="K4809" t="s">
        <v>762</v>
      </c>
      <c r="L4809">
        <v>1</v>
      </c>
      <c r="M4809">
        <v>521.97</v>
      </c>
      <c r="N4809" t="s">
        <v>710</v>
      </c>
      <c r="O4809" t="s">
        <v>4845</v>
      </c>
      <c r="P4809" t="s">
        <v>4776</v>
      </c>
      <c r="Q4809" t="s">
        <v>4845</v>
      </c>
      <c r="R4809" t="s">
        <v>4773</v>
      </c>
    </row>
    <row r="4810" spans="1:18" x14ac:dyDescent="0.3">
      <c r="A4810">
        <v>1117816</v>
      </c>
      <c r="B4810" t="s">
        <v>4874</v>
      </c>
      <c r="C4810" t="s">
        <v>472</v>
      </c>
      <c r="D4810" t="s">
        <v>48</v>
      </c>
      <c r="E4810" s="1">
        <v>45666</v>
      </c>
      <c r="F4810" t="s">
        <v>4345</v>
      </c>
      <c r="G4810" t="s">
        <v>1107</v>
      </c>
      <c r="H4810" t="s">
        <v>471</v>
      </c>
      <c r="I4810" t="s">
        <v>204</v>
      </c>
      <c r="J4810" s="1">
        <v>46270</v>
      </c>
      <c r="K4810" t="s">
        <v>762</v>
      </c>
      <c r="L4810">
        <v>1</v>
      </c>
      <c r="M4810">
        <v>52.2</v>
      </c>
      <c r="N4810" t="s">
        <v>710</v>
      </c>
      <c r="O4810" t="s">
        <v>4845</v>
      </c>
      <c r="P4810" t="s">
        <v>4776</v>
      </c>
      <c r="Q4810" t="s">
        <v>4845</v>
      </c>
      <c r="R4810" t="s">
        <v>4773</v>
      </c>
    </row>
    <row r="4811" spans="1:18" x14ac:dyDescent="0.3">
      <c r="A4811">
        <v>1365</v>
      </c>
      <c r="B4811" t="s">
        <v>1034</v>
      </c>
      <c r="C4811" t="s">
        <v>312</v>
      </c>
      <c r="D4811" t="s">
        <v>73</v>
      </c>
      <c r="E4811" s="1">
        <v>45666</v>
      </c>
      <c r="F4811" t="s">
        <v>4300</v>
      </c>
      <c r="G4811" t="s">
        <v>1125</v>
      </c>
      <c r="H4811" t="s">
        <v>311</v>
      </c>
      <c r="I4811" t="s">
        <v>204</v>
      </c>
      <c r="J4811" s="1">
        <v>54878</v>
      </c>
      <c r="K4811" t="s">
        <v>711</v>
      </c>
      <c r="L4811">
        <v>2255</v>
      </c>
      <c r="M4811">
        <v>2255</v>
      </c>
      <c r="N4811" t="s">
        <v>719</v>
      </c>
      <c r="O4811" t="s">
        <v>4834</v>
      </c>
      <c r="P4811" t="s">
        <v>1006</v>
      </c>
      <c r="Q4811" t="s">
        <v>4901</v>
      </c>
      <c r="R4811" t="s">
        <v>4773</v>
      </c>
    </row>
    <row r="4812" spans="1:18" x14ac:dyDescent="0.3">
      <c r="A4812">
        <v>822870</v>
      </c>
      <c r="B4812" t="s">
        <v>4874</v>
      </c>
      <c r="C4812" t="s">
        <v>389</v>
      </c>
      <c r="D4812" t="s">
        <v>32</v>
      </c>
      <c r="E4812" s="1">
        <v>45666</v>
      </c>
      <c r="F4812" t="s">
        <v>4299</v>
      </c>
      <c r="G4812" t="s">
        <v>1184</v>
      </c>
      <c r="H4812" t="s">
        <v>388</v>
      </c>
      <c r="I4812" t="s">
        <v>204</v>
      </c>
      <c r="J4812" s="1">
        <v>46752</v>
      </c>
      <c r="K4812" t="s">
        <v>785</v>
      </c>
      <c r="L4812">
        <v>1</v>
      </c>
      <c r="M4812">
        <v>44581.46</v>
      </c>
      <c r="N4812" t="s">
        <v>710</v>
      </c>
      <c r="O4812" t="s">
        <v>1038</v>
      </c>
      <c r="P4812" t="s">
        <v>4785</v>
      </c>
      <c r="Q4812" t="s">
        <v>4858</v>
      </c>
      <c r="R4812" t="s">
        <v>4771</v>
      </c>
    </row>
    <row r="4813" spans="1:18" x14ac:dyDescent="0.3">
      <c r="A4813">
        <v>26573</v>
      </c>
      <c r="B4813" t="s">
        <v>4874</v>
      </c>
      <c r="C4813" t="s">
        <v>296</v>
      </c>
      <c r="D4813" t="s">
        <v>93</v>
      </c>
      <c r="E4813" s="1">
        <v>45666</v>
      </c>
      <c r="F4813" t="s">
        <v>4362</v>
      </c>
      <c r="G4813" t="s">
        <v>1173</v>
      </c>
      <c r="H4813" t="s">
        <v>295</v>
      </c>
      <c r="I4813" t="s">
        <v>209</v>
      </c>
      <c r="J4813" s="1">
        <v>54878</v>
      </c>
      <c r="K4813" t="s">
        <v>720</v>
      </c>
      <c r="L4813">
        <v>25</v>
      </c>
      <c r="M4813">
        <v>25</v>
      </c>
      <c r="N4813" t="s">
        <v>710</v>
      </c>
      <c r="Q4813" t="s">
        <v>4845</v>
      </c>
      <c r="R4813" t="s">
        <v>4772</v>
      </c>
    </row>
    <row r="4814" spans="1:18" x14ac:dyDescent="0.3">
      <c r="A4814">
        <v>40786</v>
      </c>
      <c r="B4814" t="s">
        <v>4874</v>
      </c>
      <c r="C4814" t="s">
        <v>537</v>
      </c>
      <c r="D4814" t="s">
        <v>194</v>
      </c>
      <c r="E4814" s="1">
        <v>45666</v>
      </c>
      <c r="F4814" t="s">
        <v>4362</v>
      </c>
      <c r="G4814" t="s">
        <v>1162</v>
      </c>
      <c r="H4814" t="s">
        <v>536</v>
      </c>
      <c r="I4814" t="s">
        <v>209</v>
      </c>
      <c r="J4814" s="1">
        <v>45412</v>
      </c>
      <c r="K4814" t="s">
        <v>720</v>
      </c>
      <c r="L4814">
        <v>1</v>
      </c>
      <c r="M4814">
        <v>1350</v>
      </c>
      <c r="N4814" t="s">
        <v>710</v>
      </c>
      <c r="Q4814" t="s">
        <v>4858</v>
      </c>
      <c r="R4814" t="s">
        <v>4773</v>
      </c>
    </row>
    <row r="4815" spans="1:18" x14ac:dyDescent="0.3">
      <c r="A4815">
        <v>934533</v>
      </c>
      <c r="B4815" t="s">
        <v>4874</v>
      </c>
      <c r="C4815" t="s">
        <v>239</v>
      </c>
      <c r="D4815" t="s">
        <v>199</v>
      </c>
      <c r="E4815" s="1">
        <v>45666</v>
      </c>
      <c r="F4815" t="s">
        <v>4325</v>
      </c>
      <c r="G4815" t="s">
        <v>1164</v>
      </c>
      <c r="H4815" t="s">
        <v>268</v>
      </c>
      <c r="I4815" t="s">
        <v>204</v>
      </c>
      <c r="J4815" s="1">
        <v>46172</v>
      </c>
      <c r="K4815" t="s">
        <v>720</v>
      </c>
      <c r="L4815">
        <v>1</v>
      </c>
      <c r="M4815">
        <v>109.9</v>
      </c>
      <c r="N4815" t="s">
        <v>710</v>
      </c>
      <c r="O4815" t="s">
        <v>1038</v>
      </c>
      <c r="P4815" t="s">
        <v>4779</v>
      </c>
      <c r="Q4815" t="s">
        <v>4858</v>
      </c>
      <c r="R4815" t="s">
        <v>4771</v>
      </c>
    </row>
    <row r="4816" spans="1:18" x14ac:dyDescent="0.3">
      <c r="A4816">
        <v>93388</v>
      </c>
      <c r="B4816" t="s">
        <v>4874</v>
      </c>
      <c r="C4816" t="s">
        <v>415</v>
      </c>
      <c r="D4816" t="s">
        <v>60</v>
      </c>
      <c r="E4816" s="1">
        <v>45666</v>
      </c>
      <c r="F4816" t="s">
        <v>4333</v>
      </c>
      <c r="G4816" t="s">
        <v>1176</v>
      </c>
      <c r="H4816" t="s">
        <v>457</v>
      </c>
      <c r="I4816" t="s">
        <v>204</v>
      </c>
      <c r="J4816" s="1">
        <v>46387</v>
      </c>
      <c r="K4816" t="s">
        <v>762</v>
      </c>
      <c r="L4816">
        <v>807.53</v>
      </c>
      <c r="M4816">
        <v>807.53</v>
      </c>
      <c r="N4816" t="s">
        <v>814</v>
      </c>
      <c r="O4816" t="s">
        <v>1037</v>
      </c>
      <c r="P4816" t="s">
        <v>4807</v>
      </c>
      <c r="Q4816" t="s">
        <v>4852</v>
      </c>
      <c r="R4816" t="s">
        <v>4771</v>
      </c>
    </row>
    <row r="4817" spans="1:18" x14ac:dyDescent="0.3">
      <c r="A4817">
        <v>278</v>
      </c>
      <c r="B4817" t="s">
        <v>1034</v>
      </c>
      <c r="C4817" t="s">
        <v>479</v>
      </c>
      <c r="D4817" t="s">
        <v>99</v>
      </c>
      <c r="E4817" s="1">
        <v>45666</v>
      </c>
      <c r="F4817" t="s">
        <v>4307</v>
      </c>
      <c r="G4817" t="s">
        <v>1174</v>
      </c>
      <c r="H4817" t="s">
        <v>478</v>
      </c>
      <c r="I4817" t="s">
        <v>204</v>
      </c>
      <c r="J4817" s="1">
        <v>46239</v>
      </c>
      <c r="K4817" t="s">
        <v>717</v>
      </c>
      <c r="L4817">
        <v>3476</v>
      </c>
      <c r="M4817">
        <v>39452.6</v>
      </c>
      <c r="N4817" t="s">
        <v>710</v>
      </c>
      <c r="O4817" t="s">
        <v>1037</v>
      </c>
      <c r="P4817" t="s">
        <v>4790</v>
      </c>
      <c r="Q4817" t="s">
        <v>4852</v>
      </c>
      <c r="R4817" t="s">
        <v>4772</v>
      </c>
    </row>
    <row r="4818" spans="1:18" x14ac:dyDescent="0.3">
      <c r="A4818">
        <v>149502</v>
      </c>
      <c r="B4818" t="s">
        <v>4874</v>
      </c>
      <c r="C4818" t="s">
        <v>301</v>
      </c>
      <c r="D4818" t="s">
        <v>23</v>
      </c>
      <c r="E4818" s="1">
        <v>45666</v>
      </c>
      <c r="F4818" t="s">
        <v>4321</v>
      </c>
      <c r="G4818" t="s">
        <v>1132</v>
      </c>
      <c r="H4818" t="s">
        <v>300</v>
      </c>
      <c r="I4818" t="s">
        <v>204</v>
      </c>
      <c r="J4818" s="1">
        <v>46418</v>
      </c>
      <c r="K4818" t="s">
        <v>720</v>
      </c>
      <c r="L4818">
        <v>1</v>
      </c>
      <c r="M4818">
        <v>4845.29</v>
      </c>
      <c r="N4818" t="s">
        <v>710</v>
      </c>
      <c r="O4818" t="s">
        <v>1038</v>
      </c>
      <c r="P4818" t="s">
        <v>4782</v>
      </c>
      <c r="Q4818" t="s">
        <v>4858</v>
      </c>
      <c r="R4818" t="s">
        <v>4773</v>
      </c>
    </row>
    <row r="4819" spans="1:18" x14ac:dyDescent="0.3">
      <c r="A4819">
        <v>582431</v>
      </c>
      <c r="B4819" t="s">
        <v>4874</v>
      </c>
      <c r="C4819" t="s">
        <v>248</v>
      </c>
      <c r="D4819" t="s">
        <v>13</v>
      </c>
      <c r="E4819" s="1">
        <v>45666</v>
      </c>
      <c r="F4819" t="s">
        <v>4297</v>
      </c>
      <c r="G4819" t="s">
        <v>1144</v>
      </c>
      <c r="H4819" t="s">
        <v>247</v>
      </c>
      <c r="I4819" t="s">
        <v>204</v>
      </c>
      <c r="J4819" s="1">
        <v>54878</v>
      </c>
      <c r="K4819" t="s">
        <v>720</v>
      </c>
      <c r="L4819">
        <v>1</v>
      </c>
      <c r="M4819">
        <v>488.4</v>
      </c>
      <c r="N4819" t="s">
        <v>710</v>
      </c>
      <c r="O4819" t="s">
        <v>1038</v>
      </c>
      <c r="P4819" t="s">
        <v>4779</v>
      </c>
      <c r="Q4819" t="s">
        <v>4858</v>
      </c>
      <c r="R4819" t="s">
        <v>4773</v>
      </c>
    </row>
    <row r="4820" spans="1:18" x14ac:dyDescent="0.3">
      <c r="A4820">
        <v>278</v>
      </c>
      <c r="B4820" t="s">
        <v>1034</v>
      </c>
      <c r="C4820" t="s">
        <v>479</v>
      </c>
      <c r="D4820" t="s">
        <v>99</v>
      </c>
      <c r="E4820" s="1">
        <v>45666</v>
      </c>
      <c r="F4820" t="s">
        <v>4310</v>
      </c>
      <c r="G4820" t="s">
        <v>1174</v>
      </c>
      <c r="H4820" t="s">
        <v>478</v>
      </c>
      <c r="I4820" t="s">
        <v>204</v>
      </c>
      <c r="J4820" s="1">
        <v>46239</v>
      </c>
      <c r="K4820" t="s">
        <v>717</v>
      </c>
      <c r="L4820">
        <v>21</v>
      </c>
      <c r="M4820">
        <v>69.3</v>
      </c>
      <c r="N4820" t="s">
        <v>710</v>
      </c>
      <c r="O4820" t="s">
        <v>1037</v>
      </c>
      <c r="P4820" t="s">
        <v>4790</v>
      </c>
      <c r="Q4820" t="s">
        <v>4852</v>
      </c>
      <c r="R4820" t="s">
        <v>4772</v>
      </c>
    </row>
    <row r="4821" spans="1:18" x14ac:dyDescent="0.3">
      <c r="A4821">
        <v>278</v>
      </c>
      <c r="B4821" t="s">
        <v>1034</v>
      </c>
      <c r="C4821" t="s">
        <v>479</v>
      </c>
      <c r="D4821" t="s">
        <v>99</v>
      </c>
      <c r="E4821" s="1">
        <v>45666</v>
      </c>
      <c r="F4821" t="s">
        <v>4312</v>
      </c>
      <c r="G4821" t="s">
        <v>1174</v>
      </c>
      <c r="H4821" t="s">
        <v>478</v>
      </c>
      <c r="I4821" t="s">
        <v>204</v>
      </c>
      <c r="J4821" s="1">
        <v>46239</v>
      </c>
      <c r="K4821" t="s">
        <v>717</v>
      </c>
      <c r="L4821">
        <v>53</v>
      </c>
      <c r="M4821">
        <v>555.97</v>
      </c>
      <c r="N4821" t="s">
        <v>710</v>
      </c>
      <c r="O4821" t="s">
        <v>1037</v>
      </c>
      <c r="P4821" t="s">
        <v>4790</v>
      </c>
      <c r="Q4821" t="s">
        <v>4852</v>
      </c>
      <c r="R4821" t="s">
        <v>4772</v>
      </c>
    </row>
    <row r="4822" spans="1:18" x14ac:dyDescent="0.3">
      <c r="A4822">
        <v>278</v>
      </c>
      <c r="B4822" t="s">
        <v>1034</v>
      </c>
      <c r="C4822" t="s">
        <v>479</v>
      </c>
      <c r="D4822" t="s">
        <v>99</v>
      </c>
      <c r="E4822" s="1">
        <v>45666</v>
      </c>
      <c r="F4822" t="s">
        <v>4311</v>
      </c>
      <c r="G4822" t="s">
        <v>1174</v>
      </c>
      <c r="H4822" t="s">
        <v>478</v>
      </c>
      <c r="I4822" t="s">
        <v>204</v>
      </c>
      <c r="J4822" s="1">
        <v>46239</v>
      </c>
      <c r="K4822" t="s">
        <v>717</v>
      </c>
      <c r="L4822">
        <v>158</v>
      </c>
      <c r="M4822">
        <v>1251.3599999999999</v>
      </c>
      <c r="N4822" t="s">
        <v>710</v>
      </c>
      <c r="O4822" t="s">
        <v>1037</v>
      </c>
      <c r="P4822" t="s">
        <v>4790</v>
      </c>
      <c r="Q4822" t="s">
        <v>4852</v>
      </c>
      <c r="R4822" t="s">
        <v>4772</v>
      </c>
    </row>
    <row r="4823" spans="1:18" x14ac:dyDescent="0.3">
      <c r="A4823">
        <v>231198</v>
      </c>
      <c r="B4823" t="s">
        <v>4874</v>
      </c>
      <c r="C4823" t="s">
        <v>298</v>
      </c>
      <c r="D4823" t="s">
        <v>11</v>
      </c>
      <c r="E4823" s="1">
        <v>45666</v>
      </c>
      <c r="F4823" t="s">
        <v>4297</v>
      </c>
      <c r="G4823" t="s">
        <v>1119</v>
      </c>
      <c r="H4823" t="s">
        <v>297</v>
      </c>
      <c r="I4823" t="s">
        <v>204</v>
      </c>
      <c r="J4823" s="1">
        <v>54878</v>
      </c>
      <c r="K4823" t="s">
        <v>720</v>
      </c>
      <c r="L4823">
        <v>1</v>
      </c>
      <c r="M4823">
        <v>1225.32</v>
      </c>
      <c r="N4823" t="s">
        <v>710</v>
      </c>
      <c r="O4823" t="s">
        <v>1038</v>
      </c>
      <c r="P4823" t="s">
        <v>4779</v>
      </c>
      <c r="Q4823" t="s">
        <v>4858</v>
      </c>
      <c r="R4823" t="s">
        <v>4771</v>
      </c>
    </row>
    <row r="4824" spans="1:18" x14ac:dyDescent="0.3">
      <c r="A4824">
        <v>234</v>
      </c>
      <c r="B4824" t="s">
        <v>4874</v>
      </c>
      <c r="C4824" t="s">
        <v>575</v>
      </c>
      <c r="D4824" t="s">
        <v>174</v>
      </c>
      <c r="E4824" s="1">
        <v>45666</v>
      </c>
      <c r="F4824" t="s">
        <v>4412</v>
      </c>
      <c r="G4824" t="s">
        <v>1138</v>
      </c>
      <c r="H4824" t="s">
        <v>574</v>
      </c>
      <c r="I4824" t="s">
        <v>204</v>
      </c>
      <c r="J4824" s="1">
        <v>46203</v>
      </c>
      <c r="K4824" t="s">
        <v>720</v>
      </c>
      <c r="L4824">
        <v>1</v>
      </c>
      <c r="M4824">
        <v>1497.67</v>
      </c>
      <c r="N4824" t="s">
        <v>890</v>
      </c>
      <c r="O4824" t="s">
        <v>1039</v>
      </c>
      <c r="P4824" t="s">
        <v>4776</v>
      </c>
      <c r="Q4824" t="s">
        <v>4858</v>
      </c>
      <c r="R4824" t="s">
        <v>4771</v>
      </c>
    </row>
    <row r="4825" spans="1:18" x14ac:dyDescent="0.3">
      <c r="A4825">
        <v>278</v>
      </c>
      <c r="B4825" t="s">
        <v>1034</v>
      </c>
      <c r="C4825" t="s">
        <v>479</v>
      </c>
      <c r="D4825" t="s">
        <v>99</v>
      </c>
      <c r="E4825" s="1">
        <v>45666</v>
      </c>
      <c r="F4825" t="s">
        <v>4308</v>
      </c>
      <c r="G4825" t="s">
        <v>1174</v>
      </c>
      <c r="H4825" t="s">
        <v>478</v>
      </c>
      <c r="I4825" t="s">
        <v>204</v>
      </c>
      <c r="J4825" s="1">
        <v>46239</v>
      </c>
      <c r="K4825" t="s">
        <v>717</v>
      </c>
      <c r="L4825">
        <v>2519</v>
      </c>
      <c r="M4825">
        <v>9269.92</v>
      </c>
      <c r="N4825" t="s">
        <v>710</v>
      </c>
      <c r="O4825" t="s">
        <v>1037</v>
      </c>
      <c r="P4825" t="s">
        <v>4790</v>
      </c>
      <c r="Q4825" t="s">
        <v>4852</v>
      </c>
      <c r="R4825" t="s">
        <v>4772</v>
      </c>
    </row>
    <row r="4826" spans="1:18" x14ac:dyDescent="0.3">
      <c r="A4826">
        <v>276</v>
      </c>
      <c r="B4826" t="s">
        <v>1034</v>
      </c>
      <c r="C4826" t="s">
        <v>479</v>
      </c>
      <c r="D4826" t="s">
        <v>99</v>
      </c>
      <c r="E4826" s="1">
        <v>45665</v>
      </c>
      <c r="F4826" t="s">
        <v>4307</v>
      </c>
      <c r="G4826" t="s">
        <v>1148</v>
      </c>
      <c r="H4826" t="s">
        <v>478</v>
      </c>
      <c r="I4826" t="s">
        <v>204</v>
      </c>
      <c r="J4826" s="1">
        <v>46239</v>
      </c>
      <c r="K4826" t="s">
        <v>717</v>
      </c>
      <c r="L4826">
        <v>30</v>
      </c>
      <c r="M4826">
        <v>628.20000000000005</v>
      </c>
      <c r="N4826" t="s">
        <v>710</v>
      </c>
      <c r="O4826" t="s">
        <v>1037</v>
      </c>
      <c r="P4826" t="s">
        <v>4790</v>
      </c>
      <c r="Q4826" t="s">
        <v>4852</v>
      </c>
      <c r="R4826" t="s">
        <v>4772</v>
      </c>
    </row>
    <row r="4827" spans="1:18" x14ac:dyDescent="0.3">
      <c r="A4827">
        <v>3564</v>
      </c>
      <c r="B4827" t="s">
        <v>4874</v>
      </c>
      <c r="C4827" t="s">
        <v>225</v>
      </c>
      <c r="D4827" t="s">
        <v>166</v>
      </c>
      <c r="E4827" s="1">
        <v>45665</v>
      </c>
      <c r="F4827" t="s">
        <v>4383</v>
      </c>
      <c r="G4827" t="s">
        <v>1111</v>
      </c>
      <c r="H4827" t="s">
        <v>224</v>
      </c>
      <c r="I4827" t="s">
        <v>204</v>
      </c>
      <c r="J4827" s="1">
        <v>54878</v>
      </c>
      <c r="K4827" t="s">
        <v>720</v>
      </c>
      <c r="L4827">
        <v>476.36</v>
      </c>
      <c r="M4827">
        <v>476.36</v>
      </c>
      <c r="N4827" t="s">
        <v>710</v>
      </c>
      <c r="O4827" t="s">
        <v>4849</v>
      </c>
      <c r="P4827" t="s">
        <v>4776</v>
      </c>
      <c r="Q4827" t="s">
        <v>4855</v>
      </c>
      <c r="R4827" t="s">
        <v>4773</v>
      </c>
    </row>
    <row r="4828" spans="1:18" x14ac:dyDescent="0.3">
      <c r="A4828">
        <v>107306</v>
      </c>
      <c r="B4828" t="s">
        <v>1034</v>
      </c>
      <c r="C4828" t="s">
        <v>497</v>
      </c>
      <c r="D4828" t="s">
        <v>58</v>
      </c>
      <c r="E4828" s="1">
        <v>45665</v>
      </c>
      <c r="F4828" t="s">
        <v>4354</v>
      </c>
      <c r="G4828" t="s">
        <v>1094</v>
      </c>
      <c r="H4828" t="s">
        <v>496</v>
      </c>
      <c r="I4828" t="s">
        <v>204</v>
      </c>
      <c r="J4828" s="1">
        <v>46265</v>
      </c>
      <c r="K4828" t="s">
        <v>717</v>
      </c>
      <c r="L4828">
        <v>4947.54</v>
      </c>
      <c r="M4828">
        <v>4947.54</v>
      </c>
      <c r="N4828" t="s">
        <v>710</v>
      </c>
      <c r="O4828" t="s">
        <v>4833</v>
      </c>
      <c r="P4828" t="s">
        <v>4776</v>
      </c>
      <c r="Q4828" t="s">
        <v>4852</v>
      </c>
      <c r="R4828" t="s">
        <v>4773</v>
      </c>
    </row>
    <row r="4829" spans="1:18" x14ac:dyDescent="0.3">
      <c r="A4829">
        <v>97370</v>
      </c>
      <c r="B4829" t="s">
        <v>1034</v>
      </c>
      <c r="C4829" t="s">
        <v>502</v>
      </c>
      <c r="D4829" t="s">
        <v>2</v>
      </c>
      <c r="E4829" s="1">
        <v>45665</v>
      </c>
      <c r="F4829" t="s">
        <v>4303</v>
      </c>
      <c r="G4829" t="s">
        <v>1104</v>
      </c>
      <c r="H4829" t="s">
        <v>501</v>
      </c>
      <c r="I4829" t="s">
        <v>204</v>
      </c>
      <c r="J4829" s="1">
        <v>54878</v>
      </c>
      <c r="K4829" t="s">
        <v>717</v>
      </c>
      <c r="L4829">
        <v>1884.23</v>
      </c>
      <c r="M4829">
        <v>1884.23</v>
      </c>
      <c r="N4829" t="s">
        <v>710</v>
      </c>
      <c r="O4829" t="s">
        <v>4833</v>
      </c>
      <c r="P4829" t="s">
        <v>4776</v>
      </c>
      <c r="Q4829" t="s">
        <v>4852</v>
      </c>
      <c r="R4829" t="s">
        <v>4774</v>
      </c>
    </row>
    <row r="4830" spans="1:18" x14ac:dyDescent="0.3">
      <c r="A4830">
        <v>276</v>
      </c>
      <c r="B4830" t="s">
        <v>1034</v>
      </c>
      <c r="C4830" t="s">
        <v>479</v>
      </c>
      <c r="D4830" t="s">
        <v>99</v>
      </c>
      <c r="E4830" s="1">
        <v>45665</v>
      </c>
      <c r="F4830" t="s">
        <v>4307</v>
      </c>
      <c r="G4830" t="s">
        <v>1148</v>
      </c>
      <c r="H4830" t="s">
        <v>478</v>
      </c>
      <c r="I4830" t="s">
        <v>204</v>
      </c>
      <c r="J4830" s="1">
        <v>46239</v>
      </c>
      <c r="K4830" t="s">
        <v>717</v>
      </c>
      <c r="L4830">
        <v>26</v>
      </c>
      <c r="M4830">
        <v>372.58</v>
      </c>
      <c r="N4830" t="s">
        <v>710</v>
      </c>
      <c r="O4830" t="s">
        <v>1037</v>
      </c>
      <c r="P4830" t="s">
        <v>4790</v>
      </c>
      <c r="Q4830" t="s">
        <v>4852</v>
      </c>
      <c r="R4830" t="s">
        <v>4772</v>
      </c>
    </row>
    <row r="4831" spans="1:18" x14ac:dyDescent="0.3">
      <c r="A4831">
        <v>276</v>
      </c>
      <c r="B4831" t="s">
        <v>1034</v>
      </c>
      <c r="C4831" t="s">
        <v>479</v>
      </c>
      <c r="D4831" t="s">
        <v>99</v>
      </c>
      <c r="E4831" s="1">
        <v>45665</v>
      </c>
      <c r="F4831" t="s">
        <v>4307</v>
      </c>
      <c r="G4831" t="s">
        <v>1148</v>
      </c>
      <c r="H4831" t="s">
        <v>478</v>
      </c>
      <c r="I4831" t="s">
        <v>204</v>
      </c>
      <c r="J4831" s="1">
        <v>46239</v>
      </c>
      <c r="K4831" t="s">
        <v>717</v>
      </c>
      <c r="L4831">
        <v>6</v>
      </c>
      <c r="M4831">
        <v>66.78</v>
      </c>
      <c r="N4831" t="s">
        <v>710</v>
      </c>
      <c r="O4831" t="s">
        <v>1037</v>
      </c>
      <c r="P4831" t="s">
        <v>4790</v>
      </c>
      <c r="Q4831" t="s">
        <v>4852</v>
      </c>
      <c r="R4831" t="s">
        <v>4772</v>
      </c>
    </row>
    <row r="4832" spans="1:18" x14ac:dyDescent="0.3">
      <c r="A4832">
        <v>10908</v>
      </c>
      <c r="B4832" t="s">
        <v>4874</v>
      </c>
      <c r="C4832" t="s">
        <v>237</v>
      </c>
      <c r="D4832" t="s">
        <v>4</v>
      </c>
      <c r="E4832" s="1">
        <v>45665</v>
      </c>
      <c r="F4832" t="s">
        <v>4368</v>
      </c>
      <c r="G4832" t="s">
        <v>1090</v>
      </c>
      <c r="H4832" t="s">
        <v>236</v>
      </c>
      <c r="I4832" t="s">
        <v>204</v>
      </c>
      <c r="J4832" s="1">
        <v>54878</v>
      </c>
      <c r="K4832" t="s">
        <v>720</v>
      </c>
      <c r="L4832">
        <v>1</v>
      </c>
      <c r="M4832">
        <v>4926.1400000000003</v>
      </c>
      <c r="N4832" t="s">
        <v>710</v>
      </c>
      <c r="O4832" t="s">
        <v>1038</v>
      </c>
      <c r="P4832" t="s">
        <v>4776</v>
      </c>
      <c r="Q4832" t="s">
        <v>4858</v>
      </c>
      <c r="R4832" t="s">
        <v>4771</v>
      </c>
    </row>
    <row r="4833" spans="1:18" x14ac:dyDescent="0.3">
      <c r="A4833">
        <v>101577</v>
      </c>
      <c r="B4833" t="s">
        <v>1034</v>
      </c>
      <c r="C4833" t="s">
        <v>495</v>
      </c>
      <c r="D4833" t="s">
        <v>44</v>
      </c>
      <c r="E4833" s="1">
        <v>45665</v>
      </c>
      <c r="F4833" t="s">
        <v>4303</v>
      </c>
      <c r="G4833" t="s">
        <v>1092</v>
      </c>
      <c r="H4833" t="s">
        <v>494</v>
      </c>
      <c r="I4833" t="s">
        <v>204</v>
      </c>
      <c r="J4833" s="1">
        <v>54878</v>
      </c>
      <c r="K4833" t="s">
        <v>717</v>
      </c>
      <c r="L4833">
        <v>1710</v>
      </c>
      <c r="M4833">
        <v>1709.11</v>
      </c>
      <c r="N4833" t="s">
        <v>710</v>
      </c>
      <c r="O4833" t="s">
        <v>4833</v>
      </c>
      <c r="P4833" t="s">
        <v>4776</v>
      </c>
      <c r="Q4833" t="s">
        <v>4852</v>
      </c>
      <c r="R4833" t="s">
        <v>4773</v>
      </c>
    </row>
    <row r="4834" spans="1:18" x14ac:dyDescent="0.3">
      <c r="A4834">
        <v>366488</v>
      </c>
      <c r="B4834" t="s">
        <v>4874</v>
      </c>
      <c r="C4834" t="s">
        <v>250</v>
      </c>
      <c r="D4834" t="s">
        <v>55</v>
      </c>
      <c r="E4834" s="1">
        <v>45665</v>
      </c>
      <c r="F4834" t="s">
        <v>4391</v>
      </c>
      <c r="G4834" t="s">
        <v>1091</v>
      </c>
      <c r="H4834" t="s">
        <v>249</v>
      </c>
      <c r="I4834" t="s">
        <v>204</v>
      </c>
      <c r="J4834" s="1">
        <v>54878</v>
      </c>
      <c r="K4834" t="s">
        <v>720</v>
      </c>
      <c r="L4834">
        <v>1</v>
      </c>
      <c r="M4834">
        <v>591.63</v>
      </c>
      <c r="N4834" t="s">
        <v>719</v>
      </c>
      <c r="O4834" t="s">
        <v>1038</v>
      </c>
      <c r="P4834" t="s">
        <v>4778</v>
      </c>
      <c r="Q4834" t="s">
        <v>4858</v>
      </c>
      <c r="R4834" t="s">
        <v>4771</v>
      </c>
    </row>
    <row r="4835" spans="1:18" x14ac:dyDescent="0.3">
      <c r="A4835">
        <v>2997</v>
      </c>
      <c r="B4835" t="s">
        <v>4874</v>
      </c>
      <c r="C4835" t="s">
        <v>572</v>
      </c>
      <c r="D4835" t="s">
        <v>43</v>
      </c>
      <c r="E4835" s="1">
        <v>45665</v>
      </c>
      <c r="F4835" t="s">
        <v>4321</v>
      </c>
      <c r="G4835" t="s">
        <v>1089</v>
      </c>
      <c r="H4835" t="s">
        <v>571</v>
      </c>
      <c r="I4835" t="s">
        <v>204</v>
      </c>
      <c r="J4835" s="1">
        <v>46387</v>
      </c>
      <c r="K4835" t="s">
        <v>720</v>
      </c>
      <c r="L4835">
        <v>1</v>
      </c>
      <c r="M4835">
        <v>13286.38</v>
      </c>
      <c r="N4835" t="s">
        <v>814</v>
      </c>
      <c r="O4835" t="s">
        <v>1038</v>
      </c>
      <c r="P4835" t="s">
        <v>4782</v>
      </c>
      <c r="Q4835" t="s">
        <v>4858</v>
      </c>
      <c r="R4835" t="s">
        <v>4771</v>
      </c>
    </row>
    <row r="4836" spans="1:18" x14ac:dyDescent="0.3">
      <c r="A4836">
        <v>276</v>
      </c>
      <c r="B4836" t="s">
        <v>1034</v>
      </c>
      <c r="C4836" t="s">
        <v>479</v>
      </c>
      <c r="D4836" t="s">
        <v>99</v>
      </c>
      <c r="E4836" s="1">
        <v>45665</v>
      </c>
      <c r="F4836" t="s">
        <v>4307</v>
      </c>
      <c r="G4836" t="s">
        <v>1148</v>
      </c>
      <c r="H4836" t="s">
        <v>478</v>
      </c>
      <c r="I4836" t="s">
        <v>204</v>
      </c>
      <c r="J4836" s="1">
        <v>46239</v>
      </c>
      <c r="K4836" t="s">
        <v>717</v>
      </c>
      <c r="L4836">
        <v>12</v>
      </c>
      <c r="M4836">
        <v>133.56</v>
      </c>
      <c r="N4836" t="s">
        <v>710</v>
      </c>
      <c r="O4836" t="s">
        <v>1037</v>
      </c>
      <c r="P4836" t="s">
        <v>4790</v>
      </c>
      <c r="Q4836" t="s">
        <v>4852</v>
      </c>
      <c r="R4836" t="s">
        <v>4772</v>
      </c>
    </row>
    <row r="4837" spans="1:18" x14ac:dyDescent="0.3">
      <c r="A4837">
        <v>1374</v>
      </c>
      <c r="B4837" t="s">
        <v>4875</v>
      </c>
      <c r="C4837" t="s">
        <v>312</v>
      </c>
      <c r="D4837" t="s">
        <v>73</v>
      </c>
      <c r="E4837" s="1">
        <v>45665</v>
      </c>
      <c r="F4837" t="s">
        <v>4300</v>
      </c>
      <c r="G4837" t="s">
        <v>1120</v>
      </c>
      <c r="H4837" t="s">
        <v>365</v>
      </c>
      <c r="I4837" t="s">
        <v>204</v>
      </c>
      <c r="J4837" s="1">
        <v>46418</v>
      </c>
      <c r="K4837" t="s">
        <v>748</v>
      </c>
      <c r="L4837">
        <v>2255</v>
      </c>
      <c r="M4837">
        <v>2255</v>
      </c>
      <c r="N4837" t="s">
        <v>710</v>
      </c>
      <c r="O4837" t="s">
        <v>4834</v>
      </c>
      <c r="P4837" t="s">
        <v>1006</v>
      </c>
      <c r="Q4837" t="s">
        <v>4856</v>
      </c>
      <c r="R4837" t="s">
        <v>4773</v>
      </c>
    </row>
    <row r="4838" spans="1:18" x14ac:dyDescent="0.3">
      <c r="A4838">
        <v>688026</v>
      </c>
      <c r="B4838" t="s">
        <v>1034</v>
      </c>
      <c r="C4838" t="s">
        <v>609</v>
      </c>
      <c r="D4838" t="s">
        <v>182</v>
      </c>
      <c r="E4838" s="1">
        <v>45665</v>
      </c>
      <c r="F4838" t="s">
        <v>4336</v>
      </c>
      <c r="G4838" t="s">
        <v>1110</v>
      </c>
      <c r="H4838" t="s">
        <v>608</v>
      </c>
      <c r="I4838" t="s">
        <v>204</v>
      </c>
      <c r="J4838" s="1">
        <v>46281</v>
      </c>
      <c r="K4838" t="s">
        <v>717</v>
      </c>
      <c r="L4838">
        <v>174189.49</v>
      </c>
      <c r="M4838">
        <v>174189.49</v>
      </c>
      <c r="N4838" t="s">
        <v>719</v>
      </c>
      <c r="O4838" t="s">
        <v>1037</v>
      </c>
      <c r="P4838" t="s">
        <v>4794</v>
      </c>
      <c r="Q4838" t="s">
        <v>4852</v>
      </c>
      <c r="R4838" t="s">
        <v>4772</v>
      </c>
    </row>
    <row r="4839" spans="1:18" x14ac:dyDescent="0.3">
      <c r="A4839">
        <v>692168</v>
      </c>
      <c r="B4839" t="s">
        <v>1034</v>
      </c>
      <c r="C4839" t="s">
        <v>609</v>
      </c>
      <c r="D4839" t="s">
        <v>182</v>
      </c>
      <c r="E4839" s="1">
        <v>45665</v>
      </c>
      <c r="F4839" t="s">
        <v>4336</v>
      </c>
      <c r="G4839" t="s">
        <v>1110</v>
      </c>
      <c r="H4839" t="s">
        <v>608</v>
      </c>
      <c r="I4839" t="s">
        <v>204</v>
      </c>
      <c r="J4839" s="1">
        <v>46281</v>
      </c>
      <c r="K4839" t="s">
        <v>717</v>
      </c>
      <c r="L4839">
        <v>25531.65</v>
      </c>
      <c r="M4839">
        <v>25531.65</v>
      </c>
      <c r="N4839" t="s">
        <v>719</v>
      </c>
      <c r="O4839" t="s">
        <v>1037</v>
      </c>
      <c r="P4839" t="s">
        <v>4794</v>
      </c>
      <c r="Q4839" t="s">
        <v>4852</v>
      </c>
      <c r="R4839" t="s">
        <v>4772</v>
      </c>
    </row>
    <row r="4840" spans="1:18" x14ac:dyDescent="0.3">
      <c r="A4840">
        <v>6951</v>
      </c>
      <c r="B4840" t="s">
        <v>4874</v>
      </c>
      <c r="C4840" t="s">
        <v>387</v>
      </c>
      <c r="D4840" t="s">
        <v>42</v>
      </c>
      <c r="E4840" s="1">
        <v>45665</v>
      </c>
      <c r="F4840" t="s">
        <v>4345</v>
      </c>
      <c r="G4840" t="s">
        <v>1099</v>
      </c>
      <c r="H4840" t="s">
        <v>386</v>
      </c>
      <c r="I4840" t="s">
        <v>204</v>
      </c>
      <c r="J4840" s="1">
        <v>54878</v>
      </c>
      <c r="K4840" t="s">
        <v>762</v>
      </c>
      <c r="L4840">
        <v>1870</v>
      </c>
      <c r="M4840">
        <v>1870</v>
      </c>
      <c r="N4840" t="s">
        <v>719</v>
      </c>
      <c r="O4840" t="s">
        <v>4833</v>
      </c>
      <c r="P4840" t="s">
        <v>4776</v>
      </c>
      <c r="Q4840" t="s">
        <v>4852</v>
      </c>
      <c r="R4840" t="s">
        <v>4773</v>
      </c>
    </row>
    <row r="4841" spans="1:18" x14ac:dyDescent="0.3">
      <c r="A4841">
        <v>173862</v>
      </c>
      <c r="B4841" t="s">
        <v>4874</v>
      </c>
      <c r="C4841" t="s">
        <v>411</v>
      </c>
      <c r="D4841" t="s">
        <v>154</v>
      </c>
      <c r="E4841" s="1">
        <v>45665</v>
      </c>
      <c r="F4841" t="s">
        <v>4345</v>
      </c>
      <c r="G4841" t="s">
        <v>1100</v>
      </c>
      <c r="H4841" t="s">
        <v>410</v>
      </c>
      <c r="I4841" t="s">
        <v>204</v>
      </c>
      <c r="J4841" s="1">
        <v>46344</v>
      </c>
      <c r="K4841" t="s">
        <v>762</v>
      </c>
      <c r="L4841">
        <v>15207</v>
      </c>
      <c r="M4841">
        <v>15206.21</v>
      </c>
      <c r="N4841" t="s">
        <v>710</v>
      </c>
      <c r="O4841" t="s">
        <v>4833</v>
      </c>
      <c r="P4841" t="s">
        <v>4776</v>
      </c>
      <c r="Q4841" t="s">
        <v>4852</v>
      </c>
      <c r="R4841" t="s">
        <v>4773</v>
      </c>
    </row>
    <row r="4842" spans="1:18" x14ac:dyDescent="0.3">
      <c r="A4842">
        <v>174351</v>
      </c>
      <c r="B4842" t="s">
        <v>4874</v>
      </c>
      <c r="C4842" t="s">
        <v>411</v>
      </c>
      <c r="D4842" t="s">
        <v>154</v>
      </c>
      <c r="E4842" s="1">
        <v>45665</v>
      </c>
      <c r="F4842" t="s">
        <v>4315</v>
      </c>
      <c r="G4842" t="s">
        <v>1101</v>
      </c>
      <c r="H4842" t="s">
        <v>410</v>
      </c>
      <c r="I4842" t="s">
        <v>204</v>
      </c>
      <c r="J4842" s="1">
        <v>46344</v>
      </c>
      <c r="K4842" t="s">
        <v>762</v>
      </c>
      <c r="L4842">
        <v>2276</v>
      </c>
      <c r="M4842">
        <v>2275.65</v>
      </c>
      <c r="N4842" t="s">
        <v>710</v>
      </c>
      <c r="O4842" t="s">
        <v>4833</v>
      </c>
      <c r="P4842" t="s">
        <v>4776</v>
      </c>
      <c r="Q4842" t="s">
        <v>4852</v>
      </c>
      <c r="R4842" t="s">
        <v>4773</v>
      </c>
    </row>
    <row r="4843" spans="1:18" x14ac:dyDescent="0.3">
      <c r="A4843">
        <v>108978</v>
      </c>
      <c r="B4843" t="s">
        <v>4874</v>
      </c>
      <c r="C4843" t="s">
        <v>379</v>
      </c>
      <c r="D4843" t="s">
        <v>131</v>
      </c>
      <c r="E4843" s="1">
        <v>45665</v>
      </c>
      <c r="F4843" t="s">
        <v>4392</v>
      </c>
      <c r="G4843" t="s">
        <v>1098</v>
      </c>
      <c r="H4843" t="s">
        <v>378</v>
      </c>
      <c r="I4843" t="s">
        <v>204</v>
      </c>
      <c r="J4843" s="1">
        <v>54878</v>
      </c>
      <c r="K4843" t="s">
        <v>762</v>
      </c>
      <c r="L4843">
        <v>68.510000000000005</v>
      </c>
      <c r="M4843">
        <v>68.510000000000005</v>
      </c>
      <c r="N4843" t="s">
        <v>710</v>
      </c>
      <c r="O4843" t="s">
        <v>4833</v>
      </c>
      <c r="P4843" t="s">
        <v>4776</v>
      </c>
      <c r="Q4843" t="s">
        <v>4852</v>
      </c>
      <c r="R4843" t="s">
        <v>4773</v>
      </c>
    </row>
    <row r="4844" spans="1:18" x14ac:dyDescent="0.3">
      <c r="A4844">
        <v>182532</v>
      </c>
      <c r="B4844" t="s">
        <v>4874</v>
      </c>
      <c r="C4844" t="s">
        <v>467</v>
      </c>
      <c r="D4844" t="s">
        <v>175</v>
      </c>
      <c r="E4844" s="1">
        <v>45665</v>
      </c>
      <c r="F4844" t="s">
        <v>4315</v>
      </c>
      <c r="G4844" t="s">
        <v>1102</v>
      </c>
      <c r="H4844" t="s">
        <v>466</v>
      </c>
      <c r="I4844" t="s">
        <v>204</v>
      </c>
      <c r="J4844" s="1">
        <v>46266</v>
      </c>
      <c r="K4844" t="s">
        <v>762</v>
      </c>
      <c r="L4844">
        <v>10771.59</v>
      </c>
      <c r="M4844">
        <v>10771.59</v>
      </c>
      <c r="N4844" t="s">
        <v>710</v>
      </c>
      <c r="O4844" t="s">
        <v>4845</v>
      </c>
      <c r="P4844" t="s">
        <v>4776</v>
      </c>
      <c r="Q4844" t="s">
        <v>4845</v>
      </c>
      <c r="R4844" t="s">
        <v>4773</v>
      </c>
    </row>
    <row r="4845" spans="1:18" x14ac:dyDescent="0.3">
      <c r="A4845">
        <v>6913</v>
      </c>
      <c r="B4845" t="s">
        <v>4874</v>
      </c>
      <c r="C4845" t="s">
        <v>484</v>
      </c>
      <c r="D4845" t="s">
        <v>140</v>
      </c>
      <c r="E4845" s="1">
        <v>45665</v>
      </c>
      <c r="F4845" t="s">
        <v>4345</v>
      </c>
      <c r="G4845" t="s">
        <v>1097</v>
      </c>
      <c r="H4845" t="s">
        <v>483</v>
      </c>
      <c r="I4845" t="s">
        <v>204</v>
      </c>
      <c r="J4845" s="1">
        <v>46508</v>
      </c>
      <c r="K4845" t="s">
        <v>762</v>
      </c>
      <c r="L4845">
        <v>7850</v>
      </c>
      <c r="M4845">
        <v>7850</v>
      </c>
      <c r="N4845" t="s">
        <v>710</v>
      </c>
      <c r="O4845" t="s">
        <v>4833</v>
      </c>
      <c r="P4845" t="s">
        <v>4776</v>
      </c>
      <c r="Q4845" t="s">
        <v>4852</v>
      </c>
      <c r="R4845" t="s">
        <v>4773</v>
      </c>
    </row>
    <row r="4846" spans="1:18" x14ac:dyDescent="0.3">
      <c r="A4846">
        <v>6911</v>
      </c>
      <c r="B4846" t="s">
        <v>4874</v>
      </c>
      <c r="C4846" t="s">
        <v>484</v>
      </c>
      <c r="D4846" t="s">
        <v>140</v>
      </c>
      <c r="E4846" s="1">
        <v>45665</v>
      </c>
      <c r="F4846" t="s">
        <v>4345</v>
      </c>
      <c r="G4846" t="s">
        <v>1096</v>
      </c>
      <c r="H4846" t="s">
        <v>483</v>
      </c>
      <c r="I4846" t="s">
        <v>204</v>
      </c>
      <c r="J4846" s="1">
        <v>46508</v>
      </c>
      <c r="K4846" t="s">
        <v>762</v>
      </c>
      <c r="L4846">
        <v>22560</v>
      </c>
      <c r="M4846">
        <v>22560</v>
      </c>
      <c r="N4846" t="s">
        <v>710</v>
      </c>
      <c r="O4846" t="s">
        <v>4833</v>
      </c>
      <c r="P4846" t="s">
        <v>4776</v>
      </c>
      <c r="Q4846" t="s">
        <v>4852</v>
      </c>
      <c r="R4846" t="s">
        <v>4773</v>
      </c>
    </row>
    <row r="4847" spans="1:18" x14ac:dyDescent="0.3">
      <c r="A4847">
        <v>692167</v>
      </c>
      <c r="B4847" t="s">
        <v>4875</v>
      </c>
      <c r="C4847" t="s">
        <v>609</v>
      </c>
      <c r="D4847" t="s">
        <v>182</v>
      </c>
      <c r="E4847" s="1">
        <v>45665</v>
      </c>
      <c r="F4847" t="s">
        <v>4336</v>
      </c>
      <c r="G4847" t="s">
        <v>1109</v>
      </c>
      <c r="H4847" t="s">
        <v>610</v>
      </c>
      <c r="I4847" t="s">
        <v>204</v>
      </c>
      <c r="J4847" s="1">
        <v>46282</v>
      </c>
      <c r="K4847" t="s">
        <v>768</v>
      </c>
      <c r="L4847">
        <v>5367.44</v>
      </c>
      <c r="M4847">
        <v>5367.44</v>
      </c>
      <c r="N4847" t="s">
        <v>710</v>
      </c>
      <c r="O4847" t="s">
        <v>1037</v>
      </c>
      <c r="P4847" t="s">
        <v>4794</v>
      </c>
      <c r="Q4847" t="s">
        <v>4852</v>
      </c>
      <c r="R4847" t="s">
        <v>4772</v>
      </c>
    </row>
    <row r="4848" spans="1:18" x14ac:dyDescent="0.3">
      <c r="A4848">
        <v>688025</v>
      </c>
      <c r="B4848" t="s">
        <v>4875</v>
      </c>
      <c r="C4848" t="s">
        <v>609</v>
      </c>
      <c r="D4848" t="s">
        <v>182</v>
      </c>
      <c r="E4848" s="1">
        <v>45665</v>
      </c>
      <c r="F4848" t="s">
        <v>4336</v>
      </c>
      <c r="G4848" t="s">
        <v>1109</v>
      </c>
      <c r="H4848" t="s">
        <v>610</v>
      </c>
      <c r="I4848" t="s">
        <v>204</v>
      </c>
      <c r="J4848" s="1">
        <v>46282</v>
      </c>
      <c r="K4848" t="s">
        <v>768</v>
      </c>
      <c r="L4848">
        <v>43867.13</v>
      </c>
      <c r="M4848">
        <v>43867.13</v>
      </c>
      <c r="N4848" t="s">
        <v>710</v>
      </c>
      <c r="O4848" t="s">
        <v>1037</v>
      </c>
      <c r="P4848" t="s">
        <v>4794</v>
      </c>
      <c r="Q4848" t="s">
        <v>4852</v>
      </c>
      <c r="R4848" t="s">
        <v>4772</v>
      </c>
    </row>
    <row r="4849" spans="1:18" x14ac:dyDescent="0.3">
      <c r="A4849">
        <v>202501</v>
      </c>
      <c r="B4849" t="s">
        <v>1034</v>
      </c>
      <c r="C4849" t="s">
        <v>516</v>
      </c>
      <c r="D4849" t="s">
        <v>12</v>
      </c>
      <c r="E4849" s="1">
        <v>45665</v>
      </c>
      <c r="F4849" t="s">
        <v>4337</v>
      </c>
      <c r="G4849" t="s">
        <v>1153</v>
      </c>
      <c r="H4849" t="s">
        <v>515</v>
      </c>
      <c r="I4849" t="s">
        <v>204</v>
      </c>
      <c r="J4849" s="1">
        <v>46489</v>
      </c>
      <c r="K4849" t="s">
        <v>711</v>
      </c>
      <c r="L4849">
        <v>1560</v>
      </c>
      <c r="M4849">
        <v>1560</v>
      </c>
      <c r="N4849" t="s">
        <v>884</v>
      </c>
      <c r="O4849" t="s">
        <v>1037</v>
      </c>
      <c r="P4849" t="s">
        <v>4776</v>
      </c>
      <c r="Q4849" t="s">
        <v>4852</v>
      </c>
      <c r="R4849" t="s">
        <v>4772</v>
      </c>
    </row>
    <row r="4850" spans="1:18" x14ac:dyDescent="0.3">
      <c r="A4850">
        <v>5135</v>
      </c>
      <c r="B4850" t="s">
        <v>4874</v>
      </c>
      <c r="C4850" t="s">
        <v>401</v>
      </c>
      <c r="D4850" t="s">
        <v>187</v>
      </c>
      <c r="E4850" s="1">
        <v>45665</v>
      </c>
      <c r="F4850" t="s">
        <v>4345</v>
      </c>
      <c r="G4850" t="s">
        <v>1103</v>
      </c>
      <c r="H4850" t="s">
        <v>400</v>
      </c>
      <c r="I4850" t="s">
        <v>204</v>
      </c>
      <c r="J4850" s="1">
        <v>54878</v>
      </c>
      <c r="K4850" t="s">
        <v>762</v>
      </c>
      <c r="L4850">
        <v>390</v>
      </c>
      <c r="M4850">
        <v>390</v>
      </c>
      <c r="N4850" t="s">
        <v>710</v>
      </c>
      <c r="O4850" t="s">
        <v>4833</v>
      </c>
      <c r="P4850" t="s">
        <v>4776</v>
      </c>
      <c r="Q4850" t="s">
        <v>4852</v>
      </c>
      <c r="R4850" t="s">
        <v>4773</v>
      </c>
    </row>
    <row r="4851" spans="1:18" x14ac:dyDescent="0.3">
      <c r="A4851">
        <v>10500</v>
      </c>
      <c r="B4851" t="s">
        <v>4874</v>
      </c>
      <c r="C4851" t="s">
        <v>546</v>
      </c>
      <c r="D4851" t="s">
        <v>75</v>
      </c>
      <c r="E4851" s="1">
        <v>45664</v>
      </c>
      <c r="F4851" t="s">
        <v>4355</v>
      </c>
      <c r="G4851" t="s">
        <v>1088</v>
      </c>
      <c r="H4851" t="s">
        <v>581</v>
      </c>
      <c r="I4851" t="s">
        <v>204</v>
      </c>
      <c r="J4851" s="1">
        <v>46233</v>
      </c>
      <c r="K4851" t="s">
        <v>720</v>
      </c>
      <c r="L4851">
        <v>1</v>
      </c>
      <c r="M4851">
        <v>2850</v>
      </c>
      <c r="N4851" t="s">
        <v>814</v>
      </c>
      <c r="O4851" t="s">
        <v>1038</v>
      </c>
      <c r="P4851" t="s">
        <v>4779</v>
      </c>
      <c r="Q4851" t="s">
        <v>4858</v>
      </c>
      <c r="R4851" t="s">
        <v>4773</v>
      </c>
    </row>
    <row r="4852" spans="1:18" x14ac:dyDescent="0.3">
      <c r="A4852">
        <v>103598772</v>
      </c>
      <c r="B4852" t="s">
        <v>4874</v>
      </c>
      <c r="C4852" t="s">
        <v>433</v>
      </c>
      <c r="D4852" t="s">
        <v>168</v>
      </c>
      <c r="E4852" s="1">
        <v>45664</v>
      </c>
      <c r="F4852" t="s">
        <v>4319</v>
      </c>
      <c r="G4852" t="s">
        <v>1081</v>
      </c>
      <c r="H4852" t="s">
        <v>432</v>
      </c>
      <c r="I4852" t="s">
        <v>204</v>
      </c>
      <c r="J4852" s="1">
        <v>46473</v>
      </c>
      <c r="K4852" t="s">
        <v>762</v>
      </c>
      <c r="L4852">
        <v>4208</v>
      </c>
      <c r="M4852">
        <v>4207.4799999999996</v>
      </c>
      <c r="N4852" t="s">
        <v>710</v>
      </c>
      <c r="O4852" t="s">
        <v>4833</v>
      </c>
      <c r="P4852" t="s">
        <v>4802</v>
      </c>
      <c r="Q4852" t="s">
        <v>4852</v>
      </c>
      <c r="R4852" t="s">
        <v>4771</v>
      </c>
    </row>
    <row r="4853" spans="1:18" x14ac:dyDescent="0.3">
      <c r="A4853">
        <v>1805</v>
      </c>
      <c r="B4853" t="s">
        <v>4875</v>
      </c>
      <c r="C4853" t="s">
        <v>616</v>
      </c>
      <c r="D4853" t="s">
        <v>152</v>
      </c>
      <c r="E4853" s="1">
        <v>45663</v>
      </c>
      <c r="F4853" t="s">
        <v>4338</v>
      </c>
      <c r="G4853" t="s">
        <v>1057</v>
      </c>
      <c r="H4853" t="s">
        <v>622</v>
      </c>
      <c r="I4853" t="s">
        <v>204</v>
      </c>
      <c r="J4853" s="1">
        <v>46351</v>
      </c>
      <c r="K4853" t="s">
        <v>748</v>
      </c>
      <c r="L4853">
        <v>5720.2</v>
      </c>
      <c r="M4853">
        <v>5720.2</v>
      </c>
      <c r="N4853" t="s">
        <v>710</v>
      </c>
      <c r="O4853" t="s">
        <v>4904</v>
      </c>
      <c r="P4853" t="s">
        <v>4796</v>
      </c>
      <c r="Q4853" t="s">
        <v>4856</v>
      </c>
      <c r="R4853" t="s">
        <v>4772</v>
      </c>
    </row>
    <row r="4854" spans="1:18" x14ac:dyDescent="0.3">
      <c r="A4854">
        <v>206049</v>
      </c>
      <c r="B4854" t="s">
        <v>4875</v>
      </c>
      <c r="C4854" t="s">
        <v>493</v>
      </c>
      <c r="D4854" t="s">
        <v>197</v>
      </c>
      <c r="E4854" s="1">
        <v>45663</v>
      </c>
      <c r="F4854" t="s">
        <v>4306</v>
      </c>
      <c r="G4854" t="s">
        <v>1067</v>
      </c>
      <c r="H4854" t="s">
        <v>492</v>
      </c>
      <c r="I4854" t="s">
        <v>204</v>
      </c>
      <c r="J4854" s="1">
        <v>54878</v>
      </c>
      <c r="K4854" t="s">
        <v>768</v>
      </c>
      <c r="L4854">
        <v>799</v>
      </c>
      <c r="M4854">
        <v>799</v>
      </c>
      <c r="N4854" t="s">
        <v>710</v>
      </c>
      <c r="O4854" t="s">
        <v>4833</v>
      </c>
      <c r="P4854" t="s">
        <v>4786</v>
      </c>
      <c r="Q4854" t="s">
        <v>4852</v>
      </c>
      <c r="R4854" t="s">
        <v>4773</v>
      </c>
    </row>
    <row r="4855" spans="1:18" x14ac:dyDescent="0.3">
      <c r="A4855">
        <v>206049</v>
      </c>
      <c r="B4855" t="s">
        <v>4875</v>
      </c>
      <c r="C4855" t="s">
        <v>493</v>
      </c>
      <c r="D4855" t="s">
        <v>197</v>
      </c>
      <c r="E4855" s="1">
        <v>45663</v>
      </c>
      <c r="F4855" t="s">
        <v>4306</v>
      </c>
      <c r="G4855" t="s">
        <v>1067</v>
      </c>
      <c r="H4855" t="s">
        <v>492</v>
      </c>
      <c r="I4855" t="s">
        <v>204</v>
      </c>
      <c r="J4855" s="1">
        <v>54878</v>
      </c>
      <c r="K4855" t="s">
        <v>768</v>
      </c>
      <c r="L4855">
        <v>799</v>
      </c>
      <c r="M4855">
        <v>-799</v>
      </c>
      <c r="N4855" t="s">
        <v>710</v>
      </c>
      <c r="O4855" t="s">
        <v>4833</v>
      </c>
      <c r="P4855" t="s">
        <v>4786</v>
      </c>
      <c r="Q4855" t="s">
        <v>4852</v>
      </c>
      <c r="R4855" t="s">
        <v>4773</v>
      </c>
    </row>
    <row r="4856" spans="1:18" x14ac:dyDescent="0.3">
      <c r="A4856">
        <v>2886</v>
      </c>
      <c r="B4856" t="s">
        <v>1034</v>
      </c>
      <c r="C4856" t="s">
        <v>544</v>
      </c>
      <c r="D4856" t="s">
        <v>144</v>
      </c>
      <c r="E4856" s="1">
        <v>45663</v>
      </c>
      <c r="F4856" t="s">
        <v>4321</v>
      </c>
      <c r="G4856" t="s">
        <v>1063</v>
      </c>
      <c r="H4856" t="s">
        <v>543</v>
      </c>
      <c r="I4856" t="s">
        <v>209</v>
      </c>
      <c r="J4856" s="1">
        <v>45473</v>
      </c>
      <c r="K4856" t="s">
        <v>711</v>
      </c>
      <c r="L4856">
        <v>3422.54</v>
      </c>
      <c r="M4856">
        <v>3422.54</v>
      </c>
      <c r="N4856" t="s">
        <v>710</v>
      </c>
      <c r="Q4856" t="s">
        <v>4852</v>
      </c>
      <c r="R4856" t="s">
        <v>4771</v>
      </c>
    </row>
    <row r="4857" spans="1:18" x14ac:dyDescent="0.3">
      <c r="A4857">
        <v>2887</v>
      </c>
      <c r="B4857" t="s">
        <v>1034</v>
      </c>
      <c r="C4857" t="s">
        <v>544</v>
      </c>
      <c r="D4857" t="s">
        <v>144</v>
      </c>
      <c r="E4857" s="1">
        <v>45663</v>
      </c>
      <c r="F4857" t="s">
        <v>4321</v>
      </c>
      <c r="G4857" t="s">
        <v>1076</v>
      </c>
      <c r="H4857" t="s">
        <v>543</v>
      </c>
      <c r="I4857" t="s">
        <v>209</v>
      </c>
      <c r="J4857" s="1">
        <v>45473</v>
      </c>
      <c r="K4857" t="s">
        <v>711</v>
      </c>
      <c r="L4857">
        <v>1</v>
      </c>
      <c r="M4857">
        <v>4828.18</v>
      </c>
      <c r="N4857" t="s">
        <v>710</v>
      </c>
      <c r="Q4857" t="s">
        <v>4852</v>
      </c>
      <c r="R4857" t="s">
        <v>4771</v>
      </c>
    </row>
    <row r="4858" spans="1:18" x14ac:dyDescent="0.3">
      <c r="A4858">
        <v>43127</v>
      </c>
      <c r="B4858" t="s">
        <v>1034</v>
      </c>
      <c r="C4858" t="s">
        <v>790</v>
      </c>
      <c r="D4858" t="s">
        <v>19</v>
      </c>
      <c r="E4858" s="1">
        <v>45663</v>
      </c>
      <c r="F4858" t="s">
        <v>4348</v>
      </c>
      <c r="G4858" t="s">
        <v>1086</v>
      </c>
      <c r="H4858" t="s">
        <v>287</v>
      </c>
      <c r="I4858" t="s">
        <v>209</v>
      </c>
      <c r="J4858" s="1">
        <v>54878</v>
      </c>
      <c r="K4858" t="s">
        <v>711</v>
      </c>
      <c r="L4858">
        <v>2950</v>
      </c>
      <c r="M4858">
        <v>2950</v>
      </c>
      <c r="N4858" t="s">
        <v>710</v>
      </c>
      <c r="O4858" t="s">
        <v>1037</v>
      </c>
      <c r="P4858" t="s">
        <v>4781</v>
      </c>
      <c r="Q4858" t="s">
        <v>4852</v>
      </c>
      <c r="R4858" t="s">
        <v>4771</v>
      </c>
    </row>
    <row r="4859" spans="1:18" x14ac:dyDescent="0.3">
      <c r="A4859">
        <v>2888</v>
      </c>
      <c r="B4859" t="s">
        <v>1034</v>
      </c>
      <c r="C4859" t="s">
        <v>544</v>
      </c>
      <c r="D4859" t="s">
        <v>144</v>
      </c>
      <c r="E4859" s="1">
        <v>45663</v>
      </c>
      <c r="F4859" t="s">
        <v>4321</v>
      </c>
      <c r="G4859" t="s">
        <v>1076</v>
      </c>
      <c r="H4859" t="s">
        <v>543</v>
      </c>
      <c r="I4859" t="s">
        <v>209</v>
      </c>
      <c r="J4859" s="1">
        <v>45473</v>
      </c>
      <c r="K4859" t="s">
        <v>711</v>
      </c>
      <c r="L4859">
        <v>1</v>
      </c>
      <c r="M4859">
        <v>4828.18</v>
      </c>
      <c r="N4859" t="s">
        <v>710</v>
      </c>
      <c r="Q4859" t="s">
        <v>4852</v>
      </c>
      <c r="R4859" t="s">
        <v>4771</v>
      </c>
    </row>
    <row r="4860" spans="1:18" x14ac:dyDescent="0.3">
      <c r="A4860">
        <v>2888</v>
      </c>
      <c r="B4860" t="s">
        <v>1034</v>
      </c>
      <c r="C4860" t="s">
        <v>544</v>
      </c>
      <c r="D4860" t="s">
        <v>144</v>
      </c>
      <c r="E4860" s="1">
        <v>45663</v>
      </c>
      <c r="F4860" t="s">
        <v>4321</v>
      </c>
      <c r="G4860" t="s">
        <v>1076</v>
      </c>
      <c r="H4860" t="s">
        <v>543</v>
      </c>
      <c r="I4860" t="s">
        <v>209</v>
      </c>
      <c r="J4860" s="1">
        <v>45473</v>
      </c>
      <c r="K4860" t="s">
        <v>711</v>
      </c>
      <c r="L4860">
        <v>1</v>
      </c>
      <c r="M4860">
        <v>3422.54</v>
      </c>
      <c r="N4860" t="s">
        <v>710</v>
      </c>
      <c r="Q4860" t="s">
        <v>4852</v>
      </c>
      <c r="R4860" t="s">
        <v>4771</v>
      </c>
    </row>
    <row r="4861" spans="1:18" x14ac:dyDescent="0.3">
      <c r="A4861">
        <v>2887</v>
      </c>
      <c r="B4861" t="s">
        <v>1034</v>
      </c>
      <c r="C4861" t="s">
        <v>544</v>
      </c>
      <c r="D4861" t="s">
        <v>144</v>
      </c>
      <c r="E4861" s="1">
        <v>45663</v>
      </c>
      <c r="F4861" t="s">
        <v>4321</v>
      </c>
      <c r="G4861" t="s">
        <v>1076</v>
      </c>
      <c r="H4861" t="s">
        <v>543</v>
      </c>
      <c r="I4861" t="s">
        <v>209</v>
      </c>
      <c r="J4861" s="1">
        <v>45473</v>
      </c>
      <c r="K4861" t="s">
        <v>711</v>
      </c>
      <c r="L4861">
        <v>1</v>
      </c>
      <c r="M4861">
        <v>3422.54</v>
      </c>
      <c r="N4861" t="s">
        <v>710</v>
      </c>
      <c r="Q4861" t="s">
        <v>4852</v>
      </c>
      <c r="R4861" t="s">
        <v>4771</v>
      </c>
    </row>
    <row r="4862" spans="1:18" x14ac:dyDescent="0.3">
      <c r="A4862">
        <v>2886</v>
      </c>
      <c r="B4862" t="s">
        <v>1034</v>
      </c>
      <c r="C4862" t="s">
        <v>544</v>
      </c>
      <c r="D4862" t="s">
        <v>144</v>
      </c>
      <c r="E4862" s="1">
        <v>45663</v>
      </c>
      <c r="F4862" t="s">
        <v>4321</v>
      </c>
      <c r="G4862" t="s">
        <v>1063</v>
      </c>
      <c r="H4862" t="s">
        <v>543</v>
      </c>
      <c r="I4862" t="s">
        <v>209</v>
      </c>
      <c r="J4862" s="1">
        <v>45473</v>
      </c>
      <c r="K4862" t="s">
        <v>711</v>
      </c>
      <c r="L4862">
        <v>4828.18</v>
      </c>
      <c r="M4862">
        <v>4828.18</v>
      </c>
      <c r="N4862" t="s">
        <v>710</v>
      </c>
      <c r="Q4862" t="s">
        <v>4852</v>
      </c>
      <c r="R4862" t="s">
        <v>4771</v>
      </c>
    </row>
    <row r="4863" spans="1:18" x14ac:dyDescent="0.3">
      <c r="A4863">
        <v>2889</v>
      </c>
      <c r="B4863" t="s">
        <v>1034</v>
      </c>
      <c r="C4863" t="s">
        <v>544</v>
      </c>
      <c r="D4863" t="s">
        <v>144</v>
      </c>
      <c r="E4863" s="1">
        <v>45663</v>
      </c>
      <c r="F4863" t="s">
        <v>4321</v>
      </c>
      <c r="G4863" t="s">
        <v>1064</v>
      </c>
      <c r="H4863" t="s">
        <v>543</v>
      </c>
      <c r="I4863" t="s">
        <v>209</v>
      </c>
      <c r="J4863" s="1">
        <v>45473</v>
      </c>
      <c r="K4863" t="s">
        <v>711</v>
      </c>
      <c r="L4863">
        <v>1</v>
      </c>
      <c r="M4863">
        <v>4828.18</v>
      </c>
      <c r="N4863" t="s">
        <v>710</v>
      </c>
      <c r="Q4863" t="s">
        <v>4852</v>
      </c>
      <c r="R4863" t="s">
        <v>4771</v>
      </c>
    </row>
    <row r="4864" spans="1:18" x14ac:dyDescent="0.3">
      <c r="A4864">
        <v>2885</v>
      </c>
      <c r="B4864" t="s">
        <v>1034</v>
      </c>
      <c r="C4864" t="s">
        <v>544</v>
      </c>
      <c r="D4864" t="s">
        <v>144</v>
      </c>
      <c r="E4864" s="1">
        <v>45663</v>
      </c>
      <c r="F4864" t="s">
        <v>4321</v>
      </c>
      <c r="G4864" t="s">
        <v>1045</v>
      </c>
      <c r="H4864" t="s">
        <v>543</v>
      </c>
      <c r="I4864" t="s">
        <v>209</v>
      </c>
      <c r="J4864" s="1">
        <v>45473</v>
      </c>
      <c r="K4864" t="s">
        <v>711</v>
      </c>
      <c r="L4864">
        <v>4828.18</v>
      </c>
      <c r="M4864">
        <v>4828.18</v>
      </c>
      <c r="N4864" t="s">
        <v>710</v>
      </c>
      <c r="Q4864" t="s">
        <v>4852</v>
      </c>
      <c r="R4864" t="s">
        <v>4771</v>
      </c>
    </row>
    <row r="4865" spans="1:18" x14ac:dyDescent="0.3">
      <c r="A4865">
        <v>2889</v>
      </c>
      <c r="B4865" t="s">
        <v>1034</v>
      </c>
      <c r="C4865" t="s">
        <v>544</v>
      </c>
      <c r="D4865" t="s">
        <v>144</v>
      </c>
      <c r="E4865" s="1">
        <v>45663</v>
      </c>
      <c r="F4865" t="s">
        <v>4321</v>
      </c>
      <c r="G4865" t="s">
        <v>1064</v>
      </c>
      <c r="H4865" t="s">
        <v>543</v>
      </c>
      <c r="I4865" t="s">
        <v>209</v>
      </c>
      <c r="J4865" s="1">
        <v>45473</v>
      </c>
      <c r="K4865" t="s">
        <v>711</v>
      </c>
      <c r="L4865">
        <v>1</v>
      </c>
      <c r="M4865">
        <v>3422.54</v>
      </c>
      <c r="N4865" t="s">
        <v>710</v>
      </c>
      <c r="Q4865" t="s">
        <v>4852</v>
      </c>
      <c r="R4865" t="s">
        <v>4771</v>
      </c>
    </row>
    <row r="4866" spans="1:18" x14ac:dyDescent="0.3">
      <c r="A4866">
        <v>223753</v>
      </c>
      <c r="B4866" t="s">
        <v>1034</v>
      </c>
      <c r="C4866" t="s">
        <v>338</v>
      </c>
      <c r="D4866" t="s">
        <v>31</v>
      </c>
      <c r="E4866" s="1">
        <v>45663</v>
      </c>
      <c r="F4866" t="s">
        <v>4299</v>
      </c>
      <c r="G4866" t="s">
        <v>1062</v>
      </c>
      <c r="H4866" t="s">
        <v>337</v>
      </c>
      <c r="I4866" t="s">
        <v>204</v>
      </c>
      <c r="J4866" s="1">
        <v>54878</v>
      </c>
      <c r="K4866" t="s">
        <v>711</v>
      </c>
      <c r="L4866">
        <v>34792</v>
      </c>
      <c r="M4866">
        <v>34792.339999999997</v>
      </c>
      <c r="N4866" t="s">
        <v>710</v>
      </c>
      <c r="O4866" t="s">
        <v>1036</v>
      </c>
      <c r="P4866" t="s">
        <v>4785</v>
      </c>
      <c r="Q4866" t="s">
        <v>4901</v>
      </c>
      <c r="R4866" t="s">
        <v>4773</v>
      </c>
    </row>
    <row r="4867" spans="1:18" x14ac:dyDescent="0.3">
      <c r="A4867">
        <v>2885</v>
      </c>
      <c r="B4867" t="s">
        <v>1034</v>
      </c>
      <c r="C4867" t="s">
        <v>544</v>
      </c>
      <c r="D4867" t="s">
        <v>144</v>
      </c>
      <c r="E4867" s="1">
        <v>45663</v>
      </c>
      <c r="F4867" t="s">
        <v>4321</v>
      </c>
      <c r="G4867" t="s">
        <v>1045</v>
      </c>
      <c r="H4867" t="s">
        <v>543</v>
      </c>
      <c r="I4867" t="s">
        <v>209</v>
      </c>
      <c r="J4867" s="1">
        <v>45473</v>
      </c>
      <c r="K4867" t="s">
        <v>711</v>
      </c>
      <c r="L4867">
        <v>3422.54</v>
      </c>
      <c r="M4867">
        <v>3422.54</v>
      </c>
      <c r="N4867" t="s">
        <v>710</v>
      </c>
      <c r="Q4867" t="s">
        <v>4852</v>
      </c>
      <c r="R4867" t="s">
        <v>4771</v>
      </c>
    </row>
    <row r="4868" spans="1:18" x14ac:dyDescent="0.3">
      <c r="A4868">
        <v>88656</v>
      </c>
      <c r="B4868" t="s">
        <v>4874</v>
      </c>
      <c r="C4868" t="s">
        <v>415</v>
      </c>
      <c r="D4868" t="s">
        <v>60</v>
      </c>
      <c r="E4868" s="1">
        <v>45660</v>
      </c>
      <c r="F4868" t="s">
        <v>4333</v>
      </c>
      <c r="G4868" t="s">
        <v>1078</v>
      </c>
      <c r="H4868" t="s">
        <v>457</v>
      </c>
      <c r="I4868" t="s">
        <v>204</v>
      </c>
      <c r="J4868" s="1">
        <v>46387</v>
      </c>
      <c r="K4868" t="s">
        <v>762</v>
      </c>
      <c r="L4868">
        <v>3597.03</v>
      </c>
      <c r="M4868">
        <v>3597.03</v>
      </c>
      <c r="N4868" t="s">
        <v>814</v>
      </c>
      <c r="O4868" t="s">
        <v>1037</v>
      </c>
      <c r="P4868" t="s">
        <v>4807</v>
      </c>
      <c r="Q4868" t="s">
        <v>4852</v>
      </c>
      <c r="R4868" t="s">
        <v>4771</v>
      </c>
    </row>
    <row r="4869" spans="1:18" x14ac:dyDescent="0.3">
      <c r="A4869">
        <v>6495</v>
      </c>
      <c r="B4869" t="s">
        <v>4874</v>
      </c>
      <c r="C4869" t="s">
        <v>230</v>
      </c>
      <c r="D4869" t="s">
        <v>85</v>
      </c>
      <c r="E4869" s="1">
        <v>45660</v>
      </c>
      <c r="F4869" t="s">
        <v>4348</v>
      </c>
      <c r="G4869" t="s">
        <v>1085</v>
      </c>
      <c r="H4869" t="s">
        <v>299</v>
      </c>
      <c r="I4869" t="s">
        <v>204</v>
      </c>
      <c r="J4869" s="1">
        <v>46536</v>
      </c>
      <c r="K4869" t="s">
        <v>762</v>
      </c>
      <c r="L4869">
        <v>186332</v>
      </c>
      <c r="M4869">
        <v>186332</v>
      </c>
      <c r="N4869" t="s">
        <v>710</v>
      </c>
      <c r="O4869" t="s">
        <v>1033</v>
      </c>
      <c r="P4869" t="s">
        <v>4781</v>
      </c>
      <c r="Q4869" t="s">
        <v>4852</v>
      </c>
      <c r="R4869" t="s">
        <v>4771</v>
      </c>
    </row>
    <row r="4870" spans="1:18" x14ac:dyDescent="0.3">
      <c r="A4870">
        <v>6515</v>
      </c>
      <c r="B4870" t="s">
        <v>4874</v>
      </c>
      <c r="C4870" t="s">
        <v>230</v>
      </c>
      <c r="D4870" t="s">
        <v>85</v>
      </c>
      <c r="E4870" s="1">
        <v>45660</v>
      </c>
      <c r="F4870" t="s">
        <v>4348</v>
      </c>
      <c r="G4870" t="s">
        <v>1087</v>
      </c>
      <c r="H4870" t="s">
        <v>299</v>
      </c>
      <c r="I4870" t="s">
        <v>204</v>
      </c>
      <c r="J4870" s="1">
        <v>46536</v>
      </c>
      <c r="K4870" t="s">
        <v>762</v>
      </c>
      <c r="L4870">
        <v>8330</v>
      </c>
      <c r="M4870">
        <v>8330</v>
      </c>
      <c r="N4870" t="s">
        <v>710</v>
      </c>
      <c r="O4870" t="s">
        <v>1033</v>
      </c>
      <c r="P4870" t="s">
        <v>4781</v>
      </c>
      <c r="Q4870" t="s">
        <v>4852</v>
      </c>
      <c r="R4870" t="s">
        <v>4771</v>
      </c>
    </row>
    <row r="4871" spans="1:18" x14ac:dyDescent="0.3">
      <c r="A4871">
        <v>88646</v>
      </c>
      <c r="B4871" t="s">
        <v>1034</v>
      </c>
      <c r="C4871" t="s">
        <v>415</v>
      </c>
      <c r="D4871" t="s">
        <v>60</v>
      </c>
      <c r="E4871" s="1">
        <v>45660</v>
      </c>
      <c r="F4871" t="s">
        <v>4333</v>
      </c>
      <c r="G4871" t="s">
        <v>1079</v>
      </c>
      <c r="H4871" t="s">
        <v>431</v>
      </c>
      <c r="I4871" t="s">
        <v>204</v>
      </c>
      <c r="J4871" s="1">
        <v>46386</v>
      </c>
      <c r="K4871" t="s">
        <v>717</v>
      </c>
      <c r="L4871">
        <v>14200.79</v>
      </c>
      <c r="M4871">
        <v>14200.79</v>
      </c>
      <c r="N4871" t="s">
        <v>814</v>
      </c>
      <c r="O4871" t="s">
        <v>1037</v>
      </c>
      <c r="P4871" t="s">
        <v>4807</v>
      </c>
      <c r="Q4871" t="s">
        <v>4852</v>
      </c>
      <c r="R4871" t="s">
        <v>4771</v>
      </c>
    </row>
    <row r="4872" spans="1:18" x14ac:dyDescent="0.3">
      <c r="A4872">
        <v>88657</v>
      </c>
      <c r="B4872" t="s">
        <v>4875</v>
      </c>
      <c r="C4872" t="s">
        <v>415</v>
      </c>
      <c r="D4872" t="s">
        <v>60</v>
      </c>
      <c r="E4872" s="1">
        <v>45660</v>
      </c>
      <c r="F4872" t="s">
        <v>4333</v>
      </c>
      <c r="G4872" t="s">
        <v>1077</v>
      </c>
      <c r="H4872" t="s">
        <v>414</v>
      </c>
      <c r="I4872" t="s">
        <v>204</v>
      </c>
      <c r="J4872" s="1">
        <v>46386</v>
      </c>
      <c r="K4872" t="s">
        <v>768</v>
      </c>
      <c r="L4872">
        <v>2754.53</v>
      </c>
      <c r="M4872">
        <v>2754.53</v>
      </c>
      <c r="N4872" t="s">
        <v>814</v>
      </c>
      <c r="O4872" t="s">
        <v>1037</v>
      </c>
      <c r="P4872" t="s">
        <v>4807</v>
      </c>
      <c r="Q4872" t="s">
        <v>4852</v>
      </c>
      <c r="R4872" t="s">
        <v>4771</v>
      </c>
    </row>
    <row r="4873" spans="1:18" x14ac:dyDescent="0.3">
      <c r="A4873">
        <v>6499</v>
      </c>
      <c r="B4873" t="s">
        <v>1034</v>
      </c>
      <c r="C4873" t="s">
        <v>230</v>
      </c>
      <c r="D4873" t="s">
        <v>85</v>
      </c>
      <c r="E4873" s="1">
        <v>45660</v>
      </c>
      <c r="F4873" t="s">
        <v>4348</v>
      </c>
      <c r="G4873" t="s">
        <v>1084</v>
      </c>
      <c r="H4873" t="s">
        <v>570</v>
      </c>
      <c r="I4873" t="s">
        <v>204</v>
      </c>
      <c r="J4873" s="1">
        <v>46418</v>
      </c>
      <c r="K4873" t="s">
        <v>717</v>
      </c>
      <c r="L4873">
        <v>1</v>
      </c>
      <c r="M4873">
        <v>477000</v>
      </c>
      <c r="N4873" t="s">
        <v>719</v>
      </c>
      <c r="O4873" t="s">
        <v>1033</v>
      </c>
      <c r="P4873" t="s">
        <v>4781</v>
      </c>
      <c r="Q4873" t="s">
        <v>4852</v>
      </c>
      <c r="R4873" t="s">
        <v>4771</v>
      </c>
    </row>
    <row r="4874" spans="1:18" x14ac:dyDescent="0.3">
      <c r="A4874">
        <v>34</v>
      </c>
      <c r="B4874" t="s">
        <v>4876</v>
      </c>
      <c r="C4874" t="s">
        <v>476</v>
      </c>
      <c r="D4874" t="s">
        <v>195</v>
      </c>
      <c r="E4874" s="1">
        <v>45660</v>
      </c>
      <c r="F4874" t="s">
        <v>4401</v>
      </c>
      <c r="G4874" t="s">
        <v>1083</v>
      </c>
      <c r="H4874" t="s">
        <v>475</v>
      </c>
      <c r="I4874" t="s">
        <v>204</v>
      </c>
      <c r="J4874" s="1">
        <v>54878</v>
      </c>
      <c r="K4874" t="s">
        <v>839</v>
      </c>
      <c r="L4874">
        <v>39330</v>
      </c>
      <c r="M4874">
        <v>39330</v>
      </c>
      <c r="N4874" t="s">
        <v>710</v>
      </c>
      <c r="O4874" t="s">
        <v>1042</v>
      </c>
      <c r="P4874" t="s">
        <v>1006</v>
      </c>
      <c r="Q4874" t="s">
        <v>4852</v>
      </c>
      <c r="R4874" t="s">
        <v>4771</v>
      </c>
    </row>
    <row r="4875" spans="1:18" x14ac:dyDescent="0.3">
      <c r="A4875">
        <v>77868</v>
      </c>
      <c r="B4875" t="s">
        <v>1034</v>
      </c>
      <c r="C4875" t="s">
        <v>319</v>
      </c>
      <c r="D4875" t="s">
        <v>36</v>
      </c>
      <c r="E4875" s="1">
        <v>45659</v>
      </c>
      <c r="F4875" t="s">
        <v>4298</v>
      </c>
      <c r="G4875" t="s">
        <v>1072</v>
      </c>
      <c r="H4875" t="s">
        <v>318</v>
      </c>
      <c r="I4875" t="s">
        <v>204</v>
      </c>
      <c r="J4875" s="1">
        <v>46214</v>
      </c>
      <c r="K4875" t="s">
        <v>711</v>
      </c>
      <c r="L4875">
        <v>2465</v>
      </c>
      <c r="M4875">
        <v>2464.63</v>
      </c>
      <c r="N4875" t="s">
        <v>710</v>
      </c>
      <c r="O4875" t="s">
        <v>1036</v>
      </c>
      <c r="P4875" t="s">
        <v>4784</v>
      </c>
      <c r="Q4875" t="s">
        <v>4901</v>
      </c>
      <c r="R4875" t="s">
        <v>4771</v>
      </c>
    </row>
    <row r="4876" spans="1:18" x14ac:dyDescent="0.3">
      <c r="A4876">
        <v>1803</v>
      </c>
      <c r="B4876" t="s">
        <v>4874</v>
      </c>
      <c r="C4876" t="s">
        <v>616</v>
      </c>
      <c r="D4876" t="s">
        <v>152</v>
      </c>
      <c r="E4876" s="1">
        <v>45659</v>
      </c>
      <c r="F4876" t="s">
        <v>4338</v>
      </c>
      <c r="G4876" t="s">
        <v>1070</v>
      </c>
      <c r="H4876" t="s">
        <v>615</v>
      </c>
      <c r="I4876" t="s">
        <v>204</v>
      </c>
      <c r="J4876" s="1">
        <v>46327</v>
      </c>
      <c r="K4876" t="s">
        <v>720</v>
      </c>
      <c r="L4876">
        <v>1</v>
      </c>
      <c r="M4876">
        <v>51915.05</v>
      </c>
      <c r="N4876" t="s">
        <v>710</v>
      </c>
      <c r="O4876" t="s">
        <v>4834</v>
      </c>
      <c r="P4876" t="s">
        <v>4776</v>
      </c>
      <c r="Q4876" t="s">
        <v>4858</v>
      </c>
      <c r="R4876" t="s">
        <v>4772</v>
      </c>
    </row>
    <row r="4877" spans="1:18" x14ac:dyDescent="0.3">
      <c r="A4877">
        <v>23663</v>
      </c>
      <c r="B4877" t="s">
        <v>4875</v>
      </c>
      <c r="C4877" t="s">
        <v>292</v>
      </c>
      <c r="D4877" t="s">
        <v>165</v>
      </c>
      <c r="E4877" s="1">
        <v>45659</v>
      </c>
      <c r="F4877" t="s">
        <v>4327</v>
      </c>
      <c r="G4877" t="s">
        <v>1056</v>
      </c>
      <c r="H4877" t="s">
        <v>345</v>
      </c>
      <c r="I4877" t="s">
        <v>209</v>
      </c>
      <c r="J4877" s="1">
        <v>54878</v>
      </c>
      <c r="K4877" t="s">
        <v>748</v>
      </c>
      <c r="L4877">
        <v>17972.25</v>
      </c>
      <c r="M4877">
        <v>-17972.25</v>
      </c>
      <c r="N4877" t="s">
        <v>710</v>
      </c>
    </row>
    <row r="4878" spans="1:18" x14ac:dyDescent="0.3">
      <c r="A4878">
        <v>23662</v>
      </c>
      <c r="B4878" t="s">
        <v>4875</v>
      </c>
      <c r="C4878" t="s">
        <v>292</v>
      </c>
      <c r="D4878" t="s">
        <v>165</v>
      </c>
      <c r="E4878" s="1">
        <v>45659</v>
      </c>
      <c r="F4878" t="s">
        <v>4328</v>
      </c>
      <c r="G4878" t="s">
        <v>1055</v>
      </c>
      <c r="H4878" t="s">
        <v>345</v>
      </c>
      <c r="I4878" t="s">
        <v>209</v>
      </c>
      <c r="J4878" s="1">
        <v>54878</v>
      </c>
      <c r="K4878" t="s">
        <v>748</v>
      </c>
      <c r="L4878">
        <v>4485.82</v>
      </c>
      <c r="M4878">
        <v>-4485.82</v>
      </c>
      <c r="N4878" t="s">
        <v>710</v>
      </c>
    </row>
    <row r="4879" spans="1:18" x14ac:dyDescent="0.3">
      <c r="A4879">
        <v>1849</v>
      </c>
      <c r="B4879" t="s">
        <v>4874</v>
      </c>
      <c r="C4879" t="s">
        <v>616</v>
      </c>
      <c r="D4879" t="s">
        <v>152</v>
      </c>
      <c r="E4879" s="1">
        <v>45659</v>
      </c>
      <c r="F4879" t="s">
        <v>4338</v>
      </c>
      <c r="G4879" t="s">
        <v>1071</v>
      </c>
      <c r="H4879" t="s">
        <v>615</v>
      </c>
      <c r="I4879" t="s">
        <v>204</v>
      </c>
      <c r="J4879" s="1">
        <v>46327</v>
      </c>
      <c r="K4879" t="s">
        <v>720</v>
      </c>
      <c r="L4879">
        <v>1</v>
      </c>
      <c r="M4879">
        <v>52442.86</v>
      </c>
      <c r="N4879" t="s">
        <v>710</v>
      </c>
      <c r="O4879" t="s">
        <v>4834</v>
      </c>
      <c r="P4879" t="s">
        <v>4776</v>
      </c>
      <c r="Q4879" t="s">
        <v>4858</v>
      </c>
      <c r="R4879" t="s">
        <v>4772</v>
      </c>
    </row>
    <row r="4880" spans="1:18" x14ac:dyDescent="0.3">
      <c r="A4880">
        <v>202503</v>
      </c>
      <c r="B4880" t="s">
        <v>4875</v>
      </c>
      <c r="C4880" t="s">
        <v>322</v>
      </c>
      <c r="D4880" t="s">
        <v>158</v>
      </c>
      <c r="E4880" s="1">
        <v>45659</v>
      </c>
      <c r="F4880" t="s">
        <v>4431</v>
      </c>
      <c r="G4880" t="s">
        <v>1058</v>
      </c>
      <c r="H4880" t="s">
        <v>321</v>
      </c>
      <c r="I4880" t="s">
        <v>204</v>
      </c>
      <c r="J4880" s="1">
        <v>46310</v>
      </c>
      <c r="K4880" t="s">
        <v>748</v>
      </c>
      <c r="L4880">
        <v>13535.58</v>
      </c>
      <c r="M4880">
        <v>13535.58</v>
      </c>
      <c r="N4880" t="s">
        <v>710</v>
      </c>
      <c r="O4880" t="s">
        <v>1040</v>
      </c>
      <c r="P4880" t="s">
        <v>4782</v>
      </c>
      <c r="Q4880" t="s">
        <v>4856</v>
      </c>
      <c r="R4880" t="s">
        <v>4773</v>
      </c>
    </row>
    <row r="4881" spans="1:18" x14ac:dyDescent="0.3">
      <c r="A4881">
        <v>78090</v>
      </c>
      <c r="B4881" t="s">
        <v>1034</v>
      </c>
      <c r="C4881" t="s">
        <v>319</v>
      </c>
      <c r="D4881" t="s">
        <v>36</v>
      </c>
      <c r="E4881" s="1">
        <v>45659</v>
      </c>
      <c r="F4881" t="s">
        <v>4298</v>
      </c>
      <c r="G4881" t="s">
        <v>1073</v>
      </c>
      <c r="H4881" t="s">
        <v>318</v>
      </c>
      <c r="I4881" t="s">
        <v>204</v>
      </c>
      <c r="J4881" s="1">
        <v>46214</v>
      </c>
      <c r="K4881" t="s">
        <v>711</v>
      </c>
      <c r="L4881">
        <v>1643</v>
      </c>
      <c r="M4881">
        <v>1643.09</v>
      </c>
      <c r="N4881" t="s">
        <v>710</v>
      </c>
      <c r="O4881" t="s">
        <v>1036</v>
      </c>
      <c r="P4881" t="s">
        <v>4784</v>
      </c>
      <c r="Q4881" t="s">
        <v>4901</v>
      </c>
      <c r="R4881" t="s">
        <v>4771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A6E945-9E08-438D-894B-755FB9421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Faturado mensal</vt:lpstr>
      <vt:lpstr>DADOS</vt:lpstr>
      <vt:lpstr>calendário</vt:lpstr>
      <vt:lpstr>BASE 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Santos (Tech Office - Dev)</dc:creator>
  <cp:keywords/>
  <dc:description/>
  <cp:lastModifiedBy>Leandro Machado (Compras DDA)</cp:lastModifiedBy>
  <cp:revision/>
  <dcterms:created xsi:type="dcterms:W3CDTF">2026-05-07T19:11:11Z</dcterms:created>
  <dcterms:modified xsi:type="dcterms:W3CDTF">2026-07-07T18:35:20Z</dcterms:modified>
  <cp:category/>
  <cp:contentStatus/>
</cp:coreProperties>
</file>